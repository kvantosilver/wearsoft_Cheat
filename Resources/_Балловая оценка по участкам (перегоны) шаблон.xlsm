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F:\Кейс Хакатон К-Р\"/>
    </mc:Choice>
  </mc:AlternateContent>
  <bookViews>
    <workbookView xWindow="15240" yWindow="285" windowWidth="13140" windowHeight="11325" tabRatio="685" firstSheet="1" activeTab="1"/>
  </bookViews>
  <sheets>
    <sheet name="DATA" sheetId="2" state="hidden" r:id="rId1"/>
    <sheet name="COORD" sheetId="1" r:id="rId2"/>
    <sheet name="Текущий" sheetId="3" state="hidden" r:id="rId3"/>
    <sheet name="Предыд" sheetId="4" state="hidden" r:id="rId4"/>
    <sheet name="Свод" sheetId="5" state="hidden" r:id="rId5"/>
    <sheet name="март кон" sheetId="29" state="hidden" r:id="rId6"/>
    <sheet name="март раб" sheetId="28" state="hidden" r:id="rId7"/>
  </sheets>
  <definedNames>
    <definedName name="_xlnm._FilterDatabase" localSheetId="1" hidden="1">COORD!$A$1:$G$613</definedName>
    <definedName name="_xlnm._FilterDatabase" localSheetId="0" hidden="1">DATA!$A$2:$AH$2</definedName>
    <definedName name="_xlnm._FilterDatabase" localSheetId="5" hidden="1">'март кон'!$A$3:$T$689</definedName>
    <definedName name="_xlnm._FilterDatabase" localSheetId="6" hidden="1">'март раб'!$A$2:$O$154</definedName>
    <definedName name="_xlnm._FilterDatabase" localSheetId="3" hidden="1">Предыд!$A$2:$AP$2</definedName>
    <definedName name="_xlnm._FilterDatabase" localSheetId="4" hidden="1">Свод!$A$2:$O$688</definedName>
    <definedName name="_xlnm._FilterDatabase" localSheetId="2" hidden="1">Текущий!$A$2:$AP$687</definedName>
  </definedNames>
  <calcPr calcId="152511"/>
</workbook>
</file>

<file path=xl/calcChain.xml><?xml version="1.0" encoding="utf-8"?>
<calcChain xmlns="http://schemas.openxmlformats.org/spreadsheetml/2006/main">
  <c r="A5" i="29" l="1"/>
  <c r="B5" i="29"/>
  <c r="C5" i="29"/>
  <c r="D5" i="29"/>
  <c r="E5" i="29"/>
  <c r="F5" i="29"/>
  <c r="G5" i="29"/>
  <c r="H5" i="29"/>
  <c r="I5" i="29"/>
  <c r="J5" i="29"/>
  <c r="L5" i="29"/>
  <c r="M5" i="29"/>
  <c r="N5" i="29"/>
  <c r="O5" i="29"/>
  <c r="P5" i="29"/>
  <c r="Q5" i="29"/>
  <c r="R5" i="29"/>
  <c r="S5" i="29"/>
  <c r="A6" i="29"/>
  <c r="B6" i="29"/>
  <c r="C6" i="29"/>
  <c r="D6" i="29"/>
  <c r="E6" i="29"/>
  <c r="F6" i="29"/>
  <c r="G6" i="29"/>
  <c r="H6" i="29"/>
  <c r="I6" i="29"/>
  <c r="J6" i="29"/>
  <c r="L6" i="29"/>
  <c r="M6" i="29"/>
  <c r="N6" i="29"/>
  <c r="O6" i="29"/>
  <c r="P6" i="29"/>
  <c r="Q6" i="29"/>
  <c r="R6" i="29"/>
  <c r="S6" i="29"/>
  <c r="A7" i="29"/>
  <c r="B7" i="29"/>
  <c r="C7" i="29"/>
  <c r="D7" i="29"/>
  <c r="E7" i="29"/>
  <c r="F7" i="29"/>
  <c r="G7" i="29"/>
  <c r="H7" i="29"/>
  <c r="I7" i="29"/>
  <c r="J7" i="29"/>
  <c r="L7" i="29"/>
  <c r="M7" i="29"/>
  <c r="N7" i="29"/>
  <c r="O7" i="29"/>
  <c r="P7" i="29"/>
  <c r="Q7" i="29"/>
  <c r="R7" i="29"/>
  <c r="S7" i="29"/>
  <c r="A8" i="29"/>
  <c r="B8" i="29"/>
  <c r="C8" i="29"/>
  <c r="D8" i="29"/>
  <c r="E8" i="29"/>
  <c r="F8" i="29"/>
  <c r="G8" i="29"/>
  <c r="H8" i="29"/>
  <c r="I8" i="29"/>
  <c r="J8" i="29"/>
  <c r="L8" i="29"/>
  <c r="M8" i="29"/>
  <c r="N8" i="29"/>
  <c r="O8" i="29"/>
  <c r="P8" i="29"/>
  <c r="Q8" i="29"/>
  <c r="R8" i="29"/>
  <c r="S8" i="29"/>
  <c r="A9" i="29"/>
  <c r="B9" i="29"/>
  <c r="C9" i="29"/>
  <c r="D9" i="29"/>
  <c r="E9" i="29"/>
  <c r="F9" i="29"/>
  <c r="G9" i="29"/>
  <c r="H9" i="29"/>
  <c r="I9" i="29"/>
  <c r="J9" i="29"/>
  <c r="L9" i="29"/>
  <c r="M9" i="29"/>
  <c r="N9" i="29"/>
  <c r="O9" i="29"/>
  <c r="P9" i="29"/>
  <c r="Q9" i="29"/>
  <c r="R9" i="29"/>
  <c r="S9" i="29"/>
  <c r="A10" i="29"/>
  <c r="B10" i="29"/>
  <c r="C10" i="29"/>
  <c r="D10" i="29"/>
  <c r="E10" i="29"/>
  <c r="F10" i="29"/>
  <c r="G10" i="29"/>
  <c r="H10" i="29"/>
  <c r="I10" i="29"/>
  <c r="J10" i="29"/>
  <c r="L10" i="29"/>
  <c r="M10" i="29"/>
  <c r="N10" i="29"/>
  <c r="O10" i="29"/>
  <c r="P10" i="29"/>
  <c r="Q10" i="29"/>
  <c r="R10" i="29"/>
  <c r="S10" i="29"/>
  <c r="A11" i="29"/>
  <c r="B11" i="29"/>
  <c r="C11" i="29"/>
  <c r="D11" i="29"/>
  <c r="E11" i="29"/>
  <c r="F11" i="29"/>
  <c r="G11" i="29"/>
  <c r="H11" i="29"/>
  <c r="I11" i="29"/>
  <c r="J11" i="29"/>
  <c r="L11" i="29"/>
  <c r="M11" i="29"/>
  <c r="N11" i="29"/>
  <c r="O11" i="29"/>
  <c r="P11" i="29"/>
  <c r="Q11" i="29"/>
  <c r="R11" i="29"/>
  <c r="S11" i="29"/>
  <c r="A12" i="29"/>
  <c r="B12" i="29"/>
  <c r="C12" i="29"/>
  <c r="D12" i="29"/>
  <c r="E12" i="29"/>
  <c r="F12" i="29"/>
  <c r="G12" i="29"/>
  <c r="H12" i="29"/>
  <c r="I12" i="29"/>
  <c r="J12" i="29"/>
  <c r="L12" i="29"/>
  <c r="M12" i="29"/>
  <c r="N12" i="29"/>
  <c r="O12" i="29"/>
  <c r="P12" i="29"/>
  <c r="Q12" i="29"/>
  <c r="R12" i="29"/>
  <c r="S12" i="29"/>
  <c r="A13" i="29"/>
  <c r="B13" i="29"/>
  <c r="C13" i="29"/>
  <c r="D13" i="29"/>
  <c r="E13" i="29"/>
  <c r="F13" i="29"/>
  <c r="G13" i="29"/>
  <c r="H13" i="29"/>
  <c r="I13" i="29"/>
  <c r="J13" i="29"/>
  <c r="L13" i="29"/>
  <c r="M13" i="29"/>
  <c r="N13" i="29"/>
  <c r="O13" i="29"/>
  <c r="P13" i="29"/>
  <c r="Q13" i="29"/>
  <c r="R13" i="29"/>
  <c r="S13" i="29"/>
  <c r="A14" i="29"/>
  <c r="B14" i="29"/>
  <c r="C14" i="29"/>
  <c r="D14" i="29"/>
  <c r="E14" i="29"/>
  <c r="F14" i="29"/>
  <c r="G14" i="29"/>
  <c r="H14" i="29"/>
  <c r="I14" i="29"/>
  <c r="J14" i="29"/>
  <c r="L14" i="29"/>
  <c r="M14" i="29"/>
  <c r="N14" i="29"/>
  <c r="O14" i="29"/>
  <c r="P14" i="29"/>
  <c r="Q14" i="29"/>
  <c r="R14" i="29"/>
  <c r="S14" i="29"/>
  <c r="A15" i="29"/>
  <c r="B15" i="29"/>
  <c r="C15" i="29"/>
  <c r="D15" i="29"/>
  <c r="E15" i="29"/>
  <c r="F15" i="29"/>
  <c r="G15" i="29"/>
  <c r="H15" i="29"/>
  <c r="I15" i="29"/>
  <c r="J15" i="29"/>
  <c r="L15" i="29"/>
  <c r="M15" i="29"/>
  <c r="N15" i="29"/>
  <c r="O15" i="29"/>
  <c r="P15" i="29"/>
  <c r="Q15" i="29"/>
  <c r="R15" i="29"/>
  <c r="S15" i="29"/>
  <c r="A16" i="29"/>
  <c r="B16" i="29"/>
  <c r="C16" i="29"/>
  <c r="D16" i="29"/>
  <c r="E16" i="29"/>
  <c r="F16" i="29"/>
  <c r="G16" i="29"/>
  <c r="H16" i="29"/>
  <c r="I16" i="29"/>
  <c r="J16" i="29"/>
  <c r="L16" i="29"/>
  <c r="M16" i="29"/>
  <c r="N16" i="29"/>
  <c r="O16" i="29"/>
  <c r="P16" i="29"/>
  <c r="Q16" i="29"/>
  <c r="R16" i="29"/>
  <c r="S16" i="29"/>
  <c r="A17" i="29"/>
  <c r="B17" i="29"/>
  <c r="C17" i="29"/>
  <c r="D17" i="29"/>
  <c r="E17" i="29"/>
  <c r="F17" i="29"/>
  <c r="G17" i="29"/>
  <c r="H17" i="29"/>
  <c r="I17" i="29"/>
  <c r="J17" i="29"/>
  <c r="L17" i="29"/>
  <c r="M17" i="29"/>
  <c r="N17" i="29"/>
  <c r="O17" i="29"/>
  <c r="P17" i="29"/>
  <c r="Q17" i="29"/>
  <c r="R17" i="29"/>
  <c r="S17" i="29"/>
  <c r="A18" i="29"/>
  <c r="B18" i="29"/>
  <c r="C18" i="29"/>
  <c r="D18" i="29"/>
  <c r="E18" i="29"/>
  <c r="F18" i="29"/>
  <c r="G18" i="29"/>
  <c r="H18" i="29"/>
  <c r="I18" i="29"/>
  <c r="J18" i="29"/>
  <c r="L18" i="29"/>
  <c r="M18" i="29"/>
  <c r="N18" i="29"/>
  <c r="O18" i="29"/>
  <c r="P18" i="29"/>
  <c r="Q18" i="29"/>
  <c r="R18" i="29"/>
  <c r="S18" i="29"/>
  <c r="A19" i="29"/>
  <c r="B19" i="29"/>
  <c r="C19" i="29"/>
  <c r="D19" i="29"/>
  <c r="E19" i="29"/>
  <c r="F19" i="29"/>
  <c r="G19" i="29"/>
  <c r="H19" i="29"/>
  <c r="I19" i="29"/>
  <c r="J19" i="29"/>
  <c r="L19" i="29"/>
  <c r="M19" i="29"/>
  <c r="N19" i="29"/>
  <c r="O19" i="29"/>
  <c r="P19" i="29"/>
  <c r="Q19" i="29"/>
  <c r="R19" i="29"/>
  <c r="S19" i="29"/>
  <c r="A20" i="29"/>
  <c r="B20" i="29"/>
  <c r="C20" i="29"/>
  <c r="D20" i="29"/>
  <c r="E20" i="29"/>
  <c r="F20" i="29"/>
  <c r="G20" i="29"/>
  <c r="H20" i="29"/>
  <c r="I20" i="29"/>
  <c r="J20" i="29"/>
  <c r="L20" i="29"/>
  <c r="M20" i="29"/>
  <c r="N20" i="29"/>
  <c r="O20" i="29"/>
  <c r="P20" i="29"/>
  <c r="Q20" i="29"/>
  <c r="R20" i="29"/>
  <c r="S20" i="29"/>
  <c r="A21" i="29"/>
  <c r="B21" i="29"/>
  <c r="C21" i="29"/>
  <c r="D21" i="29"/>
  <c r="E21" i="29"/>
  <c r="F21" i="29"/>
  <c r="G21" i="29"/>
  <c r="H21" i="29"/>
  <c r="I21" i="29"/>
  <c r="J21" i="29"/>
  <c r="L21" i="29"/>
  <c r="M21" i="29"/>
  <c r="N21" i="29"/>
  <c r="O21" i="29"/>
  <c r="P21" i="29"/>
  <c r="Q21" i="29"/>
  <c r="R21" i="29"/>
  <c r="S21" i="29"/>
  <c r="A22" i="29"/>
  <c r="B22" i="29"/>
  <c r="C22" i="29"/>
  <c r="D22" i="29"/>
  <c r="E22" i="29"/>
  <c r="F22" i="29"/>
  <c r="G22" i="29"/>
  <c r="H22" i="29"/>
  <c r="I22" i="29"/>
  <c r="J22" i="29"/>
  <c r="L22" i="29"/>
  <c r="M22" i="29"/>
  <c r="N22" i="29"/>
  <c r="O22" i="29"/>
  <c r="P22" i="29"/>
  <c r="Q22" i="29"/>
  <c r="R22" i="29"/>
  <c r="S22" i="29"/>
  <c r="A23" i="29"/>
  <c r="B23" i="29"/>
  <c r="C23" i="29"/>
  <c r="D23" i="29"/>
  <c r="E23" i="29"/>
  <c r="F23" i="29"/>
  <c r="G23" i="29"/>
  <c r="H23" i="29"/>
  <c r="I23" i="29"/>
  <c r="J23" i="29"/>
  <c r="L23" i="29"/>
  <c r="M23" i="29"/>
  <c r="N23" i="29"/>
  <c r="O23" i="29"/>
  <c r="P23" i="29"/>
  <c r="Q23" i="29"/>
  <c r="R23" i="29"/>
  <c r="S23" i="29"/>
  <c r="A24" i="29"/>
  <c r="B24" i="29"/>
  <c r="C24" i="29"/>
  <c r="D24" i="29"/>
  <c r="E24" i="29"/>
  <c r="F24" i="29"/>
  <c r="G24" i="29"/>
  <c r="H24" i="29"/>
  <c r="I24" i="29"/>
  <c r="J24" i="29"/>
  <c r="L24" i="29"/>
  <c r="M24" i="29"/>
  <c r="N24" i="29"/>
  <c r="O24" i="29"/>
  <c r="P24" i="29"/>
  <c r="Q24" i="29"/>
  <c r="R24" i="29"/>
  <c r="S24" i="29"/>
  <c r="A25" i="29"/>
  <c r="B25" i="29"/>
  <c r="C25" i="29"/>
  <c r="D25" i="29"/>
  <c r="E25" i="29"/>
  <c r="F25" i="29"/>
  <c r="G25" i="29"/>
  <c r="H25" i="29"/>
  <c r="I25" i="29"/>
  <c r="J25" i="29"/>
  <c r="L25" i="29"/>
  <c r="M25" i="29"/>
  <c r="N25" i="29"/>
  <c r="O25" i="29"/>
  <c r="P25" i="29"/>
  <c r="Q25" i="29"/>
  <c r="R25" i="29"/>
  <c r="S25" i="29"/>
  <c r="A26" i="29"/>
  <c r="B26" i="29"/>
  <c r="C26" i="29"/>
  <c r="D26" i="29"/>
  <c r="E26" i="29"/>
  <c r="F26" i="29"/>
  <c r="G26" i="29"/>
  <c r="H26" i="29"/>
  <c r="I26" i="29"/>
  <c r="J26" i="29"/>
  <c r="L26" i="29"/>
  <c r="M26" i="29"/>
  <c r="N26" i="29"/>
  <c r="O26" i="29"/>
  <c r="P26" i="29"/>
  <c r="Q26" i="29"/>
  <c r="R26" i="29"/>
  <c r="S26" i="29"/>
  <c r="A27" i="29"/>
  <c r="B27" i="29"/>
  <c r="C27" i="29"/>
  <c r="D27" i="29"/>
  <c r="E27" i="29"/>
  <c r="F27" i="29"/>
  <c r="G27" i="29"/>
  <c r="H27" i="29"/>
  <c r="I27" i="29"/>
  <c r="J27" i="29"/>
  <c r="L27" i="29"/>
  <c r="M27" i="29"/>
  <c r="N27" i="29"/>
  <c r="O27" i="29"/>
  <c r="P27" i="29"/>
  <c r="Q27" i="29"/>
  <c r="R27" i="29"/>
  <c r="S27" i="29"/>
  <c r="A28" i="29"/>
  <c r="B28" i="29"/>
  <c r="C28" i="29"/>
  <c r="D28" i="29"/>
  <c r="E28" i="29"/>
  <c r="F28" i="29"/>
  <c r="G28" i="29"/>
  <c r="H28" i="29"/>
  <c r="I28" i="29"/>
  <c r="J28" i="29"/>
  <c r="L28" i="29"/>
  <c r="M28" i="29"/>
  <c r="N28" i="29"/>
  <c r="O28" i="29"/>
  <c r="P28" i="29"/>
  <c r="Q28" i="29"/>
  <c r="R28" i="29"/>
  <c r="S28" i="29"/>
  <c r="A29" i="29"/>
  <c r="B29" i="29"/>
  <c r="C29" i="29"/>
  <c r="D29" i="29"/>
  <c r="E29" i="29"/>
  <c r="F29" i="29"/>
  <c r="G29" i="29"/>
  <c r="H29" i="29"/>
  <c r="I29" i="29"/>
  <c r="J29" i="29"/>
  <c r="L29" i="29"/>
  <c r="M29" i="29"/>
  <c r="N29" i="29"/>
  <c r="O29" i="29"/>
  <c r="P29" i="29"/>
  <c r="Q29" i="29"/>
  <c r="R29" i="29"/>
  <c r="S29" i="29"/>
  <c r="A30" i="29"/>
  <c r="B30" i="29"/>
  <c r="C30" i="29"/>
  <c r="D30" i="29"/>
  <c r="E30" i="29"/>
  <c r="F30" i="29"/>
  <c r="G30" i="29"/>
  <c r="H30" i="29"/>
  <c r="I30" i="29"/>
  <c r="J30" i="29"/>
  <c r="L30" i="29"/>
  <c r="M30" i="29"/>
  <c r="N30" i="29"/>
  <c r="O30" i="29"/>
  <c r="P30" i="29"/>
  <c r="Q30" i="29"/>
  <c r="R30" i="29"/>
  <c r="S30" i="29"/>
  <c r="A31" i="29"/>
  <c r="B31" i="29"/>
  <c r="C31" i="29"/>
  <c r="D31" i="29"/>
  <c r="E31" i="29"/>
  <c r="F31" i="29"/>
  <c r="G31" i="29"/>
  <c r="H31" i="29"/>
  <c r="I31" i="29"/>
  <c r="J31" i="29"/>
  <c r="L31" i="29"/>
  <c r="M31" i="29"/>
  <c r="N31" i="29"/>
  <c r="O31" i="29"/>
  <c r="P31" i="29"/>
  <c r="Q31" i="29"/>
  <c r="R31" i="29"/>
  <c r="S31" i="29"/>
  <c r="A32" i="29"/>
  <c r="B32" i="29"/>
  <c r="C32" i="29"/>
  <c r="D32" i="29"/>
  <c r="E32" i="29"/>
  <c r="F32" i="29"/>
  <c r="G32" i="29"/>
  <c r="H32" i="29"/>
  <c r="I32" i="29"/>
  <c r="J32" i="29"/>
  <c r="L32" i="29"/>
  <c r="M32" i="29"/>
  <c r="N32" i="29"/>
  <c r="O32" i="29"/>
  <c r="P32" i="29"/>
  <c r="Q32" i="29"/>
  <c r="R32" i="29"/>
  <c r="S32" i="29"/>
  <c r="A33" i="29"/>
  <c r="B33" i="29"/>
  <c r="C33" i="29"/>
  <c r="D33" i="29"/>
  <c r="E33" i="29"/>
  <c r="F33" i="29"/>
  <c r="G33" i="29"/>
  <c r="H33" i="29"/>
  <c r="I33" i="29"/>
  <c r="J33" i="29"/>
  <c r="L33" i="29"/>
  <c r="M33" i="29"/>
  <c r="N33" i="29"/>
  <c r="O33" i="29"/>
  <c r="P33" i="29"/>
  <c r="Q33" i="29"/>
  <c r="R33" i="29"/>
  <c r="S33" i="29"/>
  <c r="A34" i="29"/>
  <c r="B34" i="29"/>
  <c r="C34" i="29"/>
  <c r="D34" i="29"/>
  <c r="E34" i="29"/>
  <c r="F34" i="29"/>
  <c r="G34" i="29"/>
  <c r="H34" i="29"/>
  <c r="I34" i="29"/>
  <c r="J34" i="29"/>
  <c r="L34" i="29"/>
  <c r="M34" i="29"/>
  <c r="N34" i="29"/>
  <c r="O34" i="29"/>
  <c r="P34" i="29"/>
  <c r="Q34" i="29"/>
  <c r="R34" i="29"/>
  <c r="S34" i="29"/>
  <c r="A35" i="29"/>
  <c r="B35" i="29"/>
  <c r="C35" i="29"/>
  <c r="D35" i="29"/>
  <c r="E35" i="29"/>
  <c r="F35" i="29"/>
  <c r="G35" i="29"/>
  <c r="H35" i="29"/>
  <c r="I35" i="29"/>
  <c r="J35" i="29"/>
  <c r="L35" i="29"/>
  <c r="M35" i="29"/>
  <c r="N35" i="29"/>
  <c r="O35" i="29"/>
  <c r="P35" i="29"/>
  <c r="Q35" i="29"/>
  <c r="R35" i="29"/>
  <c r="S35" i="29"/>
  <c r="A36" i="29"/>
  <c r="B36" i="29"/>
  <c r="C36" i="29"/>
  <c r="D36" i="29"/>
  <c r="E36" i="29"/>
  <c r="F36" i="29"/>
  <c r="G36" i="29"/>
  <c r="H36" i="29"/>
  <c r="I36" i="29"/>
  <c r="J36" i="29"/>
  <c r="L36" i="29"/>
  <c r="M36" i="29"/>
  <c r="N36" i="29"/>
  <c r="O36" i="29"/>
  <c r="P36" i="29"/>
  <c r="Q36" i="29"/>
  <c r="R36" i="29"/>
  <c r="S36" i="29"/>
  <c r="A37" i="29"/>
  <c r="B37" i="29"/>
  <c r="C37" i="29"/>
  <c r="D37" i="29"/>
  <c r="E37" i="29"/>
  <c r="F37" i="29"/>
  <c r="G37" i="29"/>
  <c r="H37" i="29"/>
  <c r="I37" i="29"/>
  <c r="J37" i="29"/>
  <c r="L37" i="29"/>
  <c r="M37" i="29"/>
  <c r="N37" i="29"/>
  <c r="O37" i="29"/>
  <c r="P37" i="29"/>
  <c r="Q37" i="29"/>
  <c r="R37" i="29"/>
  <c r="S37" i="29"/>
  <c r="A38" i="29"/>
  <c r="B38" i="29"/>
  <c r="C38" i="29"/>
  <c r="D38" i="29"/>
  <c r="E38" i="29"/>
  <c r="F38" i="29"/>
  <c r="G38" i="29"/>
  <c r="H38" i="29"/>
  <c r="I38" i="29"/>
  <c r="J38" i="29"/>
  <c r="L38" i="29"/>
  <c r="M38" i="29"/>
  <c r="N38" i="29"/>
  <c r="O38" i="29"/>
  <c r="P38" i="29"/>
  <c r="Q38" i="29"/>
  <c r="R38" i="29"/>
  <c r="S38" i="29"/>
  <c r="A39" i="29"/>
  <c r="B39" i="29"/>
  <c r="C39" i="29"/>
  <c r="D39" i="29"/>
  <c r="E39" i="29"/>
  <c r="F39" i="29"/>
  <c r="G39" i="29"/>
  <c r="H39" i="29"/>
  <c r="I39" i="29"/>
  <c r="J39" i="29"/>
  <c r="L39" i="29"/>
  <c r="M39" i="29"/>
  <c r="N39" i="29"/>
  <c r="O39" i="29"/>
  <c r="P39" i="29"/>
  <c r="Q39" i="29"/>
  <c r="R39" i="29"/>
  <c r="S39" i="29"/>
  <c r="A40" i="29"/>
  <c r="B40" i="29"/>
  <c r="C40" i="29"/>
  <c r="D40" i="29"/>
  <c r="E40" i="29"/>
  <c r="F40" i="29"/>
  <c r="G40" i="29"/>
  <c r="H40" i="29"/>
  <c r="I40" i="29"/>
  <c r="J40" i="29"/>
  <c r="L40" i="29"/>
  <c r="M40" i="29"/>
  <c r="N40" i="29"/>
  <c r="O40" i="29"/>
  <c r="P40" i="29"/>
  <c r="Q40" i="29"/>
  <c r="R40" i="29"/>
  <c r="S40" i="29"/>
  <c r="A41" i="29"/>
  <c r="B41" i="29"/>
  <c r="C41" i="29"/>
  <c r="D41" i="29"/>
  <c r="E41" i="29"/>
  <c r="F41" i="29"/>
  <c r="G41" i="29"/>
  <c r="H41" i="29"/>
  <c r="I41" i="29"/>
  <c r="J41" i="29"/>
  <c r="L41" i="29"/>
  <c r="M41" i="29"/>
  <c r="N41" i="29"/>
  <c r="O41" i="29"/>
  <c r="P41" i="29"/>
  <c r="Q41" i="29"/>
  <c r="R41" i="29"/>
  <c r="S41" i="29"/>
  <c r="A42" i="29"/>
  <c r="B42" i="29"/>
  <c r="C42" i="29"/>
  <c r="D42" i="29"/>
  <c r="E42" i="29"/>
  <c r="F42" i="29"/>
  <c r="G42" i="29"/>
  <c r="H42" i="29"/>
  <c r="I42" i="29"/>
  <c r="J42" i="29"/>
  <c r="L42" i="29"/>
  <c r="M42" i="29"/>
  <c r="N42" i="29"/>
  <c r="O42" i="29"/>
  <c r="P42" i="29"/>
  <c r="Q42" i="29"/>
  <c r="R42" i="29"/>
  <c r="S42" i="29"/>
  <c r="A43" i="29"/>
  <c r="B43" i="29"/>
  <c r="C43" i="29"/>
  <c r="D43" i="29"/>
  <c r="E43" i="29"/>
  <c r="F43" i="29"/>
  <c r="G43" i="29"/>
  <c r="H43" i="29"/>
  <c r="I43" i="29"/>
  <c r="J43" i="29"/>
  <c r="L43" i="29"/>
  <c r="M43" i="29"/>
  <c r="N43" i="29"/>
  <c r="O43" i="29"/>
  <c r="P43" i="29"/>
  <c r="Q43" i="29"/>
  <c r="R43" i="29"/>
  <c r="S43" i="29"/>
  <c r="A44" i="29"/>
  <c r="B44" i="29"/>
  <c r="C44" i="29"/>
  <c r="D44" i="29"/>
  <c r="E44" i="29"/>
  <c r="F44" i="29"/>
  <c r="G44" i="29"/>
  <c r="H44" i="29"/>
  <c r="I44" i="29"/>
  <c r="J44" i="29"/>
  <c r="L44" i="29"/>
  <c r="M44" i="29"/>
  <c r="N44" i="29"/>
  <c r="O44" i="29"/>
  <c r="P44" i="29"/>
  <c r="Q44" i="29"/>
  <c r="R44" i="29"/>
  <c r="S44" i="29"/>
  <c r="A45" i="29"/>
  <c r="B45" i="29"/>
  <c r="C45" i="29"/>
  <c r="D45" i="29"/>
  <c r="E45" i="29"/>
  <c r="F45" i="29"/>
  <c r="G45" i="29"/>
  <c r="H45" i="29"/>
  <c r="I45" i="29"/>
  <c r="J45" i="29"/>
  <c r="L45" i="29"/>
  <c r="M45" i="29"/>
  <c r="N45" i="29"/>
  <c r="O45" i="29"/>
  <c r="P45" i="29"/>
  <c r="Q45" i="29"/>
  <c r="R45" i="29"/>
  <c r="S45" i="29"/>
  <c r="A46" i="29"/>
  <c r="B46" i="29"/>
  <c r="C46" i="29"/>
  <c r="D46" i="29"/>
  <c r="E46" i="29"/>
  <c r="F46" i="29"/>
  <c r="G46" i="29"/>
  <c r="H46" i="29"/>
  <c r="I46" i="29"/>
  <c r="J46" i="29"/>
  <c r="L46" i="29"/>
  <c r="M46" i="29"/>
  <c r="N46" i="29"/>
  <c r="O46" i="29"/>
  <c r="P46" i="29"/>
  <c r="Q46" i="29"/>
  <c r="R46" i="29"/>
  <c r="S46" i="29"/>
  <c r="A47" i="29"/>
  <c r="B47" i="29"/>
  <c r="C47" i="29"/>
  <c r="D47" i="29"/>
  <c r="E47" i="29"/>
  <c r="F47" i="29"/>
  <c r="G47" i="29"/>
  <c r="H47" i="29"/>
  <c r="I47" i="29"/>
  <c r="J47" i="29"/>
  <c r="L47" i="29"/>
  <c r="M47" i="29"/>
  <c r="N47" i="29"/>
  <c r="O47" i="29"/>
  <c r="P47" i="29"/>
  <c r="Q47" i="29"/>
  <c r="R47" i="29"/>
  <c r="S47" i="29"/>
  <c r="A48" i="29"/>
  <c r="B48" i="29"/>
  <c r="C48" i="29"/>
  <c r="D48" i="29"/>
  <c r="E48" i="29"/>
  <c r="F48" i="29"/>
  <c r="G48" i="29"/>
  <c r="H48" i="29"/>
  <c r="I48" i="29"/>
  <c r="J48" i="29"/>
  <c r="L48" i="29"/>
  <c r="M48" i="29"/>
  <c r="N48" i="29"/>
  <c r="O48" i="29"/>
  <c r="P48" i="29"/>
  <c r="Q48" i="29"/>
  <c r="R48" i="29"/>
  <c r="S48" i="29"/>
  <c r="A49" i="29"/>
  <c r="B49" i="29"/>
  <c r="C49" i="29"/>
  <c r="D49" i="29"/>
  <c r="E49" i="29"/>
  <c r="F49" i="29"/>
  <c r="G49" i="29"/>
  <c r="H49" i="29"/>
  <c r="I49" i="29"/>
  <c r="J49" i="29"/>
  <c r="L49" i="29"/>
  <c r="M49" i="29"/>
  <c r="N49" i="29"/>
  <c r="O49" i="29"/>
  <c r="P49" i="29"/>
  <c r="Q49" i="29"/>
  <c r="R49" i="29"/>
  <c r="S49" i="29"/>
  <c r="A50" i="29"/>
  <c r="B50" i="29"/>
  <c r="C50" i="29"/>
  <c r="D50" i="29"/>
  <c r="E50" i="29"/>
  <c r="F50" i="29"/>
  <c r="G50" i="29"/>
  <c r="H50" i="29"/>
  <c r="I50" i="29"/>
  <c r="J50" i="29"/>
  <c r="L50" i="29"/>
  <c r="M50" i="29"/>
  <c r="N50" i="29"/>
  <c r="O50" i="29"/>
  <c r="P50" i="29"/>
  <c r="Q50" i="29"/>
  <c r="R50" i="29"/>
  <c r="S50" i="29"/>
  <c r="A51" i="29"/>
  <c r="B51" i="29"/>
  <c r="C51" i="29"/>
  <c r="D51" i="29"/>
  <c r="E51" i="29"/>
  <c r="F51" i="29"/>
  <c r="G51" i="29"/>
  <c r="H51" i="29"/>
  <c r="I51" i="29"/>
  <c r="J51" i="29"/>
  <c r="L51" i="29"/>
  <c r="M51" i="29"/>
  <c r="N51" i="29"/>
  <c r="O51" i="29"/>
  <c r="P51" i="29"/>
  <c r="Q51" i="29"/>
  <c r="R51" i="29"/>
  <c r="S51" i="29"/>
  <c r="A52" i="29"/>
  <c r="B52" i="29"/>
  <c r="C52" i="29"/>
  <c r="D52" i="29"/>
  <c r="E52" i="29"/>
  <c r="F52" i="29"/>
  <c r="G52" i="29"/>
  <c r="H52" i="29"/>
  <c r="I52" i="29"/>
  <c r="J52" i="29"/>
  <c r="L52" i="29"/>
  <c r="M52" i="29"/>
  <c r="N52" i="29"/>
  <c r="O52" i="29"/>
  <c r="P52" i="29"/>
  <c r="Q52" i="29"/>
  <c r="R52" i="29"/>
  <c r="S52" i="29"/>
  <c r="A53" i="29"/>
  <c r="B53" i="29"/>
  <c r="C53" i="29"/>
  <c r="D53" i="29"/>
  <c r="E53" i="29"/>
  <c r="F53" i="29"/>
  <c r="G53" i="29"/>
  <c r="H53" i="29"/>
  <c r="I53" i="29"/>
  <c r="J53" i="29"/>
  <c r="L53" i="29"/>
  <c r="M53" i="29"/>
  <c r="N53" i="29"/>
  <c r="O53" i="29"/>
  <c r="P53" i="29"/>
  <c r="Q53" i="29"/>
  <c r="R53" i="29"/>
  <c r="S53" i="29"/>
  <c r="A54" i="29"/>
  <c r="B54" i="29"/>
  <c r="C54" i="29"/>
  <c r="D54" i="29"/>
  <c r="E54" i="29"/>
  <c r="F54" i="29"/>
  <c r="G54" i="29"/>
  <c r="H54" i="29"/>
  <c r="I54" i="29"/>
  <c r="J54" i="29"/>
  <c r="L54" i="29"/>
  <c r="M54" i="29"/>
  <c r="N54" i="29"/>
  <c r="O54" i="29"/>
  <c r="P54" i="29"/>
  <c r="Q54" i="29"/>
  <c r="R54" i="29"/>
  <c r="S54" i="29"/>
  <c r="A55" i="29"/>
  <c r="B55" i="29"/>
  <c r="C55" i="29"/>
  <c r="D55" i="29"/>
  <c r="E55" i="29"/>
  <c r="F55" i="29"/>
  <c r="G55" i="29"/>
  <c r="H55" i="29"/>
  <c r="I55" i="29"/>
  <c r="J55" i="29"/>
  <c r="L55" i="29"/>
  <c r="M55" i="29"/>
  <c r="N55" i="29"/>
  <c r="O55" i="29"/>
  <c r="P55" i="29"/>
  <c r="Q55" i="29"/>
  <c r="R55" i="29"/>
  <c r="S55" i="29"/>
  <c r="A56" i="29"/>
  <c r="B56" i="29"/>
  <c r="C56" i="29"/>
  <c r="D56" i="29"/>
  <c r="E56" i="29"/>
  <c r="F56" i="29"/>
  <c r="G56" i="29"/>
  <c r="H56" i="29"/>
  <c r="I56" i="29"/>
  <c r="J56" i="29"/>
  <c r="L56" i="29"/>
  <c r="M56" i="29"/>
  <c r="N56" i="29"/>
  <c r="O56" i="29"/>
  <c r="P56" i="29"/>
  <c r="Q56" i="29"/>
  <c r="R56" i="29"/>
  <c r="S56" i="29"/>
  <c r="A57" i="29"/>
  <c r="B57" i="29"/>
  <c r="C57" i="29"/>
  <c r="D57" i="29"/>
  <c r="E57" i="29"/>
  <c r="F57" i="29"/>
  <c r="G57" i="29"/>
  <c r="H57" i="29"/>
  <c r="I57" i="29"/>
  <c r="J57" i="29"/>
  <c r="L57" i="29"/>
  <c r="M57" i="29"/>
  <c r="N57" i="29"/>
  <c r="O57" i="29"/>
  <c r="P57" i="29"/>
  <c r="Q57" i="29"/>
  <c r="R57" i="29"/>
  <c r="S57" i="29"/>
  <c r="A58" i="29"/>
  <c r="B58" i="29"/>
  <c r="C58" i="29"/>
  <c r="D58" i="29"/>
  <c r="E58" i="29"/>
  <c r="F58" i="29"/>
  <c r="G58" i="29"/>
  <c r="H58" i="29"/>
  <c r="I58" i="29"/>
  <c r="J58" i="29"/>
  <c r="L58" i="29"/>
  <c r="M58" i="29"/>
  <c r="N58" i="29"/>
  <c r="O58" i="29"/>
  <c r="P58" i="29"/>
  <c r="Q58" i="29"/>
  <c r="R58" i="29"/>
  <c r="S58" i="29"/>
  <c r="A59" i="29"/>
  <c r="B59" i="29"/>
  <c r="C59" i="29"/>
  <c r="D59" i="29"/>
  <c r="E59" i="29"/>
  <c r="F59" i="29"/>
  <c r="G59" i="29"/>
  <c r="H59" i="29"/>
  <c r="I59" i="29"/>
  <c r="J59" i="29"/>
  <c r="L59" i="29"/>
  <c r="M59" i="29"/>
  <c r="N59" i="29"/>
  <c r="O59" i="29"/>
  <c r="P59" i="29"/>
  <c r="Q59" i="29"/>
  <c r="R59" i="29"/>
  <c r="S59" i="29"/>
  <c r="A60" i="29"/>
  <c r="B60" i="29"/>
  <c r="C60" i="29"/>
  <c r="D60" i="29"/>
  <c r="E60" i="29"/>
  <c r="F60" i="29"/>
  <c r="G60" i="29"/>
  <c r="H60" i="29"/>
  <c r="I60" i="29"/>
  <c r="J60" i="29"/>
  <c r="L60" i="29"/>
  <c r="M60" i="29"/>
  <c r="N60" i="29"/>
  <c r="O60" i="29"/>
  <c r="P60" i="29"/>
  <c r="Q60" i="29"/>
  <c r="R60" i="29"/>
  <c r="S60" i="29"/>
  <c r="A61" i="29"/>
  <c r="B61" i="29"/>
  <c r="C61" i="29"/>
  <c r="D61" i="29"/>
  <c r="E61" i="29"/>
  <c r="F61" i="29"/>
  <c r="G61" i="29"/>
  <c r="H61" i="29"/>
  <c r="I61" i="29"/>
  <c r="J61" i="29"/>
  <c r="L61" i="29"/>
  <c r="M61" i="29"/>
  <c r="N61" i="29"/>
  <c r="O61" i="29"/>
  <c r="P61" i="29"/>
  <c r="Q61" i="29"/>
  <c r="R61" i="29"/>
  <c r="S61" i="29"/>
  <c r="A62" i="29"/>
  <c r="B62" i="29"/>
  <c r="C62" i="29"/>
  <c r="D62" i="29"/>
  <c r="E62" i="29"/>
  <c r="F62" i="29"/>
  <c r="G62" i="29"/>
  <c r="H62" i="29"/>
  <c r="I62" i="29"/>
  <c r="J62" i="29"/>
  <c r="L62" i="29"/>
  <c r="M62" i="29"/>
  <c r="N62" i="29"/>
  <c r="O62" i="29"/>
  <c r="P62" i="29"/>
  <c r="Q62" i="29"/>
  <c r="R62" i="29"/>
  <c r="S62" i="29"/>
  <c r="A63" i="29"/>
  <c r="B63" i="29"/>
  <c r="C63" i="29"/>
  <c r="D63" i="29"/>
  <c r="E63" i="29"/>
  <c r="F63" i="29"/>
  <c r="G63" i="29"/>
  <c r="H63" i="29"/>
  <c r="I63" i="29"/>
  <c r="J63" i="29"/>
  <c r="L63" i="29"/>
  <c r="M63" i="29"/>
  <c r="N63" i="29"/>
  <c r="O63" i="29"/>
  <c r="P63" i="29"/>
  <c r="Q63" i="29"/>
  <c r="R63" i="29"/>
  <c r="S63" i="29"/>
  <c r="A64" i="29"/>
  <c r="B64" i="29"/>
  <c r="C64" i="29"/>
  <c r="D64" i="29"/>
  <c r="E64" i="29"/>
  <c r="F64" i="29"/>
  <c r="G64" i="29"/>
  <c r="H64" i="29"/>
  <c r="I64" i="29"/>
  <c r="J64" i="29"/>
  <c r="L64" i="29"/>
  <c r="M64" i="29"/>
  <c r="N64" i="29"/>
  <c r="O64" i="29"/>
  <c r="P64" i="29"/>
  <c r="Q64" i="29"/>
  <c r="R64" i="29"/>
  <c r="S64" i="29"/>
  <c r="A65" i="29"/>
  <c r="B65" i="29"/>
  <c r="C65" i="29"/>
  <c r="D65" i="29"/>
  <c r="E65" i="29"/>
  <c r="F65" i="29"/>
  <c r="G65" i="29"/>
  <c r="H65" i="29"/>
  <c r="I65" i="29"/>
  <c r="J65" i="29"/>
  <c r="L65" i="29"/>
  <c r="M65" i="29"/>
  <c r="N65" i="29"/>
  <c r="O65" i="29"/>
  <c r="P65" i="29"/>
  <c r="Q65" i="29"/>
  <c r="R65" i="29"/>
  <c r="S65" i="29"/>
  <c r="A66" i="29"/>
  <c r="B66" i="29"/>
  <c r="C66" i="29"/>
  <c r="D66" i="29"/>
  <c r="E66" i="29"/>
  <c r="F66" i="29"/>
  <c r="G66" i="29"/>
  <c r="H66" i="29"/>
  <c r="I66" i="29"/>
  <c r="J66" i="29"/>
  <c r="L66" i="29"/>
  <c r="M66" i="29"/>
  <c r="N66" i="29"/>
  <c r="O66" i="29"/>
  <c r="P66" i="29"/>
  <c r="Q66" i="29"/>
  <c r="R66" i="29"/>
  <c r="S66" i="29"/>
  <c r="A67" i="29"/>
  <c r="B67" i="29"/>
  <c r="C67" i="29"/>
  <c r="D67" i="29"/>
  <c r="E67" i="29"/>
  <c r="F67" i="29"/>
  <c r="G67" i="29"/>
  <c r="H67" i="29"/>
  <c r="I67" i="29"/>
  <c r="J67" i="29"/>
  <c r="L67" i="29"/>
  <c r="M67" i="29"/>
  <c r="N67" i="29"/>
  <c r="O67" i="29"/>
  <c r="P67" i="29"/>
  <c r="Q67" i="29"/>
  <c r="R67" i="29"/>
  <c r="S67" i="29"/>
  <c r="A68" i="29"/>
  <c r="B68" i="29"/>
  <c r="C68" i="29"/>
  <c r="D68" i="29"/>
  <c r="E68" i="29"/>
  <c r="F68" i="29"/>
  <c r="G68" i="29"/>
  <c r="H68" i="29"/>
  <c r="I68" i="29"/>
  <c r="J68" i="29"/>
  <c r="L68" i="29"/>
  <c r="M68" i="29"/>
  <c r="N68" i="29"/>
  <c r="O68" i="29"/>
  <c r="P68" i="29"/>
  <c r="Q68" i="29"/>
  <c r="R68" i="29"/>
  <c r="S68" i="29"/>
  <c r="A69" i="29"/>
  <c r="B69" i="29"/>
  <c r="C69" i="29"/>
  <c r="D69" i="29"/>
  <c r="E69" i="29"/>
  <c r="F69" i="29"/>
  <c r="G69" i="29"/>
  <c r="H69" i="29"/>
  <c r="I69" i="29"/>
  <c r="J69" i="29"/>
  <c r="L69" i="29"/>
  <c r="M69" i="29"/>
  <c r="N69" i="29"/>
  <c r="O69" i="29"/>
  <c r="P69" i="29"/>
  <c r="Q69" i="29"/>
  <c r="R69" i="29"/>
  <c r="S69" i="29"/>
  <c r="A70" i="29"/>
  <c r="B70" i="29"/>
  <c r="C70" i="29"/>
  <c r="D70" i="29"/>
  <c r="E70" i="29"/>
  <c r="F70" i="29"/>
  <c r="G70" i="29"/>
  <c r="H70" i="29"/>
  <c r="I70" i="29"/>
  <c r="J70" i="29"/>
  <c r="L70" i="29"/>
  <c r="M70" i="29"/>
  <c r="N70" i="29"/>
  <c r="O70" i="29"/>
  <c r="P70" i="29"/>
  <c r="Q70" i="29"/>
  <c r="R70" i="29"/>
  <c r="S70" i="29"/>
  <c r="A71" i="29"/>
  <c r="B71" i="29"/>
  <c r="C71" i="29"/>
  <c r="D71" i="29"/>
  <c r="E71" i="29"/>
  <c r="F71" i="29"/>
  <c r="G71" i="29"/>
  <c r="H71" i="29"/>
  <c r="I71" i="29"/>
  <c r="J71" i="29"/>
  <c r="L71" i="29"/>
  <c r="M71" i="29"/>
  <c r="N71" i="29"/>
  <c r="O71" i="29"/>
  <c r="P71" i="29"/>
  <c r="Q71" i="29"/>
  <c r="R71" i="29"/>
  <c r="S71" i="29"/>
  <c r="A72" i="29"/>
  <c r="B72" i="29"/>
  <c r="C72" i="29"/>
  <c r="D72" i="29"/>
  <c r="E72" i="29"/>
  <c r="F72" i="29"/>
  <c r="G72" i="29"/>
  <c r="H72" i="29"/>
  <c r="I72" i="29"/>
  <c r="J72" i="29"/>
  <c r="L72" i="29"/>
  <c r="M72" i="29"/>
  <c r="N72" i="29"/>
  <c r="O72" i="29"/>
  <c r="P72" i="29"/>
  <c r="Q72" i="29"/>
  <c r="R72" i="29"/>
  <c r="S72" i="29"/>
  <c r="A73" i="29"/>
  <c r="B73" i="29"/>
  <c r="C73" i="29"/>
  <c r="D73" i="29"/>
  <c r="E73" i="29"/>
  <c r="F73" i="29"/>
  <c r="G73" i="29"/>
  <c r="H73" i="29"/>
  <c r="I73" i="29"/>
  <c r="J73" i="29"/>
  <c r="L73" i="29"/>
  <c r="M73" i="29"/>
  <c r="N73" i="29"/>
  <c r="O73" i="29"/>
  <c r="P73" i="29"/>
  <c r="Q73" i="29"/>
  <c r="R73" i="29"/>
  <c r="S73" i="29"/>
  <c r="A74" i="29"/>
  <c r="B74" i="29"/>
  <c r="C74" i="29"/>
  <c r="D74" i="29"/>
  <c r="E74" i="29"/>
  <c r="F74" i="29"/>
  <c r="G74" i="29"/>
  <c r="H74" i="29"/>
  <c r="I74" i="29"/>
  <c r="J74" i="29"/>
  <c r="L74" i="29"/>
  <c r="M74" i="29"/>
  <c r="N74" i="29"/>
  <c r="O74" i="29"/>
  <c r="P74" i="29"/>
  <c r="Q74" i="29"/>
  <c r="R74" i="29"/>
  <c r="S74" i="29"/>
  <c r="A75" i="29"/>
  <c r="B75" i="29"/>
  <c r="C75" i="29"/>
  <c r="D75" i="29"/>
  <c r="E75" i="29"/>
  <c r="F75" i="29"/>
  <c r="G75" i="29"/>
  <c r="H75" i="29"/>
  <c r="I75" i="29"/>
  <c r="J75" i="29"/>
  <c r="L75" i="29"/>
  <c r="M75" i="29"/>
  <c r="N75" i="29"/>
  <c r="O75" i="29"/>
  <c r="P75" i="29"/>
  <c r="Q75" i="29"/>
  <c r="R75" i="29"/>
  <c r="S75" i="29"/>
  <c r="A76" i="29"/>
  <c r="B76" i="29"/>
  <c r="C76" i="29"/>
  <c r="D76" i="29"/>
  <c r="E76" i="29"/>
  <c r="F76" i="29"/>
  <c r="G76" i="29"/>
  <c r="H76" i="29"/>
  <c r="I76" i="29"/>
  <c r="J76" i="29"/>
  <c r="L76" i="29"/>
  <c r="M76" i="29"/>
  <c r="N76" i="29"/>
  <c r="O76" i="29"/>
  <c r="P76" i="29"/>
  <c r="Q76" i="29"/>
  <c r="R76" i="29"/>
  <c r="S76" i="29"/>
  <c r="A77" i="29"/>
  <c r="B77" i="29"/>
  <c r="C77" i="29"/>
  <c r="D77" i="29"/>
  <c r="E77" i="29"/>
  <c r="F77" i="29"/>
  <c r="G77" i="29"/>
  <c r="H77" i="29"/>
  <c r="I77" i="29"/>
  <c r="J77" i="29"/>
  <c r="L77" i="29"/>
  <c r="M77" i="29"/>
  <c r="N77" i="29"/>
  <c r="O77" i="29"/>
  <c r="P77" i="29"/>
  <c r="Q77" i="29"/>
  <c r="R77" i="29"/>
  <c r="S77" i="29"/>
  <c r="A78" i="29"/>
  <c r="B78" i="29"/>
  <c r="C78" i="29"/>
  <c r="D78" i="29"/>
  <c r="E78" i="29"/>
  <c r="F78" i="29"/>
  <c r="G78" i="29"/>
  <c r="H78" i="29"/>
  <c r="I78" i="29"/>
  <c r="J78" i="29"/>
  <c r="L78" i="29"/>
  <c r="M78" i="29"/>
  <c r="N78" i="29"/>
  <c r="O78" i="29"/>
  <c r="P78" i="29"/>
  <c r="Q78" i="29"/>
  <c r="R78" i="29"/>
  <c r="S78" i="29"/>
  <c r="A79" i="29"/>
  <c r="B79" i="29"/>
  <c r="C79" i="29"/>
  <c r="D79" i="29"/>
  <c r="E79" i="29"/>
  <c r="F79" i="29"/>
  <c r="G79" i="29"/>
  <c r="H79" i="29"/>
  <c r="I79" i="29"/>
  <c r="J79" i="29"/>
  <c r="L79" i="29"/>
  <c r="M79" i="29"/>
  <c r="N79" i="29"/>
  <c r="O79" i="29"/>
  <c r="P79" i="29"/>
  <c r="Q79" i="29"/>
  <c r="R79" i="29"/>
  <c r="S79" i="29"/>
  <c r="A80" i="29"/>
  <c r="B80" i="29"/>
  <c r="C80" i="29"/>
  <c r="D80" i="29"/>
  <c r="E80" i="29"/>
  <c r="F80" i="29"/>
  <c r="G80" i="29"/>
  <c r="H80" i="29"/>
  <c r="I80" i="29"/>
  <c r="J80" i="29"/>
  <c r="L80" i="29"/>
  <c r="M80" i="29"/>
  <c r="N80" i="29"/>
  <c r="O80" i="29"/>
  <c r="P80" i="29"/>
  <c r="Q80" i="29"/>
  <c r="R80" i="29"/>
  <c r="S80" i="29"/>
  <c r="A81" i="29"/>
  <c r="B81" i="29"/>
  <c r="C81" i="29"/>
  <c r="D81" i="29"/>
  <c r="E81" i="29"/>
  <c r="F81" i="29"/>
  <c r="G81" i="29"/>
  <c r="H81" i="29"/>
  <c r="I81" i="29"/>
  <c r="J81" i="29"/>
  <c r="L81" i="29"/>
  <c r="M81" i="29"/>
  <c r="N81" i="29"/>
  <c r="O81" i="29"/>
  <c r="P81" i="29"/>
  <c r="Q81" i="29"/>
  <c r="R81" i="29"/>
  <c r="S81" i="29"/>
  <c r="A82" i="29"/>
  <c r="B82" i="29"/>
  <c r="C82" i="29"/>
  <c r="D82" i="29"/>
  <c r="E82" i="29"/>
  <c r="F82" i="29"/>
  <c r="G82" i="29"/>
  <c r="H82" i="29"/>
  <c r="I82" i="29"/>
  <c r="J82" i="29"/>
  <c r="L82" i="29"/>
  <c r="M82" i="29"/>
  <c r="N82" i="29"/>
  <c r="O82" i="29"/>
  <c r="P82" i="29"/>
  <c r="Q82" i="29"/>
  <c r="R82" i="29"/>
  <c r="S82" i="29"/>
  <c r="A83" i="29"/>
  <c r="B83" i="29"/>
  <c r="C83" i="29"/>
  <c r="D83" i="29"/>
  <c r="E83" i="29"/>
  <c r="F83" i="29"/>
  <c r="G83" i="29"/>
  <c r="H83" i="29"/>
  <c r="I83" i="29"/>
  <c r="J83" i="29"/>
  <c r="L83" i="29"/>
  <c r="M83" i="29"/>
  <c r="N83" i="29"/>
  <c r="O83" i="29"/>
  <c r="P83" i="29"/>
  <c r="Q83" i="29"/>
  <c r="R83" i="29"/>
  <c r="S83" i="29"/>
  <c r="A84" i="29"/>
  <c r="B84" i="29"/>
  <c r="C84" i="29"/>
  <c r="D84" i="29"/>
  <c r="E84" i="29"/>
  <c r="F84" i="29"/>
  <c r="G84" i="29"/>
  <c r="H84" i="29"/>
  <c r="I84" i="29"/>
  <c r="J84" i="29"/>
  <c r="L84" i="29"/>
  <c r="M84" i="29"/>
  <c r="N84" i="29"/>
  <c r="O84" i="29"/>
  <c r="P84" i="29"/>
  <c r="Q84" i="29"/>
  <c r="R84" i="29"/>
  <c r="S84" i="29"/>
  <c r="A85" i="29"/>
  <c r="B85" i="29"/>
  <c r="C85" i="29"/>
  <c r="D85" i="29"/>
  <c r="E85" i="29"/>
  <c r="F85" i="29"/>
  <c r="G85" i="29"/>
  <c r="H85" i="29"/>
  <c r="I85" i="29"/>
  <c r="J85" i="29"/>
  <c r="L85" i="29"/>
  <c r="M85" i="29"/>
  <c r="N85" i="29"/>
  <c r="O85" i="29"/>
  <c r="P85" i="29"/>
  <c r="Q85" i="29"/>
  <c r="R85" i="29"/>
  <c r="S85" i="29"/>
  <c r="A86" i="29"/>
  <c r="B86" i="29"/>
  <c r="C86" i="29"/>
  <c r="D86" i="29"/>
  <c r="E86" i="29"/>
  <c r="F86" i="29"/>
  <c r="G86" i="29"/>
  <c r="H86" i="29"/>
  <c r="I86" i="29"/>
  <c r="J86" i="29"/>
  <c r="L86" i="29"/>
  <c r="M86" i="29"/>
  <c r="N86" i="29"/>
  <c r="O86" i="29"/>
  <c r="P86" i="29"/>
  <c r="Q86" i="29"/>
  <c r="R86" i="29"/>
  <c r="S86" i="29"/>
  <c r="A87" i="29"/>
  <c r="B87" i="29"/>
  <c r="C87" i="29"/>
  <c r="D87" i="29"/>
  <c r="E87" i="29"/>
  <c r="F87" i="29"/>
  <c r="G87" i="29"/>
  <c r="H87" i="29"/>
  <c r="I87" i="29"/>
  <c r="J87" i="29"/>
  <c r="L87" i="29"/>
  <c r="M87" i="29"/>
  <c r="N87" i="29"/>
  <c r="O87" i="29"/>
  <c r="P87" i="29"/>
  <c r="Q87" i="29"/>
  <c r="R87" i="29"/>
  <c r="S87" i="29"/>
  <c r="A88" i="29"/>
  <c r="B88" i="29"/>
  <c r="C88" i="29"/>
  <c r="D88" i="29"/>
  <c r="E88" i="29"/>
  <c r="F88" i="29"/>
  <c r="G88" i="29"/>
  <c r="H88" i="29"/>
  <c r="I88" i="29"/>
  <c r="J88" i="29"/>
  <c r="L88" i="29"/>
  <c r="M88" i="29"/>
  <c r="N88" i="29"/>
  <c r="O88" i="29"/>
  <c r="P88" i="29"/>
  <c r="Q88" i="29"/>
  <c r="R88" i="29"/>
  <c r="S88" i="29"/>
  <c r="A89" i="29"/>
  <c r="B89" i="29"/>
  <c r="C89" i="29"/>
  <c r="D89" i="29"/>
  <c r="E89" i="29"/>
  <c r="F89" i="29"/>
  <c r="G89" i="29"/>
  <c r="H89" i="29"/>
  <c r="I89" i="29"/>
  <c r="J89" i="29"/>
  <c r="L89" i="29"/>
  <c r="M89" i="29"/>
  <c r="N89" i="29"/>
  <c r="O89" i="29"/>
  <c r="P89" i="29"/>
  <c r="Q89" i="29"/>
  <c r="R89" i="29"/>
  <c r="S89" i="29"/>
  <c r="A90" i="29"/>
  <c r="B90" i="29"/>
  <c r="C90" i="29"/>
  <c r="D90" i="29"/>
  <c r="E90" i="29"/>
  <c r="F90" i="29"/>
  <c r="G90" i="29"/>
  <c r="H90" i="29"/>
  <c r="I90" i="29"/>
  <c r="J90" i="29"/>
  <c r="L90" i="29"/>
  <c r="M90" i="29"/>
  <c r="N90" i="29"/>
  <c r="O90" i="29"/>
  <c r="P90" i="29"/>
  <c r="Q90" i="29"/>
  <c r="R90" i="29"/>
  <c r="S90" i="29"/>
  <c r="A91" i="29"/>
  <c r="B91" i="29"/>
  <c r="C91" i="29"/>
  <c r="D91" i="29"/>
  <c r="E91" i="29"/>
  <c r="F91" i="29"/>
  <c r="G91" i="29"/>
  <c r="H91" i="29"/>
  <c r="I91" i="29"/>
  <c r="J91" i="29"/>
  <c r="L91" i="29"/>
  <c r="M91" i="29"/>
  <c r="N91" i="29"/>
  <c r="O91" i="29"/>
  <c r="P91" i="29"/>
  <c r="Q91" i="29"/>
  <c r="R91" i="29"/>
  <c r="S91" i="29"/>
  <c r="A92" i="29"/>
  <c r="B92" i="29"/>
  <c r="C92" i="29"/>
  <c r="D92" i="29"/>
  <c r="E92" i="29"/>
  <c r="F92" i="29"/>
  <c r="G92" i="29"/>
  <c r="H92" i="29"/>
  <c r="I92" i="29"/>
  <c r="J92" i="29"/>
  <c r="L92" i="29"/>
  <c r="M92" i="29"/>
  <c r="N92" i="29"/>
  <c r="O92" i="29"/>
  <c r="P92" i="29"/>
  <c r="Q92" i="29"/>
  <c r="R92" i="29"/>
  <c r="S92" i="29"/>
  <c r="A93" i="29"/>
  <c r="B93" i="29"/>
  <c r="C93" i="29"/>
  <c r="D93" i="29"/>
  <c r="E93" i="29"/>
  <c r="F93" i="29"/>
  <c r="G93" i="29"/>
  <c r="H93" i="29"/>
  <c r="I93" i="29"/>
  <c r="J93" i="29"/>
  <c r="L93" i="29"/>
  <c r="M93" i="29"/>
  <c r="N93" i="29"/>
  <c r="O93" i="29"/>
  <c r="P93" i="29"/>
  <c r="Q93" i="29"/>
  <c r="R93" i="29"/>
  <c r="S93" i="29"/>
  <c r="A94" i="29"/>
  <c r="B94" i="29"/>
  <c r="C94" i="29"/>
  <c r="D94" i="29"/>
  <c r="E94" i="29"/>
  <c r="F94" i="29"/>
  <c r="G94" i="29"/>
  <c r="H94" i="29"/>
  <c r="I94" i="29"/>
  <c r="J94" i="29"/>
  <c r="L94" i="29"/>
  <c r="M94" i="29"/>
  <c r="N94" i="29"/>
  <c r="O94" i="29"/>
  <c r="P94" i="29"/>
  <c r="Q94" i="29"/>
  <c r="R94" i="29"/>
  <c r="S94" i="29"/>
  <c r="A95" i="29"/>
  <c r="B95" i="29"/>
  <c r="C95" i="29"/>
  <c r="D95" i="29"/>
  <c r="E95" i="29"/>
  <c r="F95" i="29"/>
  <c r="G95" i="29"/>
  <c r="H95" i="29"/>
  <c r="I95" i="29"/>
  <c r="J95" i="29"/>
  <c r="L95" i="29"/>
  <c r="M95" i="29"/>
  <c r="N95" i="29"/>
  <c r="O95" i="29"/>
  <c r="P95" i="29"/>
  <c r="Q95" i="29"/>
  <c r="R95" i="29"/>
  <c r="S95" i="29"/>
  <c r="A96" i="29"/>
  <c r="B96" i="29"/>
  <c r="C96" i="29"/>
  <c r="D96" i="29"/>
  <c r="E96" i="29"/>
  <c r="F96" i="29"/>
  <c r="G96" i="29"/>
  <c r="H96" i="29"/>
  <c r="I96" i="29"/>
  <c r="J96" i="29"/>
  <c r="L96" i="29"/>
  <c r="M96" i="29"/>
  <c r="N96" i="29"/>
  <c r="O96" i="29"/>
  <c r="P96" i="29"/>
  <c r="Q96" i="29"/>
  <c r="R96" i="29"/>
  <c r="S96" i="29"/>
  <c r="A97" i="29"/>
  <c r="B97" i="29"/>
  <c r="C97" i="29"/>
  <c r="D97" i="29"/>
  <c r="E97" i="29"/>
  <c r="F97" i="29"/>
  <c r="G97" i="29"/>
  <c r="H97" i="29"/>
  <c r="I97" i="29"/>
  <c r="J97" i="29"/>
  <c r="L97" i="29"/>
  <c r="M97" i="29"/>
  <c r="N97" i="29"/>
  <c r="O97" i="29"/>
  <c r="P97" i="29"/>
  <c r="Q97" i="29"/>
  <c r="R97" i="29"/>
  <c r="S97" i="29"/>
  <c r="A98" i="29"/>
  <c r="B98" i="29"/>
  <c r="C98" i="29"/>
  <c r="D98" i="29"/>
  <c r="E98" i="29"/>
  <c r="F98" i="29"/>
  <c r="G98" i="29"/>
  <c r="H98" i="29"/>
  <c r="I98" i="29"/>
  <c r="J98" i="29"/>
  <c r="L98" i="29"/>
  <c r="M98" i="29"/>
  <c r="N98" i="29"/>
  <c r="O98" i="29"/>
  <c r="P98" i="29"/>
  <c r="Q98" i="29"/>
  <c r="R98" i="29"/>
  <c r="S98" i="29"/>
  <c r="A99" i="29"/>
  <c r="B99" i="29"/>
  <c r="C99" i="29"/>
  <c r="D99" i="29"/>
  <c r="E99" i="29"/>
  <c r="F99" i="29"/>
  <c r="G99" i="29"/>
  <c r="H99" i="29"/>
  <c r="I99" i="29"/>
  <c r="J99" i="29"/>
  <c r="L99" i="29"/>
  <c r="M99" i="29"/>
  <c r="N99" i="29"/>
  <c r="O99" i="29"/>
  <c r="P99" i="29"/>
  <c r="Q99" i="29"/>
  <c r="R99" i="29"/>
  <c r="S99" i="29"/>
  <c r="A100" i="29"/>
  <c r="B100" i="29"/>
  <c r="C100" i="29"/>
  <c r="D100" i="29"/>
  <c r="E100" i="29"/>
  <c r="F100" i="29"/>
  <c r="G100" i="29"/>
  <c r="H100" i="29"/>
  <c r="I100" i="29"/>
  <c r="J100" i="29"/>
  <c r="L100" i="29"/>
  <c r="M100" i="29"/>
  <c r="N100" i="29"/>
  <c r="O100" i="29"/>
  <c r="P100" i="29"/>
  <c r="Q100" i="29"/>
  <c r="R100" i="29"/>
  <c r="S100" i="29"/>
  <c r="A101" i="29"/>
  <c r="B101" i="29"/>
  <c r="C101" i="29"/>
  <c r="D101" i="29"/>
  <c r="E101" i="29"/>
  <c r="F101" i="29"/>
  <c r="G101" i="29"/>
  <c r="H101" i="29"/>
  <c r="I101" i="29"/>
  <c r="J101" i="29"/>
  <c r="L101" i="29"/>
  <c r="M101" i="29"/>
  <c r="N101" i="29"/>
  <c r="O101" i="29"/>
  <c r="P101" i="29"/>
  <c r="Q101" i="29"/>
  <c r="R101" i="29"/>
  <c r="S101" i="29"/>
  <c r="A102" i="29"/>
  <c r="B102" i="29"/>
  <c r="C102" i="29"/>
  <c r="D102" i="29"/>
  <c r="E102" i="29"/>
  <c r="F102" i="29"/>
  <c r="G102" i="29"/>
  <c r="H102" i="29"/>
  <c r="I102" i="29"/>
  <c r="J102" i="29"/>
  <c r="L102" i="29"/>
  <c r="M102" i="29"/>
  <c r="N102" i="29"/>
  <c r="O102" i="29"/>
  <c r="P102" i="29"/>
  <c r="Q102" i="29"/>
  <c r="R102" i="29"/>
  <c r="S102" i="29"/>
  <c r="A103" i="29"/>
  <c r="B103" i="29"/>
  <c r="C103" i="29"/>
  <c r="D103" i="29"/>
  <c r="E103" i="29"/>
  <c r="F103" i="29"/>
  <c r="G103" i="29"/>
  <c r="H103" i="29"/>
  <c r="I103" i="29"/>
  <c r="J103" i="29"/>
  <c r="L103" i="29"/>
  <c r="M103" i="29"/>
  <c r="N103" i="29"/>
  <c r="O103" i="29"/>
  <c r="P103" i="29"/>
  <c r="Q103" i="29"/>
  <c r="R103" i="29"/>
  <c r="S103" i="29"/>
  <c r="A104" i="29"/>
  <c r="B104" i="29"/>
  <c r="C104" i="29"/>
  <c r="D104" i="29"/>
  <c r="E104" i="29"/>
  <c r="F104" i="29"/>
  <c r="G104" i="29"/>
  <c r="H104" i="29"/>
  <c r="I104" i="29"/>
  <c r="J104" i="29"/>
  <c r="L104" i="29"/>
  <c r="M104" i="29"/>
  <c r="N104" i="29"/>
  <c r="O104" i="29"/>
  <c r="P104" i="29"/>
  <c r="Q104" i="29"/>
  <c r="R104" i="29"/>
  <c r="S104" i="29"/>
  <c r="A105" i="29"/>
  <c r="B105" i="29"/>
  <c r="C105" i="29"/>
  <c r="D105" i="29"/>
  <c r="E105" i="29"/>
  <c r="F105" i="29"/>
  <c r="G105" i="29"/>
  <c r="H105" i="29"/>
  <c r="I105" i="29"/>
  <c r="J105" i="29"/>
  <c r="L105" i="29"/>
  <c r="M105" i="29"/>
  <c r="N105" i="29"/>
  <c r="O105" i="29"/>
  <c r="P105" i="29"/>
  <c r="Q105" i="29"/>
  <c r="R105" i="29"/>
  <c r="S105" i="29"/>
  <c r="A106" i="29"/>
  <c r="B106" i="29"/>
  <c r="C106" i="29"/>
  <c r="D106" i="29"/>
  <c r="E106" i="29"/>
  <c r="F106" i="29"/>
  <c r="G106" i="29"/>
  <c r="H106" i="29"/>
  <c r="I106" i="29"/>
  <c r="J106" i="29"/>
  <c r="L106" i="29"/>
  <c r="M106" i="29"/>
  <c r="N106" i="29"/>
  <c r="O106" i="29"/>
  <c r="P106" i="29"/>
  <c r="Q106" i="29"/>
  <c r="R106" i="29"/>
  <c r="S106" i="29"/>
  <c r="A107" i="29"/>
  <c r="B107" i="29"/>
  <c r="C107" i="29"/>
  <c r="D107" i="29"/>
  <c r="E107" i="29"/>
  <c r="F107" i="29"/>
  <c r="G107" i="29"/>
  <c r="H107" i="29"/>
  <c r="I107" i="29"/>
  <c r="J107" i="29"/>
  <c r="L107" i="29"/>
  <c r="M107" i="29"/>
  <c r="N107" i="29"/>
  <c r="O107" i="29"/>
  <c r="P107" i="29"/>
  <c r="Q107" i="29"/>
  <c r="R107" i="29"/>
  <c r="S107" i="29"/>
  <c r="A108" i="29"/>
  <c r="B108" i="29"/>
  <c r="C108" i="29"/>
  <c r="D108" i="29"/>
  <c r="E108" i="29"/>
  <c r="F108" i="29"/>
  <c r="G108" i="29"/>
  <c r="H108" i="29"/>
  <c r="I108" i="29"/>
  <c r="J108" i="29"/>
  <c r="L108" i="29"/>
  <c r="M108" i="29"/>
  <c r="N108" i="29"/>
  <c r="O108" i="29"/>
  <c r="P108" i="29"/>
  <c r="Q108" i="29"/>
  <c r="R108" i="29"/>
  <c r="S108" i="29"/>
  <c r="A109" i="29"/>
  <c r="B109" i="29"/>
  <c r="C109" i="29"/>
  <c r="D109" i="29"/>
  <c r="E109" i="29"/>
  <c r="F109" i="29"/>
  <c r="G109" i="29"/>
  <c r="H109" i="29"/>
  <c r="I109" i="29"/>
  <c r="J109" i="29"/>
  <c r="L109" i="29"/>
  <c r="M109" i="29"/>
  <c r="N109" i="29"/>
  <c r="O109" i="29"/>
  <c r="P109" i="29"/>
  <c r="Q109" i="29"/>
  <c r="R109" i="29"/>
  <c r="S109" i="29"/>
  <c r="A110" i="29"/>
  <c r="B110" i="29"/>
  <c r="C110" i="29"/>
  <c r="D110" i="29"/>
  <c r="E110" i="29"/>
  <c r="F110" i="29"/>
  <c r="G110" i="29"/>
  <c r="H110" i="29"/>
  <c r="I110" i="29"/>
  <c r="J110" i="29"/>
  <c r="L110" i="29"/>
  <c r="M110" i="29"/>
  <c r="N110" i="29"/>
  <c r="O110" i="29"/>
  <c r="P110" i="29"/>
  <c r="Q110" i="29"/>
  <c r="R110" i="29"/>
  <c r="S110" i="29"/>
  <c r="A111" i="29"/>
  <c r="B111" i="29"/>
  <c r="C111" i="29"/>
  <c r="D111" i="29"/>
  <c r="E111" i="29"/>
  <c r="F111" i="29"/>
  <c r="G111" i="29"/>
  <c r="H111" i="29"/>
  <c r="I111" i="29"/>
  <c r="J111" i="29"/>
  <c r="L111" i="29"/>
  <c r="M111" i="29"/>
  <c r="N111" i="29"/>
  <c r="O111" i="29"/>
  <c r="P111" i="29"/>
  <c r="Q111" i="29"/>
  <c r="R111" i="29"/>
  <c r="S111" i="29"/>
  <c r="A112" i="29"/>
  <c r="B112" i="29"/>
  <c r="C112" i="29"/>
  <c r="D112" i="29"/>
  <c r="E112" i="29"/>
  <c r="F112" i="29"/>
  <c r="G112" i="29"/>
  <c r="H112" i="29"/>
  <c r="I112" i="29"/>
  <c r="J112" i="29"/>
  <c r="L112" i="29"/>
  <c r="M112" i="29"/>
  <c r="N112" i="29"/>
  <c r="O112" i="29"/>
  <c r="P112" i="29"/>
  <c r="Q112" i="29"/>
  <c r="R112" i="29"/>
  <c r="S112" i="29"/>
  <c r="A113" i="29"/>
  <c r="B113" i="29"/>
  <c r="C113" i="29"/>
  <c r="D113" i="29"/>
  <c r="E113" i="29"/>
  <c r="F113" i="29"/>
  <c r="G113" i="29"/>
  <c r="H113" i="29"/>
  <c r="I113" i="29"/>
  <c r="J113" i="29"/>
  <c r="L113" i="29"/>
  <c r="M113" i="29"/>
  <c r="N113" i="29"/>
  <c r="O113" i="29"/>
  <c r="P113" i="29"/>
  <c r="Q113" i="29"/>
  <c r="R113" i="29"/>
  <c r="S113" i="29"/>
  <c r="A114" i="29"/>
  <c r="B114" i="29"/>
  <c r="C114" i="29"/>
  <c r="D114" i="29"/>
  <c r="E114" i="29"/>
  <c r="F114" i="29"/>
  <c r="G114" i="29"/>
  <c r="H114" i="29"/>
  <c r="I114" i="29"/>
  <c r="J114" i="29"/>
  <c r="L114" i="29"/>
  <c r="M114" i="29"/>
  <c r="N114" i="29"/>
  <c r="O114" i="29"/>
  <c r="P114" i="29"/>
  <c r="Q114" i="29"/>
  <c r="R114" i="29"/>
  <c r="S114" i="29"/>
  <c r="A115" i="29"/>
  <c r="B115" i="29"/>
  <c r="C115" i="29"/>
  <c r="D115" i="29"/>
  <c r="E115" i="29"/>
  <c r="F115" i="29"/>
  <c r="G115" i="29"/>
  <c r="H115" i="29"/>
  <c r="I115" i="29"/>
  <c r="J115" i="29"/>
  <c r="L115" i="29"/>
  <c r="M115" i="29"/>
  <c r="N115" i="29"/>
  <c r="O115" i="29"/>
  <c r="P115" i="29"/>
  <c r="Q115" i="29"/>
  <c r="R115" i="29"/>
  <c r="S115" i="29"/>
  <c r="A116" i="29"/>
  <c r="B116" i="29"/>
  <c r="C116" i="29"/>
  <c r="D116" i="29"/>
  <c r="E116" i="29"/>
  <c r="F116" i="29"/>
  <c r="G116" i="29"/>
  <c r="H116" i="29"/>
  <c r="I116" i="29"/>
  <c r="J116" i="29"/>
  <c r="L116" i="29"/>
  <c r="M116" i="29"/>
  <c r="N116" i="29"/>
  <c r="O116" i="29"/>
  <c r="P116" i="29"/>
  <c r="Q116" i="29"/>
  <c r="R116" i="29"/>
  <c r="S116" i="29"/>
  <c r="A117" i="29"/>
  <c r="B117" i="29"/>
  <c r="C117" i="29"/>
  <c r="D117" i="29"/>
  <c r="E117" i="29"/>
  <c r="F117" i="29"/>
  <c r="G117" i="29"/>
  <c r="H117" i="29"/>
  <c r="I117" i="29"/>
  <c r="J117" i="29"/>
  <c r="L117" i="29"/>
  <c r="M117" i="29"/>
  <c r="N117" i="29"/>
  <c r="O117" i="29"/>
  <c r="P117" i="29"/>
  <c r="Q117" i="29"/>
  <c r="R117" i="29"/>
  <c r="S117" i="29"/>
  <c r="A118" i="29"/>
  <c r="B118" i="29"/>
  <c r="C118" i="29"/>
  <c r="D118" i="29"/>
  <c r="E118" i="29"/>
  <c r="F118" i="29"/>
  <c r="G118" i="29"/>
  <c r="H118" i="29"/>
  <c r="I118" i="29"/>
  <c r="J118" i="29"/>
  <c r="L118" i="29"/>
  <c r="M118" i="29"/>
  <c r="N118" i="29"/>
  <c r="O118" i="29"/>
  <c r="P118" i="29"/>
  <c r="Q118" i="29"/>
  <c r="R118" i="29"/>
  <c r="S118" i="29"/>
  <c r="A119" i="29"/>
  <c r="B119" i="29"/>
  <c r="C119" i="29"/>
  <c r="D119" i="29"/>
  <c r="E119" i="29"/>
  <c r="F119" i="29"/>
  <c r="G119" i="29"/>
  <c r="H119" i="29"/>
  <c r="I119" i="29"/>
  <c r="J119" i="29"/>
  <c r="L119" i="29"/>
  <c r="M119" i="29"/>
  <c r="N119" i="29"/>
  <c r="O119" i="29"/>
  <c r="P119" i="29"/>
  <c r="Q119" i="29"/>
  <c r="R119" i="29"/>
  <c r="S119" i="29"/>
  <c r="A120" i="29"/>
  <c r="B120" i="29"/>
  <c r="C120" i="29"/>
  <c r="D120" i="29"/>
  <c r="E120" i="29"/>
  <c r="F120" i="29"/>
  <c r="G120" i="29"/>
  <c r="H120" i="29"/>
  <c r="I120" i="29"/>
  <c r="J120" i="29"/>
  <c r="L120" i="29"/>
  <c r="M120" i="29"/>
  <c r="N120" i="29"/>
  <c r="O120" i="29"/>
  <c r="P120" i="29"/>
  <c r="Q120" i="29"/>
  <c r="R120" i="29"/>
  <c r="S120" i="29"/>
  <c r="A121" i="29"/>
  <c r="B121" i="29"/>
  <c r="C121" i="29"/>
  <c r="D121" i="29"/>
  <c r="E121" i="29"/>
  <c r="F121" i="29"/>
  <c r="G121" i="29"/>
  <c r="H121" i="29"/>
  <c r="I121" i="29"/>
  <c r="J121" i="29"/>
  <c r="L121" i="29"/>
  <c r="M121" i="29"/>
  <c r="N121" i="29"/>
  <c r="O121" i="29"/>
  <c r="P121" i="29"/>
  <c r="Q121" i="29"/>
  <c r="R121" i="29"/>
  <c r="S121" i="29"/>
  <c r="A122" i="29"/>
  <c r="B122" i="29"/>
  <c r="C122" i="29"/>
  <c r="D122" i="29"/>
  <c r="E122" i="29"/>
  <c r="F122" i="29"/>
  <c r="G122" i="29"/>
  <c r="H122" i="29"/>
  <c r="I122" i="29"/>
  <c r="J122" i="29"/>
  <c r="L122" i="29"/>
  <c r="M122" i="29"/>
  <c r="N122" i="29"/>
  <c r="O122" i="29"/>
  <c r="P122" i="29"/>
  <c r="Q122" i="29"/>
  <c r="R122" i="29"/>
  <c r="S122" i="29"/>
  <c r="A123" i="29"/>
  <c r="B123" i="29"/>
  <c r="C123" i="29"/>
  <c r="D123" i="29"/>
  <c r="E123" i="29"/>
  <c r="F123" i="29"/>
  <c r="G123" i="29"/>
  <c r="H123" i="29"/>
  <c r="I123" i="29"/>
  <c r="J123" i="29"/>
  <c r="L123" i="29"/>
  <c r="M123" i="29"/>
  <c r="N123" i="29"/>
  <c r="O123" i="29"/>
  <c r="P123" i="29"/>
  <c r="Q123" i="29"/>
  <c r="R123" i="29"/>
  <c r="S123" i="29"/>
  <c r="A124" i="29"/>
  <c r="B124" i="29"/>
  <c r="C124" i="29"/>
  <c r="D124" i="29"/>
  <c r="E124" i="29"/>
  <c r="F124" i="29"/>
  <c r="G124" i="29"/>
  <c r="H124" i="29"/>
  <c r="I124" i="29"/>
  <c r="J124" i="29"/>
  <c r="L124" i="29"/>
  <c r="M124" i="29"/>
  <c r="N124" i="29"/>
  <c r="O124" i="29"/>
  <c r="P124" i="29"/>
  <c r="Q124" i="29"/>
  <c r="R124" i="29"/>
  <c r="S124" i="29"/>
  <c r="A125" i="29"/>
  <c r="B125" i="29"/>
  <c r="C125" i="29"/>
  <c r="D125" i="29"/>
  <c r="E125" i="29"/>
  <c r="F125" i="29"/>
  <c r="G125" i="29"/>
  <c r="H125" i="29"/>
  <c r="I125" i="29"/>
  <c r="J125" i="29"/>
  <c r="L125" i="29"/>
  <c r="M125" i="29"/>
  <c r="N125" i="29"/>
  <c r="O125" i="29"/>
  <c r="P125" i="29"/>
  <c r="Q125" i="29"/>
  <c r="R125" i="29"/>
  <c r="S125" i="29"/>
  <c r="A126" i="29"/>
  <c r="B126" i="29"/>
  <c r="C126" i="29"/>
  <c r="D126" i="29"/>
  <c r="E126" i="29"/>
  <c r="F126" i="29"/>
  <c r="G126" i="29"/>
  <c r="H126" i="29"/>
  <c r="I126" i="29"/>
  <c r="J126" i="29"/>
  <c r="L126" i="29"/>
  <c r="M126" i="29"/>
  <c r="N126" i="29"/>
  <c r="O126" i="29"/>
  <c r="P126" i="29"/>
  <c r="Q126" i="29"/>
  <c r="R126" i="29"/>
  <c r="S126" i="29"/>
  <c r="A127" i="29"/>
  <c r="B127" i="29"/>
  <c r="C127" i="29"/>
  <c r="D127" i="29"/>
  <c r="E127" i="29"/>
  <c r="F127" i="29"/>
  <c r="G127" i="29"/>
  <c r="H127" i="29"/>
  <c r="I127" i="29"/>
  <c r="J127" i="29"/>
  <c r="L127" i="29"/>
  <c r="M127" i="29"/>
  <c r="N127" i="29"/>
  <c r="O127" i="29"/>
  <c r="P127" i="29"/>
  <c r="Q127" i="29"/>
  <c r="R127" i="29"/>
  <c r="S127" i="29"/>
  <c r="A128" i="29"/>
  <c r="B128" i="29"/>
  <c r="C128" i="29"/>
  <c r="D128" i="29"/>
  <c r="E128" i="29"/>
  <c r="F128" i="29"/>
  <c r="G128" i="29"/>
  <c r="H128" i="29"/>
  <c r="I128" i="29"/>
  <c r="J128" i="29"/>
  <c r="L128" i="29"/>
  <c r="M128" i="29"/>
  <c r="N128" i="29"/>
  <c r="O128" i="29"/>
  <c r="P128" i="29"/>
  <c r="Q128" i="29"/>
  <c r="R128" i="29"/>
  <c r="S128" i="29"/>
  <c r="A129" i="29"/>
  <c r="B129" i="29"/>
  <c r="C129" i="29"/>
  <c r="D129" i="29"/>
  <c r="E129" i="29"/>
  <c r="F129" i="29"/>
  <c r="G129" i="29"/>
  <c r="H129" i="29"/>
  <c r="I129" i="29"/>
  <c r="J129" i="29"/>
  <c r="L129" i="29"/>
  <c r="M129" i="29"/>
  <c r="N129" i="29"/>
  <c r="O129" i="29"/>
  <c r="P129" i="29"/>
  <c r="Q129" i="29"/>
  <c r="R129" i="29"/>
  <c r="S129" i="29"/>
  <c r="A130" i="29"/>
  <c r="B130" i="29"/>
  <c r="C130" i="29"/>
  <c r="D130" i="29"/>
  <c r="E130" i="29"/>
  <c r="F130" i="29"/>
  <c r="G130" i="29"/>
  <c r="H130" i="29"/>
  <c r="I130" i="29"/>
  <c r="J130" i="29"/>
  <c r="L130" i="29"/>
  <c r="M130" i="29"/>
  <c r="N130" i="29"/>
  <c r="O130" i="29"/>
  <c r="P130" i="29"/>
  <c r="Q130" i="29"/>
  <c r="R130" i="29"/>
  <c r="S130" i="29"/>
  <c r="A131" i="29"/>
  <c r="B131" i="29"/>
  <c r="C131" i="29"/>
  <c r="D131" i="29"/>
  <c r="E131" i="29"/>
  <c r="F131" i="29"/>
  <c r="G131" i="29"/>
  <c r="H131" i="29"/>
  <c r="I131" i="29"/>
  <c r="J131" i="29"/>
  <c r="L131" i="29"/>
  <c r="M131" i="29"/>
  <c r="N131" i="29"/>
  <c r="O131" i="29"/>
  <c r="P131" i="29"/>
  <c r="Q131" i="29"/>
  <c r="R131" i="29"/>
  <c r="S131" i="29"/>
  <c r="A132" i="29"/>
  <c r="B132" i="29"/>
  <c r="C132" i="29"/>
  <c r="D132" i="29"/>
  <c r="E132" i="29"/>
  <c r="F132" i="29"/>
  <c r="G132" i="29"/>
  <c r="H132" i="29"/>
  <c r="I132" i="29"/>
  <c r="J132" i="29"/>
  <c r="L132" i="29"/>
  <c r="M132" i="29"/>
  <c r="N132" i="29"/>
  <c r="O132" i="29"/>
  <c r="P132" i="29"/>
  <c r="Q132" i="29"/>
  <c r="R132" i="29"/>
  <c r="S132" i="29"/>
  <c r="A133" i="29"/>
  <c r="B133" i="29"/>
  <c r="C133" i="29"/>
  <c r="D133" i="29"/>
  <c r="E133" i="29"/>
  <c r="F133" i="29"/>
  <c r="G133" i="29"/>
  <c r="H133" i="29"/>
  <c r="I133" i="29"/>
  <c r="J133" i="29"/>
  <c r="L133" i="29"/>
  <c r="M133" i="29"/>
  <c r="N133" i="29"/>
  <c r="O133" i="29"/>
  <c r="P133" i="29"/>
  <c r="Q133" i="29"/>
  <c r="R133" i="29"/>
  <c r="S133" i="29"/>
  <c r="A134" i="29"/>
  <c r="B134" i="29"/>
  <c r="C134" i="29"/>
  <c r="D134" i="29"/>
  <c r="E134" i="29"/>
  <c r="F134" i="29"/>
  <c r="G134" i="29"/>
  <c r="H134" i="29"/>
  <c r="I134" i="29"/>
  <c r="J134" i="29"/>
  <c r="L134" i="29"/>
  <c r="M134" i="29"/>
  <c r="N134" i="29"/>
  <c r="O134" i="29"/>
  <c r="P134" i="29"/>
  <c r="Q134" i="29"/>
  <c r="R134" i="29"/>
  <c r="S134" i="29"/>
  <c r="A135" i="29"/>
  <c r="B135" i="29"/>
  <c r="C135" i="29"/>
  <c r="D135" i="29"/>
  <c r="E135" i="29"/>
  <c r="F135" i="29"/>
  <c r="G135" i="29"/>
  <c r="H135" i="29"/>
  <c r="I135" i="29"/>
  <c r="J135" i="29"/>
  <c r="L135" i="29"/>
  <c r="M135" i="29"/>
  <c r="N135" i="29"/>
  <c r="O135" i="29"/>
  <c r="P135" i="29"/>
  <c r="Q135" i="29"/>
  <c r="R135" i="29"/>
  <c r="S135" i="29"/>
  <c r="A136" i="29"/>
  <c r="B136" i="29"/>
  <c r="C136" i="29"/>
  <c r="D136" i="29"/>
  <c r="E136" i="29"/>
  <c r="F136" i="29"/>
  <c r="G136" i="29"/>
  <c r="H136" i="29"/>
  <c r="I136" i="29"/>
  <c r="J136" i="29"/>
  <c r="L136" i="29"/>
  <c r="M136" i="29"/>
  <c r="N136" i="29"/>
  <c r="O136" i="29"/>
  <c r="P136" i="29"/>
  <c r="Q136" i="29"/>
  <c r="R136" i="29"/>
  <c r="S136" i="29"/>
  <c r="A137" i="29"/>
  <c r="B137" i="29"/>
  <c r="C137" i="29"/>
  <c r="D137" i="29"/>
  <c r="E137" i="29"/>
  <c r="F137" i="29"/>
  <c r="G137" i="29"/>
  <c r="H137" i="29"/>
  <c r="I137" i="29"/>
  <c r="J137" i="29"/>
  <c r="L137" i="29"/>
  <c r="M137" i="29"/>
  <c r="N137" i="29"/>
  <c r="O137" i="29"/>
  <c r="P137" i="29"/>
  <c r="Q137" i="29"/>
  <c r="R137" i="29"/>
  <c r="S137" i="29"/>
  <c r="A138" i="29"/>
  <c r="B138" i="29"/>
  <c r="C138" i="29"/>
  <c r="D138" i="29"/>
  <c r="E138" i="29"/>
  <c r="F138" i="29"/>
  <c r="G138" i="29"/>
  <c r="H138" i="29"/>
  <c r="I138" i="29"/>
  <c r="J138" i="29"/>
  <c r="L138" i="29"/>
  <c r="M138" i="29"/>
  <c r="N138" i="29"/>
  <c r="O138" i="29"/>
  <c r="P138" i="29"/>
  <c r="Q138" i="29"/>
  <c r="R138" i="29"/>
  <c r="S138" i="29"/>
  <c r="A139" i="29"/>
  <c r="B139" i="29"/>
  <c r="C139" i="29"/>
  <c r="D139" i="29"/>
  <c r="E139" i="29"/>
  <c r="F139" i="29"/>
  <c r="G139" i="29"/>
  <c r="H139" i="29"/>
  <c r="I139" i="29"/>
  <c r="J139" i="29"/>
  <c r="L139" i="29"/>
  <c r="M139" i="29"/>
  <c r="N139" i="29"/>
  <c r="O139" i="29"/>
  <c r="P139" i="29"/>
  <c r="Q139" i="29"/>
  <c r="R139" i="29"/>
  <c r="S139" i="29"/>
  <c r="A140" i="29"/>
  <c r="B140" i="29"/>
  <c r="C140" i="29"/>
  <c r="D140" i="29"/>
  <c r="E140" i="29"/>
  <c r="F140" i="29"/>
  <c r="G140" i="29"/>
  <c r="H140" i="29"/>
  <c r="I140" i="29"/>
  <c r="J140" i="29"/>
  <c r="L140" i="29"/>
  <c r="M140" i="29"/>
  <c r="N140" i="29"/>
  <c r="O140" i="29"/>
  <c r="P140" i="29"/>
  <c r="Q140" i="29"/>
  <c r="R140" i="29"/>
  <c r="S140" i="29"/>
  <c r="A141" i="29"/>
  <c r="B141" i="29"/>
  <c r="C141" i="29"/>
  <c r="D141" i="29"/>
  <c r="E141" i="29"/>
  <c r="F141" i="29"/>
  <c r="G141" i="29"/>
  <c r="H141" i="29"/>
  <c r="I141" i="29"/>
  <c r="J141" i="29"/>
  <c r="L141" i="29"/>
  <c r="M141" i="29"/>
  <c r="N141" i="29"/>
  <c r="O141" i="29"/>
  <c r="P141" i="29"/>
  <c r="Q141" i="29"/>
  <c r="R141" i="29"/>
  <c r="S141" i="29"/>
  <c r="A142" i="29"/>
  <c r="B142" i="29"/>
  <c r="C142" i="29"/>
  <c r="D142" i="29"/>
  <c r="E142" i="29"/>
  <c r="F142" i="29"/>
  <c r="G142" i="29"/>
  <c r="H142" i="29"/>
  <c r="I142" i="29"/>
  <c r="J142" i="29"/>
  <c r="L142" i="29"/>
  <c r="M142" i="29"/>
  <c r="N142" i="29"/>
  <c r="O142" i="29"/>
  <c r="P142" i="29"/>
  <c r="Q142" i="29"/>
  <c r="R142" i="29"/>
  <c r="S142" i="29"/>
  <c r="A143" i="29"/>
  <c r="B143" i="29"/>
  <c r="C143" i="29"/>
  <c r="D143" i="29"/>
  <c r="E143" i="29"/>
  <c r="F143" i="29"/>
  <c r="G143" i="29"/>
  <c r="H143" i="29"/>
  <c r="I143" i="29"/>
  <c r="J143" i="29"/>
  <c r="L143" i="29"/>
  <c r="M143" i="29"/>
  <c r="N143" i="29"/>
  <c r="O143" i="29"/>
  <c r="P143" i="29"/>
  <c r="Q143" i="29"/>
  <c r="R143" i="29"/>
  <c r="S143" i="29"/>
  <c r="A144" i="29"/>
  <c r="B144" i="29"/>
  <c r="C144" i="29"/>
  <c r="D144" i="29"/>
  <c r="E144" i="29"/>
  <c r="F144" i="29"/>
  <c r="G144" i="29"/>
  <c r="H144" i="29"/>
  <c r="I144" i="29"/>
  <c r="J144" i="29"/>
  <c r="L144" i="29"/>
  <c r="M144" i="29"/>
  <c r="N144" i="29"/>
  <c r="O144" i="29"/>
  <c r="P144" i="29"/>
  <c r="Q144" i="29"/>
  <c r="R144" i="29"/>
  <c r="S144" i="29"/>
  <c r="A145" i="29"/>
  <c r="B145" i="29"/>
  <c r="C145" i="29"/>
  <c r="D145" i="29"/>
  <c r="E145" i="29"/>
  <c r="F145" i="29"/>
  <c r="G145" i="29"/>
  <c r="H145" i="29"/>
  <c r="I145" i="29"/>
  <c r="J145" i="29"/>
  <c r="L145" i="29"/>
  <c r="M145" i="29"/>
  <c r="N145" i="29"/>
  <c r="O145" i="29"/>
  <c r="P145" i="29"/>
  <c r="Q145" i="29"/>
  <c r="R145" i="29"/>
  <c r="S145" i="29"/>
  <c r="A146" i="29"/>
  <c r="B146" i="29"/>
  <c r="C146" i="29"/>
  <c r="D146" i="29"/>
  <c r="E146" i="29"/>
  <c r="F146" i="29"/>
  <c r="G146" i="29"/>
  <c r="H146" i="29"/>
  <c r="I146" i="29"/>
  <c r="J146" i="29"/>
  <c r="L146" i="29"/>
  <c r="M146" i="29"/>
  <c r="N146" i="29"/>
  <c r="O146" i="29"/>
  <c r="P146" i="29"/>
  <c r="Q146" i="29"/>
  <c r="R146" i="29"/>
  <c r="S146" i="29"/>
  <c r="A147" i="29"/>
  <c r="B147" i="29"/>
  <c r="C147" i="29"/>
  <c r="D147" i="29"/>
  <c r="E147" i="29"/>
  <c r="F147" i="29"/>
  <c r="G147" i="29"/>
  <c r="H147" i="29"/>
  <c r="I147" i="29"/>
  <c r="J147" i="29"/>
  <c r="L147" i="29"/>
  <c r="M147" i="29"/>
  <c r="N147" i="29"/>
  <c r="O147" i="29"/>
  <c r="P147" i="29"/>
  <c r="Q147" i="29"/>
  <c r="R147" i="29"/>
  <c r="S147" i="29"/>
  <c r="A148" i="29"/>
  <c r="B148" i="29"/>
  <c r="C148" i="29"/>
  <c r="D148" i="29"/>
  <c r="E148" i="29"/>
  <c r="F148" i="29"/>
  <c r="G148" i="29"/>
  <c r="H148" i="29"/>
  <c r="I148" i="29"/>
  <c r="J148" i="29"/>
  <c r="L148" i="29"/>
  <c r="M148" i="29"/>
  <c r="N148" i="29"/>
  <c r="O148" i="29"/>
  <c r="P148" i="29"/>
  <c r="Q148" i="29"/>
  <c r="R148" i="29"/>
  <c r="S148" i="29"/>
  <c r="A149" i="29"/>
  <c r="B149" i="29"/>
  <c r="C149" i="29"/>
  <c r="D149" i="29"/>
  <c r="E149" i="29"/>
  <c r="F149" i="29"/>
  <c r="G149" i="29"/>
  <c r="H149" i="29"/>
  <c r="I149" i="29"/>
  <c r="J149" i="29"/>
  <c r="L149" i="29"/>
  <c r="M149" i="29"/>
  <c r="N149" i="29"/>
  <c r="O149" i="29"/>
  <c r="P149" i="29"/>
  <c r="Q149" i="29"/>
  <c r="R149" i="29"/>
  <c r="S149" i="29"/>
  <c r="A150" i="29"/>
  <c r="B150" i="29"/>
  <c r="C150" i="29"/>
  <c r="D150" i="29"/>
  <c r="E150" i="29"/>
  <c r="F150" i="29"/>
  <c r="G150" i="29"/>
  <c r="H150" i="29"/>
  <c r="I150" i="29"/>
  <c r="J150" i="29"/>
  <c r="L150" i="29"/>
  <c r="M150" i="29"/>
  <c r="N150" i="29"/>
  <c r="O150" i="29"/>
  <c r="P150" i="29"/>
  <c r="Q150" i="29"/>
  <c r="R150" i="29"/>
  <c r="S150" i="29"/>
  <c r="A151" i="29"/>
  <c r="B151" i="29"/>
  <c r="C151" i="29"/>
  <c r="D151" i="29"/>
  <c r="E151" i="29"/>
  <c r="F151" i="29"/>
  <c r="G151" i="29"/>
  <c r="H151" i="29"/>
  <c r="I151" i="29"/>
  <c r="J151" i="29"/>
  <c r="L151" i="29"/>
  <c r="M151" i="29"/>
  <c r="N151" i="29"/>
  <c r="O151" i="29"/>
  <c r="P151" i="29"/>
  <c r="Q151" i="29"/>
  <c r="R151" i="29"/>
  <c r="S151" i="29"/>
  <c r="A152" i="29"/>
  <c r="B152" i="29"/>
  <c r="C152" i="29"/>
  <c r="D152" i="29"/>
  <c r="E152" i="29"/>
  <c r="F152" i="29"/>
  <c r="G152" i="29"/>
  <c r="H152" i="29"/>
  <c r="I152" i="29"/>
  <c r="J152" i="29"/>
  <c r="L152" i="29"/>
  <c r="M152" i="29"/>
  <c r="N152" i="29"/>
  <c r="O152" i="29"/>
  <c r="P152" i="29"/>
  <c r="Q152" i="29"/>
  <c r="R152" i="29"/>
  <c r="S152" i="29"/>
  <c r="A153" i="29"/>
  <c r="B153" i="29"/>
  <c r="C153" i="29"/>
  <c r="D153" i="29"/>
  <c r="E153" i="29"/>
  <c r="F153" i="29"/>
  <c r="G153" i="29"/>
  <c r="H153" i="29"/>
  <c r="I153" i="29"/>
  <c r="J153" i="29"/>
  <c r="L153" i="29"/>
  <c r="M153" i="29"/>
  <c r="N153" i="29"/>
  <c r="O153" i="29"/>
  <c r="P153" i="29"/>
  <c r="Q153" i="29"/>
  <c r="R153" i="29"/>
  <c r="S153" i="29"/>
  <c r="A154" i="29"/>
  <c r="B154" i="29"/>
  <c r="C154" i="29"/>
  <c r="D154" i="29"/>
  <c r="E154" i="29"/>
  <c r="F154" i="29"/>
  <c r="G154" i="29"/>
  <c r="H154" i="29"/>
  <c r="I154" i="29"/>
  <c r="J154" i="29"/>
  <c r="L154" i="29"/>
  <c r="M154" i="29"/>
  <c r="N154" i="29"/>
  <c r="O154" i="29"/>
  <c r="P154" i="29"/>
  <c r="Q154" i="29"/>
  <c r="R154" i="29"/>
  <c r="S154" i="29"/>
  <c r="A155" i="29"/>
  <c r="B155" i="29"/>
  <c r="C155" i="29"/>
  <c r="D155" i="29"/>
  <c r="E155" i="29"/>
  <c r="F155" i="29"/>
  <c r="G155" i="29"/>
  <c r="H155" i="29"/>
  <c r="I155" i="29"/>
  <c r="J155" i="29"/>
  <c r="L155" i="29"/>
  <c r="M155" i="29"/>
  <c r="N155" i="29"/>
  <c r="O155" i="29"/>
  <c r="P155" i="29"/>
  <c r="Q155" i="29"/>
  <c r="R155" i="29"/>
  <c r="S155" i="29"/>
  <c r="A156" i="29"/>
  <c r="B156" i="29"/>
  <c r="C156" i="29"/>
  <c r="D156" i="29"/>
  <c r="E156" i="29"/>
  <c r="F156" i="29"/>
  <c r="G156" i="29"/>
  <c r="H156" i="29"/>
  <c r="I156" i="29"/>
  <c r="J156" i="29"/>
  <c r="L156" i="29"/>
  <c r="M156" i="29"/>
  <c r="N156" i="29"/>
  <c r="O156" i="29"/>
  <c r="P156" i="29"/>
  <c r="Q156" i="29"/>
  <c r="R156" i="29"/>
  <c r="S156" i="29"/>
  <c r="A157" i="29"/>
  <c r="B157" i="29"/>
  <c r="C157" i="29"/>
  <c r="D157" i="29"/>
  <c r="E157" i="29"/>
  <c r="F157" i="29"/>
  <c r="G157" i="29"/>
  <c r="H157" i="29"/>
  <c r="I157" i="29"/>
  <c r="J157" i="29"/>
  <c r="L157" i="29"/>
  <c r="M157" i="29"/>
  <c r="N157" i="29"/>
  <c r="O157" i="29"/>
  <c r="P157" i="29"/>
  <c r="Q157" i="29"/>
  <c r="R157" i="29"/>
  <c r="S157" i="29"/>
  <c r="A158" i="29"/>
  <c r="B158" i="29"/>
  <c r="C158" i="29"/>
  <c r="D158" i="29"/>
  <c r="E158" i="29"/>
  <c r="F158" i="29"/>
  <c r="G158" i="29"/>
  <c r="H158" i="29"/>
  <c r="I158" i="29"/>
  <c r="J158" i="29"/>
  <c r="L158" i="29"/>
  <c r="M158" i="29"/>
  <c r="N158" i="29"/>
  <c r="O158" i="29"/>
  <c r="P158" i="29"/>
  <c r="Q158" i="29"/>
  <c r="R158" i="29"/>
  <c r="S158" i="29"/>
  <c r="A159" i="29"/>
  <c r="B159" i="29"/>
  <c r="C159" i="29"/>
  <c r="D159" i="29"/>
  <c r="E159" i="29"/>
  <c r="F159" i="29"/>
  <c r="G159" i="29"/>
  <c r="H159" i="29"/>
  <c r="I159" i="29"/>
  <c r="J159" i="29"/>
  <c r="L159" i="29"/>
  <c r="M159" i="29"/>
  <c r="N159" i="29"/>
  <c r="O159" i="29"/>
  <c r="P159" i="29"/>
  <c r="Q159" i="29"/>
  <c r="R159" i="29"/>
  <c r="S159" i="29"/>
  <c r="A160" i="29"/>
  <c r="B160" i="29"/>
  <c r="C160" i="29"/>
  <c r="D160" i="29"/>
  <c r="E160" i="29"/>
  <c r="F160" i="29"/>
  <c r="G160" i="29"/>
  <c r="H160" i="29"/>
  <c r="I160" i="29"/>
  <c r="J160" i="29"/>
  <c r="L160" i="29"/>
  <c r="M160" i="29"/>
  <c r="N160" i="29"/>
  <c r="O160" i="29"/>
  <c r="P160" i="29"/>
  <c r="Q160" i="29"/>
  <c r="R160" i="29"/>
  <c r="S160" i="29"/>
  <c r="A161" i="29"/>
  <c r="B161" i="29"/>
  <c r="C161" i="29"/>
  <c r="D161" i="29"/>
  <c r="E161" i="29"/>
  <c r="F161" i="29"/>
  <c r="G161" i="29"/>
  <c r="H161" i="29"/>
  <c r="I161" i="29"/>
  <c r="J161" i="29"/>
  <c r="L161" i="29"/>
  <c r="M161" i="29"/>
  <c r="N161" i="29"/>
  <c r="O161" i="29"/>
  <c r="P161" i="29"/>
  <c r="Q161" i="29"/>
  <c r="R161" i="29"/>
  <c r="S161" i="29"/>
  <c r="A162" i="29"/>
  <c r="B162" i="29"/>
  <c r="C162" i="29"/>
  <c r="D162" i="29"/>
  <c r="E162" i="29"/>
  <c r="F162" i="29"/>
  <c r="G162" i="29"/>
  <c r="H162" i="29"/>
  <c r="I162" i="29"/>
  <c r="J162" i="29"/>
  <c r="L162" i="29"/>
  <c r="M162" i="29"/>
  <c r="N162" i="29"/>
  <c r="O162" i="29"/>
  <c r="P162" i="29"/>
  <c r="Q162" i="29"/>
  <c r="R162" i="29"/>
  <c r="S162" i="29"/>
  <c r="A163" i="29"/>
  <c r="B163" i="29"/>
  <c r="C163" i="29"/>
  <c r="D163" i="29"/>
  <c r="E163" i="29"/>
  <c r="F163" i="29"/>
  <c r="G163" i="29"/>
  <c r="H163" i="29"/>
  <c r="I163" i="29"/>
  <c r="J163" i="29"/>
  <c r="L163" i="29"/>
  <c r="M163" i="29"/>
  <c r="N163" i="29"/>
  <c r="O163" i="29"/>
  <c r="P163" i="29"/>
  <c r="Q163" i="29"/>
  <c r="R163" i="29"/>
  <c r="S163" i="29"/>
  <c r="A164" i="29"/>
  <c r="B164" i="29"/>
  <c r="C164" i="29"/>
  <c r="D164" i="29"/>
  <c r="E164" i="29"/>
  <c r="F164" i="29"/>
  <c r="G164" i="29"/>
  <c r="H164" i="29"/>
  <c r="I164" i="29"/>
  <c r="J164" i="29"/>
  <c r="L164" i="29"/>
  <c r="M164" i="29"/>
  <c r="N164" i="29"/>
  <c r="O164" i="29"/>
  <c r="P164" i="29"/>
  <c r="Q164" i="29"/>
  <c r="R164" i="29"/>
  <c r="S164" i="29"/>
  <c r="A165" i="29"/>
  <c r="B165" i="29"/>
  <c r="C165" i="29"/>
  <c r="D165" i="29"/>
  <c r="E165" i="29"/>
  <c r="F165" i="29"/>
  <c r="G165" i="29"/>
  <c r="H165" i="29"/>
  <c r="I165" i="29"/>
  <c r="J165" i="29"/>
  <c r="L165" i="29"/>
  <c r="M165" i="29"/>
  <c r="N165" i="29"/>
  <c r="O165" i="29"/>
  <c r="P165" i="29"/>
  <c r="Q165" i="29"/>
  <c r="R165" i="29"/>
  <c r="S165" i="29"/>
  <c r="A166" i="29"/>
  <c r="B166" i="29"/>
  <c r="C166" i="29"/>
  <c r="D166" i="29"/>
  <c r="E166" i="29"/>
  <c r="F166" i="29"/>
  <c r="G166" i="29"/>
  <c r="H166" i="29"/>
  <c r="I166" i="29"/>
  <c r="J166" i="29"/>
  <c r="L166" i="29"/>
  <c r="M166" i="29"/>
  <c r="N166" i="29"/>
  <c r="O166" i="29"/>
  <c r="P166" i="29"/>
  <c r="Q166" i="29"/>
  <c r="R166" i="29"/>
  <c r="S166" i="29"/>
  <c r="A167" i="29"/>
  <c r="B167" i="29"/>
  <c r="C167" i="29"/>
  <c r="D167" i="29"/>
  <c r="E167" i="29"/>
  <c r="F167" i="29"/>
  <c r="G167" i="29"/>
  <c r="H167" i="29"/>
  <c r="I167" i="29"/>
  <c r="J167" i="29"/>
  <c r="L167" i="29"/>
  <c r="M167" i="29"/>
  <c r="N167" i="29"/>
  <c r="O167" i="29"/>
  <c r="P167" i="29"/>
  <c r="Q167" i="29"/>
  <c r="R167" i="29"/>
  <c r="S167" i="29"/>
  <c r="A168" i="29"/>
  <c r="B168" i="29"/>
  <c r="C168" i="29"/>
  <c r="D168" i="29"/>
  <c r="E168" i="29"/>
  <c r="F168" i="29"/>
  <c r="G168" i="29"/>
  <c r="H168" i="29"/>
  <c r="I168" i="29"/>
  <c r="J168" i="29"/>
  <c r="L168" i="29"/>
  <c r="M168" i="29"/>
  <c r="N168" i="29"/>
  <c r="O168" i="29"/>
  <c r="P168" i="29"/>
  <c r="Q168" i="29"/>
  <c r="R168" i="29"/>
  <c r="S168" i="29"/>
  <c r="A169" i="29"/>
  <c r="B169" i="29"/>
  <c r="C169" i="29"/>
  <c r="D169" i="29"/>
  <c r="E169" i="29"/>
  <c r="F169" i="29"/>
  <c r="G169" i="29"/>
  <c r="H169" i="29"/>
  <c r="I169" i="29"/>
  <c r="J169" i="29"/>
  <c r="L169" i="29"/>
  <c r="M169" i="29"/>
  <c r="N169" i="29"/>
  <c r="O169" i="29"/>
  <c r="P169" i="29"/>
  <c r="Q169" i="29"/>
  <c r="R169" i="29"/>
  <c r="S169" i="29"/>
  <c r="A170" i="29"/>
  <c r="B170" i="29"/>
  <c r="C170" i="29"/>
  <c r="D170" i="29"/>
  <c r="E170" i="29"/>
  <c r="F170" i="29"/>
  <c r="G170" i="29"/>
  <c r="H170" i="29"/>
  <c r="I170" i="29"/>
  <c r="J170" i="29"/>
  <c r="L170" i="29"/>
  <c r="M170" i="29"/>
  <c r="N170" i="29"/>
  <c r="O170" i="29"/>
  <c r="P170" i="29"/>
  <c r="Q170" i="29"/>
  <c r="R170" i="29"/>
  <c r="S170" i="29"/>
  <c r="A171" i="29"/>
  <c r="B171" i="29"/>
  <c r="C171" i="29"/>
  <c r="D171" i="29"/>
  <c r="E171" i="29"/>
  <c r="F171" i="29"/>
  <c r="G171" i="29"/>
  <c r="H171" i="29"/>
  <c r="I171" i="29"/>
  <c r="J171" i="29"/>
  <c r="L171" i="29"/>
  <c r="M171" i="29"/>
  <c r="N171" i="29"/>
  <c r="O171" i="29"/>
  <c r="P171" i="29"/>
  <c r="Q171" i="29"/>
  <c r="R171" i="29"/>
  <c r="S171" i="29"/>
  <c r="A172" i="29"/>
  <c r="B172" i="29"/>
  <c r="C172" i="29"/>
  <c r="D172" i="29"/>
  <c r="E172" i="29"/>
  <c r="F172" i="29"/>
  <c r="G172" i="29"/>
  <c r="H172" i="29"/>
  <c r="I172" i="29"/>
  <c r="J172" i="29"/>
  <c r="L172" i="29"/>
  <c r="M172" i="29"/>
  <c r="N172" i="29"/>
  <c r="O172" i="29"/>
  <c r="P172" i="29"/>
  <c r="Q172" i="29"/>
  <c r="R172" i="29"/>
  <c r="S172" i="29"/>
  <c r="A173" i="29"/>
  <c r="B173" i="29"/>
  <c r="C173" i="29"/>
  <c r="D173" i="29"/>
  <c r="E173" i="29"/>
  <c r="F173" i="29"/>
  <c r="G173" i="29"/>
  <c r="H173" i="29"/>
  <c r="I173" i="29"/>
  <c r="J173" i="29"/>
  <c r="L173" i="29"/>
  <c r="M173" i="29"/>
  <c r="N173" i="29"/>
  <c r="O173" i="29"/>
  <c r="P173" i="29"/>
  <c r="Q173" i="29"/>
  <c r="R173" i="29"/>
  <c r="S173" i="29"/>
  <c r="A174" i="29"/>
  <c r="B174" i="29"/>
  <c r="C174" i="29"/>
  <c r="D174" i="29"/>
  <c r="E174" i="29"/>
  <c r="F174" i="29"/>
  <c r="G174" i="29"/>
  <c r="H174" i="29"/>
  <c r="I174" i="29"/>
  <c r="J174" i="29"/>
  <c r="L174" i="29"/>
  <c r="M174" i="29"/>
  <c r="N174" i="29"/>
  <c r="O174" i="29"/>
  <c r="P174" i="29"/>
  <c r="Q174" i="29"/>
  <c r="R174" i="29"/>
  <c r="S174" i="29"/>
  <c r="A175" i="29"/>
  <c r="B175" i="29"/>
  <c r="C175" i="29"/>
  <c r="D175" i="29"/>
  <c r="E175" i="29"/>
  <c r="F175" i="29"/>
  <c r="G175" i="29"/>
  <c r="H175" i="29"/>
  <c r="I175" i="29"/>
  <c r="J175" i="29"/>
  <c r="L175" i="29"/>
  <c r="M175" i="29"/>
  <c r="N175" i="29"/>
  <c r="O175" i="29"/>
  <c r="P175" i="29"/>
  <c r="Q175" i="29"/>
  <c r="R175" i="29"/>
  <c r="S175" i="29"/>
  <c r="A176" i="29"/>
  <c r="B176" i="29"/>
  <c r="C176" i="29"/>
  <c r="D176" i="29"/>
  <c r="E176" i="29"/>
  <c r="F176" i="29"/>
  <c r="G176" i="29"/>
  <c r="H176" i="29"/>
  <c r="I176" i="29"/>
  <c r="J176" i="29"/>
  <c r="L176" i="29"/>
  <c r="M176" i="29"/>
  <c r="N176" i="29"/>
  <c r="O176" i="29"/>
  <c r="P176" i="29"/>
  <c r="Q176" i="29"/>
  <c r="R176" i="29"/>
  <c r="S176" i="29"/>
  <c r="A177" i="29"/>
  <c r="B177" i="29"/>
  <c r="C177" i="29"/>
  <c r="D177" i="29"/>
  <c r="E177" i="29"/>
  <c r="F177" i="29"/>
  <c r="G177" i="29"/>
  <c r="H177" i="29"/>
  <c r="I177" i="29"/>
  <c r="J177" i="29"/>
  <c r="L177" i="29"/>
  <c r="M177" i="29"/>
  <c r="N177" i="29"/>
  <c r="O177" i="29"/>
  <c r="P177" i="29"/>
  <c r="Q177" i="29"/>
  <c r="R177" i="29"/>
  <c r="S177" i="29"/>
  <c r="A178" i="29"/>
  <c r="B178" i="29"/>
  <c r="C178" i="29"/>
  <c r="D178" i="29"/>
  <c r="E178" i="29"/>
  <c r="F178" i="29"/>
  <c r="G178" i="29"/>
  <c r="H178" i="29"/>
  <c r="I178" i="29"/>
  <c r="J178" i="29"/>
  <c r="L178" i="29"/>
  <c r="M178" i="29"/>
  <c r="N178" i="29"/>
  <c r="O178" i="29"/>
  <c r="P178" i="29"/>
  <c r="Q178" i="29"/>
  <c r="R178" i="29"/>
  <c r="S178" i="29"/>
  <c r="A179" i="29"/>
  <c r="B179" i="29"/>
  <c r="C179" i="29"/>
  <c r="D179" i="29"/>
  <c r="E179" i="29"/>
  <c r="F179" i="29"/>
  <c r="G179" i="29"/>
  <c r="H179" i="29"/>
  <c r="I179" i="29"/>
  <c r="J179" i="29"/>
  <c r="L179" i="29"/>
  <c r="M179" i="29"/>
  <c r="N179" i="29"/>
  <c r="O179" i="29"/>
  <c r="P179" i="29"/>
  <c r="Q179" i="29"/>
  <c r="R179" i="29"/>
  <c r="S179" i="29"/>
  <c r="A180" i="29"/>
  <c r="B180" i="29"/>
  <c r="C180" i="29"/>
  <c r="D180" i="29"/>
  <c r="E180" i="29"/>
  <c r="F180" i="29"/>
  <c r="G180" i="29"/>
  <c r="H180" i="29"/>
  <c r="I180" i="29"/>
  <c r="J180" i="29"/>
  <c r="L180" i="29"/>
  <c r="M180" i="29"/>
  <c r="N180" i="29"/>
  <c r="O180" i="29"/>
  <c r="P180" i="29"/>
  <c r="Q180" i="29"/>
  <c r="R180" i="29"/>
  <c r="S180" i="29"/>
  <c r="A181" i="29"/>
  <c r="B181" i="29"/>
  <c r="C181" i="29"/>
  <c r="D181" i="29"/>
  <c r="E181" i="29"/>
  <c r="F181" i="29"/>
  <c r="G181" i="29"/>
  <c r="H181" i="29"/>
  <c r="I181" i="29"/>
  <c r="J181" i="29"/>
  <c r="L181" i="29"/>
  <c r="M181" i="29"/>
  <c r="N181" i="29"/>
  <c r="O181" i="29"/>
  <c r="P181" i="29"/>
  <c r="Q181" i="29"/>
  <c r="R181" i="29"/>
  <c r="S181" i="29"/>
  <c r="A182" i="29"/>
  <c r="B182" i="29"/>
  <c r="C182" i="29"/>
  <c r="D182" i="29"/>
  <c r="E182" i="29"/>
  <c r="F182" i="29"/>
  <c r="G182" i="29"/>
  <c r="H182" i="29"/>
  <c r="I182" i="29"/>
  <c r="J182" i="29"/>
  <c r="L182" i="29"/>
  <c r="M182" i="29"/>
  <c r="N182" i="29"/>
  <c r="O182" i="29"/>
  <c r="P182" i="29"/>
  <c r="Q182" i="29"/>
  <c r="R182" i="29"/>
  <c r="S182" i="29"/>
  <c r="A183" i="29"/>
  <c r="B183" i="29"/>
  <c r="C183" i="29"/>
  <c r="D183" i="29"/>
  <c r="E183" i="29"/>
  <c r="F183" i="29"/>
  <c r="G183" i="29"/>
  <c r="H183" i="29"/>
  <c r="I183" i="29"/>
  <c r="J183" i="29"/>
  <c r="L183" i="29"/>
  <c r="M183" i="29"/>
  <c r="N183" i="29"/>
  <c r="O183" i="29"/>
  <c r="P183" i="29"/>
  <c r="Q183" i="29"/>
  <c r="R183" i="29"/>
  <c r="S183" i="29"/>
  <c r="A184" i="29"/>
  <c r="B184" i="29"/>
  <c r="C184" i="29"/>
  <c r="D184" i="29"/>
  <c r="E184" i="29"/>
  <c r="F184" i="29"/>
  <c r="G184" i="29"/>
  <c r="H184" i="29"/>
  <c r="I184" i="29"/>
  <c r="J184" i="29"/>
  <c r="L184" i="29"/>
  <c r="M184" i="29"/>
  <c r="N184" i="29"/>
  <c r="O184" i="29"/>
  <c r="P184" i="29"/>
  <c r="Q184" i="29"/>
  <c r="R184" i="29"/>
  <c r="S184" i="29"/>
  <c r="A185" i="29"/>
  <c r="B185" i="29"/>
  <c r="C185" i="29"/>
  <c r="D185" i="29"/>
  <c r="E185" i="29"/>
  <c r="F185" i="29"/>
  <c r="G185" i="29"/>
  <c r="H185" i="29"/>
  <c r="I185" i="29"/>
  <c r="J185" i="29"/>
  <c r="L185" i="29"/>
  <c r="M185" i="29"/>
  <c r="N185" i="29"/>
  <c r="O185" i="29"/>
  <c r="P185" i="29"/>
  <c r="Q185" i="29"/>
  <c r="R185" i="29"/>
  <c r="S185" i="29"/>
  <c r="A186" i="29"/>
  <c r="B186" i="29"/>
  <c r="C186" i="29"/>
  <c r="D186" i="29"/>
  <c r="E186" i="29"/>
  <c r="F186" i="29"/>
  <c r="G186" i="29"/>
  <c r="H186" i="29"/>
  <c r="I186" i="29"/>
  <c r="J186" i="29"/>
  <c r="L186" i="29"/>
  <c r="M186" i="29"/>
  <c r="N186" i="29"/>
  <c r="O186" i="29"/>
  <c r="P186" i="29"/>
  <c r="Q186" i="29"/>
  <c r="R186" i="29"/>
  <c r="S186" i="29"/>
  <c r="A187" i="29"/>
  <c r="B187" i="29"/>
  <c r="C187" i="29"/>
  <c r="D187" i="29"/>
  <c r="E187" i="29"/>
  <c r="F187" i="29"/>
  <c r="G187" i="29"/>
  <c r="H187" i="29"/>
  <c r="I187" i="29"/>
  <c r="J187" i="29"/>
  <c r="L187" i="29"/>
  <c r="M187" i="29"/>
  <c r="N187" i="29"/>
  <c r="O187" i="29"/>
  <c r="P187" i="29"/>
  <c r="Q187" i="29"/>
  <c r="R187" i="29"/>
  <c r="S187" i="29"/>
  <c r="A188" i="29"/>
  <c r="B188" i="29"/>
  <c r="C188" i="29"/>
  <c r="D188" i="29"/>
  <c r="E188" i="29"/>
  <c r="F188" i="29"/>
  <c r="G188" i="29"/>
  <c r="H188" i="29"/>
  <c r="I188" i="29"/>
  <c r="J188" i="29"/>
  <c r="L188" i="29"/>
  <c r="M188" i="29"/>
  <c r="N188" i="29"/>
  <c r="O188" i="29"/>
  <c r="P188" i="29"/>
  <c r="Q188" i="29"/>
  <c r="R188" i="29"/>
  <c r="S188" i="29"/>
  <c r="A189" i="29"/>
  <c r="B189" i="29"/>
  <c r="C189" i="29"/>
  <c r="D189" i="29"/>
  <c r="E189" i="29"/>
  <c r="F189" i="29"/>
  <c r="G189" i="29"/>
  <c r="H189" i="29"/>
  <c r="I189" i="29"/>
  <c r="J189" i="29"/>
  <c r="L189" i="29"/>
  <c r="M189" i="29"/>
  <c r="N189" i="29"/>
  <c r="O189" i="29"/>
  <c r="P189" i="29"/>
  <c r="Q189" i="29"/>
  <c r="R189" i="29"/>
  <c r="S189" i="29"/>
  <c r="A190" i="29"/>
  <c r="B190" i="29"/>
  <c r="C190" i="29"/>
  <c r="D190" i="29"/>
  <c r="E190" i="29"/>
  <c r="F190" i="29"/>
  <c r="G190" i="29"/>
  <c r="H190" i="29"/>
  <c r="I190" i="29"/>
  <c r="J190" i="29"/>
  <c r="L190" i="29"/>
  <c r="M190" i="29"/>
  <c r="N190" i="29"/>
  <c r="O190" i="29"/>
  <c r="P190" i="29"/>
  <c r="Q190" i="29"/>
  <c r="R190" i="29"/>
  <c r="S190" i="29"/>
  <c r="A191" i="29"/>
  <c r="B191" i="29"/>
  <c r="C191" i="29"/>
  <c r="D191" i="29"/>
  <c r="E191" i="29"/>
  <c r="F191" i="29"/>
  <c r="G191" i="29"/>
  <c r="H191" i="29"/>
  <c r="I191" i="29"/>
  <c r="J191" i="29"/>
  <c r="L191" i="29"/>
  <c r="M191" i="29"/>
  <c r="N191" i="29"/>
  <c r="O191" i="29"/>
  <c r="P191" i="29"/>
  <c r="Q191" i="29"/>
  <c r="R191" i="29"/>
  <c r="S191" i="29"/>
  <c r="A192" i="29"/>
  <c r="B192" i="29"/>
  <c r="C192" i="29"/>
  <c r="D192" i="29"/>
  <c r="E192" i="29"/>
  <c r="F192" i="29"/>
  <c r="G192" i="29"/>
  <c r="H192" i="29"/>
  <c r="I192" i="29"/>
  <c r="J192" i="29"/>
  <c r="L192" i="29"/>
  <c r="M192" i="29"/>
  <c r="N192" i="29"/>
  <c r="O192" i="29"/>
  <c r="P192" i="29"/>
  <c r="Q192" i="29"/>
  <c r="R192" i="29"/>
  <c r="S192" i="29"/>
  <c r="A193" i="29"/>
  <c r="B193" i="29"/>
  <c r="C193" i="29"/>
  <c r="D193" i="29"/>
  <c r="E193" i="29"/>
  <c r="F193" i="29"/>
  <c r="G193" i="29"/>
  <c r="H193" i="29"/>
  <c r="I193" i="29"/>
  <c r="J193" i="29"/>
  <c r="L193" i="29"/>
  <c r="M193" i="29"/>
  <c r="N193" i="29"/>
  <c r="O193" i="29"/>
  <c r="P193" i="29"/>
  <c r="Q193" i="29"/>
  <c r="R193" i="29"/>
  <c r="S193" i="29"/>
  <c r="A194" i="29"/>
  <c r="B194" i="29"/>
  <c r="C194" i="29"/>
  <c r="D194" i="29"/>
  <c r="E194" i="29"/>
  <c r="F194" i="29"/>
  <c r="G194" i="29"/>
  <c r="H194" i="29"/>
  <c r="I194" i="29"/>
  <c r="J194" i="29"/>
  <c r="L194" i="29"/>
  <c r="M194" i="29"/>
  <c r="N194" i="29"/>
  <c r="O194" i="29"/>
  <c r="P194" i="29"/>
  <c r="Q194" i="29"/>
  <c r="R194" i="29"/>
  <c r="S194" i="29"/>
  <c r="A195" i="29"/>
  <c r="B195" i="29"/>
  <c r="C195" i="29"/>
  <c r="D195" i="29"/>
  <c r="E195" i="29"/>
  <c r="F195" i="29"/>
  <c r="G195" i="29"/>
  <c r="H195" i="29"/>
  <c r="I195" i="29"/>
  <c r="J195" i="29"/>
  <c r="L195" i="29"/>
  <c r="M195" i="29"/>
  <c r="N195" i="29"/>
  <c r="O195" i="29"/>
  <c r="P195" i="29"/>
  <c r="Q195" i="29"/>
  <c r="R195" i="29"/>
  <c r="S195" i="29"/>
  <c r="A196" i="29"/>
  <c r="B196" i="29"/>
  <c r="C196" i="29"/>
  <c r="D196" i="29"/>
  <c r="E196" i="29"/>
  <c r="F196" i="29"/>
  <c r="G196" i="29"/>
  <c r="H196" i="29"/>
  <c r="I196" i="29"/>
  <c r="J196" i="29"/>
  <c r="L196" i="29"/>
  <c r="M196" i="29"/>
  <c r="N196" i="29"/>
  <c r="O196" i="29"/>
  <c r="P196" i="29"/>
  <c r="Q196" i="29"/>
  <c r="R196" i="29"/>
  <c r="S196" i="29"/>
  <c r="A197" i="29"/>
  <c r="B197" i="29"/>
  <c r="C197" i="29"/>
  <c r="D197" i="29"/>
  <c r="E197" i="29"/>
  <c r="F197" i="29"/>
  <c r="G197" i="29"/>
  <c r="H197" i="29"/>
  <c r="I197" i="29"/>
  <c r="J197" i="29"/>
  <c r="L197" i="29"/>
  <c r="M197" i="29"/>
  <c r="N197" i="29"/>
  <c r="O197" i="29"/>
  <c r="P197" i="29"/>
  <c r="Q197" i="29"/>
  <c r="R197" i="29"/>
  <c r="S197" i="29"/>
  <c r="A198" i="29"/>
  <c r="B198" i="29"/>
  <c r="C198" i="29"/>
  <c r="D198" i="29"/>
  <c r="E198" i="29"/>
  <c r="F198" i="29"/>
  <c r="G198" i="29"/>
  <c r="H198" i="29"/>
  <c r="I198" i="29"/>
  <c r="J198" i="29"/>
  <c r="L198" i="29"/>
  <c r="M198" i="29"/>
  <c r="N198" i="29"/>
  <c r="O198" i="29"/>
  <c r="P198" i="29"/>
  <c r="Q198" i="29"/>
  <c r="R198" i="29"/>
  <c r="S198" i="29"/>
  <c r="A199" i="29"/>
  <c r="B199" i="29"/>
  <c r="C199" i="29"/>
  <c r="D199" i="29"/>
  <c r="E199" i="29"/>
  <c r="F199" i="29"/>
  <c r="G199" i="29"/>
  <c r="H199" i="29"/>
  <c r="I199" i="29"/>
  <c r="J199" i="29"/>
  <c r="L199" i="29"/>
  <c r="M199" i="29"/>
  <c r="N199" i="29"/>
  <c r="O199" i="29"/>
  <c r="P199" i="29"/>
  <c r="Q199" i="29"/>
  <c r="R199" i="29"/>
  <c r="S199" i="29"/>
  <c r="A200" i="29"/>
  <c r="B200" i="29"/>
  <c r="C200" i="29"/>
  <c r="D200" i="29"/>
  <c r="E200" i="29"/>
  <c r="F200" i="29"/>
  <c r="G200" i="29"/>
  <c r="H200" i="29"/>
  <c r="I200" i="29"/>
  <c r="J200" i="29"/>
  <c r="L200" i="29"/>
  <c r="M200" i="29"/>
  <c r="N200" i="29"/>
  <c r="O200" i="29"/>
  <c r="P200" i="29"/>
  <c r="Q200" i="29"/>
  <c r="R200" i="29"/>
  <c r="S200" i="29"/>
  <c r="A201" i="29"/>
  <c r="B201" i="29"/>
  <c r="C201" i="29"/>
  <c r="D201" i="29"/>
  <c r="E201" i="29"/>
  <c r="F201" i="29"/>
  <c r="G201" i="29"/>
  <c r="H201" i="29"/>
  <c r="I201" i="29"/>
  <c r="J201" i="29"/>
  <c r="L201" i="29"/>
  <c r="M201" i="29"/>
  <c r="N201" i="29"/>
  <c r="O201" i="29"/>
  <c r="P201" i="29"/>
  <c r="Q201" i="29"/>
  <c r="R201" i="29"/>
  <c r="S201" i="29"/>
  <c r="A202" i="29"/>
  <c r="B202" i="29"/>
  <c r="C202" i="29"/>
  <c r="D202" i="29"/>
  <c r="E202" i="29"/>
  <c r="F202" i="29"/>
  <c r="G202" i="29"/>
  <c r="H202" i="29"/>
  <c r="I202" i="29"/>
  <c r="J202" i="29"/>
  <c r="L202" i="29"/>
  <c r="M202" i="29"/>
  <c r="N202" i="29"/>
  <c r="O202" i="29"/>
  <c r="P202" i="29"/>
  <c r="Q202" i="29"/>
  <c r="R202" i="29"/>
  <c r="S202" i="29"/>
  <c r="A203" i="29"/>
  <c r="B203" i="29"/>
  <c r="C203" i="29"/>
  <c r="D203" i="29"/>
  <c r="E203" i="29"/>
  <c r="F203" i="29"/>
  <c r="G203" i="29"/>
  <c r="H203" i="29"/>
  <c r="I203" i="29"/>
  <c r="J203" i="29"/>
  <c r="L203" i="29"/>
  <c r="M203" i="29"/>
  <c r="N203" i="29"/>
  <c r="O203" i="29"/>
  <c r="P203" i="29"/>
  <c r="Q203" i="29"/>
  <c r="R203" i="29"/>
  <c r="S203" i="29"/>
  <c r="A204" i="29"/>
  <c r="B204" i="29"/>
  <c r="C204" i="29"/>
  <c r="D204" i="29"/>
  <c r="E204" i="29"/>
  <c r="F204" i="29"/>
  <c r="G204" i="29"/>
  <c r="H204" i="29"/>
  <c r="I204" i="29"/>
  <c r="J204" i="29"/>
  <c r="L204" i="29"/>
  <c r="M204" i="29"/>
  <c r="N204" i="29"/>
  <c r="O204" i="29"/>
  <c r="P204" i="29"/>
  <c r="Q204" i="29"/>
  <c r="R204" i="29"/>
  <c r="S204" i="29"/>
  <c r="A205" i="29"/>
  <c r="B205" i="29"/>
  <c r="C205" i="29"/>
  <c r="D205" i="29"/>
  <c r="E205" i="29"/>
  <c r="F205" i="29"/>
  <c r="G205" i="29"/>
  <c r="H205" i="29"/>
  <c r="I205" i="29"/>
  <c r="J205" i="29"/>
  <c r="L205" i="29"/>
  <c r="M205" i="29"/>
  <c r="N205" i="29"/>
  <c r="O205" i="29"/>
  <c r="P205" i="29"/>
  <c r="Q205" i="29"/>
  <c r="R205" i="29"/>
  <c r="S205" i="29"/>
  <c r="A206" i="29"/>
  <c r="B206" i="29"/>
  <c r="C206" i="29"/>
  <c r="D206" i="29"/>
  <c r="E206" i="29"/>
  <c r="F206" i="29"/>
  <c r="G206" i="29"/>
  <c r="H206" i="29"/>
  <c r="I206" i="29"/>
  <c r="J206" i="29"/>
  <c r="L206" i="29"/>
  <c r="M206" i="29"/>
  <c r="N206" i="29"/>
  <c r="O206" i="29"/>
  <c r="P206" i="29"/>
  <c r="Q206" i="29"/>
  <c r="R206" i="29"/>
  <c r="S206" i="29"/>
  <c r="A207" i="29"/>
  <c r="B207" i="29"/>
  <c r="C207" i="29"/>
  <c r="D207" i="29"/>
  <c r="E207" i="29"/>
  <c r="F207" i="29"/>
  <c r="G207" i="29"/>
  <c r="H207" i="29"/>
  <c r="I207" i="29"/>
  <c r="J207" i="29"/>
  <c r="L207" i="29"/>
  <c r="M207" i="29"/>
  <c r="N207" i="29"/>
  <c r="O207" i="29"/>
  <c r="P207" i="29"/>
  <c r="Q207" i="29"/>
  <c r="R207" i="29"/>
  <c r="S207" i="29"/>
  <c r="A208" i="29"/>
  <c r="B208" i="29"/>
  <c r="C208" i="29"/>
  <c r="D208" i="29"/>
  <c r="E208" i="29"/>
  <c r="F208" i="29"/>
  <c r="G208" i="29"/>
  <c r="H208" i="29"/>
  <c r="I208" i="29"/>
  <c r="J208" i="29"/>
  <c r="L208" i="29"/>
  <c r="M208" i="29"/>
  <c r="N208" i="29"/>
  <c r="O208" i="29"/>
  <c r="P208" i="29"/>
  <c r="Q208" i="29"/>
  <c r="R208" i="29"/>
  <c r="S208" i="29"/>
  <c r="A209" i="29"/>
  <c r="B209" i="29"/>
  <c r="C209" i="29"/>
  <c r="D209" i="29"/>
  <c r="E209" i="29"/>
  <c r="F209" i="29"/>
  <c r="G209" i="29"/>
  <c r="H209" i="29"/>
  <c r="I209" i="29"/>
  <c r="J209" i="29"/>
  <c r="L209" i="29"/>
  <c r="M209" i="29"/>
  <c r="N209" i="29"/>
  <c r="O209" i="29"/>
  <c r="P209" i="29"/>
  <c r="Q209" i="29"/>
  <c r="R209" i="29"/>
  <c r="S209" i="29"/>
  <c r="A210" i="29"/>
  <c r="B210" i="29"/>
  <c r="C210" i="29"/>
  <c r="D210" i="29"/>
  <c r="E210" i="29"/>
  <c r="F210" i="29"/>
  <c r="G210" i="29"/>
  <c r="H210" i="29"/>
  <c r="I210" i="29"/>
  <c r="J210" i="29"/>
  <c r="L210" i="29"/>
  <c r="M210" i="29"/>
  <c r="N210" i="29"/>
  <c r="O210" i="29"/>
  <c r="P210" i="29"/>
  <c r="Q210" i="29"/>
  <c r="R210" i="29"/>
  <c r="S210" i="29"/>
  <c r="A211" i="29"/>
  <c r="B211" i="29"/>
  <c r="C211" i="29"/>
  <c r="D211" i="29"/>
  <c r="E211" i="29"/>
  <c r="F211" i="29"/>
  <c r="G211" i="29"/>
  <c r="H211" i="29"/>
  <c r="I211" i="29"/>
  <c r="J211" i="29"/>
  <c r="L211" i="29"/>
  <c r="M211" i="29"/>
  <c r="N211" i="29"/>
  <c r="O211" i="29"/>
  <c r="P211" i="29"/>
  <c r="Q211" i="29"/>
  <c r="R211" i="29"/>
  <c r="S211" i="29"/>
  <c r="A212" i="29"/>
  <c r="B212" i="29"/>
  <c r="C212" i="29"/>
  <c r="D212" i="29"/>
  <c r="E212" i="29"/>
  <c r="F212" i="29"/>
  <c r="G212" i="29"/>
  <c r="H212" i="29"/>
  <c r="I212" i="29"/>
  <c r="J212" i="29"/>
  <c r="L212" i="29"/>
  <c r="M212" i="29"/>
  <c r="N212" i="29"/>
  <c r="O212" i="29"/>
  <c r="P212" i="29"/>
  <c r="Q212" i="29"/>
  <c r="R212" i="29"/>
  <c r="S212" i="29"/>
  <c r="A213" i="29"/>
  <c r="B213" i="29"/>
  <c r="C213" i="29"/>
  <c r="D213" i="29"/>
  <c r="E213" i="29"/>
  <c r="F213" i="29"/>
  <c r="G213" i="29"/>
  <c r="H213" i="29"/>
  <c r="I213" i="29"/>
  <c r="J213" i="29"/>
  <c r="L213" i="29"/>
  <c r="M213" i="29"/>
  <c r="N213" i="29"/>
  <c r="O213" i="29"/>
  <c r="P213" i="29"/>
  <c r="Q213" i="29"/>
  <c r="R213" i="29"/>
  <c r="S213" i="29"/>
  <c r="A214" i="29"/>
  <c r="B214" i="29"/>
  <c r="C214" i="29"/>
  <c r="D214" i="29"/>
  <c r="E214" i="29"/>
  <c r="F214" i="29"/>
  <c r="G214" i="29"/>
  <c r="H214" i="29"/>
  <c r="I214" i="29"/>
  <c r="J214" i="29"/>
  <c r="L214" i="29"/>
  <c r="M214" i="29"/>
  <c r="N214" i="29"/>
  <c r="O214" i="29"/>
  <c r="P214" i="29"/>
  <c r="Q214" i="29"/>
  <c r="R214" i="29"/>
  <c r="S214" i="29"/>
  <c r="A215" i="29"/>
  <c r="B215" i="29"/>
  <c r="C215" i="29"/>
  <c r="D215" i="29"/>
  <c r="E215" i="29"/>
  <c r="F215" i="29"/>
  <c r="G215" i="29"/>
  <c r="H215" i="29"/>
  <c r="I215" i="29"/>
  <c r="J215" i="29"/>
  <c r="L215" i="29"/>
  <c r="M215" i="29"/>
  <c r="N215" i="29"/>
  <c r="O215" i="29"/>
  <c r="P215" i="29"/>
  <c r="Q215" i="29"/>
  <c r="R215" i="29"/>
  <c r="S215" i="29"/>
  <c r="A216" i="29"/>
  <c r="B216" i="29"/>
  <c r="C216" i="29"/>
  <c r="D216" i="29"/>
  <c r="E216" i="29"/>
  <c r="F216" i="29"/>
  <c r="G216" i="29"/>
  <c r="H216" i="29"/>
  <c r="I216" i="29"/>
  <c r="J216" i="29"/>
  <c r="L216" i="29"/>
  <c r="M216" i="29"/>
  <c r="N216" i="29"/>
  <c r="O216" i="29"/>
  <c r="P216" i="29"/>
  <c r="Q216" i="29"/>
  <c r="R216" i="29"/>
  <c r="S216" i="29"/>
  <c r="A217" i="29"/>
  <c r="B217" i="29"/>
  <c r="C217" i="29"/>
  <c r="D217" i="29"/>
  <c r="E217" i="29"/>
  <c r="F217" i="29"/>
  <c r="G217" i="29"/>
  <c r="H217" i="29"/>
  <c r="I217" i="29"/>
  <c r="J217" i="29"/>
  <c r="L217" i="29"/>
  <c r="M217" i="29"/>
  <c r="N217" i="29"/>
  <c r="O217" i="29"/>
  <c r="P217" i="29"/>
  <c r="Q217" i="29"/>
  <c r="R217" i="29"/>
  <c r="S217" i="29"/>
  <c r="A218" i="29"/>
  <c r="B218" i="29"/>
  <c r="C218" i="29"/>
  <c r="D218" i="29"/>
  <c r="E218" i="29"/>
  <c r="F218" i="29"/>
  <c r="G218" i="29"/>
  <c r="H218" i="29"/>
  <c r="I218" i="29"/>
  <c r="J218" i="29"/>
  <c r="L218" i="29"/>
  <c r="M218" i="29"/>
  <c r="N218" i="29"/>
  <c r="O218" i="29"/>
  <c r="P218" i="29"/>
  <c r="Q218" i="29"/>
  <c r="R218" i="29"/>
  <c r="S218" i="29"/>
  <c r="A219" i="29"/>
  <c r="B219" i="29"/>
  <c r="C219" i="29"/>
  <c r="D219" i="29"/>
  <c r="E219" i="29"/>
  <c r="F219" i="29"/>
  <c r="G219" i="29"/>
  <c r="H219" i="29"/>
  <c r="I219" i="29"/>
  <c r="J219" i="29"/>
  <c r="L219" i="29"/>
  <c r="M219" i="29"/>
  <c r="N219" i="29"/>
  <c r="O219" i="29"/>
  <c r="P219" i="29"/>
  <c r="Q219" i="29"/>
  <c r="R219" i="29"/>
  <c r="S219" i="29"/>
  <c r="A220" i="29"/>
  <c r="B220" i="29"/>
  <c r="C220" i="29"/>
  <c r="D220" i="29"/>
  <c r="E220" i="29"/>
  <c r="F220" i="29"/>
  <c r="G220" i="29"/>
  <c r="H220" i="29"/>
  <c r="I220" i="29"/>
  <c r="J220" i="29"/>
  <c r="L220" i="29"/>
  <c r="M220" i="29"/>
  <c r="N220" i="29"/>
  <c r="O220" i="29"/>
  <c r="P220" i="29"/>
  <c r="Q220" i="29"/>
  <c r="R220" i="29"/>
  <c r="S220" i="29"/>
  <c r="A221" i="29"/>
  <c r="B221" i="29"/>
  <c r="C221" i="29"/>
  <c r="D221" i="29"/>
  <c r="E221" i="29"/>
  <c r="F221" i="29"/>
  <c r="G221" i="29"/>
  <c r="H221" i="29"/>
  <c r="I221" i="29"/>
  <c r="J221" i="29"/>
  <c r="L221" i="29"/>
  <c r="M221" i="29"/>
  <c r="N221" i="29"/>
  <c r="O221" i="29"/>
  <c r="P221" i="29"/>
  <c r="Q221" i="29"/>
  <c r="R221" i="29"/>
  <c r="S221" i="29"/>
  <c r="A222" i="29"/>
  <c r="B222" i="29"/>
  <c r="C222" i="29"/>
  <c r="D222" i="29"/>
  <c r="E222" i="29"/>
  <c r="F222" i="29"/>
  <c r="G222" i="29"/>
  <c r="H222" i="29"/>
  <c r="I222" i="29"/>
  <c r="J222" i="29"/>
  <c r="L222" i="29"/>
  <c r="M222" i="29"/>
  <c r="N222" i="29"/>
  <c r="O222" i="29"/>
  <c r="P222" i="29"/>
  <c r="Q222" i="29"/>
  <c r="R222" i="29"/>
  <c r="S222" i="29"/>
  <c r="A223" i="29"/>
  <c r="B223" i="29"/>
  <c r="C223" i="29"/>
  <c r="D223" i="29"/>
  <c r="E223" i="29"/>
  <c r="F223" i="29"/>
  <c r="G223" i="29"/>
  <c r="H223" i="29"/>
  <c r="I223" i="29"/>
  <c r="J223" i="29"/>
  <c r="L223" i="29"/>
  <c r="M223" i="29"/>
  <c r="N223" i="29"/>
  <c r="O223" i="29"/>
  <c r="P223" i="29"/>
  <c r="Q223" i="29"/>
  <c r="R223" i="29"/>
  <c r="S223" i="29"/>
  <c r="A224" i="29"/>
  <c r="B224" i="29"/>
  <c r="C224" i="29"/>
  <c r="D224" i="29"/>
  <c r="E224" i="29"/>
  <c r="F224" i="29"/>
  <c r="G224" i="29"/>
  <c r="H224" i="29"/>
  <c r="I224" i="29"/>
  <c r="J224" i="29"/>
  <c r="L224" i="29"/>
  <c r="M224" i="29"/>
  <c r="N224" i="29"/>
  <c r="O224" i="29"/>
  <c r="P224" i="29"/>
  <c r="Q224" i="29"/>
  <c r="R224" i="29"/>
  <c r="S224" i="29"/>
  <c r="A225" i="29"/>
  <c r="B225" i="29"/>
  <c r="C225" i="29"/>
  <c r="D225" i="29"/>
  <c r="E225" i="29"/>
  <c r="F225" i="29"/>
  <c r="G225" i="29"/>
  <c r="H225" i="29"/>
  <c r="I225" i="29"/>
  <c r="J225" i="29"/>
  <c r="L225" i="29"/>
  <c r="M225" i="29"/>
  <c r="N225" i="29"/>
  <c r="O225" i="29"/>
  <c r="P225" i="29"/>
  <c r="Q225" i="29"/>
  <c r="R225" i="29"/>
  <c r="S225" i="29"/>
  <c r="A226" i="29"/>
  <c r="B226" i="29"/>
  <c r="C226" i="29"/>
  <c r="D226" i="29"/>
  <c r="E226" i="29"/>
  <c r="F226" i="29"/>
  <c r="G226" i="29"/>
  <c r="H226" i="29"/>
  <c r="I226" i="29"/>
  <c r="J226" i="29"/>
  <c r="L226" i="29"/>
  <c r="M226" i="29"/>
  <c r="N226" i="29"/>
  <c r="O226" i="29"/>
  <c r="P226" i="29"/>
  <c r="Q226" i="29"/>
  <c r="R226" i="29"/>
  <c r="S226" i="29"/>
  <c r="A227" i="29"/>
  <c r="B227" i="29"/>
  <c r="C227" i="29"/>
  <c r="D227" i="29"/>
  <c r="E227" i="29"/>
  <c r="F227" i="29"/>
  <c r="G227" i="29"/>
  <c r="H227" i="29"/>
  <c r="I227" i="29"/>
  <c r="J227" i="29"/>
  <c r="L227" i="29"/>
  <c r="M227" i="29"/>
  <c r="N227" i="29"/>
  <c r="O227" i="29"/>
  <c r="P227" i="29"/>
  <c r="Q227" i="29"/>
  <c r="R227" i="29"/>
  <c r="S227" i="29"/>
  <c r="A228" i="29"/>
  <c r="B228" i="29"/>
  <c r="C228" i="29"/>
  <c r="D228" i="29"/>
  <c r="E228" i="29"/>
  <c r="F228" i="29"/>
  <c r="G228" i="29"/>
  <c r="H228" i="29"/>
  <c r="I228" i="29"/>
  <c r="J228" i="29"/>
  <c r="L228" i="29"/>
  <c r="M228" i="29"/>
  <c r="N228" i="29"/>
  <c r="O228" i="29"/>
  <c r="P228" i="29"/>
  <c r="Q228" i="29"/>
  <c r="R228" i="29"/>
  <c r="S228" i="29"/>
  <c r="A229" i="29"/>
  <c r="B229" i="29"/>
  <c r="C229" i="29"/>
  <c r="D229" i="29"/>
  <c r="E229" i="29"/>
  <c r="F229" i="29"/>
  <c r="G229" i="29"/>
  <c r="H229" i="29"/>
  <c r="I229" i="29"/>
  <c r="J229" i="29"/>
  <c r="L229" i="29"/>
  <c r="M229" i="29"/>
  <c r="N229" i="29"/>
  <c r="O229" i="29"/>
  <c r="P229" i="29"/>
  <c r="Q229" i="29"/>
  <c r="R229" i="29"/>
  <c r="S229" i="29"/>
  <c r="A230" i="29"/>
  <c r="B230" i="29"/>
  <c r="C230" i="29"/>
  <c r="D230" i="29"/>
  <c r="E230" i="29"/>
  <c r="F230" i="29"/>
  <c r="G230" i="29"/>
  <c r="H230" i="29"/>
  <c r="I230" i="29"/>
  <c r="J230" i="29"/>
  <c r="L230" i="29"/>
  <c r="M230" i="29"/>
  <c r="N230" i="29"/>
  <c r="O230" i="29"/>
  <c r="P230" i="29"/>
  <c r="Q230" i="29"/>
  <c r="R230" i="29"/>
  <c r="S230" i="29"/>
  <c r="A231" i="29"/>
  <c r="B231" i="29"/>
  <c r="C231" i="29"/>
  <c r="D231" i="29"/>
  <c r="E231" i="29"/>
  <c r="F231" i="29"/>
  <c r="G231" i="29"/>
  <c r="H231" i="29"/>
  <c r="I231" i="29"/>
  <c r="J231" i="29"/>
  <c r="L231" i="29"/>
  <c r="M231" i="29"/>
  <c r="N231" i="29"/>
  <c r="O231" i="29"/>
  <c r="P231" i="29"/>
  <c r="Q231" i="29"/>
  <c r="R231" i="29"/>
  <c r="S231" i="29"/>
  <c r="A232" i="29"/>
  <c r="B232" i="29"/>
  <c r="C232" i="29"/>
  <c r="D232" i="29"/>
  <c r="E232" i="29"/>
  <c r="F232" i="29"/>
  <c r="G232" i="29"/>
  <c r="H232" i="29"/>
  <c r="I232" i="29"/>
  <c r="J232" i="29"/>
  <c r="L232" i="29"/>
  <c r="M232" i="29"/>
  <c r="N232" i="29"/>
  <c r="O232" i="29"/>
  <c r="P232" i="29"/>
  <c r="Q232" i="29"/>
  <c r="R232" i="29"/>
  <c r="S232" i="29"/>
  <c r="A233" i="29"/>
  <c r="B233" i="29"/>
  <c r="C233" i="29"/>
  <c r="D233" i="29"/>
  <c r="E233" i="29"/>
  <c r="F233" i="29"/>
  <c r="G233" i="29"/>
  <c r="H233" i="29"/>
  <c r="I233" i="29"/>
  <c r="J233" i="29"/>
  <c r="L233" i="29"/>
  <c r="M233" i="29"/>
  <c r="N233" i="29"/>
  <c r="O233" i="29"/>
  <c r="P233" i="29"/>
  <c r="Q233" i="29"/>
  <c r="R233" i="29"/>
  <c r="S233" i="29"/>
  <c r="A234" i="29"/>
  <c r="B234" i="29"/>
  <c r="C234" i="29"/>
  <c r="D234" i="29"/>
  <c r="E234" i="29"/>
  <c r="F234" i="29"/>
  <c r="G234" i="29"/>
  <c r="H234" i="29"/>
  <c r="I234" i="29"/>
  <c r="J234" i="29"/>
  <c r="L234" i="29"/>
  <c r="M234" i="29"/>
  <c r="N234" i="29"/>
  <c r="O234" i="29"/>
  <c r="P234" i="29"/>
  <c r="Q234" i="29"/>
  <c r="R234" i="29"/>
  <c r="S234" i="29"/>
  <c r="A235" i="29"/>
  <c r="B235" i="29"/>
  <c r="C235" i="29"/>
  <c r="D235" i="29"/>
  <c r="E235" i="29"/>
  <c r="F235" i="29"/>
  <c r="G235" i="29"/>
  <c r="H235" i="29"/>
  <c r="I235" i="29"/>
  <c r="J235" i="29"/>
  <c r="L235" i="29"/>
  <c r="M235" i="29"/>
  <c r="N235" i="29"/>
  <c r="O235" i="29"/>
  <c r="P235" i="29"/>
  <c r="Q235" i="29"/>
  <c r="R235" i="29"/>
  <c r="S235" i="29"/>
  <c r="A236" i="29"/>
  <c r="B236" i="29"/>
  <c r="C236" i="29"/>
  <c r="D236" i="29"/>
  <c r="E236" i="29"/>
  <c r="F236" i="29"/>
  <c r="G236" i="29"/>
  <c r="H236" i="29"/>
  <c r="I236" i="29"/>
  <c r="J236" i="29"/>
  <c r="L236" i="29"/>
  <c r="M236" i="29"/>
  <c r="N236" i="29"/>
  <c r="O236" i="29"/>
  <c r="P236" i="29"/>
  <c r="Q236" i="29"/>
  <c r="R236" i="29"/>
  <c r="S236" i="29"/>
  <c r="A237" i="29"/>
  <c r="B237" i="29"/>
  <c r="C237" i="29"/>
  <c r="D237" i="29"/>
  <c r="E237" i="29"/>
  <c r="F237" i="29"/>
  <c r="G237" i="29"/>
  <c r="H237" i="29"/>
  <c r="I237" i="29"/>
  <c r="J237" i="29"/>
  <c r="L237" i="29"/>
  <c r="M237" i="29"/>
  <c r="N237" i="29"/>
  <c r="O237" i="29"/>
  <c r="P237" i="29"/>
  <c r="Q237" i="29"/>
  <c r="R237" i="29"/>
  <c r="S237" i="29"/>
  <c r="A238" i="29"/>
  <c r="B238" i="29"/>
  <c r="C238" i="29"/>
  <c r="D238" i="29"/>
  <c r="E238" i="29"/>
  <c r="F238" i="29"/>
  <c r="G238" i="29"/>
  <c r="H238" i="29"/>
  <c r="I238" i="29"/>
  <c r="J238" i="29"/>
  <c r="L238" i="29"/>
  <c r="M238" i="29"/>
  <c r="N238" i="29"/>
  <c r="O238" i="29"/>
  <c r="P238" i="29"/>
  <c r="Q238" i="29"/>
  <c r="R238" i="29"/>
  <c r="S238" i="29"/>
  <c r="A239" i="29"/>
  <c r="B239" i="29"/>
  <c r="C239" i="29"/>
  <c r="D239" i="29"/>
  <c r="E239" i="29"/>
  <c r="F239" i="29"/>
  <c r="G239" i="29"/>
  <c r="H239" i="29"/>
  <c r="I239" i="29"/>
  <c r="J239" i="29"/>
  <c r="L239" i="29"/>
  <c r="M239" i="29"/>
  <c r="N239" i="29"/>
  <c r="O239" i="29"/>
  <c r="P239" i="29"/>
  <c r="Q239" i="29"/>
  <c r="R239" i="29"/>
  <c r="S239" i="29"/>
  <c r="A240" i="29"/>
  <c r="B240" i="29"/>
  <c r="C240" i="29"/>
  <c r="D240" i="29"/>
  <c r="E240" i="29"/>
  <c r="F240" i="29"/>
  <c r="G240" i="29"/>
  <c r="H240" i="29"/>
  <c r="I240" i="29"/>
  <c r="J240" i="29"/>
  <c r="L240" i="29"/>
  <c r="M240" i="29"/>
  <c r="N240" i="29"/>
  <c r="O240" i="29"/>
  <c r="P240" i="29"/>
  <c r="Q240" i="29"/>
  <c r="R240" i="29"/>
  <c r="S240" i="29"/>
  <c r="A241" i="29"/>
  <c r="B241" i="29"/>
  <c r="C241" i="29"/>
  <c r="D241" i="29"/>
  <c r="E241" i="29"/>
  <c r="F241" i="29"/>
  <c r="G241" i="29"/>
  <c r="H241" i="29"/>
  <c r="I241" i="29"/>
  <c r="J241" i="29"/>
  <c r="L241" i="29"/>
  <c r="M241" i="29"/>
  <c r="N241" i="29"/>
  <c r="O241" i="29"/>
  <c r="P241" i="29"/>
  <c r="Q241" i="29"/>
  <c r="R241" i="29"/>
  <c r="S241" i="29"/>
  <c r="A242" i="29"/>
  <c r="B242" i="29"/>
  <c r="C242" i="29"/>
  <c r="D242" i="29"/>
  <c r="E242" i="29"/>
  <c r="F242" i="29"/>
  <c r="G242" i="29"/>
  <c r="H242" i="29"/>
  <c r="I242" i="29"/>
  <c r="J242" i="29"/>
  <c r="L242" i="29"/>
  <c r="M242" i="29"/>
  <c r="N242" i="29"/>
  <c r="O242" i="29"/>
  <c r="P242" i="29"/>
  <c r="Q242" i="29"/>
  <c r="R242" i="29"/>
  <c r="S242" i="29"/>
  <c r="A243" i="29"/>
  <c r="B243" i="29"/>
  <c r="C243" i="29"/>
  <c r="D243" i="29"/>
  <c r="E243" i="29"/>
  <c r="F243" i="29"/>
  <c r="G243" i="29"/>
  <c r="H243" i="29"/>
  <c r="I243" i="29"/>
  <c r="J243" i="29"/>
  <c r="L243" i="29"/>
  <c r="M243" i="29"/>
  <c r="N243" i="29"/>
  <c r="O243" i="29"/>
  <c r="P243" i="29"/>
  <c r="Q243" i="29"/>
  <c r="R243" i="29"/>
  <c r="S243" i="29"/>
  <c r="A244" i="29"/>
  <c r="B244" i="29"/>
  <c r="C244" i="29"/>
  <c r="D244" i="29"/>
  <c r="E244" i="29"/>
  <c r="F244" i="29"/>
  <c r="G244" i="29"/>
  <c r="H244" i="29"/>
  <c r="I244" i="29"/>
  <c r="J244" i="29"/>
  <c r="L244" i="29"/>
  <c r="M244" i="29"/>
  <c r="N244" i="29"/>
  <c r="O244" i="29"/>
  <c r="P244" i="29"/>
  <c r="Q244" i="29"/>
  <c r="R244" i="29"/>
  <c r="S244" i="29"/>
  <c r="A245" i="29"/>
  <c r="B245" i="29"/>
  <c r="C245" i="29"/>
  <c r="D245" i="29"/>
  <c r="E245" i="29"/>
  <c r="F245" i="29"/>
  <c r="G245" i="29"/>
  <c r="H245" i="29"/>
  <c r="I245" i="29"/>
  <c r="J245" i="29"/>
  <c r="L245" i="29"/>
  <c r="M245" i="29"/>
  <c r="N245" i="29"/>
  <c r="O245" i="29"/>
  <c r="P245" i="29"/>
  <c r="Q245" i="29"/>
  <c r="R245" i="29"/>
  <c r="S245" i="29"/>
  <c r="A246" i="29"/>
  <c r="B246" i="29"/>
  <c r="C246" i="29"/>
  <c r="D246" i="29"/>
  <c r="E246" i="29"/>
  <c r="F246" i="29"/>
  <c r="G246" i="29"/>
  <c r="H246" i="29"/>
  <c r="I246" i="29"/>
  <c r="J246" i="29"/>
  <c r="L246" i="29"/>
  <c r="M246" i="29"/>
  <c r="N246" i="29"/>
  <c r="O246" i="29"/>
  <c r="P246" i="29"/>
  <c r="Q246" i="29"/>
  <c r="R246" i="29"/>
  <c r="S246" i="29"/>
  <c r="A247" i="29"/>
  <c r="B247" i="29"/>
  <c r="C247" i="29"/>
  <c r="D247" i="29"/>
  <c r="E247" i="29"/>
  <c r="F247" i="29"/>
  <c r="G247" i="29"/>
  <c r="H247" i="29"/>
  <c r="I247" i="29"/>
  <c r="J247" i="29"/>
  <c r="L247" i="29"/>
  <c r="M247" i="29"/>
  <c r="N247" i="29"/>
  <c r="O247" i="29"/>
  <c r="P247" i="29"/>
  <c r="Q247" i="29"/>
  <c r="R247" i="29"/>
  <c r="S247" i="29"/>
  <c r="A248" i="29"/>
  <c r="B248" i="29"/>
  <c r="C248" i="29"/>
  <c r="D248" i="29"/>
  <c r="E248" i="29"/>
  <c r="F248" i="29"/>
  <c r="G248" i="29"/>
  <c r="H248" i="29"/>
  <c r="I248" i="29"/>
  <c r="J248" i="29"/>
  <c r="L248" i="29"/>
  <c r="M248" i="29"/>
  <c r="N248" i="29"/>
  <c r="O248" i="29"/>
  <c r="P248" i="29"/>
  <c r="Q248" i="29"/>
  <c r="R248" i="29"/>
  <c r="S248" i="29"/>
  <c r="A249" i="29"/>
  <c r="B249" i="29"/>
  <c r="C249" i="29"/>
  <c r="D249" i="29"/>
  <c r="E249" i="29"/>
  <c r="F249" i="29"/>
  <c r="G249" i="29"/>
  <c r="H249" i="29"/>
  <c r="I249" i="29"/>
  <c r="J249" i="29"/>
  <c r="L249" i="29"/>
  <c r="M249" i="29"/>
  <c r="N249" i="29"/>
  <c r="O249" i="29"/>
  <c r="P249" i="29"/>
  <c r="Q249" i="29"/>
  <c r="R249" i="29"/>
  <c r="S249" i="29"/>
  <c r="A250" i="29"/>
  <c r="B250" i="29"/>
  <c r="C250" i="29"/>
  <c r="D250" i="29"/>
  <c r="E250" i="29"/>
  <c r="F250" i="29"/>
  <c r="G250" i="29"/>
  <c r="H250" i="29"/>
  <c r="I250" i="29"/>
  <c r="J250" i="29"/>
  <c r="L250" i="29"/>
  <c r="M250" i="29"/>
  <c r="N250" i="29"/>
  <c r="O250" i="29"/>
  <c r="P250" i="29"/>
  <c r="Q250" i="29"/>
  <c r="R250" i="29"/>
  <c r="S250" i="29"/>
  <c r="A251" i="29"/>
  <c r="B251" i="29"/>
  <c r="C251" i="29"/>
  <c r="D251" i="29"/>
  <c r="E251" i="29"/>
  <c r="F251" i="29"/>
  <c r="G251" i="29"/>
  <c r="H251" i="29"/>
  <c r="I251" i="29"/>
  <c r="J251" i="29"/>
  <c r="L251" i="29"/>
  <c r="M251" i="29"/>
  <c r="N251" i="29"/>
  <c r="O251" i="29"/>
  <c r="P251" i="29"/>
  <c r="Q251" i="29"/>
  <c r="R251" i="29"/>
  <c r="S251" i="29"/>
  <c r="A252" i="29"/>
  <c r="B252" i="29"/>
  <c r="C252" i="29"/>
  <c r="D252" i="29"/>
  <c r="E252" i="29"/>
  <c r="F252" i="29"/>
  <c r="G252" i="29"/>
  <c r="H252" i="29"/>
  <c r="I252" i="29"/>
  <c r="J252" i="29"/>
  <c r="L252" i="29"/>
  <c r="M252" i="29"/>
  <c r="N252" i="29"/>
  <c r="O252" i="29"/>
  <c r="P252" i="29"/>
  <c r="Q252" i="29"/>
  <c r="R252" i="29"/>
  <c r="S252" i="29"/>
  <c r="A253" i="29"/>
  <c r="B253" i="29"/>
  <c r="C253" i="29"/>
  <c r="D253" i="29"/>
  <c r="E253" i="29"/>
  <c r="F253" i="29"/>
  <c r="G253" i="29"/>
  <c r="H253" i="29"/>
  <c r="I253" i="29"/>
  <c r="J253" i="29"/>
  <c r="L253" i="29"/>
  <c r="M253" i="29"/>
  <c r="N253" i="29"/>
  <c r="O253" i="29"/>
  <c r="P253" i="29"/>
  <c r="Q253" i="29"/>
  <c r="R253" i="29"/>
  <c r="S253" i="29"/>
  <c r="A254" i="29"/>
  <c r="B254" i="29"/>
  <c r="C254" i="29"/>
  <c r="D254" i="29"/>
  <c r="E254" i="29"/>
  <c r="F254" i="29"/>
  <c r="G254" i="29"/>
  <c r="H254" i="29"/>
  <c r="I254" i="29"/>
  <c r="J254" i="29"/>
  <c r="L254" i="29"/>
  <c r="M254" i="29"/>
  <c r="N254" i="29"/>
  <c r="O254" i="29"/>
  <c r="P254" i="29"/>
  <c r="Q254" i="29"/>
  <c r="R254" i="29"/>
  <c r="S254" i="29"/>
  <c r="A255" i="29"/>
  <c r="B255" i="29"/>
  <c r="C255" i="29"/>
  <c r="D255" i="29"/>
  <c r="E255" i="29"/>
  <c r="F255" i="29"/>
  <c r="G255" i="29"/>
  <c r="H255" i="29"/>
  <c r="I255" i="29"/>
  <c r="J255" i="29"/>
  <c r="L255" i="29"/>
  <c r="M255" i="29"/>
  <c r="N255" i="29"/>
  <c r="O255" i="29"/>
  <c r="P255" i="29"/>
  <c r="Q255" i="29"/>
  <c r="R255" i="29"/>
  <c r="S255" i="29"/>
  <c r="A256" i="29"/>
  <c r="B256" i="29"/>
  <c r="C256" i="29"/>
  <c r="D256" i="29"/>
  <c r="E256" i="29"/>
  <c r="F256" i="29"/>
  <c r="G256" i="29"/>
  <c r="H256" i="29"/>
  <c r="I256" i="29"/>
  <c r="J256" i="29"/>
  <c r="L256" i="29"/>
  <c r="M256" i="29"/>
  <c r="N256" i="29"/>
  <c r="O256" i="29"/>
  <c r="P256" i="29"/>
  <c r="Q256" i="29"/>
  <c r="R256" i="29"/>
  <c r="S256" i="29"/>
  <c r="A257" i="29"/>
  <c r="B257" i="29"/>
  <c r="C257" i="29"/>
  <c r="D257" i="29"/>
  <c r="E257" i="29"/>
  <c r="F257" i="29"/>
  <c r="G257" i="29"/>
  <c r="H257" i="29"/>
  <c r="I257" i="29"/>
  <c r="J257" i="29"/>
  <c r="L257" i="29"/>
  <c r="M257" i="29"/>
  <c r="N257" i="29"/>
  <c r="O257" i="29"/>
  <c r="P257" i="29"/>
  <c r="Q257" i="29"/>
  <c r="R257" i="29"/>
  <c r="S257" i="29"/>
  <c r="A258" i="29"/>
  <c r="B258" i="29"/>
  <c r="C258" i="29"/>
  <c r="D258" i="29"/>
  <c r="E258" i="29"/>
  <c r="F258" i="29"/>
  <c r="G258" i="29"/>
  <c r="H258" i="29"/>
  <c r="I258" i="29"/>
  <c r="J258" i="29"/>
  <c r="L258" i="29"/>
  <c r="M258" i="29"/>
  <c r="N258" i="29"/>
  <c r="O258" i="29"/>
  <c r="P258" i="29"/>
  <c r="Q258" i="29"/>
  <c r="R258" i="29"/>
  <c r="S258" i="29"/>
  <c r="A259" i="29"/>
  <c r="B259" i="29"/>
  <c r="C259" i="29"/>
  <c r="D259" i="29"/>
  <c r="E259" i="29"/>
  <c r="F259" i="29"/>
  <c r="G259" i="29"/>
  <c r="H259" i="29"/>
  <c r="I259" i="29"/>
  <c r="J259" i="29"/>
  <c r="L259" i="29"/>
  <c r="M259" i="29"/>
  <c r="N259" i="29"/>
  <c r="O259" i="29"/>
  <c r="P259" i="29"/>
  <c r="Q259" i="29"/>
  <c r="R259" i="29"/>
  <c r="S259" i="29"/>
  <c r="A260" i="29"/>
  <c r="B260" i="29"/>
  <c r="C260" i="29"/>
  <c r="D260" i="29"/>
  <c r="E260" i="29"/>
  <c r="F260" i="29"/>
  <c r="G260" i="29"/>
  <c r="H260" i="29"/>
  <c r="I260" i="29"/>
  <c r="J260" i="29"/>
  <c r="L260" i="29"/>
  <c r="M260" i="29"/>
  <c r="N260" i="29"/>
  <c r="O260" i="29"/>
  <c r="P260" i="29"/>
  <c r="Q260" i="29"/>
  <c r="R260" i="29"/>
  <c r="S260" i="29"/>
  <c r="A261" i="29"/>
  <c r="B261" i="29"/>
  <c r="C261" i="29"/>
  <c r="D261" i="29"/>
  <c r="E261" i="29"/>
  <c r="F261" i="29"/>
  <c r="G261" i="29"/>
  <c r="H261" i="29"/>
  <c r="I261" i="29"/>
  <c r="J261" i="29"/>
  <c r="L261" i="29"/>
  <c r="M261" i="29"/>
  <c r="N261" i="29"/>
  <c r="O261" i="29"/>
  <c r="P261" i="29"/>
  <c r="Q261" i="29"/>
  <c r="R261" i="29"/>
  <c r="S261" i="29"/>
  <c r="A262" i="29"/>
  <c r="B262" i="29"/>
  <c r="C262" i="29"/>
  <c r="D262" i="29"/>
  <c r="E262" i="29"/>
  <c r="F262" i="29"/>
  <c r="G262" i="29"/>
  <c r="H262" i="29"/>
  <c r="I262" i="29"/>
  <c r="J262" i="29"/>
  <c r="L262" i="29"/>
  <c r="M262" i="29"/>
  <c r="N262" i="29"/>
  <c r="O262" i="29"/>
  <c r="P262" i="29"/>
  <c r="Q262" i="29"/>
  <c r="R262" i="29"/>
  <c r="S262" i="29"/>
  <c r="A263" i="29"/>
  <c r="B263" i="29"/>
  <c r="C263" i="29"/>
  <c r="D263" i="29"/>
  <c r="E263" i="29"/>
  <c r="F263" i="29"/>
  <c r="G263" i="29"/>
  <c r="H263" i="29"/>
  <c r="I263" i="29"/>
  <c r="J263" i="29"/>
  <c r="L263" i="29"/>
  <c r="M263" i="29"/>
  <c r="N263" i="29"/>
  <c r="O263" i="29"/>
  <c r="P263" i="29"/>
  <c r="Q263" i="29"/>
  <c r="R263" i="29"/>
  <c r="S263" i="29"/>
  <c r="A264" i="29"/>
  <c r="B264" i="29"/>
  <c r="C264" i="29"/>
  <c r="D264" i="29"/>
  <c r="E264" i="29"/>
  <c r="F264" i="29"/>
  <c r="G264" i="29"/>
  <c r="H264" i="29"/>
  <c r="I264" i="29"/>
  <c r="J264" i="29"/>
  <c r="L264" i="29"/>
  <c r="M264" i="29"/>
  <c r="N264" i="29"/>
  <c r="O264" i="29"/>
  <c r="P264" i="29"/>
  <c r="Q264" i="29"/>
  <c r="R264" i="29"/>
  <c r="S264" i="29"/>
  <c r="A265" i="29"/>
  <c r="B265" i="29"/>
  <c r="C265" i="29"/>
  <c r="D265" i="29"/>
  <c r="E265" i="29"/>
  <c r="F265" i="29"/>
  <c r="G265" i="29"/>
  <c r="H265" i="29"/>
  <c r="I265" i="29"/>
  <c r="J265" i="29"/>
  <c r="L265" i="29"/>
  <c r="M265" i="29"/>
  <c r="N265" i="29"/>
  <c r="O265" i="29"/>
  <c r="P265" i="29"/>
  <c r="Q265" i="29"/>
  <c r="R265" i="29"/>
  <c r="S265" i="29"/>
  <c r="A266" i="29"/>
  <c r="B266" i="29"/>
  <c r="C266" i="29"/>
  <c r="D266" i="29"/>
  <c r="E266" i="29"/>
  <c r="F266" i="29"/>
  <c r="G266" i="29"/>
  <c r="H266" i="29"/>
  <c r="I266" i="29"/>
  <c r="J266" i="29"/>
  <c r="L266" i="29"/>
  <c r="M266" i="29"/>
  <c r="N266" i="29"/>
  <c r="O266" i="29"/>
  <c r="P266" i="29"/>
  <c r="Q266" i="29"/>
  <c r="R266" i="29"/>
  <c r="S266" i="29"/>
  <c r="A267" i="29"/>
  <c r="B267" i="29"/>
  <c r="C267" i="29"/>
  <c r="D267" i="29"/>
  <c r="E267" i="29"/>
  <c r="F267" i="29"/>
  <c r="G267" i="29"/>
  <c r="H267" i="29"/>
  <c r="I267" i="29"/>
  <c r="J267" i="29"/>
  <c r="L267" i="29"/>
  <c r="M267" i="29"/>
  <c r="N267" i="29"/>
  <c r="O267" i="29"/>
  <c r="P267" i="29"/>
  <c r="Q267" i="29"/>
  <c r="R267" i="29"/>
  <c r="S267" i="29"/>
  <c r="A268" i="29"/>
  <c r="B268" i="29"/>
  <c r="C268" i="29"/>
  <c r="D268" i="29"/>
  <c r="E268" i="29"/>
  <c r="F268" i="29"/>
  <c r="G268" i="29"/>
  <c r="H268" i="29"/>
  <c r="I268" i="29"/>
  <c r="J268" i="29"/>
  <c r="L268" i="29"/>
  <c r="M268" i="29"/>
  <c r="N268" i="29"/>
  <c r="O268" i="29"/>
  <c r="P268" i="29"/>
  <c r="Q268" i="29"/>
  <c r="R268" i="29"/>
  <c r="S268" i="29"/>
  <c r="A269" i="29"/>
  <c r="B269" i="29"/>
  <c r="C269" i="29"/>
  <c r="D269" i="29"/>
  <c r="E269" i="29"/>
  <c r="F269" i="29"/>
  <c r="G269" i="29"/>
  <c r="H269" i="29"/>
  <c r="I269" i="29"/>
  <c r="J269" i="29"/>
  <c r="L269" i="29"/>
  <c r="M269" i="29"/>
  <c r="N269" i="29"/>
  <c r="O269" i="29"/>
  <c r="P269" i="29"/>
  <c r="Q269" i="29"/>
  <c r="R269" i="29"/>
  <c r="S269" i="29"/>
  <c r="A270" i="29"/>
  <c r="B270" i="29"/>
  <c r="C270" i="29"/>
  <c r="D270" i="29"/>
  <c r="E270" i="29"/>
  <c r="F270" i="29"/>
  <c r="G270" i="29"/>
  <c r="H270" i="29"/>
  <c r="I270" i="29"/>
  <c r="J270" i="29"/>
  <c r="L270" i="29"/>
  <c r="M270" i="29"/>
  <c r="N270" i="29"/>
  <c r="O270" i="29"/>
  <c r="P270" i="29"/>
  <c r="Q270" i="29"/>
  <c r="R270" i="29"/>
  <c r="S270" i="29"/>
  <c r="A271" i="29"/>
  <c r="B271" i="29"/>
  <c r="C271" i="29"/>
  <c r="D271" i="29"/>
  <c r="E271" i="29"/>
  <c r="F271" i="29"/>
  <c r="G271" i="29"/>
  <c r="H271" i="29"/>
  <c r="I271" i="29"/>
  <c r="J271" i="29"/>
  <c r="L271" i="29"/>
  <c r="M271" i="29"/>
  <c r="N271" i="29"/>
  <c r="O271" i="29"/>
  <c r="P271" i="29"/>
  <c r="Q271" i="29"/>
  <c r="R271" i="29"/>
  <c r="S271" i="29"/>
  <c r="A272" i="29"/>
  <c r="B272" i="29"/>
  <c r="C272" i="29"/>
  <c r="D272" i="29"/>
  <c r="E272" i="29"/>
  <c r="F272" i="29"/>
  <c r="G272" i="29"/>
  <c r="H272" i="29"/>
  <c r="I272" i="29"/>
  <c r="J272" i="29"/>
  <c r="L272" i="29"/>
  <c r="M272" i="29"/>
  <c r="N272" i="29"/>
  <c r="O272" i="29"/>
  <c r="P272" i="29"/>
  <c r="Q272" i="29"/>
  <c r="R272" i="29"/>
  <c r="S272" i="29"/>
  <c r="A273" i="29"/>
  <c r="B273" i="29"/>
  <c r="C273" i="29"/>
  <c r="D273" i="29"/>
  <c r="E273" i="29"/>
  <c r="F273" i="29"/>
  <c r="G273" i="29"/>
  <c r="H273" i="29"/>
  <c r="I273" i="29"/>
  <c r="J273" i="29"/>
  <c r="L273" i="29"/>
  <c r="M273" i="29"/>
  <c r="N273" i="29"/>
  <c r="O273" i="29"/>
  <c r="P273" i="29"/>
  <c r="Q273" i="29"/>
  <c r="R273" i="29"/>
  <c r="S273" i="29"/>
  <c r="A274" i="29"/>
  <c r="B274" i="29"/>
  <c r="C274" i="29"/>
  <c r="D274" i="29"/>
  <c r="E274" i="29"/>
  <c r="F274" i="29"/>
  <c r="G274" i="29"/>
  <c r="H274" i="29"/>
  <c r="I274" i="29"/>
  <c r="J274" i="29"/>
  <c r="L274" i="29"/>
  <c r="M274" i="29"/>
  <c r="N274" i="29"/>
  <c r="O274" i="29"/>
  <c r="P274" i="29"/>
  <c r="Q274" i="29"/>
  <c r="R274" i="29"/>
  <c r="S274" i="29"/>
  <c r="A275" i="29"/>
  <c r="B275" i="29"/>
  <c r="C275" i="29"/>
  <c r="D275" i="29"/>
  <c r="E275" i="29"/>
  <c r="F275" i="29"/>
  <c r="G275" i="29"/>
  <c r="H275" i="29"/>
  <c r="I275" i="29"/>
  <c r="J275" i="29"/>
  <c r="L275" i="29"/>
  <c r="M275" i="29"/>
  <c r="N275" i="29"/>
  <c r="O275" i="29"/>
  <c r="P275" i="29"/>
  <c r="Q275" i="29"/>
  <c r="R275" i="29"/>
  <c r="S275" i="29"/>
  <c r="A276" i="29"/>
  <c r="B276" i="29"/>
  <c r="C276" i="29"/>
  <c r="D276" i="29"/>
  <c r="E276" i="29"/>
  <c r="F276" i="29"/>
  <c r="G276" i="29"/>
  <c r="H276" i="29"/>
  <c r="I276" i="29"/>
  <c r="J276" i="29"/>
  <c r="L276" i="29"/>
  <c r="M276" i="29"/>
  <c r="N276" i="29"/>
  <c r="O276" i="29"/>
  <c r="P276" i="29"/>
  <c r="Q276" i="29"/>
  <c r="R276" i="29"/>
  <c r="S276" i="29"/>
  <c r="A277" i="29"/>
  <c r="B277" i="29"/>
  <c r="C277" i="29"/>
  <c r="D277" i="29"/>
  <c r="E277" i="29"/>
  <c r="F277" i="29"/>
  <c r="G277" i="29"/>
  <c r="H277" i="29"/>
  <c r="I277" i="29"/>
  <c r="J277" i="29"/>
  <c r="L277" i="29"/>
  <c r="M277" i="29"/>
  <c r="N277" i="29"/>
  <c r="O277" i="29"/>
  <c r="P277" i="29"/>
  <c r="Q277" i="29"/>
  <c r="R277" i="29"/>
  <c r="S277" i="29"/>
  <c r="A278" i="29"/>
  <c r="B278" i="29"/>
  <c r="C278" i="29"/>
  <c r="D278" i="29"/>
  <c r="E278" i="29"/>
  <c r="F278" i="29"/>
  <c r="G278" i="29"/>
  <c r="H278" i="29"/>
  <c r="I278" i="29"/>
  <c r="J278" i="29"/>
  <c r="L278" i="29"/>
  <c r="M278" i="29"/>
  <c r="N278" i="29"/>
  <c r="O278" i="29"/>
  <c r="P278" i="29"/>
  <c r="Q278" i="29"/>
  <c r="R278" i="29"/>
  <c r="S278" i="29"/>
  <c r="A279" i="29"/>
  <c r="B279" i="29"/>
  <c r="C279" i="29"/>
  <c r="D279" i="29"/>
  <c r="E279" i="29"/>
  <c r="F279" i="29"/>
  <c r="G279" i="29"/>
  <c r="H279" i="29"/>
  <c r="I279" i="29"/>
  <c r="J279" i="29"/>
  <c r="L279" i="29"/>
  <c r="M279" i="29"/>
  <c r="N279" i="29"/>
  <c r="O279" i="29"/>
  <c r="P279" i="29"/>
  <c r="Q279" i="29"/>
  <c r="R279" i="29"/>
  <c r="S279" i="29"/>
  <c r="A280" i="29"/>
  <c r="B280" i="29"/>
  <c r="C280" i="29"/>
  <c r="D280" i="29"/>
  <c r="E280" i="29"/>
  <c r="F280" i="29"/>
  <c r="G280" i="29"/>
  <c r="H280" i="29"/>
  <c r="I280" i="29"/>
  <c r="J280" i="29"/>
  <c r="L280" i="29"/>
  <c r="M280" i="29"/>
  <c r="N280" i="29"/>
  <c r="O280" i="29"/>
  <c r="P280" i="29"/>
  <c r="Q280" i="29"/>
  <c r="R280" i="29"/>
  <c r="S280" i="29"/>
  <c r="A281" i="29"/>
  <c r="B281" i="29"/>
  <c r="C281" i="29"/>
  <c r="D281" i="29"/>
  <c r="E281" i="29"/>
  <c r="F281" i="29"/>
  <c r="G281" i="29"/>
  <c r="H281" i="29"/>
  <c r="I281" i="29"/>
  <c r="J281" i="29"/>
  <c r="L281" i="29"/>
  <c r="M281" i="29"/>
  <c r="N281" i="29"/>
  <c r="O281" i="29"/>
  <c r="P281" i="29"/>
  <c r="Q281" i="29"/>
  <c r="R281" i="29"/>
  <c r="S281" i="29"/>
  <c r="A282" i="29"/>
  <c r="B282" i="29"/>
  <c r="C282" i="29"/>
  <c r="D282" i="29"/>
  <c r="E282" i="29"/>
  <c r="F282" i="29"/>
  <c r="G282" i="29"/>
  <c r="H282" i="29"/>
  <c r="I282" i="29"/>
  <c r="J282" i="29"/>
  <c r="L282" i="29"/>
  <c r="M282" i="29"/>
  <c r="N282" i="29"/>
  <c r="O282" i="29"/>
  <c r="P282" i="29"/>
  <c r="Q282" i="29"/>
  <c r="R282" i="29"/>
  <c r="S282" i="29"/>
  <c r="A283" i="29"/>
  <c r="B283" i="29"/>
  <c r="C283" i="29"/>
  <c r="D283" i="29"/>
  <c r="E283" i="29"/>
  <c r="F283" i="29"/>
  <c r="G283" i="29"/>
  <c r="H283" i="29"/>
  <c r="I283" i="29"/>
  <c r="J283" i="29"/>
  <c r="L283" i="29"/>
  <c r="M283" i="29"/>
  <c r="N283" i="29"/>
  <c r="O283" i="29"/>
  <c r="P283" i="29"/>
  <c r="Q283" i="29"/>
  <c r="R283" i="29"/>
  <c r="S283" i="29"/>
  <c r="A284" i="29"/>
  <c r="B284" i="29"/>
  <c r="C284" i="29"/>
  <c r="D284" i="29"/>
  <c r="E284" i="29"/>
  <c r="F284" i="29"/>
  <c r="G284" i="29"/>
  <c r="H284" i="29"/>
  <c r="I284" i="29"/>
  <c r="J284" i="29"/>
  <c r="L284" i="29"/>
  <c r="M284" i="29"/>
  <c r="N284" i="29"/>
  <c r="O284" i="29"/>
  <c r="P284" i="29"/>
  <c r="Q284" i="29"/>
  <c r="R284" i="29"/>
  <c r="S284" i="29"/>
  <c r="A285" i="29"/>
  <c r="B285" i="29"/>
  <c r="C285" i="29"/>
  <c r="D285" i="29"/>
  <c r="E285" i="29"/>
  <c r="F285" i="29"/>
  <c r="G285" i="29"/>
  <c r="H285" i="29"/>
  <c r="I285" i="29"/>
  <c r="J285" i="29"/>
  <c r="L285" i="29"/>
  <c r="M285" i="29"/>
  <c r="N285" i="29"/>
  <c r="O285" i="29"/>
  <c r="P285" i="29"/>
  <c r="Q285" i="29"/>
  <c r="R285" i="29"/>
  <c r="S285" i="29"/>
  <c r="A286" i="29"/>
  <c r="B286" i="29"/>
  <c r="C286" i="29"/>
  <c r="D286" i="29"/>
  <c r="E286" i="29"/>
  <c r="F286" i="29"/>
  <c r="G286" i="29"/>
  <c r="H286" i="29"/>
  <c r="I286" i="29"/>
  <c r="J286" i="29"/>
  <c r="L286" i="29"/>
  <c r="M286" i="29"/>
  <c r="N286" i="29"/>
  <c r="O286" i="29"/>
  <c r="P286" i="29"/>
  <c r="Q286" i="29"/>
  <c r="R286" i="29"/>
  <c r="S286" i="29"/>
  <c r="A287" i="29"/>
  <c r="B287" i="29"/>
  <c r="C287" i="29"/>
  <c r="D287" i="29"/>
  <c r="E287" i="29"/>
  <c r="F287" i="29"/>
  <c r="G287" i="29"/>
  <c r="H287" i="29"/>
  <c r="I287" i="29"/>
  <c r="J287" i="29"/>
  <c r="L287" i="29"/>
  <c r="M287" i="29"/>
  <c r="N287" i="29"/>
  <c r="O287" i="29"/>
  <c r="P287" i="29"/>
  <c r="Q287" i="29"/>
  <c r="R287" i="29"/>
  <c r="S287" i="29"/>
  <c r="A288" i="29"/>
  <c r="B288" i="29"/>
  <c r="C288" i="29"/>
  <c r="D288" i="29"/>
  <c r="E288" i="29"/>
  <c r="F288" i="29"/>
  <c r="G288" i="29"/>
  <c r="H288" i="29"/>
  <c r="I288" i="29"/>
  <c r="J288" i="29"/>
  <c r="L288" i="29"/>
  <c r="M288" i="29"/>
  <c r="N288" i="29"/>
  <c r="O288" i="29"/>
  <c r="P288" i="29"/>
  <c r="Q288" i="29"/>
  <c r="R288" i="29"/>
  <c r="S288" i="29"/>
  <c r="A289" i="29"/>
  <c r="B289" i="29"/>
  <c r="C289" i="29"/>
  <c r="D289" i="29"/>
  <c r="E289" i="29"/>
  <c r="F289" i="29"/>
  <c r="G289" i="29"/>
  <c r="H289" i="29"/>
  <c r="I289" i="29"/>
  <c r="J289" i="29"/>
  <c r="L289" i="29"/>
  <c r="M289" i="29"/>
  <c r="N289" i="29"/>
  <c r="O289" i="29"/>
  <c r="P289" i="29"/>
  <c r="Q289" i="29"/>
  <c r="R289" i="29"/>
  <c r="S289" i="29"/>
  <c r="A290" i="29"/>
  <c r="B290" i="29"/>
  <c r="C290" i="29"/>
  <c r="D290" i="29"/>
  <c r="E290" i="29"/>
  <c r="F290" i="29"/>
  <c r="G290" i="29"/>
  <c r="H290" i="29"/>
  <c r="I290" i="29"/>
  <c r="J290" i="29"/>
  <c r="L290" i="29"/>
  <c r="M290" i="29"/>
  <c r="N290" i="29"/>
  <c r="O290" i="29"/>
  <c r="P290" i="29"/>
  <c r="Q290" i="29"/>
  <c r="R290" i="29"/>
  <c r="S290" i="29"/>
  <c r="A291" i="29"/>
  <c r="B291" i="29"/>
  <c r="C291" i="29"/>
  <c r="D291" i="29"/>
  <c r="E291" i="29"/>
  <c r="F291" i="29"/>
  <c r="G291" i="29"/>
  <c r="H291" i="29"/>
  <c r="I291" i="29"/>
  <c r="J291" i="29"/>
  <c r="L291" i="29"/>
  <c r="M291" i="29"/>
  <c r="N291" i="29"/>
  <c r="O291" i="29"/>
  <c r="P291" i="29"/>
  <c r="Q291" i="29"/>
  <c r="R291" i="29"/>
  <c r="S291" i="29"/>
  <c r="A292" i="29"/>
  <c r="B292" i="29"/>
  <c r="C292" i="29"/>
  <c r="D292" i="29"/>
  <c r="E292" i="29"/>
  <c r="F292" i="29"/>
  <c r="G292" i="29"/>
  <c r="H292" i="29"/>
  <c r="I292" i="29"/>
  <c r="J292" i="29"/>
  <c r="L292" i="29"/>
  <c r="M292" i="29"/>
  <c r="N292" i="29"/>
  <c r="O292" i="29"/>
  <c r="P292" i="29"/>
  <c r="Q292" i="29"/>
  <c r="R292" i="29"/>
  <c r="S292" i="29"/>
  <c r="A293" i="29"/>
  <c r="B293" i="29"/>
  <c r="C293" i="29"/>
  <c r="D293" i="29"/>
  <c r="E293" i="29"/>
  <c r="F293" i="29"/>
  <c r="G293" i="29"/>
  <c r="H293" i="29"/>
  <c r="I293" i="29"/>
  <c r="J293" i="29"/>
  <c r="L293" i="29"/>
  <c r="M293" i="29"/>
  <c r="N293" i="29"/>
  <c r="O293" i="29"/>
  <c r="P293" i="29"/>
  <c r="Q293" i="29"/>
  <c r="R293" i="29"/>
  <c r="S293" i="29"/>
  <c r="A294" i="29"/>
  <c r="B294" i="29"/>
  <c r="C294" i="29"/>
  <c r="D294" i="29"/>
  <c r="E294" i="29"/>
  <c r="F294" i="29"/>
  <c r="G294" i="29"/>
  <c r="H294" i="29"/>
  <c r="I294" i="29"/>
  <c r="J294" i="29"/>
  <c r="L294" i="29"/>
  <c r="M294" i="29"/>
  <c r="N294" i="29"/>
  <c r="O294" i="29"/>
  <c r="P294" i="29"/>
  <c r="Q294" i="29"/>
  <c r="R294" i="29"/>
  <c r="S294" i="29"/>
  <c r="A295" i="29"/>
  <c r="B295" i="29"/>
  <c r="C295" i="29"/>
  <c r="D295" i="29"/>
  <c r="E295" i="29"/>
  <c r="F295" i="29"/>
  <c r="G295" i="29"/>
  <c r="H295" i="29"/>
  <c r="I295" i="29"/>
  <c r="J295" i="29"/>
  <c r="L295" i="29"/>
  <c r="M295" i="29"/>
  <c r="N295" i="29"/>
  <c r="O295" i="29"/>
  <c r="P295" i="29"/>
  <c r="Q295" i="29"/>
  <c r="R295" i="29"/>
  <c r="S295" i="29"/>
  <c r="A296" i="29"/>
  <c r="B296" i="29"/>
  <c r="C296" i="29"/>
  <c r="D296" i="29"/>
  <c r="E296" i="29"/>
  <c r="F296" i="29"/>
  <c r="G296" i="29"/>
  <c r="H296" i="29"/>
  <c r="I296" i="29"/>
  <c r="J296" i="29"/>
  <c r="L296" i="29"/>
  <c r="M296" i="29"/>
  <c r="N296" i="29"/>
  <c r="O296" i="29"/>
  <c r="P296" i="29"/>
  <c r="Q296" i="29"/>
  <c r="R296" i="29"/>
  <c r="S296" i="29"/>
  <c r="A297" i="29"/>
  <c r="B297" i="29"/>
  <c r="C297" i="29"/>
  <c r="D297" i="29"/>
  <c r="E297" i="29"/>
  <c r="F297" i="29"/>
  <c r="G297" i="29"/>
  <c r="H297" i="29"/>
  <c r="I297" i="29"/>
  <c r="J297" i="29"/>
  <c r="L297" i="29"/>
  <c r="M297" i="29"/>
  <c r="N297" i="29"/>
  <c r="O297" i="29"/>
  <c r="P297" i="29"/>
  <c r="Q297" i="29"/>
  <c r="R297" i="29"/>
  <c r="S297" i="29"/>
  <c r="A298" i="29"/>
  <c r="B298" i="29"/>
  <c r="C298" i="29"/>
  <c r="D298" i="29"/>
  <c r="E298" i="29"/>
  <c r="F298" i="29"/>
  <c r="G298" i="29"/>
  <c r="H298" i="29"/>
  <c r="I298" i="29"/>
  <c r="J298" i="29"/>
  <c r="L298" i="29"/>
  <c r="M298" i="29"/>
  <c r="N298" i="29"/>
  <c r="O298" i="29"/>
  <c r="P298" i="29"/>
  <c r="Q298" i="29"/>
  <c r="R298" i="29"/>
  <c r="S298" i="29"/>
  <c r="A299" i="29"/>
  <c r="B299" i="29"/>
  <c r="C299" i="29"/>
  <c r="D299" i="29"/>
  <c r="E299" i="29"/>
  <c r="F299" i="29"/>
  <c r="G299" i="29"/>
  <c r="H299" i="29"/>
  <c r="I299" i="29"/>
  <c r="J299" i="29"/>
  <c r="L299" i="29"/>
  <c r="M299" i="29"/>
  <c r="N299" i="29"/>
  <c r="O299" i="29"/>
  <c r="P299" i="29"/>
  <c r="Q299" i="29"/>
  <c r="R299" i="29"/>
  <c r="S299" i="29"/>
  <c r="A300" i="29"/>
  <c r="B300" i="29"/>
  <c r="C300" i="29"/>
  <c r="D300" i="29"/>
  <c r="E300" i="29"/>
  <c r="F300" i="29"/>
  <c r="G300" i="29"/>
  <c r="H300" i="29"/>
  <c r="I300" i="29"/>
  <c r="J300" i="29"/>
  <c r="L300" i="29"/>
  <c r="M300" i="29"/>
  <c r="N300" i="29"/>
  <c r="O300" i="29"/>
  <c r="P300" i="29"/>
  <c r="Q300" i="29"/>
  <c r="R300" i="29"/>
  <c r="S300" i="29"/>
  <c r="A301" i="29"/>
  <c r="B301" i="29"/>
  <c r="C301" i="29"/>
  <c r="D301" i="29"/>
  <c r="E301" i="29"/>
  <c r="F301" i="29"/>
  <c r="G301" i="29"/>
  <c r="H301" i="29"/>
  <c r="I301" i="29"/>
  <c r="J301" i="29"/>
  <c r="L301" i="29"/>
  <c r="M301" i="29"/>
  <c r="N301" i="29"/>
  <c r="O301" i="29"/>
  <c r="P301" i="29"/>
  <c r="Q301" i="29"/>
  <c r="R301" i="29"/>
  <c r="S301" i="29"/>
  <c r="A302" i="29"/>
  <c r="B302" i="29"/>
  <c r="C302" i="29"/>
  <c r="D302" i="29"/>
  <c r="E302" i="29"/>
  <c r="F302" i="29"/>
  <c r="G302" i="29"/>
  <c r="H302" i="29"/>
  <c r="I302" i="29"/>
  <c r="J302" i="29"/>
  <c r="L302" i="29"/>
  <c r="M302" i="29"/>
  <c r="N302" i="29"/>
  <c r="O302" i="29"/>
  <c r="P302" i="29"/>
  <c r="Q302" i="29"/>
  <c r="R302" i="29"/>
  <c r="S302" i="29"/>
  <c r="A303" i="29"/>
  <c r="B303" i="29"/>
  <c r="C303" i="29"/>
  <c r="D303" i="29"/>
  <c r="E303" i="29"/>
  <c r="F303" i="29"/>
  <c r="G303" i="29"/>
  <c r="H303" i="29"/>
  <c r="I303" i="29"/>
  <c r="J303" i="29"/>
  <c r="L303" i="29"/>
  <c r="M303" i="29"/>
  <c r="N303" i="29"/>
  <c r="O303" i="29"/>
  <c r="P303" i="29"/>
  <c r="Q303" i="29"/>
  <c r="R303" i="29"/>
  <c r="S303" i="29"/>
  <c r="A304" i="29"/>
  <c r="B304" i="29"/>
  <c r="C304" i="29"/>
  <c r="D304" i="29"/>
  <c r="E304" i="29"/>
  <c r="F304" i="29"/>
  <c r="G304" i="29"/>
  <c r="H304" i="29"/>
  <c r="I304" i="29"/>
  <c r="J304" i="29"/>
  <c r="L304" i="29"/>
  <c r="M304" i="29"/>
  <c r="N304" i="29"/>
  <c r="O304" i="29"/>
  <c r="P304" i="29"/>
  <c r="Q304" i="29"/>
  <c r="R304" i="29"/>
  <c r="S304" i="29"/>
  <c r="A305" i="29"/>
  <c r="B305" i="29"/>
  <c r="C305" i="29"/>
  <c r="D305" i="29"/>
  <c r="E305" i="29"/>
  <c r="F305" i="29"/>
  <c r="G305" i="29"/>
  <c r="H305" i="29"/>
  <c r="I305" i="29"/>
  <c r="J305" i="29"/>
  <c r="L305" i="29"/>
  <c r="M305" i="29"/>
  <c r="N305" i="29"/>
  <c r="O305" i="29"/>
  <c r="P305" i="29"/>
  <c r="Q305" i="29"/>
  <c r="R305" i="29"/>
  <c r="S305" i="29"/>
  <c r="A306" i="29"/>
  <c r="B306" i="29"/>
  <c r="C306" i="29"/>
  <c r="D306" i="29"/>
  <c r="E306" i="29"/>
  <c r="F306" i="29"/>
  <c r="G306" i="29"/>
  <c r="H306" i="29"/>
  <c r="I306" i="29"/>
  <c r="J306" i="29"/>
  <c r="L306" i="29"/>
  <c r="M306" i="29"/>
  <c r="N306" i="29"/>
  <c r="O306" i="29"/>
  <c r="P306" i="29"/>
  <c r="Q306" i="29"/>
  <c r="R306" i="29"/>
  <c r="S306" i="29"/>
  <c r="A307" i="29"/>
  <c r="B307" i="29"/>
  <c r="C307" i="29"/>
  <c r="D307" i="29"/>
  <c r="E307" i="29"/>
  <c r="F307" i="29"/>
  <c r="G307" i="29"/>
  <c r="H307" i="29"/>
  <c r="I307" i="29"/>
  <c r="J307" i="29"/>
  <c r="L307" i="29"/>
  <c r="M307" i="29"/>
  <c r="N307" i="29"/>
  <c r="O307" i="29"/>
  <c r="P307" i="29"/>
  <c r="Q307" i="29"/>
  <c r="R307" i="29"/>
  <c r="S307" i="29"/>
  <c r="A308" i="29"/>
  <c r="B308" i="29"/>
  <c r="C308" i="29"/>
  <c r="D308" i="29"/>
  <c r="E308" i="29"/>
  <c r="F308" i="29"/>
  <c r="G308" i="29"/>
  <c r="H308" i="29"/>
  <c r="I308" i="29"/>
  <c r="J308" i="29"/>
  <c r="L308" i="29"/>
  <c r="M308" i="29"/>
  <c r="N308" i="29"/>
  <c r="O308" i="29"/>
  <c r="P308" i="29"/>
  <c r="Q308" i="29"/>
  <c r="R308" i="29"/>
  <c r="S308" i="29"/>
  <c r="A309" i="29"/>
  <c r="B309" i="29"/>
  <c r="C309" i="29"/>
  <c r="D309" i="29"/>
  <c r="E309" i="29"/>
  <c r="F309" i="29"/>
  <c r="G309" i="29"/>
  <c r="H309" i="29"/>
  <c r="I309" i="29"/>
  <c r="J309" i="29"/>
  <c r="L309" i="29"/>
  <c r="M309" i="29"/>
  <c r="N309" i="29"/>
  <c r="O309" i="29"/>
  <c r="P309" i="29"/>
  <c r="Q309" i="29"/>
  <c r="R309" i="29"/>
  <c r="S309" i="29"/>
  <c r="A310" i="29"/>
  <c r="B310" i="29"/>
  <c r="C310" i="29"/>
  <c r="D310" i="29"/>
  <c r="E310" i="29"/>
  <c r="F310" i="29"/>
  <c r="G310" i="29"/>
  <c r="H310" i="29"/>
  <c r="I310" i="29"/>
  <c r="J310" i="29"/>
  <c r="L310" i="29"/>
  <c r="M310" i="29"/>
  <c r="N310" i="29"/>
  <c r="O310" i="29"/>
  <c r="P310" i="29"/>
  <c r="Q310" i="29"/>
  <c r="R310" i="29"/>
  <c r="S310" i="29"/>
  <c r="A311" i="29"/>
  <c r="B311" i="29"/>
  <c r="C311" i="29"/>
  <c r="D311" i="29"/>
  <c r="E311" i="29"/>
  <c r="F311" i="29"/>
  <c r="G311" i="29"/>
  <c r="H311" i="29"/>
  <c r="I311" i="29"/>
  <c r="J311" i="29"/>
  <c r="L311" i="29"/>
  <c r="M311" i="29"/>
  <c r="N311" i="29"/>
  <c r="O311" i="29"/>
  <c r="P311" i="29"/>
  <c r="Q311" i="29"/>
  <c r="R311" i="29"/>
  <c r="S311" i="29"/>
  <c r="A312" i="29"/>
  <c r="B312" i="29"/>
  <c r="C312" i="29"/>
  <c r="D312" i="29"/>
  <c r="E312" i="29"/>
  <c r="F312" i="29"/>
  <c r="G312" i="29"/>
  <c r="H312" i="29"/>
  <c r="I312" i="29"/>
  <c r="J312" i="29"/>
  <c r="L312" i="29"/>
  <c r="M312" i="29"/>
  <c r="N312" i="29"/>
  <c r="O312" i="29"/>
  <c r="P312" i="29"/>
  <c r="Q312" i="29"/>
  <c r="R312" i="29"/>
  <c r="S312" i="29"/>
  <c r="A313" i="29"/>
  <c r="B313" i="29"/>
  <c r="C313" i="29"/>
  <c r="D313" i="29"/>
  <c r="E313" i="29"/>
  <c r="F313" i="29"/>
  <c r="G313" i="29"/>
  <c r="H313" i="29"/>
  <c r="I313" i="29"/>
  <c r="J313" i="29"/>
  <c r="L313" i="29"/>
  <c r="M313" i="29"/>
  <c r="N313" i="29"/>
  <c r="O313" i="29"/>
  <c r="P313" i="29"/>
  <c r="Q313" i="29"/>
  <c r="R313" i="29"/>
  <c r="S313" i="29"/>
  <c r="A314" i="29"/>
  <c r="B314" i="29"/>
  <c r="C314" i="29"/>
  <c r="D314" i="29"/>
  <c r="E314" i="29"/>
  <c r="F314" i="29"/>
  <c r="G314" i="29"/>
  <c r="H314" i="29"/>
  <c r="I314" i="29"/>
  <c r="J314" i="29"/>
  <c r="L314" i="29"/>
  <c r="M314" i="29"/>
  <c r="N314" i="29"/>
  <c r="O314" i="29"/>
  <c r="P314" i="29"/>
  <c r="Q314" i="29"/>
  <c r="R314" i="29"/>
  <c r="S314" i="29"/>
  <c r="A315" i="29"/>
  <c r="B315" i="29"/>
  <c r="C315" i="29"/>
  <c r="D315" i="29"/>
  <c r="E315" i="29"/>
  <c r="F315" i="29"/>
  <c r="G315" i="29"/>
  <c r="H315" i="29"/>
  <c r="I315" i="29"/>
  <c r="J315" i="29"/>
  <c r="L315" i="29"/>
  <c r="M315" i="29"/>
  <c r="N315" i="29"/>
  <c r="O315" i="29"/>
  <c r="P315" i="29"/>
  <c r="Q315" i="29"/>
  <c r="R315" i="29"/>
  <c r="S315" i="29"/>
  <c r="A316" i="29"/>
  <c r="B316" i="29"/>
  <c r="C316" i="29"/>
  <c r="D316" i="29"/>
  <c r="E316" i="29"/>
  <c r="F316" i="29"/>
  <c r="G316" i="29"/>
  <c r="H316" i="29"/>
  <c r="I316" i="29"/>
  <c r="J316" i="29"/>
  <c r="L316" i="29"/>
  <c r="M316" i="29"/>
  <c r="N316" i="29"/>
  <c r="O316" i="29"/>
  <c r="P316" i="29"/>
  <c r="Q316" i="29"/>
  <c r="R316" i="29"/>
  <c r="S316" i="29"/>
  <c r="A317" i="29"/>
  <c r="B317" i="29"/>
  <c r="C317" i="29"/>
  <c r="D317" i="29"/>
  <c r="E317" i="29"/>
  <c r="F317" i="29"/>
  <c r="G317" i="29"/>
  <c r="H317" i="29"/>
  <c r="I317" i="29"/>
  <c r="J317" i="29"/>
  <c r="L317" i="29"/>
  <c r="M317" i="29"/>
  <c r="N317" i="29"/>
  <c r="O317" i="29"/>
  <c r="P317" i="29"/>
  <c r="Q317" i="29"/>
  <c r="R317" i="29"/>
  <c r="S317" i="29"/>
  <c r="A318" i="29"/>
  <c r="B318" i="29"/>
  <c r="C318" i="29"/>
  <c r="D318" i="29"/>
  <c r="E318" i="29"/>
  <c r="F318" i="29"/>
  <c r="G318" i="29"/>
  <c r="H318" i="29"/>
  <c r="I318" i="29"/>
  <c r="J318" i="29"/>
  <c r="L318" i="29"/>
  <c r="M318" i="29"/>
  <c r="N318" i="29"/>
  <c r="O318" i="29"/>
  <c r="P318" i="29"/>
  <c r="Q318" i="29"/>
  <c r="R318" i="29"/>
  <c r="S318" i="29"/>
  <c r="A319" i="29"/>
  <c r="B319" i="29"/>
  <c r="C319" i="29"/>
  <c r="D319" i="29"/>
  <c r="E319" i="29"/>
  <c r="F319" i="29"/>
  <c r="G319" i="29"/>
  <c r="H319" i="29"/>
  <c r="I319" i="29"/>
  <c r="J319" i="29"/>
  <c r="L319" i="29"/>
  <c r="M319" i="29"/>
  <c r="N319" i="29"/>
  <c r="O319" i="29"/>
  <c r="P319" i="29"/>
  <c r="Q319" i="29"/>
  <c r="R319" i="29"/>
  <c r="S319" i="29"/>
  <c r="A320" i="29"/>
  <c r="B320" i="29"/>
  <c r="C320" i="29"/>
  <c r="D320" i="29"/>
  <c r="E320" i="29"/>
  <c r="F320" i="29"/>
  <c r="G320" i="29"/>
  <c r="H320" i="29"/>
  <c r="I320" i="29"/>
  <c r="J320" i="29"/>
  <c r="L320" i="29"/>
  <c r="M320" i="29"/>
  <c r="N320" i="29"/>
  <c r="O320" i="29"/>
  <c r="P320" i="29"/>
  <c r="Q320" i="29"/>
  <c r="R320" i="29"/>
  <c r="S320" i="29"/>
  <c r="A321" i="29"/>
  <c r="B321" i="29"/>
  <c r="C321" i="29"/>
  <c r="D321" i="29"/>
  <c r="E321" i="29"/>
  <c r="F321" i="29"/>
  <c r="G321" i="29"/>
  <c r="H321" i="29"/>
  <c r="I321" i="29"/>
  <c r="J321" i="29"/>
  <c r="L321" i="29"/>
  <c r="M321" i="29"/>
  <c r="N321" i="29"/>
  <c r="O321" i="29"/>
  <c r="P321" i="29"/>
  <c r="Q321" i="29"/>
  <c r="R321" i="29"/>
  <c r="S321" i="29"/>
  <c r="A322" i="29"/>
  <c r="B322" i="29"/>
  <c r="C322" i="29"/>
  <c r="D322" i="29"/>
  <c r="E322" i="29"/>
  <c r="F322" i="29"/>
  <c r="G322" i="29"/>
  <c r="H322" i="29"/>
  <c r="I322" i="29"/>
  <c r="J322" i="29"/>
  <c r="L322" i="29"/>
  <c r="M322" i="29"/>
  <c r="N322" i="29"/>
  <c r="O322" i="29"/>
  <c r="P322" i="29"/>
  <c r="Q322" i="29"/>
  <c r="R322" i="29"/>
  <c r="S322" i="29"/>
  <c r="A323" i="29"/>
  <c r="B323" i="29"/>
  <c r="C323" i="29"/>
  <c r="D323" i="29"/>
  <c r="E323" i="29"/>
  <c r="F323" i="29"/>
  <c r="G323" i="29"/>
  <c r="H323" i="29"/>
  <c r="I323" i="29"/>
  <c r="J323" i="29"/>
  <c r="L323" i="29"/>
  <c r="M323" i="29"/>
  <c r="N323" i="29"/>
  <c r="O323" i="29"/>
  <c r="P323" i="29"/>
  <c r="Q323" i="29"/>
  <c r="R323" i="29"/>
  <c r="S323" i="29"/>
  <c r="A324" i="29"/>
  <c r="B324" i="29"/>
  <c r="C324" i="29"/>
  <c r="D324" i="29"/>
  <c r="E324" i="29"/>
  <c r="F324" i="29"/>
  <c r="G324" i="29"/>
  <c r="H324" i="29"/>
  <c r="I324" i="29"/>
  <c r="J324" i="29"/>
  <c r="L324" i="29"/>
  <c r="M324" i="29"/>
  <c r="N324" i="29"/>
  <c r="O324" i="29"/>
  <c r="P324" i="29"/>
  <c r="Q324" i="29"/>
  <c r="R324" i="29"/>
  <c r="S324" i="29"/>
  <c r="A325" i="29"/>
  <c r="B325" i="29"/>
  <c r="C325" i="29"/>
  <c r="D325" i="29"/>
  <c r="E325" i="29"/>
  <c r="F325" i="29"/>
  <c r="G325" i="29"/>
  <c r="H325" i="29"/>
  <c r="I325" i="29"/>
  <c r="J325" i="29"/>
  <c r="L325" i="29"/>
  <c r="M325" i="29"/>
  <c r="N325" i="29"/>
  <c r="O325" i="29"/>
  <c r="P325" i="29"/>
  <c r="Q325" i="29"/>
  <c r="R325" i="29"/>
  <c r="S325" i="29"/>
  <c r="A326" i="29"/>
  <c r="B326" i="29"/>
  <c r="C326" i="29"/>
  <c r="D326" i="29"/>
  <c r="E326" i="29"/>
  <c r="F326" i="29"/>
  <c r="G326" i="29"/>
  <c r="H326" i="29"/>
  <c r="I326" i="29"/>
  <c r="J326" i="29"/>
  <c r="L326" i="29"/>
  <c r="M326" i="29"/>
  <c r="N326" i="29"/>
  <c r="O326" i="29"/>
  <c r="P326" i="29"/>
  <c r="Q326" i="29"/>
  <c r="R326" i="29"/>
  <c r="S326" i="29"/>
  <c r="A327" i="29"/>
  <c r="B327" i="29"/>
  <c r="C327" i="29"/>
  <c r="D327" i="29"/>
  <c r="E327" i="29"/>
  <c r="F327" i="29"/>
  <c r="G327" i="29"/>
  <c r="H327" i="29"/>
  <c r="I327" i="29"/>
  <c r="J327" i="29"/>
  <c r="L327" i="29"/>
  <c r="M327" i="29"/>
  <c r="N327" i="29"/>
  <c r="O327" i="29"/>
  <c r="P327" i="29"/>
  <c r="Q327" i="29"/>
  <c r="R327" i="29"/>
  <c r="S327" i="29"/>
  <c r="A328" i="29"/>
  <c r="B328" i="29"/>
  <c r="C328" i="29"/>
  <c r="D328" i="29"/>
  <c r="E328" i="29"/>
  <c r="F328" i="29"/>
  <c r="G328" i="29"/>
  <c r="H328" i="29"/>
  <c r="I328" i="29"/>
  <c r="J328" i="29"/>
  <c r="L328" i="29"/>
  <c r="M328" i="29"/>
  <c r="N328" i="29"/>
  <c r="O328" i="29"/>
  <c r="P328" i="29"/>
  <c r="Q328" i="29"/>
  <c r="R328" i="29"/>
  <c r="S328" i="29"/>
  <c r="A329" i="29"/>
  <c r="B329" i="29"/>
  <c r="C329" i="29"/>
  <c r="D329" i="29"/>
  <c r="E329" i="29"/>
  <c r="F329" i="29"/>
  <c r="G329" i="29"/>
  <c r="H329" i="29"/>
  <c r="I329" i="29"/>
  <c r="J329" i="29"/>
  <c r="L329" i="29"/>
  <c r="M329" i="29"/>
  <c r="N329" i="29"/>
  <c r="O329" i="29"/>
  <c r="P329" i="29"/>
  <c r="Q329" i="29"/>
  <c r="R329" i="29"/>
  <c r="S329" i="29"/>
  <c r="A330" i="29"/>
  <c r="B330" i="29"/>
  <c r="C330" i="29"/>
  <c r="D330" i="29"/>
  <c r="E330" i="29"/>
  <c r="F330" i="29"/>
  <c r="G330" i="29"/>
  <c r="H330" i="29"/>
  <c r="I330" i="29"/>
  <c r="J330" i="29"/>
  <c r="L330" i="29"/>
  <c r="M330" i="29"/>
  <c r="N330" i="29"/>
  <c r="O330" i="29"/>
  <c r="P330" i="29"/>
  <c r="Q330" i="29"/>
  <c r="R330" i="29"/>
  <c r="S330" i="29"/>
  <c r="A331" i="29"/>
  <c r="B331" i="29"/>
  <c r="C331" i="29"/>
  <c r="D331" i="29"/>
  <c r="E331" i="29"/>
  <c r="F331" i="29"/>
  <c r="G331" i="29"/>
  <c r="H331" i="29"/>
  <c r="I331" i="29"/>
  <c r="J331" i="29"/>
  <c r="L331" i="29"/>
  <c r="M331" i="29"/>
  <c r="N331" i="29"/>
  <c r="O331" i="29"/>
  <c r="P331" i="29"/>
  <c r="Q331" i="29"/>
  <c r="R331" i="29"/>
  <c r="S331" i="29"/>
  <c r="A332" i="29"/>
  <c r="B332" i="29"/>
  <c r="C332" i="29"/>
  <c r="D332" i="29"/>
  <c r="E332" i="29"/>
  <c r="F332" i="29"/>
  <c r="G332" i="29"/>
  <c r="H332" i="29"/>
  <c r="I332" i="29"/>
  <c r="J332" i="29"/>
  <c r="L332" i="29"/>
  <c r="M332" i="29"/>
  <c r="N332" i="29"/>
  <c r="O332" i="29"/>
  <c r="P332" i="29"/>
  <c r="Q332" i="29"/>
  <c r="R332" i="29"/>
  <c r="S332" i="29"/>
  <c r="A333" i="29"/>
  <c r="B333" i="29"/>
  <c r="C333" i="29"/>
  <c r="D333" i="29"/>
  <c r="E333" i="29"/>
  <c r="F333" i="29"/>
  <c r="G333" i="29"/>
  <c r="H333" i="29"/>
  <c r="I333" i="29"/>
  <c r="J333" i="29"/>
  <c r="L333" i="29"/>
  <c r="M333" i="29"/>
  <c r="N333" i="29"/>
  <c r="O333" i="29"/>
  <c r="P333" i="29"/>
  <c r="Q333" i="29"/>
  <c r="R333" i="29"/>
  <c r="S333" i="29"/>
  <c r="A334" i="29"/>
  <c r="B334" i="29"/>
  <c r="C334" i="29"/>
  <c r="D334" i="29"/>
  <c r="E334" i="29"/>
  <c r="F334" i="29"/>
  <c r="G334" i="29"/>
  <c r="H334" i="29"/>
  <c r="I334" i="29"/>
  <c r="J334" i="29"/>
  <c r="L334" i="29"/>
  <c r="M334" i="29"/>
  <c r="N334" i="29"/>
  <c r="O334" i="29"/>
  <c r="P334" i="29"/>
  <c r="Q334" i="29"/>
  <c r="R334" i="29"/>
  <c r="S334" i="29"/>
  <c r="A335" i="29"/>
  <c r="B335" i="29"/>
  <c r="C335" i="29"/>
  <c r="D335" i="29"/>
  <c r="E335" i="29"/>
  <c r="F335" i="29"/>
  <c r="G335" i="29"/>
  <c r="H335" i="29"/>
  <c r="I335" i="29"/>
  <c r="J335" i="29"/>
  <c r="L335" i="29"/>
  <c r="M335" i="29"/>
  <c r="N335" i="29"/>
  <c r="O335" i="29"/>
  <c r="P335" i="29"/>
  <c r="Q335" i="29"/>
  <c r="R335" i="29"/>
  <c r="S335" i="29"/>
  <c r="A336" i="29"/>
  <c r="B336" i="29"/>
  <c r="C336" i="29"/>
  <c r="D336" i="29"/>
  <c r="E336" i="29"/>
  <c r="F336" i="29"/>
  <c r="G336" i="29"/>
  <c r="H336" i="29"/>
  <c r="I336" i="29"/>
  <c r="J336" i="29"/>
  <c r="L336" i="29"/>
  <c r="M336" i="29"/>
  <c r="N336" i="29"/>
  <c r="O336" i="29"/>
  <c r="P336" i="29"/>
  <c r="Q336" i="29"/>
  <c r="R336" i="29"/>
  <c r="S336" i="29"/>
  <c r="A337" i="29"/>
  <c r="B337" i="29"/>
  <c r="C337" i="29"/>
  <c r="D337" i="29"/>
  <c r="E337" i="29"/>
  <c r="F337" i="29"/>
  <c r="G337" i="29"/>
  <c r="H337" i="29"/>
  <c r="I337" i="29"/>
  <c r="J337" i="29"/>
  <c r="L337" i="29"/>
  <c r="M337" i="29"/>
  <c r="N337" i="29"/>
  <c r="O337" i="29"/>
  <c r="P337" i="29"/>
  <c r="Q337" i="29"/>
  <c r="R337" i="29"/>
  <c r="S337" i="29"/>
  <c r="A338" i="29"/>
  <c r="B338" i="29"/>
  <c r="C338" i="29"/>
  <c r="D338" i="29"/>
  <c r="E338" i="29"/>
  <c r="F338" i="29"/>
  <c r="G338" i="29"/>
  <c r="H338" i="29"/>
  <c r="I338" i="29"/>
  <c r="J338" i="29"/>
  <c r="L338" i="29"/>
  <c r="M338" i="29"/>
  <c r="N338" i="29"/>
  <c r="O338" i="29"/>
  <c r="P338" i="29"/>
  <c r="Q338" i="29"/>
  <c r="R338" i="29"/>
  <c r="S338" i="29"/>
  <c r="A339" i="29"/>
  <c r="B339" i="29"/>
  <c r="C339" i="29"/>
  <c r="D339" i="29"/>
  <c r="E339" i="29"/>
  <c r="F339" i="29"/>
  <c r="G339" i="29"/>
  <c r="H339" i="29"/>
  <c r="I339" i="29"/>
  <c r="J339" i="29"/>
  <c r="L339" i="29"/>
  <c r="M339" i="29"/>
  <c r="N339" i="29"/>
  <c r="O339" i="29"/>
  <c r="P339" i="29"/>
  <c r="Q339" i="29"/>
  <c r="R339" i="29"/>
  <c r="S339" i="29"/>
  <c r="A340" i="29"/>
  <c r="B340" i="29"/>
  <c r="C340" i="29"/>
  <c r="D340" i="29"/>
  <c r="E340" i="29"/>
  <c r="F340" i="29"/>
  <c r="G340" i="29"/>
  <c r="H340" i="29"/>
  <c r="I340" i="29"/>
  <c r="J340" i="29"/>
  <c r="L340" i="29"/>
  <c r="M340" i="29"/>
  <c r="N340" i="29"/>
  <c r="O340" i="29"/>
  <c r="P340" i="29"/>
  <c r="Q340" i="29"/>
  <c r="R340" i="29"/>
  <c r="S340" i="29"/>
  <c r="A341" i="29"/>
  <c r="B341" i="29"/>
  <c r="C341" i="29"/>
  <c r="D341" i="29"/>
  <c r="E341" i="29"/>
  <c r="F341" i="29"/>
  <c r="G341" i="29"/>
  <c r="H341" i="29"/>
  <c r="I341" i="29"/>
  <c r="J341" i="29"/>
  <c r="L341" i="29"/>
  <c r="M341" i="29"/>
  <c r="N341" i="29"/>
  <c r="O341" i="29"/>
  <c r="P341" i="29"/>
  <c r="Q341" i="29"/>
  <c r="R341" i="29"/>
  <c r="S341" i="29"/>
  <c r="A342" i="29"/>
  <c r="B342" i="29"/>
  <c r="C342" i="29"/>
  <c r="D342" i="29"/>
  <c r="E342" i="29"/>
  <c r="F342" i="29"/>
  <c r="G342" i="29"/>
  <c r="H342" i="29"/>
  <c r="I342" i="29"/>
  <c r="J342" i="29"/>
  <c r="L342" i="29"/>
  <c r="M342" i="29"/>
  <c r="N342" i="29"/>
  <c r="O342" i="29"/>
  <c r="P342" i="29"/>
  <c r="Q342" i="29"/>
  <c r="R342" i="29"/>
  <c r="S342" i="29"/>
  <c r="A343" i="29"/>
  <c r="B343" i="29"/>
  <c r="C343" i="29"/>
  <c r="D343" i="29"/>
  <c r="E343" i="29"/>
  <c r="F343" i="29"/>
  <c r="G343" i="29"/>
  <c r="H343" i="29"/>
  <c r="I343" i="29"/>
  <c r="J343" i="29"/>
  <c r="L343" i="29"/>
  <c r="M343" i="29"/>
  <c r="N343" i="29"/>
  <c r="O343" i="29"/>
  <c r="P343" i="29"/>
  <c r="Q343" i="29"/>
  <c r="R343" i="29"/>
  <c r="S343" i="29"/>
  <c r="A344" i="29"/>
  <c r="B344" i="29"/>
  <c r="C344" i="29"/>
  <c r="D344" i="29"/>
  <c r="E344" i="29"/>
  <c r="F344" i="29"/>
  <c r="G344" i="29"/>
  <c r="H344" i="29"/>
  <c r="I344" i="29"/>
  <c r="J344" i="29"/>
  <c r="L344" i="29"/>
  <c r="M344" i="29"/>
  <c r="N344" i="29"/>
  <c r="O344" i="29"/>
  <c r="P344" i="29"/>
  <c r="Q344" i="29"/>
  <c r="R344" i="29"/>
  <c r="S344" i="29"/>
  <c r="A345" i="29"/>
  <c r="B345" i="29"/>
  <c r="C345" i="29"/>
  <c r="D345" i="29"/>
  <c r="E345" i="29"/>
  <c r="F345" i="29"/>
  <c r="G345" i="29"/>
  <c r="H345" i="29"/>
  <c r="I345" i="29"/>
  <c r="J345" i="29"/>
  <c r="L345" i="29"/>
  <c r="M345" i="29"/>
  <c r="N345" i="29"/>
  <c r="O345" i="29"/>
  <c r="P345" i="29"/>
  <c r="Q345" i="29"/>
  <c r="R345" i="29"/>
  <c r="S345" i="29"/>
  <c r="A346" i="29"/>
  <c r="B346" i="29"/>
  <c r="C346" i="29"/>
  <c r="D346" i="29"/>
  <c r="E346" i="29"/>
  <c r="F346" i="29"/>
  <c r="G346" i="29"/>
  <c r="H346" i="29"/>
  <c r="I346" i="29"/>
  <c r="J346" i="29"/>
  <c r="L346" i="29"/>
  <c r="M346" i="29"/>
  <c r="N346" i="29"/>
  <c r="O346" i="29"/>
  <c r="P346" i="29"/>
  <c r="Q346" i="29"/>
  <c r="R346" i="29"/>
  <c r="S346" i="29"/>
  <c r="A347" i="29"/>
  <c r="B347" i="29"/>
  <c r="C347" i="29"/>
  <c r="D347" i="29"/>
  <c r="E347" i="29"/>
  <c r="F347" i="29"/>
  <c r="G347" i="29"/>
  <c r="H347" i="29"/>
  <c r="I347" i="29"/>
  <c r="J347" i="29"/>
  <c r="L347" i="29"/>
  <c r="M347" i="29"/>
  <c r="N347" i="29"/>
  <c r="O347" i="29"/>
  <c r="P347" i="29"/>
  <c r="Q347" i="29"/>
  <c r="R347" i="29"/>
  <c r="S347" i="29"/>
  <c r="A348" i="29"/>
  <c r="B348" i="29"/>
  <c r="C348" i="29"/>
  <c r="D348" i="29"/>
  <c r="E348" i="29"/>
  <c r="F348" i="29"/>
  <c r="G348" i="29"/>
  <c r="H348" i="29"/>
  <c r="I348" i="29"/>
  <c r="J348" i="29"/>
  <c r="L348" i="29"/>
  <c r="M348" i="29"/>
  <c r="N348" i="29"/>
  <c r="O348" i="29"/>
  <c r="P348" i="29"/>
  <c r="Q348" i="29"/>
  <c r="R348" i="29"/>
  <c r="S348" i="29"/>
  <c r="A349" i="29"/>
  <c r="B349" i="29"/>
  <c r="C349" i="29"/>
  <c r="D349" i="29"/>
  <c r="E349" i="29"/>
  <c r="F349" i="29"/>
  <c r="G349" i="29"/>
  <c r="H349" i="29"/>
  <c r="I349" i="29"/>
  <c r="J349" i="29"/>
  <c r="L349" i="29"/>
  <c r="M349" i="29"/>
  <c r="N349" i="29"/>
  <c r="O349" i="29"/>
  <c r="P349" i="29"/>
  <c r="Q349" i="29"/>
  <c r="R349" i="29"/>
  <c r="S349" i="29"/>
  <c r="A350" i="29"/>
  <c r="B350" i="29"/>
  <c r="C350" i="29"/>
  <c r="D350" i="29"/>
  <c r="E350" i="29"/>
  <c r="F350" i="29"/>
  <c r="G350" i="29"/>
  <c r="H350" i="29"/>
  <c r="I350" i="29"/>
  <c r="J350" i="29"/>
  <c r="L350" i="29"/>
  <c r="M350" i="29"/>
  <c r="N350" i="29"/>
  <c r="O350" i="29"/>
  <c r="P350" i="29"/>
  <c r="Q350" i="29"/>
  <c r="R350" i="29"/>
  <c r="S350" i="29"/>
  <c r="A351" i="29"/>
  <c r="B351" i="29"/>
  <c r="C351" i="29"/>
  <c r="D351" i="29"/>
  <c r="E351" i="29"/>
  <c r="F351" i="29"/>
  <c r="G351" i="29"/>
  <c r="H351" i="29"/>
  <c r="I351" i="29"/>
  <c r="J351" i="29"/>
  <c r="L351" i="29"/>
  <c r="M351" i="29"/>
  <c r="N351" i="29"/>
  <c r="O351" i="29"/>
  <c r="P351" i="29"/>
  <c r="Q351" i="29"/>
  <c r="R351" i="29"/>
  <c r="S351" i="29"/>
  <c r="A352" i="29"/>
  <c r="B352" i="29"/>
  <c r="C352" i="29"/>
  <c r="D352" i="29"/>
  <c r="E352" i="29"/>
  <c r="F352" i="29"/>
  <c r="G352" i="29"/>
  <c r="H352" i="29"/>
  <c r="I352" i="29"/>
  <c r="J352" i="29"/>
  <c r="L352" i="29"/>
  <c r="M352" i="29"/>
  <c r="N352" i="29"/>
  <c r="O352" i="29"/>
  <c r="P352" i="29"/>
  <c r="Q352" i="29"/>
  <c r="R352" i="29"/>
  <c r="S352" i="29"/>
  <c r="A353" i="29"/>
  <c r="B353" i="29"/>
  <c r="C353" i="29"/>
  <c r="D353" i="29"/>
  <c r="E353" i="29"/>
  <c r="F353" i="29"/>
  <c r="G353" i="29"/>
  <c r="H353" i="29"/>
  <c r="I353" i="29"/>
  <c r="J353" i="29"/>
  <c r="L353" i="29"/>
  <c r="M353" i="29"/>
  <c r="N353" i="29"/>
  <c r="O353" i="29"/>
  <c r="P353" i="29"/>
  <c r="Q353" i="29"/>
  <c r="R353" i="29"/>
  <c r="S353" i="29"/>
  <c r="A354" i="29"/>
  <c r="B354" i="29"/>
  <c r="C354" i="29"/>
  <c r="D354" i="29"/>
  <c r="E354" i="29"/>
  <c r="F354" i="29"/>
  <c r="G354" i="29"/>
  <c r="H354" i="29"/>
  <c r="I354" i="29"/>
  <c r="J354" i="29"/>
  <c r="L354" i="29"/>
  <c r="M354" i="29"/>
  <c r="N354" i="29"/>
  <c r="O354" i="29"/>
  <c r="P354" i="29"/>
  <c r="Q354" i="29"/>
  <c r="R354" i="29"/>
  <c r="S354" i="29"/>
  <c r="A355" i="29"/>
  <c r="B355" i="29"/>
  <c r="C355" i="29"/>
  <c r="D355" i="29"/>
  <c r="E355" i="29"/>
  <c r="F355" i="29"/>
  <c r="G355" i="29"/>
  <c r="H355" i="29"/>
  <c r="I355" i="29"/>
  <c r="J355" i="29"/>
  <c r="L355" i="29"/>
  <c r="M355" i="29"/>
  <c r="N355" i="29"/>
  <c r="O355" i="29"/>
  <c r="P355" i="29"/>
  <c r="Q355" i="29"/>
  <c r="R355" i="29"/>
  <c r="S355" i="29"/>
  <c r="A356" i="29"/>
  <c r="B356" i="29"/>
  <c r="C356" i="29"/>
  <c r="D356" i="29"/>
  <c r="E356" i="29"/>
  <c r="F356" i="29"/>
  <c r="G356" i="29"/>
  <c r="H356" i="29"/>
  <c r="I356" i="29"/>
  <c r="J356" i="29"/>
  <c r="L356" i="29"/>
  <c r="M356" i="29"/>
  <c r="N356" i="29"/>
  <c r="O356" i="29"/>
  <c r="P356" i="29"/>
  <c r="Q356" i="29"/>
  <c r="R356" i="29"/>
  <c r="S356" i="29"/>
  <c r="A357" i="29"/>
  <c r="B357" i="29"/>
  <c r="C357" i="29"/>
  <c r="D357" i="29"/>
  <c r="E357" i="29"/>
  <c r="F357" i="29"/>
  <c r="G357" i="29"/>
  <c r="H357" i="29"/>
  <c r="I357" i="29"/>
  <c r="J357" i="29"/>
  <c r="L357" i="29"/>
  <c r="M357" i="29"/>
  <c r="N357" i="29"/>
  <c r="O357" i="29"/>
  <c r="P357" i="29"/>
  <c r="Q357" i="29"/>
  <c r="R357" i="29"/>
  <c r="S357" i="29"/>
  <c r="A358" i="29"/>
  <c r="B358" i="29"/>
  <c r="C358" i="29"/>
  <c r="D358" i="29"/>
  <c r="E358" i="29"/>
  <c r="F358" i="29"/>
  <c r="G358" i="29"/>
  <c r="H358" i="29"/>
  <c r="I358" i="29"/>
  <c r="J358" i="29"/>
  <c r="L358" i="29"/>
  <c r="M358" i="29"/>
  <c r="N358" i="29"/>
  <c r="O358" i="29"/>
  <c r="P358" i="29"/>
  <c r="Q358" i="29"/>
  <c r="R358" i="29"/>
  <c r="S358" i="29"/>
  <c r="A359" i="29"/>
  <c r="B359" i="29"/>
  <c r="C359" i="29"/>
  <c r="D359" i="29"/>
  <c r="E359" i="29"/>
  <c r="F359" i="29"/>
  <c r="G359" i="29"/>
  <c r="H359" i="29"/>
  <c r="I359" i="29"/>
  <c r="J359" i="29"/>
  <c r="L359" i="29"/>
  <c r="M359" i="29"/>
  <c r="N359" i="29"/>
  <c r="O359" i="29"/>
  <c r="P359" i="29"/>
  <c r="Q359" i="29"/>
  <c r="R359" i="29"/>
  <c r="S359" i="29"/>
  <c r="A360" i="29"/>
  <c r="B360" i="29"/>
  <c r="C360" i="29"/>
  <c r="D360" i="29"/>
  <c r="E360" i="29"/>
  <c r="F360" i="29"/>
  <c r="G360" i="29"/>
  <c r="H360" i="29"/>
  <c r="I360" i="29"/>
  <c r="J360" i="29"/>
  <c r="L360" i="29"/>
  <c r="M360" i="29"/>
  <c r="N360" i="29"/>
  <c r="O360" i="29"/>
  <c r="P360" i="29"/>
  <c r="Q360" i="29"/>
  <c r="R360" i="29"/>
  <c r="S360" i="29"/>
  <c r="A361" i="29"/>
  <c r="B361" i="29"/>
  <c r="C361" i="29"/>
  <c r="D361" i="29"/>
  <c r="E361" i="29"/>
  <c r="F361" i="29"/>
  <c r="G361" i="29"/>
  <c r="H361" i="29"/>
  <c r="I361" i="29"/>
  <c r="J361" i="29"/>
  <c r="L361" i="29"/>
  <c r="M361" i="29"/>
  <c r="N361" i="29"/>
  <c r="O361" i="29"/>
  <c r="P361" i="29"/>
  <c r="Q361" i="29"/>
  <c r="R361" i="29"/>
  <c r="S361" i="29"/>
  <c r="A362" i="29"/>
  <c r="B362" i="29"/>
  <c r="C362" i="29"/>
  <c r="D362" i="29"/>
  <c r="E362" i="29"/>
  <c r="F362" i="29"/>
  <c r="G362" i="29"/>
  <c r="H362" i="29"/>
  <c r="I362" i="29"/>
  <c r="J362" i="29"/>
  <c r="L362" i="29"/>
  <c r="M362" i="29"/>
  <c r="N362" i="29"/>
  <c r="O362" i="29"/>
  <c r="P362" i="29"/>
  <c r="Q362" i="29"/>
  <c r="R362" i="29"/>
  <c r="S362" i="29"/>
  <c r="A363" i="29"/>
  <c r="B363" i="29"/>
  <c r="C363" i="29"/>
  <c r="D363" i="29"/>
  <c r="E363" i="29"/>
  <c r="F363" i="29"/>
  <c r="G363" i="29"/>
  <c r="H363" i="29"/>
  <c r="I363" i="29"/>
  <c r="J363" i="29"/>
  <c r="L363" i="29"/>
  <c r="M363" i="29"/>
  <c r="N363" i="29"/>
  <c r="O363" i="29"/>
  <c r="P363" i="29"/>
  <c r="Q363" i="29"/>
  <c r="R363" i="29"/>
  <c r="S363" i="29"/>
  <c r="A364" i="29"/>
  <c r="B364" i="29"/>
  <c r="C364" i="29"/>
  <c r="D364" i="29"/>
  <c r="E364" i="29"/>
  <c r="F364" i="29"/>
  <c r="G364" i="29"/>
  <c r="H364" i="29"/>
  <c r="I364" i="29"/>
  <c r="J364" i="29"/>
  <c r="L364" i="29"/>
  <c r="M364" i="29"/>
  <c r="N364" i="29"/>
  <c r="O364" i="29"/>
  <c r="P364" i="29"/>
  <c r="Q364" i="29"/>
  <c r="R364" i="29"/>
  <c r="S364" i="29"/>
  <c r="A365" i="29"/>
  <c r="B365" i="29"/>
  <c r="C365" i="29"/>
  <c r="D365" i="29"/>
  <c r="E365" i="29"/>
  <c r="F365" i="29"/>
  <c r="G365" i="29"/>
  <c r="H365" i="29"/>
  <c r="I365" i="29"/>
  <c r="J365" i="29"/>
  <c r="L365" i="29"/>
  <c r="M365" i="29"/>
  <c r="N365" i="29"/>
  <c r="O365" i="29"/>
  <c r="P365" i="29"/>
  <c r="Q365" i="29"/>
  <c r="R365" i="29"/>
  <c r="S365" i="29"/>
  <c r="A366" i="29"/>
  <c r="B366" i="29"/>
  <c r="C366" i="29"/>
  <c r="D366" i="29"/>
  <c r="E366" i="29"/>
  <c r="F366" i="29"/>
  <c r="G366" i="29"/>
  <c r="H366" i="29"/>
  <c r="I366" i="29"/>
  <c r="J366" i="29"/>
  <c r="L366" i="29"/>
  <c r="M366" i="29"/>
  <c r="N366" i="29"/>
  <c r="O366" i="29"/>
  <c r="P366" i="29"/>
  <c r="Q366" i="29"/>
  <c r="R366" i="29"/>
  <c r="S366" i="29"/>
  <c r="A367" i="29"/>
  <c r="B367" i="29"/>
  <c r="C367" i="29"/>
  <c r="D367" i="29"/>
  <c r="E367" i="29"/>
  <c r="F367" i="29"/>
  <c r="G367" i="29"/>
  <c r="H367" i="29"/>
  <c r="I367" i="29"/>
  <c r="J367" i="29"/>
  <c r="L367" i="29"/>
  <c r="M367" i="29"/>
  <c r="N367" i="29"/>
  <c r="O367" i="29"/>
  <c r="P367" i="29"/>
  <c r="Q367" i="29"/>
  <c r="R367" i="29"/>
  <c r="S367" i="29"/>
  <c r="A368" i="29"/>
  <c r="B368" i="29"/>
  <c r="C368" i="29"/>
  <c r="D368" i="29"/>
  <c r="E368" i="29"/>
  <c r="F368" i="29"/>
  <c r="G368" i="29"/>
  <c r="H368" i="29"/>
  <c r="I368" i="29"/>
  <c r="J368" i="29"/>
  <c r="L368" i="29"/>
  <c r="M368" i="29"/>
  <c r="N368" i="29"/>
  <c r="O368" i="29"/>
  <c r="P368" i="29"/>
  <c r="Q368" i="29"/>
  <c r="R368" i="29"/>
  <c r="S368" i="29"/>
  <c r="A369" i="29"/>
  <c r="B369" i="29"/>
  <c r="C369" i="29"/>
  <c r="D369" i="29"/>
  <c r="E369" i="29"/>
  <c r="F369" i="29"/>
  <c r="G369" i="29"/>
  <c r="H369" i="29"/>
  <c r="I369" i="29"/>
  <c r="J369" i="29"/>
  <c r="L369" i="29"/>
  <c r="M369" i="29"/>
  <c r="N369" i="29"/>
  <c r="O369" i="29"/>
  <c r="P369" i="29"/>
  <c r="Q369" i="29"/>
  <c r="R369" i="29"/>
  <c r="S369" i="29"/>
  <c r="A370" i="29"/>
  <c r="B370" i="29"/>
  <c r="C370" i="29"/>
  <c r="D370" i="29"/>
  <c r="E370" i="29"/>
  <c r="F370" i="29"/>
  <c r="G370" i="29"/>
  <c r="H370" i="29"/>
  <c r="I370" i="29"/>
  <c r="J370" i="29"/>
  <c r="L370" i="29"/>
  <c r="M370" i="29"/>
  <c r="N370" i="29"/>
  <c r="O370" i="29"/>
  <c r="P370" i="29"/>
  <c r="Q370" i="29"/>
  <c r="R370" i="29"/>
  <c r="S370" i="29"/>
  <c r="A371" i="29"/>
  <c r="B371" i="29"/>
  <c r="C371" i="29"/>
  <c r="D371" i="29"/>
  <c r="E371" i="29"/>
  <c r="F371" i="29"/>
  <c r="G371" i="29"/>
  <c r="H371" i="29"/>
  <c r="I371" i="29"/>
  <c r="J371" i="29"/>
  <c r="L371" i="29"/>
  <c r="M371" i="29"/>
  <c r="N371" i="29"/>
  <c r="O371" i="29"/>
  <c r="P371" i="29"/>
  <c r="Q371" i="29"/>
  <c r="R371" i="29"/>
  <c r="S371" i="29"/>
  <c r="A372" i="29"/>
  <c r="B372" i="29"/>
  <c r="C372" i="29"/>
  <c r="D372" i="29"/>
  <c r="E372" i="29"/>
  <c r="F372" i="29"/>
  <c r="G372" i="29"/>
  <c r="H372" i="29"/>
  <c r="I372" i="29"/>
  <c r="J372" i="29"/>
  <c r="L372" i="29"/>
  <c r="M372" i="29"/>
  <c r="N372" i="29"/>
  <c r="O372" i="29"/>
  <c r="P372" i="29"/>
  <c r="Q372" i="29"/>
  <c r="R372" i="29"/>
  <c r="S372" i="29"/>
  <c r="A373" i="29"/>
  <c r="B373" i="29"/>
  <c r="C373" i="29"/>
  <c r="D373" i="29"/>
  <c r="E373" i="29"/>
  <c r="F373" i="29"/>
  <c r="G373" i="29"/>
  <c r="H373" i="29"/>
  <c r="I373" i="29"/>
  <c r="J373" i="29"/>
  <c r="L373" i="29"/>
  <c r="M373" i="29"/>
  <c r="N373" i="29"/>
  <c r="O373" i="29"/>
  <c r="P373" i="29"/>
  <c r="Q373" i="29"/>
  <c r="R373" i="29"/>
  <c r="S373" i="29"/>
  <c r="A374" i="29"/>
  <c r="B374" i="29"/>
  <c r="C374" i="29"/>
  <c r="D374" i="29"/>
  <c r="E374" i="29"/>
  <c r="F374" i="29"/>
  <c r="G374" i="29"/>
  <c r="H374" i="29"/>
  <c r="I374" i="29"/>
  <c r="J374" i="29"/>
  <c r="L374" i="29"/>
  <c r="M374" i="29"/>
  <c r="N374" i="29"/>
  <c r="O374" i="29"/>
  <c r="P374" i="29"/>
  <c r="Q374" i="29"/>
  <c r="R374" i="29"/>
  <c r="S374" i="29"/>
  <c r="A375" i="29"/>
  <c r="B375" i="29"/>
  <c r="C375" i="29"/>
  <c r="D375" i="29"/>
  <c r="E375" i="29"/>
  <c r="F375" i="29"/>
  <c r="G375" i="29"/>
  <c r="H375" i="29"/>
  <c r="I375" i="29"/>
  <c r="J375" i="29"/>
  <c r="L375" i="29"/>
  <c r="M375" i="29"/>
  <c r="N375" i="29"/>
  <c r="O375" i="29"/>
  <c r="P375" i="29"/>
  <c r="Q375" i="29"/>
  <c r="R375" i="29"/>
  <c r="S375" i="29"/>
  <c r="A376" i="29"/>
  <c r="B376" i="29"/>
  <c r="C376" i="29"/>
  <c r="D376" i="29"/>
  <c r="E376" i="29"/>
  <c r="F376" i="29"/>
  <c r="G376" i="29"/>
  <c r="H376" i="29"/>
  <c r="I376" i="29"/>
  <c r="J376" i="29"/>
  <c r="L376" i="29"/>
  <c r="M376" i="29"/>
  <c r="N376" i="29"/>
  <c r="O376" i="29"/>
  <c r="P376" i="29"/>
  <c r="Q376" i="29"/>
  <c r="R376" i="29"/>
  <c r="S376" i="29"/>
  <c r="A377" i="29"/>
  <c r="B377" i="29"/>
  <c r="C377" i="29"/>
  <c r="D377" i="29"/>
  <c r="E377" i="29"/>
  <c r="F377" i="29"/>
  <c r="G377" i="29"/>
  <c r="H377" i="29"/>
  <c r="I377" i="29"/>
  <c r="J377" i="29"/>
  <c r="L377" i="29"/>
  <c r="M377" i="29"/>
  <c r="N377" i="29"/>
  <c r="O377" i="29"/>
  <c r="P377" i="29"/>
  <c r="Q377" i="29"/>
  <c r="R377" i="29"/>
  <c r="S377" i="29"/>
  <c r="A378" i="29"/>
  <c r="B378" i="29"/>
  <c r="C378" i="29"/>
  <c r="D378" i="29"/>
  <c r="E378" i="29"/>
  <c r="F378" i="29"/>
  <c r="G378" i="29"/>
  <c r="H378" i="29"/>
  <c r="I378" i="29"/>
  <c r="J378" i="29"/>
  <c r="L378" i="29"/>
  <c r="M378" i="29"/>
  <c r="N378" i="29"/>
  <c r="O378" i="29"/>
  <c r="P378" i="29"/>
  <c r="Q378" i="29"/>
  <c r="R378" i="29"/>
  <c r="S378" i="29"/>
  <c r="A379" i="29"/>
  <c r="B379" i="29"/>
  <c r="C379" i="29"/>
  <c r="D379" i="29"/>
  <c r="E379" i="29"/>
  <c r="F379" i="29"/>
  <c r="G379" i="29"/>
  <c r="H379" i="29"/>
  <c r="I379" i="29"/>
  <c r="J379" i="29"/>
  <c r="L379" i="29"/>
  <c r="M379" i="29"/>
  <c r="N379" i="29"/>
  <c r="O379" i="29"/>
  <c r="P379" i="29"/>
  <c r="Q379" i="29"/>
  <c r="R379" i="29"/>
  <c r="S379" i="29"/>
  <c r="A380" i="29"/>
  <c r="B380" i="29"/>
  <c r="C380" i="29"/>
  <c r="D380" i="29"/>
  <c r="E380" i="29"/>
  <c r="F380" i="29"/>
  <c r="G380" i="29"/>
  <c r="H380" i="29"/>
  <c r="I380" i="29"/>
  <c r="J380" i="29"/>
  <c r="L380" i="29"/>
  <c r="M380" i="29"/>
  <c r="N380" i="29"/>
  <c r="O380" i="29"/>
  <c r="P380" i="29"/>
  <c r="Q380" i="29"/>
  <c r="R380" i="29"/>
  <c r="S380" i="29"/>
  <c r="A381" i="29"/>
  <c r="B381" i="29"/>
  <c r="C381" i="29"/>
  <c r="D381" i="29"/>
  <c r="E381" i="29"/>
  <c r="F381" i="29"/>
  <c r="G381" i="29"/>
  <c r="H381" i="29"/>
  <c r="I381" i="29"/>
  <c r="J381" i="29"/>
  <c r="L381" i="29"/>
  <c r="M381" i="29"/>
  <c r="N381" i="29"/>
  <c r="O381" i="29"/>
  <c r="P381" i="29"/>
  <c r="Q381" i="29"/>
  <c r="R381" i="29"/>
  <c r="S381" i="29"/>
  <c r="A382" i="29"/>
  <c r="B382" i="29"/>
  <c r="C382" i="29"/>
  <c r="D382" i="29"/>
  <c r="E382" i="29"/>
  <c r="F382" i="29"/>
  <c r="G382" i="29"/>
  <c r="H382" i="29"/>
  <c r="I382" i="29"/>
  <c r="J382" i="29"/>
  <c r="L382" i="29"/>
  <c r="M382" i="29"/>
  <c r="N382" i="29"/>
  <c r="O382" i="29"/>
  <c r="P382" i="29"/>
  <c r="Q382" i="29"/>
  <c r="R382" i="29"/>
  <c r="S382" i="29"/>
  <c r="A383" i="29"/>
  <c r="B383" i="29"/>
  <c r="C383" i="29"/>
  <c r="D383" i="29"/>
  <c r="E383" i="29"/>
  <c r="F383" i="29"/>
  <c r="G383" i="29"/>
  <c r="H383" i="29"/>
  <c r="I383" i="29"/>
  <c r="J383" i="29"/>
  <c r="L383" i="29"/>
  <c r="M383" i="29"/>
  <c r="N383" i="29"/>
  <c r="O383" i="29"/>
  <c r="P383" i="29"/>
  <c r="Q383" i="29"/>
  <c r="R383" i="29"/>
  <c r="S383" i="29"/>
  <c r="A384" i="29"/>
  <c r="B384" i="29"/>
  <c r="C384" i="29"/>
  <c r="D384" i="29"/>
  <c r="E384" i="29"/>
  <c r="F384" i="29"/>
  <c r="G384" i="29"/>
  <c r="H384" i="29"/>
  <c r="I384" i="29"/>
  <c r="J384" i="29"/>
  <c r="L384" i="29"/>
  <c r="M384" i="29"/>
  <c r="N384" i="29"/>
  <c r="O384" i="29"/>
  <c r="P384" i="29"/>
  <c r="Q384" i="29"/>
  <c r="R384" i="29"/>
  <c r="S384" i="29"/>
  <c r="A385" i="29"/>
  <c r="B385" i="29"/>
  <c r="C385" i="29"/>
  <c r="D385" i="29"/>
  <c r="E385" i="29"/>
  <c r="F385" i="29"/>
  <c r="G385" i="29"/>
  <c r="H385" i="29"/>
  <c r="I385" i="29"/>
  <c r="J385" i="29"/>
  <c r="L385" i="29"/>
  <c r="M385" i="29"/>
  <c r="N385" i="29"/>
  <c r="O385" i="29"/>
  <c r="P385" i="29"/>
  <c r="Q385" i="29"/>
  <c r="R385" i="29"/>
  <c r="S385" i="29"/>
  <c r="A386" i="29"/>
  <c r="B386" i="29"/>
  <c r="C386" i="29"/>
  <c r="D386" i="29"/>
  <c r="E386" i="29"/>
  <c r="F386" i="29"/>
  <c r="G386" i="29"/>
  <c r="H386" i="29"/>
  <c r="I386" i="29"/>
  <c r="J386" i="29"/>
  <c r="L386" i="29"/>
  <c r="M386" i="29"/>
  <c r="N386" i="29"/>
  <c r="O386" i="29"/>
  <c r="P386" i="29"/>
  <c r="Q386" i="29"/>
  <c r="R386" i="29"/>
  <c r="S386" i="29"/>
  <c r="A387" i="29"/>
  <c r="B387" i="29"/>
  <c r="C387" i="29"/>
  <c r="D387" i="29"/>
  <c r="E387" i="29"/>
  <c r="F387" i="29"/>
  <c r="G387" i="29"/>
  <c r="H387" i="29"/>
  <c r="I387" i="29"/>
  <c r="J387" i="29"/>
  <c r="L387" i="29"/>
  <c r="M387" i="29"/>
  <c r="N387" i="29"/>
  <c r="O387" i="29"/>
  <c r="P387" i="29"/>
  <c r="Q387" i="29"/>
  <c r="R387" i="29"/>
  <c r="S387" i="29"/>
  <c r="A388" i="29"/>
  <c r="B388" i="29"/>
  <c r="C388" i="29"/>
  <c r="D388" i="29"/>
  <c r="E388" i="29"/>
  <c r="F388" i="29"/>
  <c r="G388" i="29"/>
  <c r="H388" i="29"/>
  <c r="I388" i="29"/>
  <c r="J388" i="29"/>
  <c r="L388" i="29"/>
  <c r="M388" i="29"/>
  <c r="N388" i="29"/>
  <c r="O388" i="29"/>
  <c r="P388" i="29"/>
  <c r="Q388" i="29"/>
  <c r="R388" i="29"/>
  <c r="S388" i="29"/>
  <c r="A389" i="29"/>
  <c r="B389" i="29"/>
  <c r="C389" i="29"/>
  <c r="D389" i="29"/>
  <c r="E389" i="29"/>
  <c r="F389" i="29"/>
  <c r="G389" i="29"/>
  <c r="H389" i="29"/>
  <c r="I389" i="29"/>
  <c r="J389" i="29"/>
  <c r="L389" i="29"/>
  <c r="M389" i="29"/>
  <c r="N389" i="29"/>
  <c r="O389" i="29"/>
  <c r="P389" i="29"/>
  <c r="Q389" i="29"/>
  <c r="R389" i="29"/>
  <c r="S389" i="29"/>
  <c r="A390" i="29"/>
  <c r="B390" i="29"/>
  <c r="C390" i="29"/>
  <c r="D390" i="29"/>
  <c r="E390" i="29"/>
  <c r="F390" i="29"/>
  <c r="G390" i="29"/>
  <c r="H390" i="29"/>
  <c r="I390" i="29"/>
  <c r="J390" i="29"/>
  <c r="L390" i="29"/>
  <c r="M390" i="29"/>
  <c r="N390" i="29"/>
  <c r="O390" i="29"/>
  <c r="P390" i="29"/>
  <c r="Q390" i="29"/>
  <c r="R390" i="29"/>
  <c r="S390" i="29"/>
  <c r="A391" i="29"/>
  <c r="B391" i="29"/>
  <c r="C391" i="29"/>
  <c r="D391" i="29"/>
  <c r="E391" i="29"/>
  <c r="F391" i="29"/>
  <c r="G391" i="29"/>
  <c r="H391" i="29"/>
  <c r="I391" i="29"/>
  <c r="J391" i="29"/>
  <c r="L391" i="29"/>
  <c r="M391" i="29"/>
  <c r="N391" i="29"/>
  <c r="O391" i="29"/>
  <c r="P391" i="29"/>
  <c r="Q391" i="29"/>
  <c r="R391" i="29"/>
  <c r="S391" i="29"/>
  <c r="A392" i="29"/>
  <c r="B392" i="29"/>
  <c r="C392" i="29"/>
  <c r="D392" i="29"/>
  <c r="E392" i="29"/>
  <c r="F392" i="29"/>
  <c r="G392" i="29"/>
  <c r="H392" i="29"/>
  <c r="I392" i="29"/>
  <c r="J392" i="29"/>
  <c r="L392" i="29"/>
  <c r="M392" i="29"/>
  <c r="N392" i="29"/>
  <c r="O392" i="29"/>
  <c r="P392" i="29"/>
  <c r="Q392" i="29"/>
  <c r="R392" i="29"/>
  <c r="S392" i="29"/>
  <c r="A393" i="29"/>
  <c r="B393" i="29"/>
  <c r="C393" i="29"/>
  <c r="D393" i="29"/>
  <c r="E393" i="29"/>
  <c r="F393" i="29"/>
  <c r="G393" i="29"/>
  <c r="H393" i="29"/>
  <c r="I393" i="29"/>
  <c r="J393" i="29"/>
  <c r="L393" i="29"/>
  <c r="M393" i="29"/>
  <c r="N393" i="29"/>
  <c r="O393" i="29"/>
  <c r="P393" i="29"/>
  <c r="Q393" i="29"/>
  <c r="R393" i="29"/>
  <c r="S393" i="29"/>
  <c r="A394" i="29"/>
  <c r="B394" i="29"/>
  <c r="C394" i="29"/>
  <c r="D394" i="29"/>
  <c r="E394" i="29"/>
  <c r="F394" i="29"/>
  <c r="G394" i="29"/>
  <c r="H394" i="29"/>
  <c r="I394" i="29"/>
  <c r="J394" i="29"/>
  <c r="L394" i="29"/>
  <c r="M394" i="29"/>
  <c r="N394" i="29"/>
  <c r="O394" i="29"/>
  <c r="P394" i="29"/>
  <c r="Q394" i="29"/>
  <c r="R394" i="29"/>
  <c r="S394" i="29"/>
  <c r="A395" i="29"/>
  <c r="B395" i="29"/>
  <c r="C395" i="29"/>
  <c r="D395" i="29"/>
  <c r="E395" i="29"/>
  <c r="F395" i="29"/>
  <c r="G395" i="29"/>
  <c r="H395" i="29"/>
  <c r="I395" i="29"/>
  <c r="J395" i="29"/>
  <c r="L395" i="29"/>
  <c r="M395" i="29"/>
  <c r="N395" i="29"/>
  <c r="O395" i="29"/>
  <c r="P395" i="29"/>
  <c r="Q395" i="29"/>
  <c r="R395" i="29"/>
  <c r="S395" i="29"/>
  <c r="A396" i="29"/>
  <c r="B396" i="29"/>
  <c r="C396" i="29"/>
  <c r="D396" i="29"/>
  <c r="E396" i="29"/>
  <c r="F396" i="29"/>
  <c r="G396" i="29"/>
  <c r="H396" i="29"/>
  <c r="I396" i="29"/>
  <c r="J396" i="29"/>
  <c r="L396" i="29"/>
  <c r="M396" i="29"/>
  <c r="N396" i="29"/>
  <c r="O396" i="29"/>
  <c r="P396" i="29"/>
  <c r="Q396" i="29"/>
  <c r="R396" i="29"/>
  <c r="S396" i="29"/>
  <c r="A397" i="29"/>
  <c r="B397" i="29"/>
  <c r="C397" i="29"/>
  <c r="D397" i="29"/>
  <c r="E397" i="29"/>
  <c r="F397" i="29"/>
  <c r="G397" i="29"/>
  <c r="H397" i="29"/>
  <c r="I397" i="29"/>
  <c r="J397" i="29"/>
  <c r="L397" i="29"/>
  <c r="M397" i="29"/>
  <c r="N397" i="29"/>
  <c r="O397" i="29"/>
  <c r="P397" i="29"/>
  <c r="Q397" i="29"/>
  <c r="R397" i="29"/>
  <c r="S397" i="29"/>
  <c r="A398" i="29"/>
  <c r="B398" i="29"/>
  <c r="C398" i="29"/>
  <c r="D398" i="29"/>
  <c r="E398" i="29"/>
  <c r="F398" i="29"/>
  <c r="G398" i="29"/>
  <c r="H398" i="29"/>
  <c r="I398" i="29"/>
  <c r="J398" i="29"/>
  <c r="L398" i="29"/>
  <c r="M398" i="29"/>
  <c r="N398" i="29"/>
  <c r="O398" i="29"/>
  <c r="P398" i="29"/>
  <c r="Q398" i="29"/>
  <c r="R398" i="29"/>
  <c r="S398" i="29"/>
  <c r="A399" i="29"/>
  <c r="B399" i="29"/>
  <c r="C399" i="29"/>
  <c r="D399" i="29"/>
  <c r="E399" i="29"/>
  <c r="F399" i="29"/>
  <c r="G399" i="29"/>
  <c r="H399" i="29"/>
  <c r="I399" i="29"/>
  <c r="J399" i="29"/>
  <c r="L399" i="29"/>
  <c r="M399" i="29"/>
  <c r="N399" i="29"/>
  <c r="O399" i="29"/>
  <c r="P399" i="29"/>
  <c r="Q399" i="29"/>
  <c r="R399" i="29"/>
  <c r="S399" i="29"/>
  <c r="A400" i="29"/>
  <c r="B400" i="29"/>
  <c r="C400" i="29"/>
  <c r="D400" i="29"/>
  <c r="E400" i="29"/>
  <c r="F400" i="29"/>
  <c r="G400" i="29"/>
  <c r="H400" i="29"/>
  <c r="I400" i="29"/>
  <c r="J400" i="29"/>
  <c r="L400" i="29"/>
  <c r="M400" i="29"/>
  <c r="N400" i="29"/>
  <c r="O400" i="29"/>
  <c r="P400" i="29"/>
  <c r="Q400" i="29"/>
  <c r="R400" i="29"/>
  <c r="S400" i="29"/>
  <c r="A401" i="29"/>
  <c r="B401" i="29"/>
  <c r="C401" i="29"/>
  <c r="D401" i="29"/>
  <c r="E401" i="29"/>
  <c r="F401" i="29"/>
  <c r="G401" i="29"/>
  <c r="H401" i="29"/>
  <c r="I401" i="29"/>
  <c r="J401" i="29"/>
  <c r="L401" i="29"/>
  <c r="M401" i="29"/>
  <c r="N401" i="29"/>
  <c r="O401" i="29"/>
  <c r="P401" i="29"/>
  <c r="Q401" i="29"/>
  <c r="R401" i="29"/>
  <c r="S401" i="29"/>
  <c r="A402" i="29"/>
  <c r="B402" i="29"/>
  <c r="C402" i="29"/>
  <c r="D402" i="29"/>
  <c r="E402" i="29"/>
  <c r="F402" i="29"/>
  <c r="G402" i="29"/>
  <c r="H402" i="29"/>
  <c r="I402" i="29"/>
  <c r="J402" i="29"/>
  <c r="L402" i="29"/>
  <c r="M402" i="29"/>
  <c r="N402" i="29"/>
  <c r="O402" i="29"/>
  <c r="P402" i="29"/>
  <c r="Q402" i="29"/>
  <c r="R402" i="29"/>
  <c r="S402" i="29"/>
  <c r="A403" i="29"/>
  <c r="B403" i="29"/>
  <c r="C403" i="29"/>
  <c r="D403" i="29"/>
  <c r="E403" i="29"/>
  <c r="F403" i="29"/>
  <c r="G403" i="29"/>
  <c r="H403" i="29"/>
  <c r="I403" i="29"/>
  <c r="J403" i="29"/>
  <c r="L403" i="29"/>
  <c r="M403" i="29"/>
  <c r="N403" i="29"/>
  <c r="O403" i="29"/>
  <c r="P403" i="29"/>
  <c r="Q403" i="29"/>
  <c r="R403" i="29"/>
  <c r="S403" i="29"/>
  <c r="A404" i="29"/>
  <c r="B404" i="29"/>
  <c r="C404" i="29"/>
  <c r="D404" i="29"/>
  <c r="E404" i="29"/>
  <c r="F404" i="29"/>
  <c r="G404" i="29"/>
  <c r="H404" i="29"/>
  <c r="I404" i="29"/>
  <c r="J404" i="29"/>
  <c r="L404" i="29"/>
  <c r="M404" i="29"/>
  <c r="N404" i="29"/>
  <c r="O404" i="29"/>
  <c r="P404" i="29"/>
  <c r="Q404" i="29"/>
  <c r="R404" i="29"/>
  <c r="S404" i="29"/>
  <c r="A405" i="29"/>
  <c r="B405" i="29"/>
  <c r="C405" i="29"/>
  <c r="D405" i="29"/>
  <c r="E405" i="29"/>
  <c r="F405" i="29"/>
  <c r="G405" i="29"/>
  <c r="H405" i="29"/>
  <c r="I405" i="29"/>
  <c r="J405" i="29"/>
  <c r="L405" i="29"/>
  <c r="M405" i="29"/>
  <c r="N405" i="29"/>
  <c r="O405" i="29"/>
  <c r="P405" i="29"/>
  <c r="Q405" i="29"/>
  <c r="R405" i="29"/>
  <c r="S405" i="29"/>
  <c r="A406" i="29"/>
  <c r="B406" i="29"/>
  <c r="C406" i="29"/>
  <c r="D406" i="29"/>
  <c r="E406" i="29"/>
  <c r="F406" i="29"/>
  <c r="G406" i="29"/>
  <c r="H406" i="29"/>
  <c r="I406" i="29"/>
  <c r="J406" i="29"/>
  <c r="L406" i="29"/>
  <c r="M406" i="29"/>
  <c r="N406" i="29"/>
  <c r="O406" i="29"/>
  <c r="P406" i="29"/>
  <c r="Q406" i="29"/>
  <c r="R406" i="29"/>
  <c r="S406" i="29"/>
  <c r="A407" i="29"/>
  <c r="B407" i="29"/>
  <c r="C407" i="29"/>
  <c r="D407" i="29"/>
  <c r="E407" i="29"/>
  <c r="F407" i="29"/>
  <c r="G407" i="29"/>
  <c r="H407" i="29"/>
  <c r="I407" i="29"/>
  <c r="J407" i="29"/>
  <c r="L407" i="29"/>
  <c r="M407" i="29"/>
  <c r="N407" i="29"/>
  <c r="O407" i="29"/>
  <c r="P407" i="29"/>
  <c r="Q407" i="29"/>
  <c r="R407" i="29"/>
  <c r="S407" i="29"/>
  <c r="A408" i="29"/>
  <c r="B408" i="29"/>
  <c r="C408" i="29"/>
  <c r="D408" i="29"/>
  <c r="E408" i="29"/>
  <c r="F408" i="29"/>
  <c r="G408" i="29"/>
  <c r="H408" i="29"/>
  <c r="I408" i="29"/>
  <c r="J408" i="29"/>
  <c r="L408" i="29"/>
  <c r="M408" i="29"/>
  <c r="N408" i="29"/>
  <c r="O408" i="29"/>
  <c r="P408" i="29"/>
  <c r="Q408" i="29"/>
  <c r="R408" i="29"/>
  <c r="S408" i="29"/>
  <c r="A409" i="29"/>
  <c r="B409" i="29"/>
  <c r="C409" i="29"/>
  <c r="D409" i="29"/>
  <c r="E409" i="29"/>
  <c r="F409" i="29"/>
  <c r="G409" i="29"/>
  <c r="H409" i="29"/>
  <c r="I409" i="29"/>
  <c r="J409" i="29"/>
  <c r="L409" i="29"/>
  <c r="M409" i="29"/>
  <c r="N409" i="29"/>
  <c r="O409" i="29"/>
  <c r="P409" i="29"/>
  <c r="Q409" i="29"/>
  <c r="R409" i="29"/>
  <c r="S409" i="29"/>
  <c r="A410" i="29"/>
  <c r="B410" i="29"/>
  <c r="C410" i="29"/>
  <c r="D410" i="29"/>
  <c r="E410" i="29"/>
  <c r="F410" i="29"/>
  <c r="G410" i="29"/>
  <c r="H410" i="29"/>
  <c r="I410" i="29"/>
  <c r="J410" i="29"/>
  <c r="L410" i="29"/>
  <c r="M410" i="29"/>
  <c r="N410" i="29"/>
  <c r="O410" i="29"/>
  <c r="P410" i="29"/>
  <c r="Q410" i="29"/>
  <c r="R410" i="29"/>
  <c r="S410" i="29"/>
  <c r="A411" i="29"/>
  <c r="B411" i="29"/>
  <c r="C411" i="29"/>
  <c r="D411" i="29"/>
  <c r="E411" i="29"/>
  <c r="F411" i="29"/>
  <c r="G411" i="29"/>
  <c r="H411" i="29"/>
  <c r="I411" i="29"/>
  <c r="J411" i="29"/>
  <c r="L411" i="29"/>
  <c r="M411" i="29"/>
  <c r="N411" i="29"/>
  <c r="O411" i="29"/>
  <c r="P411" i="29"/>
  <c r="Q411" i="29"/>
  <c r="R411" i="29"/>
  <c r="S411" i="29"/>
  <c r="A412" i="29"/>
  <c r="B412" i="29"/>
  <c r="C412" i="29"/>
  <c r="D412" i="29"/>
  <c r="E412" i="29"/>
  <c r="F412" i="29"/>
  <c r="G412" i="29"/>
  <c r="H412" i="29"/>
  <c r="I412" i="29"/>
  <c r="J412" i="29"/>
  <c r="L412" i="29"/>
  <c r="M412" i="29"/>
  <c r="N412" i="29"/>
  <c r="O412" i="29"/>
  <c r="P412" i="29"/>
  <c r="Q412" i="29"/>
  <c r="R412" i="29"/>
  <c r="S412" i="29"/>
  <c r="A413" i="29"/>
  <c r="B413" i="29"/>
  <c r="C413" i="29"/>
  <c r="D413" i="29"/>
  <c r="E413" i="29"/>
  <c r="F413" i="29"/>
  <c r="G413" i="29"/>
  <c r="H413" i="29"/>
  <c r="I413" i="29"/>
  <c r="J413" i="29"/>
  <c r="L413" i="29"/>
  <c r="M413" i="29"/>
  <c r="N413" i="29"/>
  <c r="O413" i="29"/>
  <c r="P413" i="29"/>
  <c r="Q413" i="29"/>
  <c r="R413" i="29"/>
  <c r="S413" i="29"/>
  <c r="A414" i="29"/>
  <c r="B414" i="29"/>
  <c r="C414" i="29"/>
  <c r="D414" i="29"/>
  <c r="E414" i="29"/>
  <c r="F414" i="29"/>
  <c r="G414" i="29"/>
  <c r="H414" i="29"/>
  <c r="I414" i="29"/>
  <c r="J414" i="29"/>
  <c r="L414" i="29"/>
  <c r="M414" i="29"/>
  <c r="N414" i="29"/>
  <c r="O414" i="29"/>
  <c r="P414" i="29"/>
  <c r="Q414" i="29"/>
  <c r="R414" i="29"/>
  <c r="S414" i="29"/>
  <c r="A415" i="29"/>
  <c r="B415" i="29"/>
  <c r="C415" i="29"/>
  <c r="D415" i="29"/>
  <c r="E415" i="29"/>
  <c r="F415" i="29"/>
  <c r="G415" i="29"/>
  <c r="H415" i="29"/>
  <c r="I415" i="29"/>
  <c r="J415" i="29"/>
  <c r="L415" i="29"/>
  <c r="M415" i="29"/>
  <c r="N415" i="29"/>
  <c r="O415" i="29"/>
  <c r="P415" i="29"/>
  <c r="Q415" i="29"/>
  <c r="R415" i="29"/>
  <c r="S415" i="29"/>
  <c r="A416" i="29"/>
  <c r="B416" i="29"/>
  <c r="C416" i="29"/>
  <c r="D416" i="29"/>
  <c r="E416" i="29"/>
  <c r="F416" i="29"/>
  <c r="G416" i="29"/>
  <c r="H416" i="29"/>
  <c r="I416" i="29"/>
  <c r="J416" i="29"/>
  <c r="L416" i="29"/>
  <c r="M416" i="29"/>
  <c r="N416" i="29"/>
  <c r="O416" i="29"/>
  <c r="P416" i="29"/>
  <c r="Q416" i="29"/>
  <c r="R416" i="29"/>
  <c r="S416" i="29"/>
  <c r="A417" i="29"/>
  <c r="B417" i="29"/>
  <c r="C417" i="29"/>
  <c r="D417" i="29"/>
  <c r="E417" i="29"/>
  <c r="F417" i="29"/>
  <c r="G417" i="29"/>
  <c r="H417" i="29"/>
  <c r="I417" i="29"/>
  <c r="J417" i="29"/>
  <c r="L417" i="29"/>
  <c r="M417" i="29"/>
  <c r="N417" i="29"/>
  <c r="O417" i="29"/>
  <c r="P417" i="29"/>
  <c r="Q417" i="29"/>
  <c r="R417" i="29"/>
  <c r="S417" i="29"/>
  <c r="A418" i="29"/>
  <c r="B418" i="29"/>
  <c r="C418" i="29"/>
  <c r="D418" i="29"/>
  <c r="E418" i="29"/>
  <c r="F418" i="29"/>
  <c r="G418" i="29"/>
  <c r="H418" i="29"/>
  <c r="I418" i="29"/>
  <c r="J418" i="29"/>
  <c r="L418" i="29"/>
  <c r="M418" i="29"/>
  <c r="N418" i="29"/>
  <c r="O418" i="29"/>
  <c r="P418" i="29"/>
  <c r="Q418" i="29"/>
  <c r="R418" i="29"/>
  <c r="S418" i="29"/>
  <c r="A419" i="29"/>
  <c r="B419" i="29"/>
  <c r="C419" i="29"/>
  <c r="D419" i="29"/>
  <c r="E419" i="29"/>
  <c r="F419" i="29"/>
  <c r="G419" i="29"/>
  <c r="H419" i="29"/>
  <c r="I419" i="29"/>
  <c r="J419" i="29"/>
  <c r="L419" i="29"/>
  <c r="M419" i="29"/>
  <c r="N419" i="29"/>
  <c r="O419" i="29"/>
  <c r="P419" i="29"/>
  <c r="Q419" i="29"/>
  <c r="R419" i="29"/>
  <c r="S419" i="29"/>
  <c r="A420" i="29"/>
  <c r="B420" i="29"/>
  <c r="C420" i="29"/>
  <c r="D420" i="29"/>
  <c r="E420" i="29"/>
  <c r="F420" i="29"/>
  <c r="G420" i="29"/>
  <c r="H420" i="29"/>
  <c r="I420" i="29"/>
  <c r="J420" i="29"/>
  <c r="L420" i="29"/>
  <c r="M420" i="29"/>
  <c r="N420" i="29"/>
  <c r="O420" i="29"/>
  <c r="P420" i="29"/>
  <c r="Q420" i="29"/>
  <c r="R420" i="29"/>
  <c r="S420" i="29"/>
  <c r="A421" i="29"/>
  <c r="B421" i="29"/>
  <c r="C421" i="29"/>
  <c r="D421" i="29"/>
  <c r="E421" i="29"/>
  <c r="F421" i="29"/>
  <c r="G421" i="29"/>
  <c r="H421" i="29"/>
  <c r="I421" i="29"/>
  <c r="J421" i="29"/>
  <c r="L421" i="29"/>
  <c r="M421" i="29"/>
  <c r="N421" i="29"/>
  <c r="O421" i="29"/>
  <c r="P421" i="29"/>
  <c r="Q421" i="29"/>
  <c r="R421" i="29"/>
  <c r="S421" i="29"/>
  <c r="A422" i="29"/>
  <c r="B422" i="29"/>
  <c r="C422" i="29"/>
  <c r="D422" i="29"/>
  <c r="E422" i="29"/>
  <c r="F422" i="29"/>
  <c r="G422" i="29"/>
  <c r="H422" i="29"/>
  <c r="I422" i="29"/>
  <c r="J422" i="29"/>
  <c r="L422" i="29"/>
  <c r="M422" i="29"/>
  <c r="N422" i="29"/>
  <c r="O422" i="29"/>
  <c r="P422" i="29"/>
  <c r="Q422" i="29"/>
  <c r="R422" i="29"/>
  <c r="S422" i="29"/>
  <c r="A423" i="29"/>
  <c r="B423" i="29"/>
  <c r="C423" i="29"/>
  <c r="D423" i="29"/>
  <c r="E423" i="29"/>
  <c r="F423" i="29"/>
  <c r="G423" i="29"/>
  <c r="H423" i="29"/>
  <c r="I423" i="29"/>
  <c r="J423" i="29"/>
  <c r="L423" i="29"/>
  <c r="M423" i="29"/>
  <c r="N423" i="29"/>
  <c r="O423" i="29"/>
  <c r="P423" i="29"/>
  <c r="Q423" i="29"/>
  <c r="R423" i="29"/>
  <c r="S423" i="29"/>
  <c r="A424" i="29"/>
  <c r="B424" i="29"/>
  <c r="C424" i="29"/>
  <c r="D424" i="29"/>
  <c r="E424" i="29"/>
  <c r="F424" i="29"/>
  <c r="G424" i="29"/>
  <c r="H424" i="29"/>
  <c r="I424" i="29"/>
  <c r="J424" i="29"/>
  <c r="L424" i="29"/>
  <c r="M424" i="29"/>
  <c r="N424" i="29"/>
  <c r="O424" i="29"/>
  <c r="P424" i="29"/>
  <c r="Q424" i="29"/>
  <c r="R424" i="29"/>
  <c r="S424" i="29"/>
  <c r="A425" i="29"/>
  <c r="B425" i="29"/>
  <c r="C425" i="29"/>
  <c r="D425" i="29"/>
  <c r="E425" i="29"/>
  <c r="F425" i="29"/>
  <c r="G425" i="29"/>
  <c r="H425" i="29"/>
  <c r="I425" i="29"/>
  <c r="J425" i="29"/>
  <c r="L425" i="29"/>
  <c r="M425" i="29"/>
  <c r="N425" i="29"/>
  <c r="O425" i="29"/>
  <c r="P425" i="29"/>
  <c r="Q425" i="29"/>
  <c r="R425" i="29"/>
  <c r="S425" i="29"/>
  <c r="A426" i="29"/>
  <c r="B426" i="29"/>
  <c r="C426" i="29"/>
  <c r="D426" i="29"/>
  <c r="E426" i="29"/>
  <c r="F426" i="29"/>
  <c r="G426" i="29"/>
  <c r="H426" i="29"/>
  <c r="I426" i="29"/>
  <c r="J426" i="29"/>
  <c r="L426" i="29"/>
  <c r="M426" i="29"/>
  <c r="N426" i="29"/>
  <c r="O426" i="29"/>
  <c r="P426" i="29"/>
  <c r="Q426" i="29"/>
  <c r="R426" i="29"/>
  <c r="S426" i="29"/>
  <c r="A427" i="29"/>
  <c r="B427" i="29"/>
  <c r="C427" i="29"/>
  <c r="D427" i="29"/>
  <c r="E427" i="29"/>
  <c r="F427" i="29"/>
  <c r="G427" i="29"/>
  <c r="H427" i="29"/>
  <c r="I427" i="29"/>
  <c r="J427" i="29"/>
  <c r="L427" i="29"/>
  <c r="M427" i="29"/>
  <c r="N427" i="29"/>
  <c r="O427" i="29"/>
  <c r="P427" i="29"/>
  <c r="Q427" i="29"/>
  <c r="R427" i="29"/>
  <c r="S427" i="29"/>
  <c r="A428" i="29"/>
  <c r="B428" i="29"/>
  <c r="C428" i="29"/>
  <c r="D428" i="29"/>
  <c r="E428" i="29"/>
  <c r="F428" i="29"/>
  <c r="G428" i="29"/>
  <c r="H428" i="29"/>
  <c r="I428" i="29"/>
  <c r="J428" i="29"/>
  <c r="L428" i="29"/>
  <c r="M428" i="29"/>
  <c r="N428" i="29"/>
  <c r="O428" i="29"/>
  <c r="P428" i="29"/>
  <c r="Q428" i="29"/>
  <c r="R428" i="29"/>
  <c r="S428" i="29"/>
  <c r="A429" i="29"/>
  <c r="B429" i="29"/>
  <c r="C429" i="29"/>
  <c r="D429" i="29"/>
  <c r="E429" i="29"/>
  <c r="F429" i="29"/>
  <c r="G429" i="29"/>
  <c r="H429" i="29"/>
  <c r="I429" i="29"/>
  <c r="J429" i="29"/>
  <c r="L429" i="29"/>
  <c r="M429" i="29"/>
  <c r="N429" i="29"/>
  <c r="O429" i="29"/>
  <c r="P429" i="29"/>
  <c r="Q429" i="29"/>
  <c r="R429" i="29"/>
  <c r="S429" i="29"/>
  <c r="A430" i="29"/>
  <c r="B430" i="29"/>
  <c r="C430" i="29"/>
  <c r="D430" i="29"/>
  <c r="E430" i="29"/>
  <c r="F430" i="29"/>
  <c r="G430" i="29"/>
  <c r="H430" i="29"/>
  <c r="I430" i="29"/>
  <c r="J430" i="29"/>
  <c r="L430" i="29"/>
  <c r="M430" i="29"/>
  <c r="N430" i="29"/>
  <c r="O430" i="29"/>
  <c r="P430" i="29"/>
  <c r="Q430" i="29"/>
  <c r="R430" i="29"/>
  <c r="S430" i="29"/>
  <c r="A431" i="29"/>
  <c r="B431" i="29"/>
  <c r="C431" i="29"/>
  <c r="D431" i="29"/>
  <c r="E431" i="29"/>
  <c r="F431" i="29"/>
  <c r="G431" i="29"/>
  <c r="H431" i="29"/>
  <c r="I431" i="29"/>
  <c r="J431" i="29"/>
  <c r="L431" i="29"/>
  <c r="M431" i="29"/>
  <c r="N431" i="29"/>
  <c r="O431" i="29"/>
  <c r="P431" i="29"/>
  <c r="Q431" i="29"/>
  <c r="R431" i="29"/>
  <c r="S431" i="29"/>
  <c r="A432" i="29"/>
  <c r="B432" i="29"/>
  <c r="C432" i="29"/>
  <c r="D432" i="29"/>
  <c r="E432" i="29"/>
  <c r="F432" i="29"/>
  <c r="G432" i="29"/>
  <c r="H432" i="29"/>
  <c r="I432" i="29"/>
  <c r="J432" i="29"/>
  <c r="L432" i="29"/>
  <c r="M432" i="29"/>
  <c r="N432" i="29"/>
  <c r="O432" i="29"/>
  <c r="P432" i="29"/>
  <c r="Q432" i="29"/>
  <c r="R432" i="29"/>
  <c r="S432" i="29"/>
  <c r="A433" i="29"/>
  <c r="B433" i="29"/>
  <c r="C433" i="29"/>
  <c r="D433" i="29"/>
  <c r="E433" i="29"/>
  <c r="F433" i="29"/>
  <c r="G433" i="29"/>
  <c r="H433" i="29"/>
  <c r="I433" i="29"/>
  <c r="J433" i="29"/>
  <c r="L433" i="29"/>
  <c r="M433" i="29"/>
  <c r="N433" i="29"/>
  <c r="O433" i="29"/>
  <c r="P433" i="29"/>
  <c r="Q433" i="29"/>
  <c r="R433" i="29"/>
  <c r="S433" i="29"/>
  <c r="A434" i="29"/>
  <c r="B434" i="29"/>
  <c r="C434" i="29"/>
  <c r="D434" i="29"/>
  <c r="E434" i="29"/>
  <c r="F434" i="29"/>
  <c r="G434" i="29"/>
  <c r="H434" i="29"/>
  <c r="I434" i="29"/>
  <c r="J434" i="29"/>
  <c r="L434" i="29"/>
  <c r="M434" i="29"/>
  <c r="N434" i="29"/>
  <c r="O434" i="29"/>
  <c r="P434" i="29"/>
  <c r="Q434" i="29"/>
  <c r="R434" i="29"/>
  <c r="S434" i="29"/>
  <c r="A435" i="29"/>
  <c r="B435" i="29"/>
  <c r="C435" i="29"/>
  <c r="D435" i="29"/>
  <c r="E435" i="29"/>
  <c r="F435" i="29"/>
  <c r="G435" i="29"/>
  <c r="H435" i="29"/>
  <c r="I435" i="29"/>
  <c r="J435" i="29"/>
  <c r="L435" i="29"/>
  <c r="M435" i="29"/>
  <c r="N435" i="29"/>
  <c r="O435" i="29"/>
  <c r="P435" i="29"/>
  <c r="Q435" i="29"/>
  <c r="R435" i="29"/>
  <c r="S435" i="29"/>
  <c r="A436" i="29"/>
  <c r="B436" i="29"/>
  <c r="C436" i="29"/>
  <c r="D436" i="29"/>
  <c r="E436" i="29"/>
  <c r="F436" i="29"/>
  <c r="G436" i="29"/>
  <c r="H436" i="29"/>
  <c r="I436" i="29"/>
  <c r="J436" i="29"/>
  <c r="L436" i="29"/>
  <c r="M436" i="29"/>
  <c r="N436" i="29"/>
  <c r="O436" i="29"/>
  <c r="P436" i="29"/>
  <c r="Q436" i="29"/>
  <c r="R436" i="29"/>
  <c r="S436" i="29"/>
  <c r="A437" i="29"/>
  <c r="B437" i="29"/>
  <c r="C437" i="29"/>
  <c r="D437" i="29"/>
  <c r="E437" i="29"/>
  <c r="F437" i="29"/>
  <c r="G437" i="29"/>
  <c r="H437" i="29"/>
  <c r="I437" i="29"/>
  <c r="J437" i="29"/>
  <c r="L437" i="29"/>
  <c r="M437" i="29"/>
  <c r="N437" i="29"/>
  <c r="O437" i="29"/>
  <c r="P437" i="29"/>
  <c r="Q437" i="29"/>
  <c r="R437" i="29"/>
  <c r="S437" i="29"/>
  <c r="A438" i="29"/>
  <c r="B438" i="29"/>
  <c r="C438" i="29"/>
  <c r="D438" i="29"/>
  <c r="E438" i="29"/>
  <c r="F438" i="29"/>
  <c r="G438" i="29"/>
  <c r="H438" i="29"/>
  <c r="I438" i="29"/>
  <c r="J438" i="29"/>
  <c r="L438" i="29"/>
  <c r="M438" i="29"/>
  <c r="N438" i="29"/>
  <c r="O438" i="29"/>
  <c r="P438" i="29"/>
  <c r="Q438" i="29"/>
  <c r="R438" i="29"/>
  <c r="S438" i="29"/>
  <c r="A439" i="29"/>
  <c r="B439" i="29"/>
  <c r="C439" i="29"/>
  <c r="D439" i="29"/>
  <c r="E439" i="29"/>
  <c r="F439" i="29"/>
  <c r="G439" i="29"/>
  <c r="H439" i="29"/>
  <c r="I439" i="29"/>
  <c r="J439" i="29"/>
  <c r="L439" i="29"/>
  <c r="M439" i="29"/>
  <c r="N439" i="29"/>
  <c r="O439" i="29"/>
  <c r="P439" i="29"/>
  <c r="Q439" i="29"/>
  <c r="R439" i="29"/>
  <c r="S439" i="29"/>
  <c r="A440" i="29"/>
  <c r="B440" i="29"/>
  <c r="C440" i="29"/>
  <c r="D440" i="29"/>
  <c r="E440" i="29"/>
  <c r="F440" i="29"/>
  <c r="G440" i="29"/>
  <c r="H440" i="29"/>
  <c r="I440" i="29"/>
  <c r="J440" i="29"/>
  <c r="L440" i="29"/>
  <c r="M440" i="29"/>
  <c r="N440" i="29"/>
  <c r="O440" i="29"/>
  <c r="P440" i="29"/>
  <c r="Q440" i="29"/>
  <c r="R440" i="29"/>
  <c r="S440" i="29"/>
  <c r="A441" i="29"/>
  <c r="B441" i="29"/>
  <c r="C441" i="29"/>
  <c r="D441" i="29"/>
  <c r="E441" i="29"/>
  <c r="F441" i="29"/>
  <c r="G441" i="29"/>
  <c r="H441" i="29"/>
  <c r="I441" i="29"/>
  <c r="J441" i="29"/>
  <c r="L441" i="29"/>
  <c r="M441" i="29"/>
  <c r="N441" i="29"/>
  <c r="O441" i="29"/>
  <c r="P441" i="29"/>
  <c r="Q441" i="29"/>
  <c r="R441" i="29"/>
  <c r="S441" i="29"/>
  <c r="A442" i="29"/>
  <c r="B442" i="29"/>
  <c r="C442" i="29"/>
  <c r="D442" i="29"/>
  <c r="E442" i="29"/>
  <c r="F442" i="29"/>
  <c r="G442" i="29"/>
  <c r="H442" i="29"/>
  <c r="I442" i="29"/>
  <c r="J442" i="29"/>
  <c r="L442" i="29"/>
  <c r="M442" i="29"/>
  <c r="N442" i="29"/>
  <c r="O442" i="29"/>
  <c r="P442" i="29"/>
  <c r="Q442" i="29"/>
  <c r="R442" i="29"/>
  <c r="S442" i="29"/>
  <c r="A443" i="29"/>
  <c r="B443" i="29"/>
  <c r="C443" i="29"/>
  <c r="D443" i="29"/>
  <c r="E443" i="29"/>
  <c r="F443" i="29"/>
  <c r="G443" i="29"/>
  <c r="H443" i="29"/>
  <c r="I443" i="29"/>
  <c r="J443" i="29"/>
  <c r="L443" i="29"/>
  <c r="M443" i="29"/>
  <c r="N443" i="29"/>
  <c r="O443" i="29"/>
  <c r="P443" i="29"/>
  <c r="Q443" i="29"/>
  <c r="R443" i="29"/>
  <c r="S443" i="29"/>
  <c r="A444" i="29"/>
  <c r="B444" i="29"/>
  <c r="C444" i="29"/>
  <c r="D444" i="29"/>
  <c r="E444" i="29"/>
  <c r="F444" i="29"/>
  <c r="G444" i="29"/>
  <c r="H444" i="29"/>
  <c r="I444" i="29"/>
  <c r="J444" i="29"/>
  <c r="L444" i="29"/>
  <c r="M444" i="29"/>
  <c r="N444" i="29"/>
  <c r="O444" i="29"/>
  <c r="P444" i="29"/>
  <c r="Q444" i="29"/>
  <c r="R444" i="29"/>
  <c r="S444" i="29"/>
  <c r="A445" i="29"/>
  <c r="B445" i="29"/>
  <c r="C445" i="29"/>
  <c r="D445" i="29"/>
  <c r="E445" i="29"/>
  <c r="F445" i="29"/>
  <c r="G445" i="29"/>
  <c r="H445" i="29"/>
  <c r="I445" i="29"/>
  <c r="J445" i="29"/>
  <c r="L445" i="29"/>
  <c r="M445" i="29"/>
  <c r="N445" i="29"/>
  <c r="O445" i="29"/>
  <c r="P445" i="29"/>
  <c r="Q445" i="29"/>
  <c r="R445" i="29"/>
  <c r="S445" i="29"/>
  <c r="A446" i="29"/>
  <c r="B446" i="29"/>
  <c r="C446" i="29"/>
  <c r="D446" i="29"/>
  <c r="E446" i="29"/>
  <c r="F446" i="29"/>
  <c r="G446" i="29"/>
  <c r="H446" i="29"/>
  <c r="I446" i="29"/>
  <c r="J446" i="29"/>
  <c r="L446" i="29"/>
  <c r="M446" i="29"/>
  <c r="N446" i="29"/>
  <c r="O446" i="29"/>
  <c r="P446" i="29"/>
  <c r="Q446" i="29"/>
  <c r="R446" i="29"/>
  <c r="S446" i="29"/>
  <c r="A447" i="29"/>
  <c r="B447" i="29"/>
  <c r="C447" i="29"/>
  <c r="D447" i="29"/>
  <c r="E447" i="29"/>
  <c r="F447" i="29"/>
  <c r="G447" i="29"/>
  <c r="H447" i="29"/>
  <c r="I447" i="29"/>
  <c r="J447" i="29"/>
  <c r="L447" i="29"/>
  <c r="M447" i="29"/>
  <c r="N447" i="29"/>
  <c r="O447" i="29"/>
  <c r="P447" i="29"/>
  <c r="Q447" i="29"/>
  <c r="R447" i="29"/>
  <c r="S447" i="29"/>
  <c r="A448" i="29"/>
  <c r="B448" i="29"/>
  <c r="C448" i="29"/>
  <c r="D448" i="29"/>
  <c r="E448" i="29"/>
  <c r="F448" i="29"/>
  <c r="G448" i="29"/>
  <c r="H448" i="29"/>
  <c r="I448" i="29"/>
  <c r="J448" i="29"/>
  <c r="L448" i="29"/>
  <c r="M448" i="29"/>
  <c r="N448" i="29"/>
  <c r="O448" i="29"/>
  <c r="P448" i="29"/>
  <c r="Q448" i="29"/>
  <c r="R448" i="29"/>
  <c r="S448" i="29"/>
  <c r="A449" i="29"/>
  <c r="B449" i="29"/>
  <c r="C449" i="29"/>
  <c r="D449" i="29"/>
  <c r="E449" i="29"/>
  <c r="F449" i="29"/>
  <c r="G449" i="29"/>
  <c r="H449" i="29"/>
  <c r="I449" i="29"/>
  <c r="J449" i="29"/>
  <c r="L449" i="29"/>
  <c r="M449" i="29"/>
  <c r="N449" i="29"/>
  <c r="O449" i="29"/>
  <c r="P449" i="29"/>
  <c r="Q449" i="29"/>
  <c r="R449" i="29"/>
  <c r="S449" i="29"/>
  <c r="A450" i="29"/>
  <c r="B450" i="29"/>
  <c r="C450" i="29"/>
  <c r="D450" i="29"/>
  <c r="E450" i="29"/>
  <c r="F450" i="29"/>
  <c r="G450" i="29"/>
  <c r="H450" i="29"/>
  <c r="I450" i="29"/>
  <c r="J450" i="29"/>
  <c r="L450" i="29"/>
  <c r="M450" i="29"/>
  <c r="N450" i="29"/>
  <c r="O450" i="29"/>
  <c r="P450" i="29"/>
  <c r="Q450" i="29"/>
  <c r="R450" i="29"/>
  <c r="S450" i="29"/>
  <c r="A451" i="29"/>
  <c r="B451" i="29"/>
  <c r="C451" i="29"/>
  <c r="D451" i="29"/>
  <c r="E451" i="29"/>
  <c r="F451" i="29"/>
  <c r="G451" i="29"/>
  <c r="H451" i="29"/>
  <c r="I451" i="29"/>
  <c r="J451" i="29"/>
  <c r="L451" i="29"/>
  <c r="M451" i="29"/>
  <c r="N451" i="29"/>
  <c r="O451" i="29"/>
  <c r="P451" i="29"/>
  <c r="Q451" i="29"/>
  <c r="R451" i="29"/>
  <c r="S451" i="29"/>
  <c r="A452" i="29"/>
  <c r="B452" i="29"/>
  <c r="C452" i="29"/>
  <c r="D452" i="29"/>
  <c r="E452" i="29"/>
  <c r="F452" i="29"/>
  <c r="G452" i="29"/>
  <c r="H452" i="29"/>
  <c r="I452" i="29"/>
  <c r="J452" i="29"/>
  <c r="L452" i="29"/>
  <c r="M452" i="29"/>
  <c r="N452" i="29"/>
  <c r="O452" i="29"/>
  <c r="P452" i="29"/>
  <c r="Q452" i="29"/>
  <c r="R452" i="29"/>
  <c r="S452" i="29"/>
  <c r="A453" i="29"/>
  <c r="B453" i="29"/>
  <c r="C453" i="29"/>
  <c r="D453" i="29"/>
  <c r="E453" i="29"/>
  <c r="F453" i="29"/>
  <c r="G453" i="29"/>
  <c r="H453" i="29"/>
  <c r="I453" i="29"/>
  <c r="J453" i="29"/>
  <c r="L453" i="29"/>
  <c r="M453" i="29"/>
  <c r="N453" i="29"/>
  <c r="O453" i="29"/>
  <c r="P453" i="29"/>
  <c r="Q453" i="29"/>
  <c r="R453" i="29"/>
  <c r="S453" i="29"/>
  <c r="A454" i="29"/>
  <c r="B454" i="29"/>
  <c r="C454" i="29"/>
  <c r="D454" i="29"/>
  <c r="E454" i="29"/>
  <c r="F454" i="29"/>
  <c r="G454" i="29"/>
  <c r="H454" i="29"/>
  <c r="I454" i="29"/>
  <c r="J454" i="29"/>
  <c r="L454" i="29"/>
  <c r="M454" i="29"/>
  <c r="N454" i="29"/>
  <c r="O454" i="29"/>
  <c r="P454" i="29"/>
  <c r="Q454" i="29"/>
  <c r="R454" i="29"/>
  <c r="S454" i="29"/>
  <c r="A455" i="29"/>
  <c r="B455" i="29"/>
  <c r="C455" i="29"/>
  <c r="D455" i="29"/>
  <c r="E455" i="29"/>
  <c r="F455" i="29"/>
  <c r="G455" i="29"/>
  <c r="H455" i="29"/>
  <c r="I455" i="29"/>
  <c r="J455" i="29"/>
  <c r="L455" i="29"/>
  <c r="M455" i="29"/>
  <c r="N455" i="29"/>
  <c r="O455" i="29"/>
  <c r="P455" i="29"/>
  <c r="Q455" i="29"/>
  <c r="R455" i="29"/>
  <c r="S455" i="29"/>
  <c r="A456" i="29"/>
  <c r="B456" i="29"/>
  <c r="C456" i="29"/>
  <c r="D456" i="29"/>
  <c r="E456" i="29"/>
  <c r="F456" i="29"/>
  <c r="G456" i="29"/>
  <c r="H456" i="29"/>
  <c r="I456" i="29"/>
  <c r="J456" i="29"/>
  <c r="L456" i="29"/>
  <c r="M456" i="29"/>
  <c r="N456" i="29"/>
  <c r="O456" i="29"/>
  <c r="P456" i="29"/>
  <c r="Q456" i="29"/>
  <c r="R456" i="29"/>
  <c r="S456" i="29"/>
  <c r="A457" i="29"/>
  <c r="B457" i="29"/>
  <c r="C457" i="29"/>
  <c r="D457" i="29"/>
  <c r="E457" i="29"/>
  <c r="F457" i="29"/>
  <c r="G457" i="29"/>
  <c r="H457" i="29"/>
  <c r="I457" i="29"/>
  <c r="J457" i="29"/>
  <c r="L457" i="29"/>
  <c r="M457" i="29"/>
  <c r="N457" i="29"/>
  <c r="O457" i="29"/>
  <c r="P457" i="29"/>
  <c r="Q457" i="29"/>
  <c r="R457" i="29"/>
  <c r="S457" i="29"/>
  <c r="A458" i="29"/>
  <c r="B458" i="29"/>
  <c r="C458" i="29"/>
  <c r="D458" i="29"/>
  <c r="E458" i="29"/>
  <c r="F458" i="29"/>
  <c r="G458" i="29"/>
  <c r="H458" i="29"/>
  <c r="I458" i="29"/>
  <c r="J458" i="29"/>
  <c r="L458" i="29"/>
  <c r="M458" i="29"/>
  <c r="N458" i="29"/>
  <c r="O458" i="29"/>
  <c r="P458" i="29"/>
  <c r="Q458" i="29"/>
  <c r="R458" i="29"/>
  <c r="S458" i="29"/>
  <c r="A459" i="29"/>
  <c r="B459" i="29"/>
  <c r="C459" i="29"/>
  <c r="D459" i="29"/>
  <c r="E459" i="29"/>
  <c r="F459" i="29"/>
  <c r="G459" i="29"/>
  <c r="H459" i="29"/>
  <c r="I459" i="29"/>
  <c r="J459" i="29"/>
  <c r="L459" i="29"/>
  <c r="M459" i="29"/>
  <c r="N459" i="29"/>
  <c r="O459" i="29"/>
  <c r="P459" i="29"/>
  <c r="Q459" i="29"/>
  <c r="R459" i="29"/>
  <c r="S459" i="29"/>
  <c r="A460" i="29"/>
  <c r="B460" i="29"/>
  <c r="C460" i="29"/>
  <c r="D460" i="29"/>
  <c r="E460" i="29"/>
  <c r="F460" i="29"/>
  <c r="G460" i="29"/>
  <c r="H460" i="29"/>
  <c r="I460" i="29"/>
  <c r="J460" i="29"/>
  <c r="L460" i="29"/>
  <c r="M460" i="29"/>
  <c r="N460" i="29"/>
  <c r="O460" i="29"/>
  <c r="P460" i="29"/>
  <c r="Q460" i="29"/>
  <c r="R460" i="29"/>
  <c r="S460" i="29"/>
  <c r="A461" i="29"/>
  <c r="B461" i="29"/>
  <c r="C461" i="29"/>
  <c r="D461" i="29"/>
  <c r="E461" i="29"/>
  <c r="F461" i="29"/>
  <c r="G461" i="29"/>
  <c r="H461" i="29"/>
  <c r="I461" i="29"/>
  <c r="J461" i="29"/>
  <c r="L461" i="29"/>
  <c r="M461" i="29"/>
  <c r="N461" i="29"/>
  <c r="O461" i="29"/>
  <c r="P461" i="29"/>
  <c r="Q461" i="29"/>
  <c r="R461" i="29"/>
  <c r="S461" i="29"/>
  <c r="A462" i="29"/>
  <c r="B462" i="29"/>
  <c r="C462" i="29"/>
  <c r="D462" i="29"/>
  <c r="E462" i="29"/>
  <c r="F462" i="29"/>
  <c r="G462" i="29"/>
  <c r="H462" i="29"/>
  <c r="I462" i="29"/>
  <c r="J462" i="29"/>
  <c r="L462" i="29"/>
  <c r="M462" i="29"/>
  <c r="N462" i="29"/>
  <c r="O462" i="29"/>
  <c r="P462" i="29"/>
  <c r="Q462" i="29"/>
  <c r="R462" i="29"/>
  <c r="S462" i="29"/>
  <c r="A463" i="29"/>
  <c r="B463" i="29"/>
  <c r="C463" i="29"/>
  <c r="D463" i="29"/>
  <c r="E463" i="29"/>
  <c r="F463" i="29"/>
  <c r="G463" i="29"/>
  <c r="H463" i="29"/>
  <c r="I463" i="29"/>
  <c r="J463" i="29"/>
  <c r="L463" i="29"/>
  <c r="M463" i="29"/>
  <c r="N463" i="29"/>
  <c r="O463" i="29"/>
  <c r="P463" i="29"/>
  <c r="Q463" i="29"/>
  <c r="R463" i="29"/>
  <c r="S463" i="29"/>
  <c r="A464" i="29"/>
  <c r="B464" i="29"/>
  <c r="C464" i="29"/>
  <c r="D464" i="29"/>
  <c r="E464" i="29"/>
  <c r="F464" i="29"/>
  <c r="G464" i="29"/>
  <c r="H464" i="29"/>
  <c r="I464" i="29"/>
  <c r="J464" i="29"/>
  <c r="L464" i="29"/>
  <c r="M464" i="29"/>
  <c r="N464" i="29"/>
  <c r="O464" i="29"/>
  <c r="P464" i="29"/>
  <c r="Q464" i="29"/>
  <c r="R464" i="29"/>
  <c r="S464" i="29"/>
  <c r="A465" i="29"/>
  <c r="B465" i="29"/>
  <c r="C465" i="29"/>
  <c r="D465" i="29"/>
  <c r="E465" i="29"/>
  <c r="F465" i="29"/>
  <c r="G465" i="29"/>
  <c r="H465" i="29"/>
  <c r="I465" i="29"/>
  <c r="J465" i="29"/>
  <c r="L465" i="29"/>
  <c r="M465" i="29"/>
  <c r="N465" i="29"/>
  <c r="O465" i="29"/>
  <c r="P465" i="29"/>
  <c r="Q465" i="29"/>
  <c r="R465" i="29"/>
  <c r="S465" i="29"/>
  <c r="A466" i="29"/>
  <c r="B466" i="29"/>
  <c r="C466" i="29"/>
  <c r="D466" i="29"/>
  <c r="E466" i="29"/>
  <c r="F466" i="29"/>
  <c r="G466" i="29"/>
  <c r="H466" i="29"/>
  <c r="I466" i="29"/>
  <c r="J466" i="29"/>
  <c r="L466" i="29"/>
  <c r="M466" i="29"/>
  <c r="N466" i="29"/>
  <c r="O466" i="29"/>
  <c r="P466" i="29"/>
  <c r="Q466" i="29"/>
  <c r="R466" i="29"/>
  <c r="S466" i="29"/>
  <c r="A467" i="29"/>
  <c r="B467" i="29"/>
  <c r="C467" i="29"/>
  <c r="D467" i="29"/>
  <c r="E467" i="29"/>
  <c r="F467" i="29"/>
  <c r="G467" i="29"/>
  <c r="H467" i="29"/>
  <c r="I467" i="29"/>
  <c r="J467" i="29"/>
  <c r="L467" i="29"/>
  <c r="M467" i="29"/>
  <c r="N467" i="29"/>
  <c r="O467" i="29"/>
  <c r="P467" i="29"/>
  <c r="Q467" i="29"/>
  <c r="R467" i="29"/>
  <c r="S467" i="29"/>
  <c r="A468" i="29"/>
  <c r="B468" i="29"/>
  <c r="C468" i="29"/>
  <c r="D468" i="29"/>
  <c r="E468" i="29"/>
  <c r="F468" i="29"/>
  <c r="G468" i="29"/>
  <c r="H468" i="29"/>
  <c r="I468" i="29"/>
  <c r="J468" i="29"/>
  <c r="L468" i="29"/>
  <c r="M468" i="29"/>
  <c r="N468" i="29"/>
  <c r="O468" i="29"/>
  <c r="P468" i="29"/>
  <c r="Q468" i="29"/>
  <c r="R468" i="29"/>
  <c r="S468" i="29"/>
  <c r="A469" i="29"/>
  <c r="B469" i="29"/>
  <c r="C469" i="29"/>
  <c r="D469" i="29"/>
  <c r="E469" i="29"/>
  <c r="F469" i="29"/>
  <c r="G469" i="29"/>
  <c r="H469" i="29"/>
  <c r="I469" i="29"/>
  <c r="J469" i="29"/>
  <c r="L469" i="29"/>
  <c r="M469" i="29"/>
  <c r="N469" i="29"/>
  <c r="O469" i="29"/>
  <c r="P469" i="29"/>
  <c r="Q469" i="29"/>
  <c r="R469" i="29"/>
  <c r="S469" i="29"/>
  <c r="A470" i="29"/>
  <c r="B470" i="29"/>
  <c r="C470" i="29"/>
  <c r="D470" i="29"/>
  <c r="E470" i="29"/>
  <c r="F470" i="29"/>
  <c r="G470" i="29"/>
  <c r="H470" i="29"/>
  <c r="I470" i="29"/>
  <c r="J470" i="29"/>
  <c r="L470" i="29"/>
  <c r="M470" i="29"/>
  <c r="N470" i="29"/>
  <c r="O470" i="29"/>
  <c r="P470" i="29"/>
  <c r="Q470" i="29"/>
  <c r="R470" i="29"/>
  <c r="S470" i="29"/>
  <c r="A471" i="29"/>
  <c r="B471" i="29"/>
  <c r="C471" i="29"/>
  <c r="D471" i="29"/>
  <c r="E471" i="29"/>
  <c r="F471" i="29"/>
  <c r="G471" i="29"/>
  <c r="H471" i="29"/>
  <c r="I471" i="29"/>
  <c r="J471" i="29"/>
  <c r="L471" i="29"/>
  <c r="M471" i="29"/>
  <c r="N471" i="29"/>
  <c r="O471" i="29"/>
  <c r="P471" i="29"/>
  <c r="Q471" i="29"/>
  <c r="R471" i="29"/>
  <c r="S471" i="29"/>
  <c r="A472" i="29"/>
  <c r="B472" i="29"/>
  <c r="C472" i="29"/>
  <c r="D472" i="29"/>
  <c r="E472" i="29"/>
  <c r="F472" i="29"/>
  <c r="G472" i="29"/>
  <c r="H472" i="29"/>
  <c r="I472" i="29"/>
  <c r="J472" i="29"/>
  <c r="L472" i="29"/>
  <c r="M472" i="29"/>
  <c r="N472" i="29"/>
  <c r="O472" i="29"/>
  <c r="P472" i="29"/>
  <c r="Q472" i="29"/>
  <c r="R472" i="29"/>
  <c r="S472" i="29"/>
  <c r="A473" i="29"/>
  <c r="B473" i="29"/>
  <c r="C473" i="29"/>
  <c r="D473" i="29"/>
  <c r="E473" i="29"/>
  <c r="F473" i="29"/>
  <c r="G473" i="29"/>
  <c r="H473" i="29"/>
  <c r="I473" i="29"/>
  <c r="J473" i="29"/>
  <c r="L473" i="29"/>
  <c r="M473" i="29"/>
  <c r="N473" i="29"/>
  <c r="O473" i="29"/>
  <c r="P473" i="29"/>
  <c r="Q473" i="29"/>
  <c r="R473" i="29"/>
  <c r="S473" i="29"/>
  <c r="A474" i="29"/>
  <c r="B474" i="29"/>
  <c r="C474" i="29"/>
  <c r="D474" i="29"/>
  <c r="E474" i="29"/>
  <c r="F474" i="29"/>
  <c r="G474" i="29"/>
  <c r="H474" i="29"/>
  <c r="I474" i="29"/>
  <c r="J474" i="29"/>
  <c r="L474" i="29"/>
  <c r="M474" i="29"/>
  <c r="N474" i="29"/>
  <c r="O474" i="29"/>
  <c r="P474" i="29"/>
  <c r="Q474" i="29"/>
  <c r="R474" i="29"/>
  <c r="S474" i="29"/>
  <c r="A475" i="29"/>
  <c r="B475" i="29"/>
  <c r="C475" i="29"/>
  <c r="D475" i="29"/>
  <c r="E475" i="29"/>
  <c r="F475" i="29"/>
  <c r="G475" i="29"/>
  <c r="H475" i="29"/>
  <c r="I475" i="29"/>
  <c r="J475" i="29"/>
  <c r="L475" i="29"/>
  <c r="M475" i="29"/>
  <c r="N475" i="29"/>
  <c r="O475" i="29"/>
  <c r="P475" i="29"/>
  <c r="Q475" i="29"/>
  <c r="R475" i="29"/>
  <c r="S475" i="29"/>
  <c r="A476" i="29"/>
  <c r="B476" i="29"/>
  <c r="C476" i="29"/>
  <c r="D476" i="29"/>
  <c r="E476" i="29"/>
  <c r="F476" i="29"/>
  <c r="G476" i="29"/>
  <c r="H476" i="29"/>
  <c r="I476" i="29"/>
  <c r="J476" i="29"/>
  <c r="L476" i="29"/>
  <c r="M476" i="29"/>
  <c r="N476" i="29"/>
  <c r="O476" i="29"/>
  <c r="P476" i="29"/>
  <c r="Q476" i="29"/>
  <c r="R476" i="29"/>
  <c r="S476" i="29"/>
  <c r="A477" i="29"/>
  <c r="B477" i="29"/>
  <c r="C477" i="29"/>
  <c r="D477" i="29"/>
  <c r="E477" i="29"/>
  <c r="F477" i="29"/>
  <c r="G477" i="29"/>
  <c r="H477" i="29"/>
  <c r="I477" i="29"/>
  <c r="J477" i="29"/>
  <c r="L477" i="29"/>
  <c r="M477" i="29"/>
  <c r="N477" i="29"/>
  <c r="O477" i="29"/>
  <c r="P477" i="29"/>
  <c r="Q477" i="29"/>
  <c r="R477" i="29"/>
  <c r="S477" i="29"/>
  <c r="A478" i="29"/>
  <c r="B478" i="29"/>
  <c r="C478" i="29"/>
  <c r="D478" i="29"/>
  <c r="E478" i="29"/>
  <c r="F478" i="29"/>
  <c r="G478" i="29"/>
  <c r="H478" i="29"/>
  <c r="I478" i="29"/>
  <c r="J478" i="29"/>
  <c r="L478" i="29"/>
  <c r="M478" i="29"/>
  <c r="N478" i="29"/>
  <c r="O478" i="29"/>
  <c r="P478" i="29"/>
  <c r="Q478" i="29"/>
  <c r="R478" i="29"/>
  <c r="S478" i="29"/>
  <c r="A479" i="29"/>
  <c r="B479" i="29"/>
  <c r="C479" i="29"/>
  <c r="D479" i="29"/>
  <c r="E479" i="29"/>
  <c r="F479" i="29"/>
  <c r="G479" i="29"/>
  <c r="H479" i="29"/>
  <c r="I479" i="29"/>
  <c r="J479" i="29"/>
  <c r="L479" i="29"/>
  <c r="M479" i="29"/>
  <c r="N479" i="29"/>
  <c r="O479" i="29"/>
  <c r="P479" i="29"/>
  <c r="Q479" i="29"/>
  <c r="R479" i="29"/>
  <c r="S479" i="29"/>
  <c r="A480" i="29"/>
  <c r="B480" i="29"/>
  <c r="C480" i="29"/>
  <c r="D480" i="29"/>
  <c r="E480" i="29"/>
  <c r="F480" i="29"/>
  <c r="G480" i="29"/>
  <c r="H480" i="29"/>
  <c r="I480" i="29"/>
  <c r="J480" i="29"/>
  <c r="L480" i="29"/>
  <c r="M480" i="29"/>
  <c r="N480" i="29"/>
  <c r="O480" i="29"/>
  <c r="P480" i="29"/>
  <c r="Q480" i="29"/>
  <c r="R480" i="29"/>
  <c r="S480" i="29"/>
  <c r="A481" i="29"/>
  <c r="B481" i="29"/>
  <c r="C481" i="29"/>
  <c r="D481" i="29"/>
  <c r="E481" i="29"/>
  <c r="F481" i="29"/>
  <c r="G481" i="29"/>
  <c r="H481" i="29"/>
  <c r="I481" i="29"/>
  <c r="J481" i="29"/>
  <c r="L481" i="29"/>
  <c r="M481" i="29"/>
  <c r="N481" i="29"/>
  <c r="O481" i="29"/>
  <c r="P481" i="29"/>
  <c r="Q481" i="29"/>
  <c r="R481" i="29"/>
  <c r="S481" i="29"/>
  <c r="A482" i="29"/>
  <c r="B482" i="29"/>
  <c r="C482" i="29"/>
  <c r="D482" i="29"/>
  <c r="E482" i="29"/>
  <c r="F482" i="29"/>
  <c r="G482" i="29"/>
  <c r="H482" i="29"/>
  <c r="I482" i="29"/>
  <c r="J482" i="29"/>
  <c r="L482" i="29"/>
  <c r="M482" i="29"/>
  <c r="N482" i="29"/>
  <c r="O482" i="29"/>
  <c r="P482" i="29"/>
  <c r="Q482" i="29"/>
  <c r="R482" i="29"/>
  <c r="S482" i="29"/>
  <c r="A483" i="29"/>
  <c r="B483" i="29"/>
  <c r="C483" i="29"/>
  <c r="D483" i="29"/>
  <c r="E483" i="29"/>
  <c r="F483" i="29"/>
  <c r="G483" i="29"/>
  <c r="H483" i="29"/>
  <c r="I483" i="29"/>
  <c r="J483" i="29"/>
  <c r="L483" i="29"/>
  <c r="M483" i="29"/>
  <c r="N483" i="29"/>
  <c r="O483" i="29"/>
  <c r="P483" i="29"/>
  <c r="Q483" i="29"/>
  <c r="R483" i="29"/>
  <c r="S483" i="29"/>
  <c r="A484" i="29"/>
  <c r="B484" i="29"/>
  <c r="C484" i="29"/>
  <c r="D484" i="29"/>
  <c r="E484" i="29"/>
  <c r="F484" i="29"/>
  <c r="G484" i="29"/>
  <c r="H484" i="29"/>
  <c r="I484" i="29"/>
  <c r="J484" i="29"/>
  <c r="L484" i="29"/>
  <c r="M484" i="29"/>
  <c r="N484" i="29"/>
  <c r="O484" i="29"/>
  <c r="P484" i="29"/>
  <c r="Q484" i="29"/>
  <c r="R484" i="29"/>
  <c r="S484" i="29"/>
  <c r="A485" i="29"/>
  <c r="B485" i="29"/>
  <c r="C485" i="29"/>
  <c r="D485" i="29"/>
  <c r="E485" i="29"/>
  <c r="F485" i="29"/>
  <c r="G485" i="29"/>
  <c r="H485" i="29"/>
  <c r="I485" i="29"/>
  <c r="J485" i="29"/>
  <c r="L485" i="29"/>
  <c r="M485" i="29"/>
  <c r="N485" i="29"/>
  <c r="O485" i="29"/>
  <c r="P485" i="29"/>
  <c r="Q485" i="29"/>
  <c r="R485" i="29"/>
  <c r="S485" i="29"/>
  <c r="A486" i="29"/>
  <c r="B486" i="29"/>
  <c r="C486" i="29"/>
  <c r="D486" i="29"/>
  <c r="E486" i="29"/>
  <c r="F486" i="29"/>
  <c r="G486" i="29"/>
  <c r="H486" i="29"/>
  <c r="I486" i="29"/>
  <c r="J486" i="29"/>
  <c r="L486" i="29"/>
  <c r="M486" i="29"/>
  <c r="N486" i="29"/>
  <c r="O486" i="29"/>
  <c r="P486" i="29"/>
  <c r="Q486" i="29"/>
  <c r="R486" i="29"/>
  <c r="S486" i="29"/>
  <c r="A487" i="29"/>
  <c r="B487" i="29"/>
  <c r="C487" i="29"/>
  <c r="D487" i="29"/>
  <c r="E487" i="29"/>
  <c r="F487" i="29"/>
  <c r="G487" i="29"/>
  <c r="H487" i="29"/>
  <c r="I487" i="29"/>
  <c r="J487" i="29"/>
  <c r="L487" i="29"/>
  <c r="M487" i="29"/>
  <c r="N487" i="29"/>
  <c r="O487" i="29"/>
  <c r="P487" i="29"/>
  <c r="Q487" i="29"/>
  <c r="R487" i="29"/>
  <c r="S487" i="29"/>
  <c r="A488" i="29"/>
  <c r="B488" i="29"/>
  <c r="C488" i="29"/>
  <c r="D488" i="29"/>
  <c r="E488" i="29"/>
  <c r="F488" i="29"/>
  <c r="G488" i="29"/>
  <c r="H488" i="29"/>
  <c r="I488" i="29"/>
  <c r="J488" i="29"/>
  <c r="L488" i="29"/>
  <c r="M488" i="29"/>
  <c r="N488" i="29"/>
  <c r="O488" i="29"/>
  <c r="P488" i="29"/>
  <c r="Q488" i="29"/>
  <c r="R488" i="29"/>
  <c r="S488" i="29"/>
  <c r="A489" i="29"/>
  <c r="B489" i="29"/>
  <c r="C489" i="29"/>
  <c r="D489" i="29"/>
  <c r="E489" i="29"/>
  <c r="F489" i="29"/>
  <c r="G489" i="29"/>
  <c r="H489" i="29"/>
  <c r="I489" i="29"/>
  <c r="J489" i="29"/>
  <c r="L489" i="29"/>
  <c r="M489" i="29"/>
  <c r="N489" i="29"/>
  <c r="O489" i="29"/>
  <c r="P489" i="29"/>
  <c r="Q489" i="29"/>
  <c r="R489" i="29"/>
  <c r="S489" i="29"/>
  <c r="A490" i="29"/>
  <c r="B490" i="29"/>
  <c r="C490" i="29"/>
  <c r="D490" i="29"/>
  <c r="E490" i="29"/>
  <c r="F490" i="29"/>
  <c r="G490" i="29"/>
  <c r="H490" i="29"/>
  <c r="I490" i="29"/>
  <c r="J490" i="29"/>
  <c r="L490" i="29"/>
  <c r="M490" i="29"/>
  <c r="N490" i="29"/>
  <c r="O490" i="29"/>
  <c r="P490" i="29"/>
  <c r="Q490" i="29"/>
  <c r="R490" i="29"/>
  <c r="S490" i="29"/>
  <c r="A491" i="29"/>
  <c r="B491" i="29"/>
  <c r="C491" i="29"/>
  <c r="D491" i="29"/>
  <c r="E491" i="29"/>
  <c r="F491" i="29"/>
  <c r="G491" i="29"/>
  <c r="H491" i="29"/>
  <c r="I491" i="29"/>
  <c r="J491" i="29"/>
  <c r="L491" i="29"/>
  <c r="M491" i="29"/>
  <c r="N491" i="29"/>
  <c r="O491" i="29"/>
  <c r="P491" i="29"/>
  <c r="Q491" i="29"/>
  <c r="R491" i="29"/>
  <c r="S491" i="29"/>
  <c r="A492" i="29"/>
  <c r="B492" i="29"/>
  <c r="C492" i="29"/>
  <c r="D492" i="29"/>
  <c r="E492" i="29"/>
  <c r="F492" i="29"/>
  <c r="G492" i="29"/>
  <c r="H492" i="29"/>
  <c r="I492" i="29"/>
  <c r="J492" i="29"/>
  <c r="L492" i="29"/>
  <c r="M492" i="29"/>
  <c r="N492" i="29"/>
  <c r="O492" i="29"/>
  <c r="P492" i="29"/>
  <c r="Q492" i="29"/>
  <c r="R492" i="29"/>
  <c r="S492" i="29"/>
  <c r="A493" i="29"/>
  <c r="B493" i="29"/>
  <c r="C493" i="29"/>
  <c r="D493" i="29"/>
  <c r="E493" i="29"/>
  <c r="F493" i="29"/>
  <c r="G493" i="29"/>
  <c r="H493" i="29"/>
  <c r="I493" i="29"/>
  <c r="J493" i="29"/>
  <c r="L493" i="29"/>
  <c r="M493" i="29"/>
  <c r="N493" i="29"/>
  <c r="O493" i="29"/>
  <c r="P493" i="29"/>
  <c r="Q493" i="29"/>
  <c r="R493" i="29"/>
  <c r="S493" i="29"/>
  <c r="A494" i="29"/>
  <c r="B494" i="29"/>
  <c r="C494" i="29"/>
  <c r="D494" i="29"/>
  <c r="E494" i="29"/>
  <c r="F494" i="29"/>
  <c r="G494" i="29"/>
  <c r="H494" i="29"/>
  <c r="I494" i="29"/>
  <c r="J494" i="29"/>
  <c r="L494" i="29"/>
  <c r="M494" i="29"/>
  <c r="N494" i="29"/>
  <c r="O494" i="29"/>
  <c r="P494" i="29"/>
  <c r="Q494" i="29"/>
  <c r="R494" i="29"/>
  <c r="S494" i="29"/>
  <c r="A495" i="29"/>
  <c r="B495" i="29"/>
  <c r="C495" i="29"/>
  <c r="D495" i="29"/>
  <c r="E495" i="29"/>
  <c r="F495" i="29"/>
  <c r="G495" i="29"/>
  <c r="H495" i="29"/>
  <c r="I495" i="29"/>
  <c r="J495" i="29"/>
  <c r="L495" i="29"/>
  <c r="M495" i="29"/>
  <c r="N495" i="29"/>
  <c r="O495" i="29"/>
  <c r="P495" i="29"/>
  <c r="Q495" i="29"/>
  <c r="R495" i="29"/>
  <c r="S495" i="29"/>
  <c r="A496" i="29"/>
  <c r="B496" i="29"/>
  <c r="C496" i="29"/>
  <c r="D496" i="29"/>
  <c r="E496" i="29"/>
  <c r="F496" i="29"/>
  <c r="G496" i="29"/>
  <c r="H496" i="29"/>
  <c r="I496" i="29"/>
  <c r="J496" i="29"/>
  <c r="L496" i="29"/>
  <c r="M496" i="29"/>
  <c r="N496" i="29"/>
  <c r="O496" i="29"/>
  <c r="P496" i="29"/>
  <c r="Q496" i="29"/>
  <c r="R496" i="29"/>
  <c r="S496" i="29"/>
  <c r="A497" i="29"/>
  <c r="B497" i="29"/>
  <c r="C497" i="29"/>
  <c r="D497" i="29"/>
  <c r="E497" i="29"/>
  <c r="F497" i="29"/>
  <c r="G497" i="29"/>
  <c r="H497" i="29"/>
  <c r="I497" i="29"/>
  <c r="J497" i="29"/>
  <c r="L497" i="29"/>
  <c r="M497" i="29"/>
  <c r="N497" i="29"/>
  <c r="O497" i="29"/>
  <c r="P497" i="29"/>
  <c r="Q497" i="29"/>
  <c r="R497" i="29"/>
  <c r="S497" i="29"/>
  <c r="A498" i="29"/>
  <c r="B498" i="29"/>
  <c r="C498" i="29"/>
  <c r="D498" i="29"/>
  <c r="E498" i="29"/>
  <c r="F498" i="29"/>
  <c r="G498" i="29"/>
  <c r="H498" i="29"/>
  <c r="I498" i="29"/>
  <c r="J498" i="29"/>
  <c r="L498" i="29"/>
  <c r="M498" i="29"/>
  <c r="N498" i="29"/>
  <c r="O498" i="29"/>
  <c r="P498" i="29"/>
  <c r="Q498" i="29"/>
  <c r="R498" i="29"/>
  <c r="S498" i="29"/>
  <c r="A499" i="29"/>
  <c r="B499" i="29"/>
  <c r="C499" i="29"/>
  <c r="D499" i="29"/>
  <c r="E499" i="29"/>
  <c r="F499" i="29"/>
  <c r="G499" i="29"/>
  <c r="H499" i="29"/>
  <c r="I499" i="29"/>
  <c r="J499" i="29"/>
  <c r="L499" i="29"/>
  <c r="M499" i="29"/>
  <c r="N499" i="29"/>
  <c r="O499" i="29"/>
  <c r="P499" i="29"/>
  <c r="Q499" i="29"/>
  <c r="R499" i="29"/>
  <c r="S499" i="29"/>
  <c r="A500" i="29"/>
  <c r="B500" i="29"/>
  <c r="C500" i="29"/>
  <c r="D500" i="29"/>
  <c r="E500" i="29"/>
  <c r="F500" i="29"/>
  <c r="G500" i="29"/>
  <c r="H500" i="29"/>
  <c r="I500" i="29"/>
  <c r="J500" i="29"/>
  <c r="L500" i="29"/>
  <c r="M500" i="29"/>
  <c r="N500" i="29"/>
  <c r="O500" i="29"/>
  <c r="P500" i="29"/>
  <c r="Q500" i="29"/>
  <c r="R500" i="29"/>
  <c r="S500" i="29"/>
  <c r="A501" i="29"/>
  <c r="B501" i="29"/>
  <c r="C501" i="29"/>
  <c r="D501" i="29"/>
  <c r="E501" i="29"/>
  <c r="F501" i="29"/>
  <c r="G501" i="29"/>
  <c r="H501" i="29"/>
  <c r="I501" i="29"/>
  <c r="J501" i="29"/>
  <c r="L501" i="29"/>
  <c r="M501" i="29"/>
  <c r="N501" i="29"/>
  <c r="O501" i="29"/>
  <c r="P501" i="29"/>
  <c r="Q501" i="29"/>
  <c r="R501" i="29"/>
  <c r="S501" i="29"/>
  <c r="A502" i="29"/>
  <c r="B502" i="29"/>
  <c r="C502" i="29"/>
  <c r="D502" i="29"/>
  <c r="E502" i="29"/>
  <c r="F502" i="29"/>
  <c r="G502" i="29"/>
  <c r="H502" i="29"/>
  <c r="I502" i="29"/>
  <c r="J502" i="29"/>
  <c r="L502" i="29"/>
  <c r="M502" i="29"/>
  <c r="N502" i="29"/>
  <c r="O502" i="29"/>
  <c r="P502" i="29"/>
  <c r="Q502" i="29"/>
  <c r="R502" i="29"/>
  <c r="S502" i="29"/>
  <c r="A503" i="29"/>
  <c r="B503" i="29"/>
  <c r="C503" i="29"/>
  <c r="D503" i="29"/>
  <c r="E503" i="29"/>
  <c r="F503" i="29"/>
  <c r="G503" i="29"/>
  <c r="H503" i="29"/>
  <c r="I503" i="29"/>
  <c r="J503" i="29"/>
  <c r="L503" i="29"/>
  <c r="M503" i="29"/>
  <c r="N503" i="29"/>
  <c r="O503" i="29"/>
  <c r="P503" i="29"/>
  <c r="Q503" i="29"/>
  <c r="R503" i="29"/>
  <c r="S503" i="29"/>
  <c r="A504" i="29"/>
  <c r="B504" i="29"/>
  <c r="C504" i="29"/>
  <c r="D504" i="29"/>
  <c r="E504" i="29"/>
  <c r="F504" i="29"/>
  <c r="G504" i="29"/>
  <c r="H504" i="29"/>
  <c r="I504" i="29"/>
  <c r="J504" i="29"/>
  <c r="L504" i="29"/>
  <c r="M504" i="29"/>
  <c r="N504" i="29"/>
  <c r="O504" i="29"/>
  <c r="P504" i="29"/>
  <c r="Q504" i="29"/>
  <c r="R504" i="29"/>
  <c r="S504" i="29"/>
  <c r="A505" i="29"/>
  <c r="B505" i="29"/>
  <c r="C505" i="29"/>
  <c r="D505" i="29"/>
  <c r="E505" i="29"/>
  <c r="F505" i="29"/>
  <c r="G505" i="29"/>
  <c r="H505" i="29"/>
  <c r="I505" i="29"/>
  <c r="J505" i="29"/>
  <c r="L505" i="29"/>
  <c r="M505" i="29"/>
  <c r="N505" i="29"/>
  <c r="O505" i="29"/>
  <c r="P505" i="29"/>
  <c r="Q505" i="29"/>
  <c r="R505" i="29"/>
  <c r="S505" i="29"/>
  <c r="A506" i="29"/>
  <c r="B506" i="29"/>
  <c r="C506" i="29"/>
  <c r="D506" i="29"/>
  <c r="E506" i="29"/>
  <c r="F506" i="29"/>
  <c r="G506" i="29"/>
  <c r="H506" i="29"/>
  <c r="I506" i="29"/>
  <c r="J506" i="29"/>
  <c r="L506" i="29"/>
  <c r="M506" i="29"/>
  <c r="N506" i="29"/>
  <c r="O506" i="29"/>
  <c r="P506" i="29"/>
  <c r="Q506" i="29"/>
  <c r="R506" i="29"/>
  <c r="S506" i="29"/>
  <c r="A507" i="29"/>
  <c r="B507" i="29"/>
  <c r="C507" i="29"/>
  <c r="D507" i="29"/>
  <c r="E507" i="29"/>
  <c r="F507" i="29"/>
  <c r="G507" i="29"/>
  <c r="H507" i="29"/>
  <c r="I507" i="29"/>
  <c r="J507" i="29"/>
  <c r="L507" i="29"/>
  <c r="M507" i="29"/>
  <c r="N507" i="29"/>
  <c r="O507" i="29"/>
  <c r="P507" i="29"/>
  <c r="Q507" i="29"/>
  <c r="R507" i="29"/>
  <c r="S507" i="29"/>
  <c r="A508" i="29"/>
  <c r="B508" i="29"/>
  <c r="C508" i="29"/>
  <c r="D508" i="29"/>
  <c r="E508" i="29"/>
  <c r="F508" i="29"/>
  <c r="G508" i="29"/>
  <c r="H508" i="29"/>
  <c r="I508" i="29"/>
  <c r="J508" i="29"/>
  <c r="L508" i="29"/>
  <c r="M508" i="29"/>
  <c r="N508" i="29"/>
  <c r="O508" i="29"/>
  <c r="P508" i="29"/>
  <c r="Q508" i="29"/>
  <c r="R508" i="29"/>
  <c r="S508" i="29"/>
  <c r="A509" i="29"/>
  <c r="B509" i="29"/>
  <c r="C509" i="29"/>
  <c r="D509" i="29"/>
  <c r="E509" i="29"/>
  <c r="F509" i="29"/>
  <c r="G509" i="29"/>
  <c r="H509" i="29"/>
  <c r="I509" i="29"/>
  <c r="J509" i="29"/>
  <c r="L509" i="29"/>
  <c r="M509" i="29"/>
  <c r="N509" i="29"/>
  <c r="O509" i="29"/>
  <c r="P509" i="29"/>
  <c r="Q509" i="29"/>
  <c r="R509" i="29"/>
  <c r="S509" i="29"/>
  <c r="A510" i="29"/>
  <c r="B510" i="29"/>
  <c r="C510" i="29"/>
  <c r="D510" i="29"/>
  <c r="E510" i="29"/>
  <c r="F510" i="29"/>
  <c r="G510" i="29"/>
  <c r="H510" i="29"/>
  <c r="I510" i="29"/>
  <c r="J510" i="29"/>
  <c r="L510" i="29"/>
  <c r="M510" i="29"/>
  <c r="N510" i="29"/>
  <c r="O510" i="29"/>
  <c r="P510" i="29"/>
  <c r="Q510" i="29"/>
  <c r="R510" i="29"/>
  <c r="S510" i="29"/>
  <c r="A511" i="29"/>
  <c r="B511" i="29"/>
  <c r="C511" i="29"/>
  <c r="D511" i="29"/>
  <c r="E511" i="29"/>
  <c r="F511" i="29"/>
  <c r="G511" i="29"/>
  <c r="H511" i="29"/>
  <c r="I511" i="29"/>
  <c r="J511" i="29"/>
  <c r="L511" i="29"/>
  <c r="M511" i="29"/>
  <c r="N511" i="29"/>
  <c r="O511" i="29"/>
  <c r="P511" i="29"/>
  <c r="Q511" i="29"/>
  <c r="R511" i="29"/>
  <c r="S511" i="29"/>
  <c r="A512" i="29"/>
  <c r="B512" i="29"/>
  <c r="C512" i="29"/>
  <c r="D512" i="29"/>
  <c r="E512" i="29"/>
  <c r="F512" i="29"/>
  <c r="G512" i="29"/>
  <c r="H512" i="29"/>
  <c r="I512" i="29"/>
  <c r="J512" i="29"/>
  <c r="L512" i="29"/>
  <c r="M512" i="29"/>
  <c r="N512" i="29"/>
  <c r="O512" i="29"/>
  <c r="P512" i="29"/>
  <c r="Q512" i="29"/>
  <c r="R512" i="29"/>
  <c r="S512" i="29"/>
  <c r="A513" i="29"/>
  <c r="B513" i="29"/>
  <c r="C513" i="29"/>
  <c r="D513" i="29"/>
  <c r="E513" i="29"/>
  <c r="F513" i="29"/>
  <c r="G513" i="29"/>
  <c r="H513" i="29"/>
  <c r="I513" i="29"/>
  <c r="J513" i="29"/>
  <c r="L513" i="29"/>
  <c r="M513" i="29"/>
  <c r="N513" i="29"/>
  <c r="O513" i="29"/>
  <c r="P513" i="29"/>
  <c r="Q513" i="29"/>
  <c r="R513" i="29"/>
  <c r="S513" i="29"/>
  <c r="A514" i="29"/>
  <c r="B514" i="29"/>
  <c r="C514" i="29"/>
  <c r="D514" i="29"/>
  <c r="E514" i="29"/>
  <c r="F514" i="29"/>
  <c r="G514" i="29"/>
  <c r="H514" i="29"/>
  <c r="I514" i="29"/>
  <c r="J514" i="29"/>
  <c r="L514" i="29"/>
  <c r="M514" i="29"/>
  <c r="N514" i="29"/>
  <c r="O514" i="29"/>
  <c r="P514" i="29"/>
  <c r="Q514" i="29"/>
  <c r="R514" i="29"/>
  <c r="S514" i="29"/>
  <c r="A515" i="29"/>
  <c r="B515" i="29"/>
  <c r="C515" i="29"/>
  <c r="D515" i="29"/>
  <c r="E515" i="29"/>
  <c r="F515" i="29"/>
  <c r="G515" i="29"/>
  <c r="H515" i="29"/>
  <c r="I515" i="29"/>
  <c r="J515" i="29"/>
  <c r="L515" i="29"/>
  <c r="M515" i="29"/>
  <c r="N515" i="29"/>
  <c r="O515" i="29"/>
  <c r="P515" i="29"/>
  <c r="Q515" i="29"/>
  <c r="R515" i="29"/>
  <c r="S515" i="29"/>
  <c r="A516" i="29"/>
  <c r="B516" i="29"/>
  <c r="C516" i="29"/>
  <c r="D516" i="29"/>
  <c r="E516" i="29"/>
  <c r="F516" i="29"/>
  <c r="G516" i="29"/>
  <c r="H516" i="29"/>
  <c r="I516" i="29"/>
  <c r="J516" i="29"/>
  <c r="L516" i="29"/>
  <c r="M516" i="29"/>
  <c r="N516" i="29"/>
  <c r="O516" i="29"/>
  <c r="P516" i="29"/>
  <c r="Q516" i="29"/>
  <c r="R516" i="29"/>
  <c r="S516" i="29"/>
  <c r="A517" i="29"/>
  <c r="B517" i="29"/>
  <c r="C517" i="29"/>
  <c r="D517" i="29"/>
  <c r="E517" i="29"/>
  <c r="F517" i="29"/>
  <c r="G517" i="29"/>
  <c r="H517" i="29"/>
  <c r="I517" i="29"/>
  <c r="J517" i="29"/>
  <c r="L517" i="29"/>
  <c r="M517" i="29"/>
  <c r="N517" i="29"/>
  <c r="O517" i="29"/>
  <c r="P517" i="29"/>
  <c r="Q517" i="29"/>
  <c r="R517" i="29"/>
  <c r="S517" i="29"/>
  <c r="A518" i="29"/>
  <c r="B518" i="29"/>
  <c r="C518" i="29"/>
  <c r="D518" i="29"/>
  <c r="E518" i="29"/>
  <c r="F518" i="29"/>
  <c r="G518" i="29"/>
  <c r="H518" i="29"/>
  <c r="I518" i="29"/>
  <c r="J518" i="29"/>
  <c r="L518" i="29"/>
  <c r="M518" i="29"/>
  <c r="N518" i="29"/>
  <c r="O518" i="29"/>
  <c r="P518" i="29"/>
  <c r="Q518" i="29"/>
  <c r="R518" i="29"/>
  <c r="S518" i="29"/>
  <c r="A519" i="29"/>
  <c r="B519" i="29"/>
  <c r="C519" i="29"/>
  <c r="D519" i="29"/>
  <c r="E519" i="29"/>
  <c r="F519" i="29"/>
  <c r="G519" i="29"/>
  <c r="H519" i="29"/>
  <c r="I519" i="29"/>
  <c r="J519" i="29"/>
  <c r="L519" i="29"/>
  <c r="M519" i="29"/>
  <c r="N519" i="29"/>
  <c r="O519" i="29"/>
  <c r="P519" i="29"/>
  <c r="Q519" i="29"/>
  <c r="R519" i="29"/>
  <c r="S519" i="29"/>
  <c r="A520" i="29"/>
  <c r="B520" i="29"/>
  <c r="C520" i="29"/>
  <c r="D520" i="29"/>
  <c r="E520" i="29"/>
  <c r="F520" i="29"/>
  <c r="G520" i="29"/>
  <c r="H520" i="29"/>
  <c r="I520" i="29"/>
  <c r="J520" i="29"/>
  <c r="L520" i="29"/>
  <c r="M520" i="29"/>
  <c r="N520" i="29"/>
  <c r="O520" i="29"/>
  <c r="P520" i="29"/>
  <c r="Q520" i="29"/>
  <c r="R520" i="29"/>
  <c r="S520" i="29"/>
  <c r="A521" i="29"/>
  <c r="B521" i="29"/>
  <c r="C521" i="29"/>
  <c r="D521" i="29"/>
  <c r="E521" i="29"/>
  <c r="F521" i="29"/>
  <c r="G521" i="29"/>
  <c r="H521" i="29"/>
  <c r="I521" i="29"/>
  <c r="J521" i="29"/>
  <c r="L521" i="29"/>
  <c r="M521" i="29"/>
  <c r="N521" i="29"/>
  <c r="O521" i="29"/>
  <c r="P521" i="29"/>
  <c r="Q521" i="29"/>
  <c r="R521" i="29"/>
  <c r="S521" i="29"/>
  <c r="A522" i="29"/>
  <c r="B522" i="29"/>
  <c r="C522" i="29"/>
  <c r="D522" i="29"/>
  <c r="E522" i="29"/>
  <c r="F522" i="29"/>
  <c r="G522" i="29"/>
  <c r="H522" i="29"/>
  <c r="I522" i="29"/>
  <c r="J522" i="29"/>
  <c r="L522" i="29"/>
  <c r="M522" i="29"/>
  <c r="N522" i="29"/>
  <c r="O522" i="29"/>
  <c r="P522" i="29"/>
  <c r="Q522" i="29"/>
  <c r="R522" i="29"/>
  <c r="S522" i="29"/>
  <c r="A523" i="29"/>
  <c r="B523" i="29"/>
  <c r="C523" i="29"/>
  <c r="D523" i="29"/>
  <c r="E523" i="29"/>
  <c r="F523" i="29"/>
  <c r="G523" i="29"/>
  <c r="H523" i="29"/>
  <c r="I523" i="29"/>
  <c r="J523" i="29"/>
  <c r="L523" i="29"/>
  <c r="M523" i="29"/>
  <c r="N523" i="29"/>
  <c r="O523" i="29"/>
  <c r="P523" i="29"/>
  <c r="Q523" i="29"/>
  <c r="R523" i="29"/>
  <c r="S523" i="29"/>
  <c r="A524" i="29"/>
  <c r="B524" i="29"/>
  <c r="C524" i="29"/>
  <c r="D524" i="29"/>
  <c r="E524" i="29"/>
  <c r="F524" i="29"/>
  <c r="G524" i="29"/>
  <c r="H524" i="29"/>
  <c r="I524" i="29"/>
  <c r="J524" i="29"/>
  <c r="L524" i="29"/>
  <c r="M524" i="29"/>
  <c r="N524" i="29"/>
  <c r="O524" i="29"/>
  <c r="P524" i="29"/>
  <c r="Q524" i="29"/>
  <c r="R524" i="29"/>
  <c r="S524" i="29"/>
  <c r="A525" i="29"/>
  <c r="B525" i="29"/>
  <c r="C525" i="29"/>
  <c r="D525" i="29"/>
  <c r="E525" i="29"/>
  <c r="F525" i="29"/>
  <c r="G525" i="29"/>
  <c r="H525" i="29"/>
  <c r="I525" i="29"/>
  <c r="J525" i="29"/>
  <c r="L525" i="29"/>
  <c r="M525" i="29"/>
  <c r="N525" i="29"/>
  <c r="O525" i="29"/>
  <c r="P525" i="29"/>
  <c r="Q525" i="29"/>
  <c r="R525" i="29"/>
  <c r="S525" i="29"/>
  <c r="A526" i="29"/>
  <c r="B526" i="29"/>
  <c r="C526" i="29"/>
  <c r="D526" i="29"/>
  <c r="E526" i="29"/>
  <c r="F526" i="29"/>
  <c r="G526" i="29"/>
  <c r="H526" i="29"/>
  <c r="I526" i="29"/>
  <c r="J526" i="29"/>
  <c r="L526" i="29"/>
  <c r="M526" i="29"/>
  <c r="N526" i="29"/>
  <c r="O526" i="29"/>
  <c r="P526" i="29"/>
  <c r="Q526" i="29"/>
  <c r="R526" i="29"/>
  <c r="S526" i="29"/>
  <c r="A527" i="29"/>
  <c r="B527" i="29"/>
  <c r="C527" i="29"/>
  <c r="D527" i="29"/>
  <c r="E527" i="29"/>
  <c r="F527" i="29"/>
  <c r="G527" i="29"/>
  <c r="H527" i="29"/>
  <c r="I527" i="29"/>
  <c r="J527" i="29"/>
  <c r="L527" i="29"/>
  <c r="M527" i="29"/>
  <c r="N527" i="29"/>
  <c r="O527" i="29"/>
  <c r="P527" i="29"/>
  <c r="Q527" i="29"/>
  <c r="R527" i="29"/>
  <c r="S527" i="29"/>
  <c r="A528" i="29"/>
  <c r="B528" i="29"/>
  <c r="C528" i="29"/>
  <c r="D528" i="29"/>
  <c r="E528" i="29"/>
  <c r="F528" i="29"/>
  <c r="G528" i="29"/>
  <c r="H528" i="29"/>
  <c r="I528" i="29"/>
  <c r="J528" i="29"/>
  <c r="L528" i="29"/>
  <c r="M528" i="29"/>
  <c r="N528" i="29"/>
  <c r="O528" i="29"/>
  <c r="P528" i="29"/>
  <c r="Q528" i="29"/>
  <c r="R528" i="29"/>
  <c r="S528" i="29"/>
  <c r="A529" i="29"/>
  <c r="B529" i="29"/>
  <c r="C529" i="29"/>
  <c r="D529" i="29"/>
  <c r="E529" i="29"/>
  <c r="F529" i="29"/>
  <c r="G529" i="29"/>
  <c r="H529" i="29"/>
  <c r="I529" i="29"/>
  <c r="J529" i="29"/>
  <c r="L529" i="29"/>
  <c r="M529" i="29"/>
  <c r="N529" i="29"/>
  <c r="O529" i="29"/>
  <c r="P529" i="29"/>
  <c r="Q529" i="29"/>
  <c r="R529" i="29"/>
  <c r="S529" i="29"/>
  <c r="A530" i="29"/>
  <c r="B530" i="29"/>
  <c r="C530" i="29"/>
  <c r="D530" i="29"/>
  <c r="E530" i="29"/>
  <c r="F530" i="29"/>
  <c r="G530" i="29"/>
  <c r="H530" i="29"/>
  <c r="I530" i="29"/>
  <c r="J530" i="29"/>
  <c r="L530" i="29"/>
  <c r="M530" i="29"/>
  <c r="N530" i="29"/>
  <c r="O530" i="29"/>
  <c r="P530" i="29"/>
  <c r="Q530" i="29"/>
  <c r="R530" i="29"/>
  <c r="S530" i="29"/>
  <c r="A531" i="29"/>
  <c r="B531" i="29"/>
  <c r="C531" i="29"/>
  <c r="D531" i="29"/>
  <c r="E531" i="29"/>
  <c r="F531" i="29"/>
  <c r="G531" i="29"/>
  <c r="H531" i="29"/>
  <c r="I531" i="29"/>
  <c r="J531" i="29"/>
  <c r="L531" i="29"/>
  <c r="M531" i="29"/>
  <c r="N531" i="29"/>
  <c r="O531" i="29"/>
  <c r="P531" i="29"/>
  <c r="Q531" i="29"/>
  <c r="R531" i="29"/>
  <c r="S531" i="29"/>
  <c r="A532" i="29"/>
  <c r="B532" i="29"/>
  <c r="C532" i="29"/>
  <c r="D532" i="29"/>
  <c r="E532" i="29"/>
  <c r="F532" i="29"/>
  <c r="G532" i="29"/>
  <c r="H532" i="29"/>
  <c r="I532" i="29"/>
  <c r="J532" i="29"/>
  <c r="L532" i="29"/>
  <c r="M532" i="29"/>
  <c r="N532" i="29"/>
  <c r="O532" i="29"/>
  <c r="P532" i="29"/>
  <c r="Q532" i="29"/>
  <c r="R532" i="29"/>
  <c r="S532" i="29"/>
  <c r="A533" i="29"/>
  <c r="B533" i="29"/>
  <c r="C533" i="29"/>
  <c r="D533" i="29"/>
  <c r="E533" i="29"/>
  <c r="F533" i="29"/>
  <c r="G533" i="29"/>
  <c r="H533" i="29"/>
  <c r="I533" i="29"/>
  <c r="J533" i="29"/>
  <c r="L533" i="29"/>
  <c r="M533" i="29"/>
  <c r="N533" i="29"/>
  <c r="O533" i="29"/>
  <c r="P533" i="29"/>
  <c r="Q533" i="29"/>
  <c r="R533" i="29"/>
  <c r="S533" i="29"/>
  <c r="A534" i="29"/>
  <c r="B534" i="29"/>
  <c r="C534" i="29"/>
  <c r="D534" i="29"/>
  <c r="E534" i="29"/>
  <c r="F534" i="29"/>
  <c r="G534" i="29"/>
  <c r="H534" i="29"/>
  <c r="I534" i="29"/>
  <c r="J534" i="29"/>
  <c r="L534" i="29"/>
  <c r="M534" i="29"/>
  <c r="N534" i="29"/>
  <c r="O534" i="29"/>
  <c r="P534" i="29"/>
  <c r="Q534" i="29"/>
  <c r="R534" i="29"/>
  <c r="S534" i="29"/>
  <c r="A535" i="29"/>
  <c r="B535" i="29"/>
  <c r="C535" i="29"/>
  <c r="D535" i="29"/>
  <c r="E535" i="29"/>
  <c r="F535" i="29"/>
  <c r="G535" i="29"/>
  <c r="H535" i="29"/>
  <c r="I535" i="29"/>
  <c r="J535" i="29"/>
  <c r="L535" i="29"/>
  <c r="M535" i="29"/>
  <c r="N535" i="29"/>
  <c r="O535" i="29"/>
  <c r="P535" i="29"/>
  <c r="Q535" i="29"/>
  <c r="R535" i="29"/>
  <c r="S535" i="29"/>
  <c r="A536" i="29"/>
  <c r="B536" i="29"/>
  <c r="C536" i="29"/>
  <c r="D536" i="29"/>
  <c r="E536" i="29"/>
  <c r="F536" i="29"/>
  <c r="G536" i="29"/>
  <c r="H536" i="29"/>
  <c r="I536" i="29"/>
  <c r="J536" i="29"/>
  <c r="L536" i="29"/>
  <c r="M536" i="29"/>
  <c r="N536" i="29"/>
  <c r="O536" i="29"/>
  <c r="P536" i="29"/>
  <c r="Q536" i="29"/>
  <c r="R536" i="29"/>
  <c r="S536" i="29"/>
  <c r="A537" i="29"/>
  <c r="B537" i="29"/>
  <c r="C537" i="29"/>
  <c r="D537" i="29"/>
  <c r="E537" i="29"/>
  <c r="F537" i="29"/>
  <c r="G537" i="29"/>
  <c r="H537" i="29"/>
  <c r="I537" i="29"/>
  <c r="J537" i="29"/>
  <c r="L537" i="29"/>
  <c r="M537" i="29"/>
  <c r="N537" i="29"/>
  <c r="O537" i="29"/>
  <c r="P537" i="29"/>
  <c r="Q537" i="29"/>
  <c r="R537" i="29"/>
  <c r="S537" i="29"/>
  <c r="A538" i="29"/>
  <c r="B538" i="29"/>
  <c r="C538" i="29"/>
  <c r="D538" i="29"/>
  <c r="E538" i="29"/>
  <c r="F538" i="29"/>
  <c r="G538" i="29"/>
  <c r="H538" i="29"/>
  <c r="I538" i="29"/>
  <c r="J538" i="29"/>
  <c r="L538" i="29"/>
  <c r="M538" i="29"/>
  <c r="N538" i="29"/>
  <c r="O538" i="29"/>
  <c r="P538" i="29"/>
  <c r="Q538" i="29"/>
  <c r="R538" i="29"/>
  <c r="S538" i="29"/>
  <c r="A539" i="29"/>
  <c r="B539" i="29"/>
  <c r="C539" i="29"/>
  <c r="D539" i="29"/>
  <c r="E539" i="29"/>
  <c r="F539" i="29"/>
  <c r="G539" i="29"/>
  <c r="H539" i="29"/>
  <c r="I539" i="29"/>
  <c r="J539" i="29"/>
  <c r="L539" i="29"/>
  <c r="M539" i="29"/>
  <c r="N539" i="29"/>
  <c r="O539" i="29"/>
  <c r="P539" i="29"/>
  <c r="Q539" i="29"/>
  <c r="R539" i="29"/>
  <c r="S539" i="29"/>
  <c r="A540" i="29"/>
  <c r="B540" i="29"/>
  <c r="C540" i="29"/>
  <c r="D540" i="29"/>
  <c r="E540" i="29"/>
  <c r="F540" i="29"/>
  <c r="G540" i="29"/>
  <c r="H540" i="29"/>
  <c r="I540" i="29"/>
  <c r="J540" i="29"/>
  <c r="L540" i="29"/>
  <c r="M540" i="29"/>
  <c r="N540" i="29"/>
  <c r="O540" i="29"/>
  <c r="P540" i="29"/>
  <c r="Q540" i="29"/>
  <c r="R540" i="29"/>
  <c r="S540" i="29"/>
  <c r="A541" i="29"/>
  <c r="B541" i="29"/>
  <c r="C541" i="29"/>
  <c r="D541" i="29"/>
  <c r="E541" i="29"/>
  <c r="F541" i="29"/>
  <c r="G541" i="29"/>
  <c r="H541" i="29"/>
  <c r="I541" i="29"/>
  <c r="J541" i="29"/>
  <c r="L541" i="29"/>
  <c r="M541" i="29"/>
  <c r="N541" i="29"/>
  <c r="O541" i="29"/>
  <c r="P541" i="29"/>
  <c r="Q541" i="29"/>
  <c r="R541" i="29"/>
  <c r="S541" i="29"/>
  <c r="A542" i="29"/>
  <c r="B542" i="29"/>
  <c r="C542" i="29"/>
  <c r="D542" i="29"/>
  <c r="E542" i="29"/>
  <c r="F542" i="29"/>
  <c r="G542" i="29"/>
  <c r="H542" i="29"/>
  <c r="I542" i="29"/>
  <c r="J542" i="29"/>
  <c r="L542" i="29"/>
  <c r="M542" i="29"/>
  <c r="N542" i="29"/>
  <c r="O542" i="29"/>
  <c r="P542" i="29"/>
  <c r="Q542" i="29"/>
  <c r="R542" i="29"/>
  <c r="S542" i="29"/>
  <c r="A543" i="29"/>
  <c r="B543" i="29"/>
  <c r="C543" i="29"/>
  <c r="D543" i="29"/>
  <c r="E543" i="29"/>
  <c r="F543" i="29"/>
  <c r="G543" i="29"/>
  <c r="H543" i="29"/>
  <c r="I543" i="29"/>
  <c r="J543" i="29"/>
  <c r="L543" i="29"/>
  <c r="M543" i="29"/>
  <c r="N543" i="29"/>
  <c r="O543" i="29"/>
  <c r="P543" i="29"/>
  <c r="Q543" i="29"/>
  <c r="R543" i="29"/>
  <c r="S543" i="29"/>
  <c r="A544" i="29"/>
  <c r="B544" i="29"/>
  <c r="C544" i="29"/>
  <c r="D544" i="29"/>
  <c r="E544" i="29"/>
  <c r="F544" i="29"/>
  <c r="G544" i="29"/>
  <c r="H544" i="29"/>
  <c r="I544" i="29"/>
  <c r="J544" i="29"/>
  <c r="L544" i="29"/>
  <c r="M544" i="29"/>
  <c r="N544" i="29"/>
  <c r="O544" i="29"/>
  <c r="P544" i="29"/>
  <c r="Q544" i="29"/>
  <c r="R544" i="29"/>
  <c r="S544" i="29"/>
  <c r="A545" i="29"/>
  <c r="B545" i="29"/>
  <c r="C545" i="29"/>
  <c r="D545" i="29"/>
  <c r="E545" i="29"/>
  <c r="F545" i="29"/>
  <c r="G545" i="29"/>
  <c r="H545" i="29"/>
  <c r="I545" i="29"/>
  <c r="J545" i="29"/>
  <c r="L545" i="29"/>
  <c r="M545" i="29"/>
  <c r="N545" i="29"/>
  <c r="O545" i="29"/>
  <c r="P545" i="29"/>
  <c r="Q545" i="29"/>
  <c r="R545" i="29"/>
  <c r="S545" i="29"/>
  <c r="A546" i="29"/>
  <c r="B546" i="29"/>
  <c r="C546" i="29"/>
  <c r="D546" i="29"/>
  <c r="E546" i="29"/>
  <c r="F546" i="29"/>
  <c r="G546" i="29"/>
  <c r="H546" i="29"/>
  <c r="I546" i="29"/>
  <c r="J546" i="29"/>
  <c r="L546" i="29"/>
  <c r="M546" i="29"/>
  <c r="N546" i="29"/>
  <c r="O546" i="29"/>
  <c r="P546" i="29"/>
  <c r="Q546" i="29"/>
  <c r="R546" i="29"/>
  <c r="S546" i="29"/>
  <c r="A547" i="29"/>
  <c r="B547" i="29"/>
  <c r="C547" i="29"/>
  <c r="D547" i="29"/>
  <c r="E547" i="29"/>
  <c r="F547" i="29"/>
  <c r="G547" i="29"/>
  <c r="H547" i="29"/>
  <c r="I547" i="29"/>
  <c r="J547" i="29"/>
  <c r="L547" i="29"/>
  <c r="M547" i="29"/>
  <c r="N547" i="29"/>
  <c r="O547" i="29"/>
  <c r="P547" i="29"/>
  <c r="Q547" i="29"/>
  <c r="R547" i="29"/>
  <c r="S547" i="29"/>
  <c r="A548" i="29"/>
  <c r="B548" i="29"/>
  <c r="C548" i="29"/>
  <c r="D548" i="29"/>
  <c r="E548" i="29"/>
  <c r="F548" i="29"/>
  <c r="G548" i="29"/>
  <c r="H548" i="29"/>
  <c r="I548" i="29"/>
  <c r="J548" i="29"/>
  <c r="L548" i="29"/>
  <c r="M548" i="29"/>
  <c r="N548" i="29"/>
  <c r="O548" i="29"/>
  <c r="P548" i="29"/>
  <c r="Q548" i="29"/>
  <c r="R548" i="29"/>
  <c r="S548" i="29"/>
  <c r="A549" i="29"/>
  <c r="B549" i="29"/>
  <c r="C549" i="29"/>
  <c r="D549" i="29"/>
  <c r="E549" i="29"/>
  <c r="F549" i="29"/>
  <c r="G549" i="29"/>
  <c r="H549" i="29"/>
  <c r="I549" i="29"/>
  <c r="J549" i="29"/>
  <c r="L549" i="29"/>
  <c r="M549" i="29"/>
  <c r="N549" i="29"/>
  <c r="O549" i="29"/>
  <c r="P549" i="29"/>
  <c r="Q549" i="29"/>
  <c r="R549" i="29"/>
  <c r="S549" i="29"/>
  <c r="A550" i="29"/>
  <c r="B550" i="29"/>
  <c r="C550" i="29"/>
  <c r="D550" i="29"/>
  <c r="E550" i="29"/>
  <c r="F550" i="29"/>
  <c r="G550" i="29"/>
  <c r="H550" i="29"/>
  <c r="I550" i="29"/>
  <c r="J550" i="29"/>
  <c r="L550" i="29"/>
  <c r="M550" i="29"/>
  <c r="N550" i="29"/>
  <c r="O550" i="29"/>
  <c r="P550" i="29"/>
  <c r="Q550" i="29"/>
  <c r="R550" i="29"/>
  <c r="S550" i="29"/>
  <c r="A551" i="29"/>
  <c r="B551" i="29"/>
  <c r="C551" i="29"/>
  <c r="D551" i="29"/>
  <c r="E551" i="29"/>
  <c r="F551" i="29"/>
  <c r="G551" i="29"/>
  <c r="H551" i="29"/>
  <c r="I551" i="29"/>
  <c r="J551" i="29"/>
  <c r="L551" i="29"/>
  <c r="M551" i="29"/>
  <c r="N551" i="29"/>
  <c r="O551" i="29"/>
  <c r="P551" i="29"/>
  <c r="Q551" i="29"/>
  <c r="R551" i="29"/>
  <c r="S551" i="29"/>
  <c r="A552" i="29"/>
  <c r="B552" i="29"/>
  <c r="C552" i="29"/>
  <c r="D552" i="29"/>
  <c r="E552" i="29"/>
  <c r="F552" i="29"/>
  <c r="G552" i="29"/>
  <c r="H552" i="29"/>
  <c r="I552" i="29"/>
  <c r="J552" i="29"/>
  <c r="L552" i="29"/>
  <c r="M552" i="29"/>
  <c r="N552" i="29"/>
  <c r="O552" i="29"/>
  <c r="P552" i="29"/>
  <c r="Q552" i="29"/>
  <c r="R552" i="29"/>
  <c r="S552" i="29"/>
  <c r="A553" i="29"/>
  <c r="B553" i="29"/>
  <c r="C553" i="29"/>
  <c r="D553" i="29"/>
  <c r="E553" i="29"/>
  <c r="F553" i="29"/>
  <c r="G553" i="29"/>
  <c r="H553" i="29"/>
  <c r="I553" i="29"/>
  <c r="J553" i="29"/>
  <c r="L553" i="29"/>
  <c r="M553" i="29"/>
  <c r="N553" i="29"/>
  <c r="O553" i="29"/>
  <c r="P553" i="29"/>
  <c r="Q553" i="29"/>
  <c r="R553" i="29"/>
  <c r="S553" i="29"/>
  <c r="A554" i="29"/>
  <c r="B554" i="29"/>
  <c r="C554" i="29"/>
  <c r="D554" i="29"/>
  <c r="E554" i="29"/>
  <c r="F554" i="29"/>
  <c r="G554" i="29"/>
  <c r="H554" i="29"/>
  <c r="I554" i="29"/>
  <c r="J554" i="29"/>
  <c r="L554" i="29"/>
  <c r="M554" i="29"/>
  <c r="N554" i="29"/>
  <c r="O554" i="29"/>
  <c r="P554" i="29"/>
  <c r="Q554" i="29"/>
  <c r="R554" i="29"/>
  <c r="S554" i="29"/>
  <c r="A555" i="29"/>
  <c r="B555" i="29"/>
  <c r="C555" i="29"/>
  <c r="D555" i="29"/>
  <c r="E555" i="29"/>
  <c r="F555" i="29"/>
  <c r="G555" i="29"/>
  <c r="H555" i="29"/>
  <c r="I555" i="29"/>
  <c r="J555" i="29"/>
  <c r="L555" i="29"/>
  <c r="M555" i="29"/>
  <c r="N555" i="29"/>
  <c r="O555" i="29"/>
  <c r="P555" i="29"/>
  <c r="Q555" i="29"/>
  <c r="R555" i="29"/>
  <c r="S555" i="29"/>
  <c r="A556" i="29"/>
  <c r="B556" i="29"/>
  <c r="C556" i="29"/>
  <c r="D556" i="29"/>
  <c r="E556" i="29"/>
  <c r="F556" i="29"/>
  <c r="G556" i="29"/>
  <c r="H556" i="29"/>
  <c r="I556" i="29"/>
  <c r="J556" i="29"/>
  <c r="L556" i="29"/>
  <c r="M556" i="29"/>
  <c r="N556" i="29"/>
  <c r="O556" i="29"/>
  <c r="P556" i="29"/>
  <c r="Q556" i="29"/>
  <c r="R556" i="29"/>
  <c r="S556" i="29"/>
  <c r="A557" i="29"/>
  <c r="B557" i="29"/>
  <c r="C557" i="29"/>
  <c r="D557" i="29"/>
  <c r="E557" i="29"/>
  <c r="F557" i="29"/>
  <c r="G557" i="29"/>
  <c r="H557" i="29"/>
  <c r="I557" i="29"/>
  <c r="J557" i="29"/>
  <c r="L557" i="29"/>
  <c r="M557" i="29"/>
  <c r="N557" i="29"/>
  <c r="O557" i="29"/>
  <c r="P557" i="29"/>
  <c r="Q557" i="29"/>
  <c r="R557" i="29"/>
  <c r="S557" i="29"/>
  <c r="A558" i="29"/>
  <c r="B558" i="29"/>
  <c r="C558" i="29"/>
  <c r="D558" i="29"/>
  <c r="E558" i="29"/>
  <c r="F558" i="29"/>
  <c r="G558" i="29"/>
  <c r="H558" i="29"/>
  <c r="I558" i="29"/>
  <c r="J558" i="29"/>
  <c r="L558" i="29"/>
  <c r="M558" i="29"/>
  <c r="N558" i="29"/>
  <c r="O558" i="29"/>
  <c r="P558" i="29"/>
  <c r="Q558" i="29"/>
  <c r="R558" i="29"/>
  <c r="S558" i="29"/>
  <c r="A559" i="29"/>
  <c r="B559" i="29"/>
  <c r="C559" i="29"/>
  <c r="D559" i="29"/>
  <c r="E559" i="29"/>
  <c r="F559" i="29"/>
  <c r="G559" i="29"/>
  <c r="H559" i="29"/>
  <c r="I559" i="29"/>
  <c r="J559" i="29"/>
  <c r="L559" i="29"/>
  <c r="M559" i="29"/>
  <c r="N559" i="29"/>
  <c r="O559" i="29"/>
  <c r="P559" i="29"/>
  <c r="Q559" i="29"/>
  <c r="R559" i="29"/>
  <c r="S559" i="29"/>
  <c r="A560" i="29"/>
  <c r="B560" i="29"/>
  <c r="C560" i="29"/>
  <c r="D560" i="29"/>
  <c r="E560" i="29"/>
  <c r="F560" i="29"/>
  <c r="G560" i="29"/>
  <c r="H560" i="29"/>
  <c r="I560" i="29"/>
  <c r="J560" i="29"/>
  <c r="L560" i="29"/>
  <c r="M560" i="29"/>
  <c r="N560" i="29"/>
  <c r="O560" i="29"/>
  <c r="P560" i="29"/>
  <c r="Q560" i="29"/>
  <c r="R560" i="29"/>
  <c r="S560" i="29"/>
  <c r="A561" i="29"/>
  <c r="B561" i="29"/>
  <c r="C561" i="29"/>
  <c r="D561" i="29"/>
  <c r="E561" i="29"/>
  <c r="F561" i="29"/>
  <c r="G561" i="29"/>
  <c r="H561" i="29"/>
  <c r="I561" i="29"/>
  <c r="J561" i="29"/>
  <c r="L561" i="29"/>
  <c r="M561" i="29"/>
  <c r="N561" i="29"/>
  <c r="O561" i="29"/>
  <c r="P561" i="29"/>
  <c r="Q561" i="29"/>
  <c r="R561" i="29"/>
  <c r="S561" i="29"/>
  <c r="A562" i="29"/>
  <c r="B562" i="29"/>
  <c r="C562" i="29"/>
  <c r="D562" i="29"/>
  <c r="E562" i="29"/>
  <c r="F562" i="29"/>
  <c r="G562" i="29"/>
  <c r="H562" i="29"/>
  <c r="I562" i="29"/>
  <c r="J562" i="29"/>
  <c r="L562" i="29"/>
  <c r="M562" i="29"/>
  <c r="N562" i="29"/>
  <c r="O562" i="29"/>
  <c r="P562" i="29"/>
  <c r="Q562" i="29"/>
  <c r="R562" i="29"/>
  <c r="S562" i="29"/>
  <c r="A563" i="29"/>
  <c r="B563" i="29"/>
  <c r="C563" i="29"/>
  <c r="D563" i="29"/>
  <c r="E563" i="29"/>
  <c r="F563" i="29"/>
  <c r="G563" i="29"/>
  <c r="H563" i="29"/>
  <c r="I563" i="29"/>
  <c r="J563" i="29"/>
  <c r="L563" i="29"/>
  <c r="M563" i="29"/>
  <c r="N563" i="29"/>
  <c r="O563" i="29"/>
  <c r="P563" i="29"/>
  <c r="Q563" i="29"/>
  <c r="R563" i="29"/>
  <c r="S563" i="29"/>
  <c r="A564" i="29"/>
  <c r="B564" i="29"/>
  <c r="C564" i="29"/>
  <c r="D564" i="29"/>
  <c r="E564" i="29"/>
  <c r="F564" i="29"/>
  <c r="G564" i="29"/>
  <c r="H564" i="29"/>
  <c r="I564" i="29"/>
  <c r="J564" i="29"/>
  <c r="L564" i="29"/>
  <c r="M564" i="29"/>
  <c r="N564" i="29"/>
  <c r="O564" i="29"/>
  <c r="P564" i="29"/>
  <c r="Q564" i="29"/>
  <c r="R564" i="29"/>
  <c r="S564" i="29"/>
  <c r="A565" i="29"/>
  <c r="B565" i="29"/>
  <c r="C565" i="29"/>
  <c r="D565" i="29"/>
  <c r="E565" i="29"/>
  <c r="F565" i="29"/>
  <c r="G565" i="29"/>
  <c r="H565" i="29"/>
  <c r="I565" i="29"/>
  <c r="J565" i="29"/>
  <c r="L565" i="29"/>
  <c r="M565" i="29"/>
  <c r="N565" i="29"/>
  <c r="O565" i="29"/>
  <c r="P565" i="29"/>
  <c r="Q565" i="29"/>
  <c r="R565" i="29"/>
  <c r="S565" i="29"/>
  <c r="A566" i="29"/>
  <c r="B566" i="29"/>
  <c r="C566" i="29"/>
  <c r="D566" i="29"/>
  <c r="E566" i="29"/>
  <c r="F566" i="29"/>
  <c r="G566" i="29"/>
  <c r="H566" i="29"/>
  <c r="I566" i="29"/>
  <c r="J566" i="29"/>
  <c r="L566" i="29"/>
  <c r="M566" i="29"/>
  <c r="N566" i="29"/>
  <c r="O566" i="29"/>
  <c r="P566" i="29"/>
  <c r="Q566" i="29"/>
  <c r="R566" i="29"/>
  <c r="S566" i="29"/>
  <c r="A567" i="29"/>
  <c r="B567" i="29"/>
  <c r="C567" i="29"/>
  <c r="D567" i="29"/>
  <c r="E567" i="29"/>
  <c r="F567" i="29"/>
  <c r="G567" i="29"/>
  <c r="H567" i="29"/>
  <c r="I567" i="29"/>
  <c r="J567" i="29"/>
  <c r="L567" i="29"/>
  <c r="M567" i="29"/>
  <c r="N567" i="29"/>
  <c r="O567" i="29"/>
  <c r="P567" i="29"/>
  <c r="Q567" i="29"/>
  <c r="R567" i="29"/>
  <c r="S567" i="29"/>
  <c r="A568" i="29"/>
  <c r="B568" i="29"/>
  <c r="C568" i="29"/>
  <c r="D568" i="29"/>
  <c r="E568" i="29"/>
  <c r="F568" i="29"/>
  <c r="G568" i="29"/>
  <c r="H568" i="29"/>
  <c r="I568" i="29"/>
  <c r="J568" i="29"/>
  <c r="L568" i="29"/>
  <c r="M568" i="29"/>
  <c r="N568" i="29"/>
  <c r="O568" i="29"/>
  <c r="P568" i="29"/>
  <c r="Q568" i="29"/>
  <c r="R568" i="29"/>
  <c r="S568" i="29"/>
  <c r="A569" i="29"/>
  <c r="B569" i="29"/>
  <c r="C569" i="29"/>
  <c r="D569" i="29"/>
  <c r="E569" i="29"/>
  <c r="F569" i="29"/>
  <c r="G569" i="29"/>
  <c r="H569" i="29"/>
  <c r="I569" i="29"/>
  <c r="J569" i="29"/>
  <c r="L569" i="29"/>
  <c r="M569" i="29"/>
  <c r="N569" i="29"/>
  <c r="O569" i="29"/>
  <c r="P569" i="29"/>
  <c r="Q569" i="29"/>
  <c r="R569" i="29"/>
  <c r="S569" i="29"/>
  <c r="A570" i="29"/>
  <c r="B570" i="29"/>
  <c r="C570" i="29"/>
  <c r="D570" i="29"/>
  <c r="E570" i="29"/>
  <c r="F570" i="29"/>
  <c r="G570" i="29"/>
  <c r="H570" i="29"/>
  <c r="I570" i="29"/>
  <c r="J570" i="29"/>
  <c r="L570" i="29"/>
  <c r="M570" i="29"/>
  <c r="N570" i="29"/>
  <c r="O570" i="29"/>
  <c r="P570" i="29"/>
  <c r="Q570" i="29"/>
  <c r="R570" i="29"/>
  <c r="S570" i="29"/>
  <c r="A571" i="29"/>
  <c r="B571" i="29"/>
  <c r="C571" i="29"/>
  <c r="D571" i="29"/>
  <c r="E571" i="29"/>
  <c r="F571" i="29"/>
  <c r="G571" i="29"/>
  <c r="H571" i="29"/>
  <c r="I571" i="29"/>
  <c r="J571" i="29"/>
  <c r="L571" i="29"/>
  <c r="M571" i="29"/>
  <c r="N571" i="29"/>
  <c r="O571" i="29"/>
  <c r="P571" i="29"/>
  <c r="Q571" i="29"/>
  <c r="R571" i="29"/>
  <c r="S571" i="29"/>
  <c r="A572" i="29"/>
  <c r="B572" i="29"/>
  <c r="C572" i="29"/>
  <c r="D572" i="29"/>
  <c r="E572" i="29"/>
  <c r="F572" i="29"/>
  <c r="G572" i="29"/>
  <c r="H572" i="29"/>
  <c r="I572" i="29"/>
  <c r="J572" i="29"/>
  <c r="L572" i="29"/>
  <c r="M572" i="29"/>
  <c r="N572" i="29"/>
  <c r="O572" i="29"/>
  <c r="P572" i="29"/>
  <c r="Q572" i="29"/>
  <c r="R572" i="29"/>
  <c r="S572" i="29"/>
  <c r="A573" i="29"/>
  <c r="B573" i="29"/>
  <c r="C573" i="29"/>
  <c r="D573" i="29"/>
  <c r="E573" i="29"/>
  <c r="F573" i="29"/>
  <c r="G573" i="29"/>
  <c r="H573" i="29"/>
  <c r="I573" i="29"/>
  <c r="J573" i="29"/>
  <c r="L573" i="29"/>
  <c r="M573" i="29"/>
  <c r="N573" i="29"/>
  <c r="O573" i="29"/>
  <c r="P573" i="29"/>
  <c r="Q573" i="29"/>
  <c r="R573" i="29"/>
  <c r="S573" i="29"/>
  <c r="A574" i="29"/>
  <c r="B574" i="29"/>
  <c r="C574" i="29"/>
  <c r="D574" i="29"/>
  <c r="E574" i="29"/>
  <c r="F574" i="29"/>
  <c r="G574" i="29"/>
  <c r="H574" i="29"/>
  <c r="I574" i="29"/>
  <c r="J574" i="29"/>
  <c r="L574" i="29"/>
  <c r="M574" i="29"/>
  <c r="N574" i="29"/>
  <c r="O574" i="29"/>
  <c r="P574" i="29"/>
  <c r="Q574" i="29"/>
  <c r="R574" i="29"/>
  <c r="S574" i="29"/>
  <c r="A575" i="29"/>
  <c r="B575" i="29"/>
  <c r="C575" i="29"/>
  <c r="D575" i="29"/>
  <c r="E575" i="29"/>
  <c r="F575" i="29"/>
  <c r="G575" i="29"/>
  <c r="H575" i="29"/>
  <c r="I575" i="29"/>
  <c r="J575" i="29"/>
  <c r="L575" i="29"/>
  <c r="M575" i="29"/>
  <c r="N575" i="29"/>
  <c r="O575" i="29"/>
  <c r="P575" i="29"/>
  <c r="Q575" i="29"/>
  <c r="R575" i="29"/>
  <c r="S575" i="29"/>
  <c r="A576" i="29"/>
  <c r="B576" i="29"/>
  <c r="C576" i="29"/>
  <c r="D576" i="29"/>
  <c r="E576" i="29"/>
  <c r="F576" i="29"/>
  <c r="G576" i="29"/>
  <c r="H576" i="29"/>
  <c r="I576" i="29"/>
  <c r="J576" i="29"/>
  <c r="L576" i="29"/>
  <c r="M576" i="29"/>
  <c r="N576" i="29"/>
  <c r="O576" i="29"/>
  <c r="P576" i="29"/>
  <c r="Q576" i="29"/>
  <c r="R576" i="29"/>
  <c r="S576" i="29"/>
  <c r="A577" i="29"/>
  <c r="B577" i="29"/>
  <c r="C577" i="29"/>
  <c r="D577" i="29"/>
  <c r="E577" i="29"/>
  <c r="F577" i="29"/>
  <c r="G577" i="29"/>
  <c r="H577" i="29"/>
  <c r="I577" i="29"/>
  <c r="J577" i="29"/>
  <c r="L577" i="29"/>
  <c r="M577" i="29"/>
  <c r="N577" i="29"/>
  <c r="O577" i="29"/>
  <c r="P577" i="29"/>
  <c r="Q577" i="29"/>
  <c r="R577" i="29"/>
  <c r="S577" i="29"/>
  <c r="A578" i="29"/>
  <c r="B578" i="29"/>
  <c r="C578" i="29"/>
  <c r="D578" i="29"/>
  <c r="E578" i="29"/>
  <c r="F578" i="29"/>
  <c r="G578" i="29"/>
  <c r="H578" i="29"/>
  <c r="I578" i="29"/>
  <c r="J578" i="29"/>
  <c r="L578" i="29"/>
  <c r="M578" i="29"/>
  <c r="N578" i="29"/>
  <c r="O578" i="29"/>
  <c r="P578" i="29"/>
  <c r="Q578" i="29"/>
  <c r="R578" i="29"/>
  <c r="S578" i="29"/>
  <c r="A579" i="29"/>
  <c r="B579" i="29"/>
  <c r="C579" i="29"/>
  <c r="D579" i="29"/>
  <c r="E579" i="29"/>
  <c r="F579" i="29"/>
  <c r="G579" i="29"/>
  <c r="H579" i="29"/>
  <c r="I579" i="29"/>
  <c r="J579" i="29"/>
  <c r="L579" i="29"/>
  <c r="M579" i="29"/>
  <c r="N579" i="29"/>
  <c r="O579" i="29"/>
  <c r="P579" i="29"/>
  <c r="Q579" i="29"/>
  <c r="R579" i="29"/>
  <c r="S579" i="29"/>
  <c r="A580" i="29"/>
  <c r="B580" i="29"/>
  <c r="C580" i="29"/>
  <c r="D580" i="29"/>
  <c r="E580" i="29"/>
  <c r="F580" i="29"/>
  <c r="G580" i="29"/>
  <c r="H580" i="29"/>
  <c r="I580" i="29"/>
  <c r="J580" i="29"/>
  <c r="L580" i="29"/>
  <c r="M580" i="29"/>
  <c r="N580" i="29"/>
  <c r="O580" i="29"/>
  <c r="P580" i="29"/>
  <c r="Q580" i="29"/>
  <c r="R580" i="29"/>
  <c r="S580" i="29"/>
  <c r="A581" i="29"/>
  <c r="B581" i="29"/>
  <c r="C581" i="29"/>
  <c r="D581" i="29"/>
  <c r="E581" i="29"/>
  <c r="F581" i="29"/>
  <c r="G581" i="29"/>
  <c r="H581" i="29"/>
  <c r="I581" i="29"/>
  <c r="J581" i="29"/>
  <c r="L581" i="29"/>
  <c r="M581" i="29"/>
  <c r="N581" i="29"/>
  <c r="O581" i="29"/>
  <c r="P581" i="29"/>
  <c r="Q581" i="29"/>
  <c r="R581" i="29"/>
  <c r="S581" i="29"/>
  <c r="A582" i="29"/>
  <c r="B582" i="29"/>
  <c r="C582" i="29"/>
  <c r="D582" i="29"/>
  <c r="E582" i="29"/>
  <c r="F582" i="29"/>
  <c r="G582" i="29"/>
  <c r="H582" i="29"/>
  <c r="I582" i="29"/>
  <c r="J582" i="29"/>
  <c r="L582" i="29"/>
  <c r="M582" i="29"/>
  <c r="N582" i="29"/>
  <c r="O582" i="29"/>
  <c r="P582" i="29"/>
  <c r="Q582" i="29"/>
  <c r="R582" i="29"/>
  <c r="S582" i="29"/>
  <c r="A583" i="29"/>
  <c r="B583" i="29"/>
  <c r="C583" i="29"/>
  <c r="D583" i="29"/>
  <c r="E583" i="29"/>
  <c r="F583" i="29"/>
  <c r="G583" i="29"/>
  <c r="H583" i="29"/>
  <c r="I583" i="29"/>
  <c r="J583" i="29"/>
  <c r="L583" i="29"/>
  <c r="M583" i="29"/>
  <c r="N583" i="29"/>
  <c r="O583" i="29"/>
  <c r="P583" i="29"/>
  <c r="Q583" i="29"/>
  <c r="R583" i="29"/>
  <c r="S583" i="29"/>
  <c r="A584" i="29"/>
  <c r="B584" i="29"/>
  <c r="C584" i="29"/>
  <c r="D584" i="29"/>
  <c r="E584" i="29"/>
  <c r="F584" i="29"/>
  <c r="G584" i="29"/>
  <c r="H584" i="29"/>
  <c r="I584" i="29"/>
  <c r="J584" i="29"/>
  <c r="L584" i="29"/>
  <c r="M584" i="29"/>
  <c r="N584" i="29"/>
  <c r="O584" i="29"/>
  <c r="P584" i="29"/>
  <c r="Q584" i="29"/>
  <c r="R584" i="29"/>
  <c r="S584" i="29"/>
  <c r="A585" i="29"/>
  <c r="B585" i="29"/>
  <c r="C585" i="29"/>
  <c r="D585" i="29"/>
  <c r="E585" i="29"/>
  <c r="F585" i="29"/>
  <c r="G585" i="29"/>
  <c r="H585" i="29"/>
  <c r="I585" i="29"/>
  <c r="J585" i="29"/>
  <c r="L585" i="29"/>
  <c r="M585" i="29"/>
  <c r="N585" i="29"/>
  <c r="O585" i="29"/>
  <c r="P585" i="29"/>
  <c r="Q585" i="29"/>
  <c r="R585" i="29"/>
  <c r="S585" i="29"/>
  <c r="A586" i="29"/>
  <c r="B586" i="29"/>
  <c r="C586" i="29"/>
  <c r="D586" i="29"/>
  <c r="E586" i="29"/>
  <c r="F586" i="29"/>
  <c r="G586" i="29"/>
  <c r="H586" i="29"/>
  <c r="I586" i="29"/>
  <c r="J586" i="29"/>
  <c r="L586" i="29"/>
  <c r="M586" i="29"/>
  <c r="N586" i="29"/>
  <c r="O586" i="29"/>
  <c r="P586" i="29"/>
  <c r="Q586" i="29"/>
  <c r="R586" i="29"/>
  <c r="S586" i="29"/>
  <c r="A587" i="29"/>
  <c r="B587" i="29"/>
  <c r="C587" i="29"/>
  <c r="D587" i="29"/>
  <c r="E587" i="29"/>
  <c r="F587" i="29"/>
  <c r="G587" i="29"/>
  <c r="H587" i="29"/>
  <c r="I587" i="29"/>
  <c r="J587" i="29"/>
  <c r="L587" i="29"/>
  <c r="M587" i="29"/>
  <c r="N587" i="29"/>
  <c r="O587" i="29"/>
  <c r="P587" i="29"/>
  <c r="Q587" i="29"/>
  <c r="R587" i="29"/>
  <c r="S587" i="29"/>
  <c r="A588" i="29"/>
  <c r="B588" i="29"/>
  <c r="C588" i="29"/>
  <c r="D588" i="29"/>
  <c r="E588" i="29"/>
  <c r="F588" i="29"/>
  <c r="G588" i="29"/>
  <c r="H588" i="29"/>
  <c r="I588" i="29"/>
  <c r="J588" i="29"/>
  <c r="L588" i="29"/>
  <c r="M588" i="29"/>
  <c r="N588" i="29"/>
  <c r="O588" i="29"/>
  <c r="P588" i="29"/>
  <c r="Q588" i="29"/>
  <c r="R588" i="29"/>
  <c r="S588" i="29"/>
  <c r="A589" i="29"/>
  <c r="B589" i="29"/>
  <c r="C589" i="29"/>
  <c r="D589" i="29"/>
  <c r="E589" i="29"/>
  <c r="F589" i="29"/>
  <c r="G589" i="29"/>
  <c r="H589" i="29"/>
  <c r="I589" i="29"/>
  <c r="J589" i="29"/>
  <c r="L589" i="29"/>
  <c r="M589" i="29"/>
  <c r="N589" i="29"/>
  <c r="O589" i="29"/>
  <c r="P589" i="29"/>
  <c r="Q589" i="29"/>
  <c r="R589" i="29"/>
  <c r="S589" i="29"/>
  <c r="A590" i="29"/>
  <c r="B590" i="29"/>
  <c r="C590" i="29"/>
  <c r="D590" i="29"/>
  <c r="E590" i="29"/>
  <c r="F590" i="29"/>
  <c r="G590" i="29"/>
  <c r="H590" i="29"/>
  <c r="I590" i="29"/>
  <c r="J590" i="29"/>
  <c r="L590" i="29"/>
  <c r="M590" i="29"/>
  <c r="N590" i="29"/>
  <c r="O590" i="29"/>
  <c r="P590" i="29"/>
  <c r="Q590" i="29"/>
  <c r="R590" i="29"/>
  <c r="S590" i="29"/>
  <c r="A591" i="29"/>
  <c r="B591" i="29"/>
  <c r="C591" i="29"/>
  <c r="D591" i="29"/>
  <c r="E591" i="29"/>
  <c r="F591" i="29"/>
  <c r="G591" i="29"/>
  <c r="H591" i="29"/>
  <c r="I591" i="29"/>
  <c r="J591" i="29"/>
  <c r="L591" i="29"/>
  <c r="M591" i="29"/>
  <c r="N591" i="29"/>
  <c r="O591" i="29"/>
  <c r="P591" i="29"/>
  <c r="Q591" i="29"/>
  <c r="R591" i="29"/>
  <c r="S591" i="29"/>
  <c r="A592" i="29"/>
  <c r="B592" i="29"/>
  <c r="C592" i="29"/>
  <c r="D592" i="29"/>
  <c r="E592" i="29"/>
  <c r="F592" i="29"/>
  <c r="G592" i="29"/>
  <c r="H592" i="29"/>
  <c r="I592" i="29"/>
  <c r="J592" i="29"/>
  <c r="L592" i="29"/>
  <c r="M592" i="29"/>
  <c r="N592" i="29"/>
  <c r="O592" i="29"/>
  <c r="P592" i="29"/>
  <c r="Q592" i="29"/>
  <c r="R592" i="29"/>
  <c r="S592" i="29"/>
  <c r="A593" i="29"/>
  <c r="B593" i="29"/>
  <c r="C593" i="29"/>
  <c r="D593" i="29"/>
  <c r="E593" i="29"/>
  <c r="F593" i="29"/>
  <c r="G593" i="29"/>
  <c r="H593" i="29"/>
  <c r="I593" i="29"/>
  <c r="J593" i="29"/>
  <c r="L593" i="29"/>
  <c r="M593" i="29"/>
  <c r="N593" i="29"/>
  <c r="O593" i="29"/>
  <c r="P593" i="29"/>
  <c r="Q593" i="29"/>
  <c r="R593" i="29"/>
  <c r="S593" i="29"/>
  <c r="A594" i="29"/>
  <c r="B594" i="29"/>
  <c r="C594" i="29"/>
  <c r="D594" i="29"/>
  <c r="E594" i="29"/>
  <c r="F594" i="29"/>
  <c r="G594" i="29"/>
  <c r="H594" i="29"/>
  <c r="I594" i="29"/>
  <c r="J594" i="29"/>
  <c r="L594" i="29"/>
  <c r="M594" i="29"/>
  <c r="N594" i="29"/>
  <c r="O594" i="29"/>
  <c r="P594" i="29"/>
  <c r="Q594" i="29"/>
  <c r="R594" i="29"/>
  <c r="S594" i="29"/>
  <c r="A595" i="29"/>
  <c r="B595" i="29"/>
  <c r="C595" i="29"/>
  <c r="D595" i="29"/>
  <c r="E595" i="29"/>
  <c r="F595" i="29"/>
  <c r="G595" i="29"/>
  <c r="H595" i="29"/>
  <c r="I595" i="29"/>
  <c r="J595" i="29"/>
  <c r="L595" i="29"/>
  <c r="M595" i="29"/>
  <c r="N595" i="29"/>
  <c r="O595" i="29"/>
  <c r="P595" i="29"/>
  <c r="Q595" i="29"/>
  <c r="R595" i="29"/>
  <c r="S595" i="29"/>
  <c r="A596" i="29"/>
  <c r="B596" i="29"/>
  <c r="C596" i="29"/>
  <c r="D596" i="29"/>
  <c r="E596" i="29"/>
  <c r="F596" i="29"/>
  <c r="G596" i="29"/>
  <c r="H596" i="29"/>
  <c r="I596" i="29"/>
  <c r="J596" i="29"/>
  <c r="L596" i="29"/>
  <c r="M596" i="29"/>
  <c r="N596" i="29"/>
  <c r="O596" i="29"/>
  <c r="P596" i="29"/>
  <c r="Q596" i="29"/>
  <c r="R596" i="29"/>
  <c r="S596" i="29"/>
  <c r="A597" i="29"/>
  <c r="B597" i="29"/>
  <c r="C597" i="29"/>
  <c r="D597" i="29"/>
  <c r="E597" i="29"/>
  <c r="F597" i="29"/>
  <c r="G597" i="29"/>
  <c r="H597" i="29"/>
  <c r="I597" i="29"/>
  <c r="J597" i="29"/>
  <c r="L597" i="29"/>
  <c r="M597" i="29"/>
  <c r="N597" i="29"/>
  <c r="O597" i="29"/>
  <c r="P597" i="29"/>
  <c r="Q597" i="29"/>
  <c r="R597" i="29"/>
  <c r="S597" i="29"/>
  <c r="A598" i="29"/>
  <c r="B598" i="29"/>
  <c r="C598" i="29"/>
  <c r="D598" i="29"/>
  <c r="E598" i="29"/>
  <c r="F598" i="29"/>
  <c r="G598" i="29"/>
  <c r="H598" i="29"/>
  <c r="I598" i="29"/>
  <c r="J598" i="29"/>
  <c r="L598" i="29"/>
  <c r="M598" i="29"/>
  <c r="N598" i="29"/>
  <c r="O598" i="29"/>
  <c r="P598" i="29"/>
  <c r="Q598" i="29"/>
  <c r="R598" i="29"/>
  <c r="S598" i="29"/>
  <c r="A599" i="29"/>
  <c r="B599" i="29"/>
  <c r="C599" i="29"/>
  <c r="D599" i="29"/>
  <c r="E599" i="29"/>
  <c r="F599" i="29"/>
  <c r="G599" i="29"/>
  <c r="H599" i="29"/>
  <c r="I599" i="29"/>
  <c r="J599" i="29"/>
  <c r="L599" i="29"/>
  <c r="M599" i="29"/>
  <c r="N599" i="29"/>
  <c r="O599" i="29"/>
  <c r="P599" i="29"/>
  <c r="Q599" i="29"/>
  <c r="R599" i="29"/>
  <c r="S599" i="29"/>
  <c r="A600" i="29"/>
  <c r="B600" i="29"/>
  <c r="C600" i="29"/>
  <c r="D600" i="29"/>
  <c r="E600" i="29"/>
  <c r="F600" i="29"/>
  <c r="G600" i="29"/>
  <c r="H600" i="29"/>
  <c r="I600" i="29"/>
  <c r="J600" i="29"/>
  <c r="L600" i="29"/>
  <c r="M600" i="29"/>
  <c r="N600" i="29"/>
  <c r="O600" i="29"/>
  <c r="P600" i="29"/>
  <c r="Q600" i="29"/>
  <c r="R600" i="29"/>
  <c r="S600" i="29"/>
  <c r="A601" i="29"/>
  <c r="B601" i="29"/>
  <c r="C601" i="29"/>
  <c r="D601" i="29"/>
  <c r="E601" i="29"/>
  <c r="F601" i="29"/>
  <c r="G601" i="29"/>
  <c r="H601" i="29"/>
  <c r="I601" i="29"/>
  <c r="J601" i="29"/>
  <c r="L601" i="29"/>
  <c r="M601" i="29"/>
  <c r="N601" i="29"/>
  <c r="O601" i="29"/>
  <c r="P601" i="29"/>
  <c r="Q601" i="29"/>
  <c r="R601" i="29"/>
  <c r="S601" i="29"/>
  <c r="A602" i="29"/>
  <c r="B602" i="29"/>
  <c r="C602" i="29"/>
  <c r="D602" i="29"/>
  <c r="E602" i="29"/>
  <c r="F602" i="29"/>
  <c r="G602" i="29"/>
  <c r="H602" i="29"/>
  <c r="I602" i="29"/>
  <c r="J602" i="29"/>
  <c r="L602" i="29"/>
  <c r="M602" i="29"/>
  <c r="N602" i="29"/>
  <c r="O602" i="29"/>
  <c r="P602" i="29"/>
  <c r="Q602" i="29"/>
  <c r="R602" i="29"/>
  <c r="S602" i="29"/>
  <c r="A603" i="29"/>
  <c r="B603" i="29"/>
  <c r="C603" i="29"/>
  <c r="D603" i="29"/>
  <c r="E603" i="29"/>
  <c r="F603" i="29"/>
  <c r="G603" i="29"/>
  <c r="H603" i="29"/>
  <c r="I603" i="29"/>
  <c r="J603" i="29"/>
  <c r="L603" i="29"/>
  <c r="M603" i="29"/>
  <c r="N603" i="29"/>
  <c r="O603" i="29"/>
  <c r="P603" i="29"/>
  <c r="Q603" i="29"/>
  <c r="R603" i="29"/>
  <c r="S603" i="29"/>
  <c r="A604" i="29"/>
  <c r="B604" i="29"/>
  <c r="C604" i="29"/>
  <c r="D604" i="29"/>
  <c r="E604" i="29"/>
  <c r="F604" i="29"/>
  <c r="G604" i="29"/>
  <c r="H604" i="29"/>
  <c r="I604" i="29"/>
  <c r="J604" i="29"/>
  <c r="L604" i="29"/>
  <c r="M604" i="29"/>
  <c r="N604" i="29"/>
  <c r="O604" i="29"/>
  <c r="P604" i="29"/>
  <c r="Q604" i="29"/>
  <c r="R604" i="29"/>
  <c r="S604" i="29"/>
  <c r="A605" i="29"/>
  <c r="B605" i="29"/>
  <c r="C605" i="29"/>
  <c r="D605" i="29"/>
  <c r="E605" i="29"/>
  <c r="F605" i="29"/>
  <c r="G605" i="29"/>
  <c r="H605" i="29"/>
  <c r="I605" i="29"/>
  <c r="J605" i="29"/>
  <c r="L605" i="29"/>
  <c r="M605" i="29"/>
  <c r="N605" i="29"/>
  <c r="O605" i="29"/>
  <c r="P605" i="29"/>
  <c r="Q605" i="29"/>
  <c r="R605" i="29"/>
  <c r="S605" i="29"/>
  <c r="A606" i="29"/>
  <c r="B606" i="29"/>
  <c r="C606" i="29"/>
  <c r="D606" i="29"/>
  <c r="E606" i="29"/>
  <c r="F606" i="29"/>
  <c r="G606" i="29"/>
  <c r="H606" i="29"/>
  <c r="I606" i="29"/>
  <c r="J606" i="29"/>
  <c r="L606" i="29"/>
  <c r="M606" i="29"/>
  <c r="N606" i="29"/>
  <c r="O606" i="29"/>
  <c r="P606" i="29"/>
  <c r="Q606" i="29"/>
  <c r="R606" i="29"/>
  <c r="S606" i="29"/>
  <c r="A607" i="29"/>
  <c r="B607" i="29"/>
  <c r="C607" i="29"/>
  <c r="D607" i="29"/>
  <c r="E607" i="29"/>
  <c r="F607" i="29"/>
  <c r="G607" i="29"/>
  <c r="H607" i="29"/>
  <c r="I607" i="29"/>
  <c r="J607" i="29"/>
  <c r="L607" i="29"/>
  <c r="M607" i="29"/>
  <c r="N607" i="29"/>
  <c r="O607" i="29"/>
  <c r="P607" i="29"/>
  <c r="Q607" i="29"/>
  <c r="R607" i="29"/>
  <c r="S607" i="29"/>
  <c r="A608" i="29"/>
  <c r="B608" i="29"/>
  <c r="C608" i="29"/>
  <c r="D608" i="29"/>
  <c r="E608" i="29"/>
  <c r="F608" i="29"/>
  <c r="G608" i="29"/>
  <c r="H608" i="29"/>
  <c r="I608" i="29"/>
  <c r="J608" i="29"/>
  <c r="L608" i="29"/>
  <c r="M608" i="29"/>
  <c r="N608" i="29"/>
  <c r="O608" i="29"/>
  <c r="P608" i="29"/>
  <c r="Q608" i="29"/>
  <c r="R608" i="29"/>
  <c r="S608" i="29"/>
  <c r="A609" i="29"/>
  <c r="B609" i="29"/>
  <c r="C609" i="29"/>
  <c r="D609" i="29"/>
  <c r="E609" i="29"/>
  <c r="F609" i="29"/>
  <c r="G609" i="29"/>
  <c r="H609" i="29"/>
  <c r="I609" i="29"/>
  <c r="J609" i="29"/>
  <c r="L609" i="29"/>
  <c r="M609" i="29"/>
  <c r="N609" i="29"/>
  <c r="O609" i="29"/>
  <c r="P609" i="29"/>
  <c r="Q609" i="29"/>
  <c r="R609" i="29"/>
  <c r="S609" i="29"/>
  <c r="A610" i="29"/>
  <c r="B610" i="29"/>
  <c r="C610" i="29"/>
  <c r="D610" i="29"/>
  <c r="E610" i="29"/>
  <c r="F610" i="29"/>
  <c r="G610" i="29"/>
  <c r="H610" i="29"/>
  <c r="I610" i="29"/>
  <c r="J610" i="29"/>
  <c r="L610" i="29"/>
  <c r="M610" i="29"/>
  <c r="N610" i="29"/>
  <c r="O610" i="29"/>
  <c r="P610" i="29"/>
  <c r="Q610" i="29"/>
  <c r="R610" i="29"/>
  <c r="S610" i="29"/>
  <c r="A611" i="29"/>
  <c r="B611" i="29"/>
  <c r="C611" i="29"/>
  <c r="D611" i="29"/>
  <c r="E611" i="29"/>
  <c r="F611" i="29"/>
  <c r="G611" i="29"/>
  <c r="H611" i="29"/>
  <c r="I611" i="29"/>
  <c r="J611" i="29"/>
  <c r="L611" i="29"/>
  <c r="M611" i="29"/>
  <c r="N611" i="29"/>
  <c r="O611" i="29"/>
  <c r="P611" i="29"/>
  <c r="Q611" i="29"/>
  <c r="R611" i="29"/>
  <c r="S611" i="29"/>
  <c r="A612" i="29"/>
  <c r="B612" i="29"/>
  <c r="C612" i="29"/>
  <c r="D612" i="29"/>
  <c r="E612" i="29"/>
  <c r="F612" i="29"/>
  <c r="G612" i="29"/>
  <c r="H612" i="29"/>
  <c r="I612" i="29"/>
  <c r="J612" i="29"/>
  <c r="L612" i="29"/>
  <c r="M612" i="29"/>
  <c r="N612" i="29"/>
  <c r="O612" i="29"/>
  <c r="P612" i="29"/>
  <c r="Q612" i="29"/>
  <c r="R612" i="29"/>
  <c r="S612" i="29"/>
  <c r="A613" i="29"/>
  <c r="B613" i="29"/>
  <c r="C613" i="29"/>
  <c r="D613" i="29"/>
  <c r="E613" i="29"/>
  <c r="F613" i="29"/>
  <c r="G613" i="29"/>
  <c r="H613" i="29"/>
  <c r="I613" i="29"/>
  <c r="J613" i="29"/>
  <c r="L613" i="29"/>
  <c r="M613" i="29"/>
  <c r="N613" i="29"/>
  <c r="O613" i="29"/>
  <c r="P613" i="29"/>
  <c r="Q613" i="29"/>
  <c r="R613" i="29"/>
  <c r="S613" i="29"/>
  <c r="A614" i="29"/>
  <c r="B614" i="29"/>
  <c r="C614" i="29"/>
  <c r="D614" i="29"/>
  <c r="E614" i="29"/>
  <c r="F614" i="29"/>
  <c r="G614" i="29"/>
  <c r="H614" i="29"/>
  <c r="I614" i="29"/>
  <c r="J614" i="29"/>
  <c r="L614" i="29"/>
  <c r="M614" i="29"/>
  <c r="N614" i="29"/>
  <c r="O614" i="29"/>
  <c r="P614" i="29"/>
  <c r="Q614" i="29"/>
  <c r="R614" i="29"/>
  <c r="S614" i="29"/>
  <c r="A615" i="29"/>
  <c r="B615" i="29"/>
  <c r="C615" i="29"/>
  <c r="D615" i="29"/>
  <c r="E615" i="29"/>
  <c r="F615" i="29"/>
  <c r="G615" i="29"/>
  <c r="H615" i="29"/>
  <c r="I615" i="29"/>
  <c r="J615" i="29"/>
  <c r="L615" i="29"/>
  <c r="M615" i="29"/>
  <c r="N615" i="29"/>
  <c r="O615" i="29"/>
  <c r="P615" i="29"/>
  <c r="Q615" i="29"/>
  <c r="R615" i="29"/>
  <c r="S615" i="29"/>
  <c r="A616" i="29"/>
  <c r="B616" i="29"/>
  <c r="C616" i="29"/>
  <c r="D616" i="29"/>
  <c r="E616" i="29"/>
  <c r="F616" i="29"/>
  <c r="G616" i="29"/>
  <c r="H616" i="29"/>
  <c r="I616" i="29"/>
  <c r="J616" i="29"/>
  <c r="L616" i="29"/>
  <c r="M616" i="29"/>
  <c r="N616" i="29"/>
  <c r="O616" i="29"/>
  <c r="P616" i="29"/>
  <c r="Q616" i="29"/>
  <c r="R616" i="29"/>
  <c r="S616" i="29"/>
  <c r="A617" i="29"/>
  <c r="B617" i="29"/>
  <c r="C617" i="29"/>
  <c r="D617" i="29"/>
  <c r="E617" i="29"/>
  <c r="F617" i="29"/>
  <c r="G617" i="29"/>
  <c r="H617" i="29"/>
  <c r="I617" i="29"/>
  <c r="J617" i="29"/>
  <c r="L617" i="29"/>
  <c r="M617" i="29"/>
  <c r="N617" i="29"/>
  <c r="O617" i="29"/>
  <c r="P617" i="29"/>
  <c r="Q617" i="29"/>
  <c r="R617" i="29"/>
  <c r="S617" i="29"/>
  <c r="A618" i="29"/>
  <c r="B618" i="29"/>
  <c r="C618" i="29"/>
  <c r="D618" i="29"/>
  <c r="E618" i="29"/>
  <c r="F618" i="29"/>
  <c r="G618" i="29"/>
  <c r="H618" i="29"/>
  <c r="I618" i="29"/>
  <c r="J618" i="29"/>
  <c r="L618" i="29"/>
  <c r="M618" i="29"/>
  <c r="N618" i="29"/>
  <c r="O618" i="29"/>
  <c r="P618" i="29"/>
  <c r="Q618" i="29"/>
  <c r="R618" i="29"/>
  <c r="S618" i="29"/>
  <c r="A619" i="29"/>
  <c r="B619" i="29"/>
  <c r="C619" i="29"/>
  <c r="D619" i="29"/>
  <c r="E619" i="29"/>
  <c r="F619" i="29"/>
  <c r="G619" i="29"/>
  <c r="H619" i="29"/>
  <c r="I619" i="29"/>
  <c r="J619" i="29"/>
  <c r="L619" i="29"/>
  <c r="M619" i="29"/>
  <c r="N619" i="29"/>
  <c r="O619" i="29"/>
  <c r="P619" i="29"/>
  <c r="Q619" i="29"/>
  <c r="R619" i="29"/>
  <c r="S619" i="29"/>
  <c r="A620" i="29"/>
  <c r="B620" i="29"/>
  <c r="C620" i="29"/>
  <c r="D620" i="29"/>
  <c r="E620" i="29"/>
  <c r="F620" i="29"/>
  <c r="G620" i="29"/>
  <c r="H620" i="29"/>
  <c r="I620" i="29"/>
  <c r="J620" i="29"/>
  <c r="L620" i="29"/>
  <c r="M620" i="29"/>
  <c r="N620" i="29"/>
  <c r="O620" i="29"/>
  <c r="P620" i="29"/>
  <c r="Q620" i="29"/>
  <c r="R620" i="29"/>
  <c r="S620" i="29"/>
  <c r="A621" i="29"/>
  <c r="B621" i="29"/>
  <c r="C621" i="29"/>
  <c r="D621" i="29"/>
  <c r="E621" i="29"/>
  <c r="F621" i="29"/>
  <c r="G621" i="29"/>
  <c r="H621" i="29"/>
  <c r="I621" i="29"/>
  <c r="J621" i="29"/>
  <c r="L621" i="29"/>
  <c r="M621" i="29"/>
  <c r="N621" i="29"/>
  <c r="O621" i="29"/>
  <c r="P621" i="29"/>
  <c r="Q621" i="29"/>
  <c r="R621" i="29"/>
  <c r="S621" i="29"/>
  <c r="A622" i="29"/>
  <c r="B622" i="29"/>
  <c r="C622" i="29"/>
  <c r="D622" i="29"/>
  <c r="E622" i="29"/>
  <c r="F622" i="29"/>
  <c r="G622" i="29"/>
  <c r="H622" i="29"/>
  <c r="I622" i="29"/>
  <c r="J622" i="29"/>
  <c r="L622" i="29"/>
  <c r="M622" i="29"/>
  <c r="N622" i="29"/>
  <c r="O622" i="29"/>
  <c r="P622" i="29"/>
  <c r="Q622" i="29"/>
  <c r="R622" i="29"/>
  <c r="S622" i="29"/>
  <c r="A623" i="29"/>
  <c r="B623" i="29"/>
  <c r="C623" i="29"/>
  <c r="D623" i="29"/>
  <c r="E623" i="29"/>
  <c r="F623" i="29"/>
  <c r="G623" i="29"/>
  <c r="H623" i="29"/>
  <c r="I623" i="29"/>
  <c r="J623" i="29"/>
  <c r="L623" i="29"/>
  <c r="M623" i="29"/>
  <c r="N623" i="29"/>
  <c r="O623" i="29"/>
  <c r="P623" i="29"/>
  <c r="Q623" i="29"/>
  <c r="R623" i="29"/>
  <c r="S623" i="29"/>
  <c r="A624" i="29"/>
  <c r="B624" i="29"/>
  <c r="C624" i="29"/>
  <c r="D624" i="29"/>
  <c r="E624" i="29"/>
  <c r="F624" i="29"/>
  <c r="G624" i="29"/>
  <c r="H624" i="29"/>
  <c r="I624" i="29"/>
  <c r="J624" i="29"/>
  <c r="L624" i="29"/>
  <c r="M624" i="29"/>
  <c r="N624" i="29"/>
  <c r="O624" i="29"/>
  <c r="P624" i="29"/>
  <c r="Q624" i="29"/>
  <c r="R624" i="29"/>
  <c r="S624" i="29"/>
  <c r="A625" i="29"/>
  <c r="B625" i="29"/>
  <c r="C625" i="29"/>
  <c r="D625" i="29"/>
  <c r="E625" i="29"/>
  <c r="F625" i="29"/>
  <c r="G625" i="29"/>
  <c r="H625" i="29"/>
  <c r="I625" i="29"/>
  <c r="J625" i="29"/>
  <c r="L625" i="29"/>
  <c r="M625" i="29"/>
  <c r="N625" i="29"/>
  <c r="O625" i="29"/>
  <c r="P625" i="29"/>
  <c r="Q625" i="29"/>
  <c r="R625" i="29"/>
  <c r="S625" i="29"/>
  <c r="A626" i="29"/>
  <c r="B626" i="29"/>
  <c r="C626" i="29"/>
  <c r="D626" i="29"/>
  <c r="E626" i="29"/>
  <c r="F626" i="29"/>
  <c r="G626" i="29"/>
  <c r="H626" i="29"/>
  <c r="I626" i="29"/>
  <c r="J626" i="29"/>
  <c r="L626" i="29"/>
  <c r="M626" i="29"/>
  <c r="N626" i="29"/>
  <c r="O626" i="29"/>
  <c r="P626" i="29"/>
  <c r="Q626" i="29"/>
  <c r="R626" i="29"/>
  <c r="S626" i="29"/>
  <c r="A627" i="29"/>
  <c r="B627" i="29"/>
  <c r="C627" i="29"/>
  <c r="D627" i="29"/>
  <c r="E627" i="29"/>
  <c r="F627" i="29"/>
  <c r="G627" i="29"/>
  <c r="H627" i="29"/>
  <c r="I627" i="29"/>
  <c r="J627" i="29"/>
  <c r="L627" i="29"/>
  <c r="M627" i="29"/>
  <c r="N627" i="29"/>
  <c r="O627" i="29"/>
  <c r="P627" i="29"/>
  <c r="Q627" i="29"/>
  <c r="R627" i="29"/>
  <c r="S627" i="29"/>
  <c r="A628" i="29"/>
  <c r="B628" i="29"/>
  <c r="C628" i="29"/>
  <c r="D628" i="29"/>
  <c r="E628" i="29"/>
  <c r="F628" i="29"/>
  <c r="G628" i="29"/>
  <c r="H628" i="29"/>
  <c r="I628" i="29"/>
  <c r="J628" i="29"/>
  <c r="L628" i="29"/>
  <c r="M628" i="29"/>
  <c r="N628" i="29"/>
  <c r="O628" i="29"/>
  <c r="P628" i="29"/>
  <c r="Q628" i="29"/>
  <c r="R628" i="29"/>
  <c r="S628" i="29"/>
  <c r="A629" i="29"/>
  <c r="B629" i="29"/>
  <c r="C629" i="29"/>
  <c r="D629" i="29"/>
  <c r="E629" i="29"/>
  <c r="F629" i="29"/>
  <c r="G629" i="29"/>
  <c r="H629" i="29"/>
  <c r="I629" i="29"/>
  <c r="J629" i="29"/>
  <c r="L629" i="29"/>
  <c r="M629" i="29"/>
  <c r="N629" i="29"/>
  <c r="O629" i="29"/>
  <c r="P629" i="29"/>
  <c r="Q629" i="29"/>
  <c r="R629" i="29"/>
  <c r="S629" i="29"/>
  <c r="A630" i="29"/>
  <c r="B630" i="29"/>
  <c r="C630" i="29"/>
  <c r="D630" i="29"/>
  <c r="E630" i="29"/>
  <c r="F630" i="29"/>
  <c r="G630" i="29"/>
  <c r="H630" i="29"/>
  <c r="I630" i="29"/>
  <c r="J630" i="29"/>
  <c r="L630" i="29"/>
  <c r="M630" i="29"/>
  <c r="N630" i="29"/>
  <c r="O630" i="29"/>
  <c r="P630" i="29"/>
  <c r="Q630" i="29"/>
  <c r="R630" i="29"/>
  <c r="S630" i="29"/>
  <c r="A631" i="29"/>
  <c r="B631" i="29"/>
  <c r="C631" i="29"/>
  <c r="D631" i="29"/>
  <c r="E631" i="29"/>
  <c r="F631" i="29"/>
  <c r="G631" i="29"/>
  <c r="H631" i="29"/>
  <c r="I631" i="29"/>
  <c r="J631" i="29"/>
  <c r="L631" i="29"/>
  <c r="M631" i="29"/>
  <c r="N631" i="29"/>
  <c r="O631" i="29"/>
  <c r="P631" i="29"/>
  <c r="Q631" i="29"/>
  <c r="R631" i="29"/>
  <c r="S631" i="29"/>
  <c r="A632" i="29"/>
  <c r="B632" i="29"/>
  <c r="C632" i="29"/>
  <c r="D632" i="29"/>
  <c r="E632" i="29"/>
  <c r="F632" i="29"/>
  <c r="G632" i="29"/>
  <c r="H632" i="29"/>
  <c r="I632" i="29"/>
  <c r="J632" i="29"/>
  <c r="L632" i="29"/>
  <c r="M632" i="29"/>
  <c r="N632" i="29"/>
  <c r="O632" i="29"/>
  <c r="P632" i="29"/>
  <c r="Q632" i="29"/>
  <c r="R632" i="29"/>
  <c r="S632" i="29"/>
  <c r="A633" i="29"/>
  <c r="B633" i="29"/>
  <c r="C633" i="29"/>
  <c r="D633" i="29"/>
  <c r="E633" i="29"/>
  <c r="F633" i="29"/>
  <c r="G633" i="29"/>
  <c r="H633" i="29"/>
  <c r="I633" i="29"/>
  <c r="J633" i="29"/>
  <c r="L633" i="29"/>
  <c r="M633" i="29"/>
  <c r="N633" i="29"/>
  <c r="O633" i="29"/>
  <c r="P633" i="29"/>
  <c r="Q633" i="29"/>
  <c r="R633" i="29"/>
  <c r="S633" i="29"/>
  <c r="A634" i="29"/>
  <c r="B634" i="29"/>
  <c r="C634" i="29"/>
  <c r="D634" i="29"/>
  <c r="E634" i="29"/>
  <c r="F634" i="29"/>
  <c r="G634" i="29"/>
  <c r="H634" i="29"/>
  <c r="I634" i="29"/>
  <c r="J634" i="29"/>
  <c r="L634" i="29"/>
  <c r="M634" i="29"/>
  <c r="N634" i="29"/>
  <c r="O634" i="29"/>
  <c r="P634" i="29"/>
  <c r="Q634" i="29"/>
  <c r="R634" i="29"/>
  <c r="S634" i="29"/>
  <c r="A635" i="29"/>
  <c r="B635" i="29"/>
  <c r="C635" i="29"/>
  <c r="D635" i="29"/>
  <c r="E635" i="29"/>
  <c r="F635" i="29"/>
  <c r="G635" i="29"/>
  <c r="H635" i="29"/>
  <c r="I635" i="29"/>
  <c r="J635" i="29"/>
  <c r="L635" i="29"/>
  <c r="M635" i="29"/>
  <c r="N635" i="29"/>
  <c r="O635" i="29"/>
  <c r="P635" i="29"/>
  <c r="Q635" i="29"/>
  <c r="R635" i="29"/>
  <c r="S635" i="29"/>
  <c r="A636" i="29"/>
  <c r="B636" i="29"/>
  <c r="C636" i="29"/>
  <c r="D636" i="29"/>
  <c r="E636" i="29"/>
  <c r="F636" i="29"/>
  <c r="G636" i="29"/>
  <c r="H636" i="29"/>
  <c r="I636" i="29"/>
  <c r="J636" i="29"/>
  <c r="L636" i="29"/>
  <c r="M636" i="29"/>
  <c r="N636" i="29"/>
  <c r="O636" i="29"/>
  <c r="P636" i="29"/>
  <c r="Q636" i="29"/>
  <c r="R636" i="29"/>
  <c r="S636" i="29"/>
  <c r="A637" i="29"/>
  <c r="B637" i="29"/>
  <c r="C637" i="29"/>
  <c r="D637" i="29"/>
  <c r="E637" i="29"/>
  <c r="F637" i="29"/>
  <c r="G637" i="29"/>
  <c r="H637" i="29"/>
  <c r="I637" i="29"/>
  <c r="J637" i="29"/>
  <c r="L637" i="29"/>
  <c r="M637" i="29"/>
  <c r="N637" i="29"/>
  <c r="O637" i="29"/>
  <c r="P637" i="29"/>
  <c r="Q637" i="29"/>
  <c r="R637" i="29"/>
  <c r="S637" i="29"/>
  <c r="A638" i="29"/>
  <c r="B638" i="29"/>
  <c r="C638" i="29"/>
  <c r="D638" i="29"/>
  <c r="E638" i="29"/>
  <c r="F638" i="29"/>
  <c r="G638" i="29"/>
  <c r="H638" i="29"/>
  <c r="I638" i="29"/>
  <c r="J638" i="29"/>
  <c r="L638" i="29"/>
  <c r="M638" i="29"/>
  <c r="N638" i="29"/>
  <c r="O638" i="29"/>
  <c r="P638" i="29"/>
  <c r="Q638" i="29"/>
  <c r="R638" i="29"/>
  <c r="S638" i="29"/>
  <c r="A639" i="29"/>
  <c r="B639" i="29"/>
  <c r="C639" i="29"/>
  <c r="D639" i="29"/>
  <c r="E639" i="29"/>
  <c r="F639" i="29"/>
  <c r="G639" i="29"/>
  <c r="H639" i="29"/>
  <c r="I639" i="29"/>
  <c r="J639" i="29"/>
  <c r="L639" i="29"/>
  <c r="M639" i="29"/>
  <c r="N639" i="29"/>
  <c r="O639" i="29"/>
  <c r="P639" i="29"/>
  <c r="Q639" i="29"/>
  <c r="R639" i="29"/>
  <c r="S639" i="29"/>
  <c r="A640" i="29"/>
  <c r="B640" i="29"/>
  <c r="C640" i="29"/>
  <c r="D640" i="29"/>
  <c r="E640" i="29"/>
  <c r="F640" i="29"/>
  <c r="G640" i="29"/>
  <c r="H640" i="29"/>
  <c r="I640" i="29"/>
  <c r="J640" i="29"/>
  <c r="L640" i="29"/>
  <c r="M640" i="29"/>
  <c r="N640" i="29"/>
  <c r="O640" i="29"/>
  <c r="P640" i="29"/>
  <c r="Q640" i="29"/>
  <c r="R640" i="29"/>
  <c r="S640" i="29"/>
  <c r="A641" i="29"/>
  <c r="B641" i="29"/>
  <c r="C641" i="29"/>
  <c r="D641" i="29"/>
  <c r="E641" i="29"/>
  <c r="F641" i="29"/>
  <c r="G641" i="29"/>
  <c r="H641" i="29"/>
  <c r="I641" i="29"/>
  <c r="J641" i="29"/>
  <c r="L641" i="29"/>
  <c r="M641" i="29"/>
  <c r="N641" i="29"/>
  <c r="O641" i="29"/>
  <c r="P641" i="29"/>
  <c r="Q641" i="29"/>
  <c r="R641" i="29"/>
  <c r="S641" i="29"/>
  <c r="A642" i="29"/>
  <c r="B642" i="29"/>
  <c r="C642" i="29"/>
  <c r="D642" i="29"/>
  <c r="E642" i="29"/>
  <c r="F642" i="29"/>
  <c r="G642" i="29"/>
  <c r="H642" i="29"/>
  <c r="I642" i="29"/>
  <c r="J642" i="29"/>
  <c r="L642" i="29"/>
  <c r="M642" i="29"/>
  <c r="N642" i="29"/>
  <c r="O642" i="29"/>
  <c r="P642" i="29"/>
  <c r="Q642" i="29"/>
  <c r="R642" i="29"/>
  <c r="S642" i="29"/>
  <c r="A643" i="29"/>
  <c r="B643" i="29"/>
  <c r="C643" i="29"/>
  <c r="D643" i="29"/>
  <c r="E643" i="29"/>
  <c r="F643" i="29"/>
  <c r="G643" i="29"/>
  <c r="H643" i="29"/>
  <c r="I643" i="29"/>
  <c r="J643" i="29"/>
  <c r="L643" i="29"/>
  <c r="M643" i="29"/>
  <c r="N643" i="29"/>
  <c r="O643" i="29"/>
  <c r="P643" i="29"/>
  <c r="Q643" i="29"/>
  <c r="R643" i="29"/>
  <c r="S643" i="29"/>
  <c r="A644" i="29"/>
  <c r="B644" i="29"/>
  <c r="C644" i="29"/>
  <c r="D644" i="29"/>
  <c r="E644" i="29"/>
  <c r="F644" i="29"/>
  <c r="G644" i="29"/>
  <c r="H644" i="29"/>
  <c r="I644" i="29"/>
  <c r="J644" i="29"/>
  <c r="L644" i="29"/>
  <c r="M644" i="29"/>
  <c r="N644" i="29"/>
  <c r="O644" i="29"/>
  <c r="P644" i="29"/>
  <c r="Q644" i="29"/>
  <c r="R644" i="29"/>
  <c r="S644" i="29"/>
  <c r="A645" i="29"/>
  <c r="B645" i="29"/>
  <c r="C645" i="29"/>
  <c r="D645" i="29"/>
  <c r="E645" i="29"/>
  <c r="F645" i="29"/>
  <c r="G645" i="29"/>
  <c r="H645" i="29"/>
  <c r="I645" i="29"/>
  <c r="J645" i="29"/>
  <c r="L645" i="29"/>
  <c r="M645" i="29"/>
  <c r="N645" i="29"/>
  <c r="O645" i="29"/>
  <c r="P645" i="29"/>
  <c r="Q645" i="29"/>
  <c r="R645" i="29"/>
  <c r="S645" i="29"/>
  <c r="A646" i="29"/>
  <c r="B646" i="29"/>
  <c r="C646" i="29"/>
  <c r="D646" i="29"/>
  <c r="E646" i="29"/>
  <c r="F646" i="29"/>
  <c r="G646" i="29"/>
  <c r="H646" i="29"/>
  <c r="I646" i="29"/>
  <c r="J646" i="29"/>
  <c r="L646" i="29"/>
  <c r="M646" i="29"/>
  <c r="N646" i="29"/>
  <c r="O646" i="29"/>
  <c r="P646" i="29"/>
  <c r="Q646" i="29"/>
  <c r="R646" i="29"/>
  <c r="S646" i="29"/>
  <c r="A647" i="29"/>
  <c r="B647" i="29"/>
  <c r="C647" i="29"/>
  <c r="D647" i="29"/>
  <c r="E647" i="29"/>
  <c r="F647" i="29"/>
  <c r="G647" i="29"/>
  <c r="H647" i="29"/>
  <c r="I647" i="29"/>
  <c r="J647" i="29"/>
  <c r="L647" i="29"/>
  <c r="M647" i="29"/>
  <c r="N647" i="29"/>
  <c r="O647" i="29"/>
  <c r="P647" i="29"/>
  <c r="Q647" i="29"/>
  <c r="R647" i="29"/>
  <c r="S647" i="29"/>
  <c r="A648" i="29"/>
  <c r="B648" i="29"/>
  <c r="C648" i="29"/>
  <c r="D648" i="29"/>
  <c r="E648" i="29"/>
  <c r="F648" i="29"/>
  <c r="G648" i="29"/>
  <c r="H648" i="29"/>
  <c r="I648" i="29"/>
  <c r="J648" i="29"/>
  <c r="L648" i="29"/>
  <c r="M648" i="29"/>
  <c r="N648" i="29"/>
  <c r="O648" i="29"/>
  <c r="P648" i="29"/>
  <c r="Q648" i="29"/>
  <c r="R648" i="29"/>
  <c r="S648" i="29"/>
  <c r="A649" i="29"/>
  <c r="B649" i="29"/>
  <c r="C649" i="29"/>
  <c r="D649" i="29"/>
  <c r="E649" i="29"/>
  <c r="F649" i="29"/>
  <c r="G649" i="29"/>
  <c r="H649" i="29"/>
  <c r="I649" i="29"/>
  <c r="J649" i="29"/>
  <c r="L649" i="29"/>
  <c r="M649" i="29"/>
  <c r="N649" i="29"/>
  <c r="O649" i="29"/>
  <c r="P649" i="29"/>
  <c r="Q649" i="29"/>
  <c r="R649" i="29"/>
  <c r="S649" i="29"/>
  <c r="A650" i="29"/>
  <c r="B650" i="29"/>
  <c r="C650" i="29"/>
  <c r="D650" i="29"/>
  <c r="E650" i="29"/>
  <c r="F650" i="29"/>
  <c r="G650" i="29"/>
  <c r="H650" i="29"/>
  <c r="I650" i="29"/>
  <c r="J650" i="29"/>
  <c r="L650" i="29"/>
  <c r="M650" i="29"/>
  <c r="N650" i="29"/>
  <c r="O650" i="29"/>
  <c r="P650" i="29"/>
  <c r="Q650" i="29"/>
  <c r="R650" i="29"/>
  <c r="S650" i="29"/>
  <c r="A651" i="29"/>
  <c r="B651" i="29"/>
  <c r="C651" i="29"/>
  <c r="D651" i="29"/>
  <c r="E651" i="29"/>
  <c r="F651" i="29"/>
  <c r="G651" i="29"/>
  <c r="H651" i="29"/>
  <c r="I651" i="29"/>
  <c r="J651" i="29"/>
  <c r="L651" i="29"/>
  <c r="M651" i="29"/>
  <c r="N651" i="29"/>
  <c r="O651" i="29"/>
  <c r="P651" i="29"/>
  <c r="Q651" i="29"/>
  <c r="R651" i="29"/>
  <c r="S651" i="29"/>
  <c r="A652" i="29"/>
  <c r="B652" i="29"/>
  <c r="C652" i="29"/>
  <c r="D652" i="29"/>
  <c r="E652" i="29"/>
  <c r="F652" i="29"/>
  <c r="G652" i="29"/>
  <c r="H652" i="29"/>
  <c r="I652" i="29"/>
  <c r="J652" i="29"/>
  <c r="L652" i="29"/>
  <c r="M652" i="29"/>
  <c r="N652" i="29"/>
  <c r="O652" i="29"/>
  <c r="P652" i="29"/>
  <c r="Q652" i="29"/>
  <c r="R652" i="29"/>
  <c r="S652" i="29"/>
  <c r="A653" i="29"/>
  <c r="B653" i="29"/>
  <c r="C653" i="29"/>
  <c r="D653" i="29"/>
  <c r="E653" i="29"/>
  <c r="F653" i="29"/>
  <c r="G653" i="29"/>
  <c r="H653" i="29"/>
  <c r="I653" i="29"/>
  <c r="J653" i="29"/>
  <c r="L653" i="29"/>
  <c r="M653" i="29"/>
  <c r="N653" i="29"/>
  <c r="O653" i="29"/>
  <c r="P653" i="29"/>
  <c r="Q653" i="29"/>
  <c r="R653" i="29"/>
  <c r="S653" i="29"/>
  <c r="A654" i="29"/>
  <c r="B654" i="29"/>
  <c r="C654" i="29"/>
  <c r="D654" i="29"/>
  <c r="E654" i="29"/>
  <c r="F654" i="29"/>
  <c r="G654" i="29"/>
  <c r="H654" i="29"/>
  <c r="I654" i="29"/>
  <c r="J654" i="29"/>
  <c r="L654" i="29"/>
  <c r="M654" i="29"/>
  <c r="N654" i="29"/>
  <c r="O654" i="29"/>
  <c r="P654" i="29"/>
  <c r="Q654" i="29"/>
  <c r="R654" i="29"/>
  <c r="S654" i="29"/>
  <c r="A655" i="29"/>
  <c r="B655" i="29"/>
  <c r="C655" i="29"/>
  <c r="D655" i="29"/>
  <c r="E655" i="29"/>
  <c r="F655" i="29"/>
  <c r="G655" i="29"/>
  <c r="H655" i="29"/>
  <c r="I655" i="29"/>
  <c r="J655" i="29"/>
  <c r="L655" i="29"/>
  <c r="M655" i="29"/>
  <c r="N655" i="29"/>
  <c r="O655" i="29"/>
  <c r="P655" i="29"/>
  <c r="Q655" i="29"/>
  <c r="R655" i="29"/>
  <c r="S655" i="29"/>
  <c r="A656" i="29"/>
  <c r="B656" i="29"/>
  <c r="C656" i="29"/>
  <c r="D656" i="29"/>
  <c r="E656" i="29"/>
  <c r="F656" i="29"/>
  <c r="G656" i="29"/>
  <c r="H656" i="29"/>
  <c r="I656" i="29"/>
  <c r="J656" i="29"/>
  <c r="L656" i="29"/>
  <c r="M656" i="29"/>
  <c r="N656" i="29"/>
  <c r="O656" i="29"/>
  <c r="P656" i="29"/>
  <c r="Q656" i="29"/>
  <c r="R656" i="29"/>
  <c r="S656" i="29"/>
  <c r="A657" i="29"/>
  <c r="B657" i="29"/>
  <c r="C657" i="29"/>
  <c r="D657" i="29"/>
  <c r="E657" i="29"/>
  <c r="F657" i="29"/>
  <c r="G657" i="29"/>
  <c r="H657" i="29"/>
  <c r="I657" i="29"/>
  <c r="J657" i="29"/>
  <c r="L657" i="29"/>
  <c r="M657" i="29"/>
  <c r="N657" i="29"/>
  <c r="O657" i="29"/>
  <c r="P657" i="29"/>
  <c r="Q657" i="29"/>
  <c r="R657" i="29"/>
  <c r="S657" i="29"/>
  <c r="A658" i="29"/>
  <c r="B658" i="29"/>
  <c r="C658" i="29"/>
  <c r="D658" i="29"/>
  <c r="E658" i="29"/>
  <c r="F658" i="29"/>
  <c r="G658" i="29"/>
  <c r="H658" i="29"/>
  <c r="I658" i="29"/>
  <c r="J658" i="29"/>
  <c r="L658" i="29"/>
  <c r="M658" i="29"/>
  <c r="N658" i="29"/>
  <c r="O658" i="29"/>
  <c r="P658" i="29"/>
  <c r="Q658" i="29"/>
  <c r="R658" i="29"/>
  <c r="S658" i="29"/>
  <c r="A659" i="29"/>
  <c r="B659" i="29"/>
  <c r="C659" i="29"/>
  <c r="D659" i="29"/>
  <c r="E659" i="29"/>
  <c r="F659" i="29"/>
  <c r="G659" i="29"/>
  <c r="H659" i="29"/>
  <c r="I659" i="29"/>
  <c r="J659" i="29"/>
  <c r="L659" i="29"/>
  <c r="M659" i="29"/>
  <c r="N659" i="29"/>
  <c r="O659" i="29"/>
  <c r="P659" i="29"/>
  <c r="Q659" i="29"/>
  <c r="R659" i="29"/>
  <c r="S659" i="29"/>
  <c r="A660" i="29"/>
  <c r="B660" i="29"/>
  <c r="C660" i="29"/>
  <c r="D660" i="29"/>
  <c r="E660" i="29"/>
  <c r="F660" i="29"/>
  <c r="G660" i="29"/>
  <c r="H660" i="29"/>
  <c r="I660" i="29"/>
  <c r="J660" i="29"/>
  <c r="L660" i="29"/>
  <c r="M660" i="29"/>
  <c r="N660" i="29"/>
  <c r="O660" i="29"/>
  <c r="P660" i="29"/>
  <c r="Q660" i="29"/>
  <c r="R660" i="29"/>
  <c r="S660" i="29"/>
  <c r="A661" i="29"/>
  <c r="B661" i="29"/>
  <c r="C661" i="29"/>
  <c r="D661" i="29"/>
  <c r="E661" i="29"/>
  <c r="F661" i="29"/>
  <c r="G661" i="29"/>
  <c r="H661" i="29"/>
  <c r="I661" i="29"/>
  <c r="J661" i="29"/>
  <c r="L661" i="29"/>
  <c r="M661" i="29"/>
  <c r="N661" i="29"/>
  <c r="O661" i="29"/>
  <c r="P661" i="29"/>
  <c r="Q661" i="29"/>
  <c r="R661" i="29"/>
  <c r="S661" i="29"/>
  <c r="A662" i="29"/>
  <c r="B662" i="29"/>
  <c r="C662" i="29"/>
  <c r="D662" i="29"/>
  <c r="E662" i="29"/>
  <c r="F662" i="29"/>
  <c r="G662" i="29"/>
  <c r="H662" i="29"/>
  <c r="I662" i="29"/>
  <c r="J662" i="29"/>
  <c r="L662" i="29"/>
  <c r="M662" i="29"/>
  <c r="N662" i="29"/>
  <c r="O662" i="29"/>
  <c r="P662" i="29"/>
  <c r="Q662" i="29"/>
  <c r="R662" i="29"/>
  <c r="S662" i="29"/>
  <c r="A663" i="29"/>
  <c r="B663" i="29"/>
  <c r="C663" i="29"/>
  <c r="D663" i="29"/>
  <c r="E663" i="29"/>
  <c r="F663" i="29"/>
  <c r="G663" i="29"/>
  <c r="H663" i="29"/>
  <c r="I663" i="29"/>
  <c r="J663" i="29"/>
  <c r="L663" i="29"/>
  <c r="M663" i="29"/>
  <c r="N663" i="29"/>
  <c r="O663" i="29"/>
  <c r="P663" i="29"/>
  <c r="Q663" i="29"/>
  <c r="R663" i="29"/>
  <c r="S663" i="29"/>
  <c r="A664" i="29"/>
  <c r="B664" i="29"/>
  <c r="C664" i="29"/>
  <c r="D664" i="29"/>
  <c r="E664" i="29"/>
  <c r="F664" i="29"/>
  <c r="G664" i="29"/>
  <c r="H664" i="29"/>
  <c r="I664" i="29"/>
  <c r="J664" i="29"/>
  <c r="L664" i="29"/>
  <c r="M664" i="29"/>
  <c r="N664" i="29"/>
  <c r="O664" i="29"/>
  <c r="P664" i="29"/>
  <c r="Q664" i="29"/>
  <c r="R664" i="29"/>
  <c r="S664" i="29"/>
  <c r="A665" i="29"/>
  <c r="B665" i="29"/>
  <c r="C665" i="29"/>
  <c r="D665" i="29"/>
  <c r="E665" i="29"/>
  <c r="F665" i="29"/>
  <c r="G665" i="29"/>
  <c r="H665" i="29"/>
  <c r="I665" i="29"/>
  <c r="J665" i="29"/>
  <c r="L665" i="29"/>
  <c r="M665" i="29"/>
  <c r="N665" i="29"/>
  <c r="O665" i="29"/>
  <c r="P665" i="29"/>
  <c r="Q665" i="29"/>
  <c r="R665" i="29"/>
  <c r="S665" i="29"/>
  <c r="A666" i="29"/>
  <c r="B666" i="29"/>
  <c r="C666" i="29"/>
  <c r="D666" i="29"/>
  <c r="E666" i="29"/>
  <c r="F666" i="29"/>
  <c r="G666" i="29"/>
  <c r="H666" i="29"/>
  <c r="I666" i="29"/>
  <c r="J666" i="29"/>
  <c r="L666" i="29"/>
  <c r="M666" i="29"/>
  <c r="N666" i="29"/>
  <c r="O666" i="29"/>
  <c r="P666" i="29"/>
  <c r="Q666" i="29"/>
  <c r="R666" i="29"/>
  <c r="S666" i="29"/>
  <c r="A667" i="29"/>
  <c r="B667" i="29"/>
  <c r="C667" i="29"/>
  <c r="D667" i="29"/>
  <c r="E667" i="29"/>
  <c r="F667" i="29"/>
  <c r="G667" i="29"/>
  <c r="H667" i="29"/>
  <c r="I667" i="29"/>
  <c r="J667" i="29"/>
  <c r="L667" i="29"/>
  <c r="M667" i="29"/>
  <c r="N667" i="29"/>
  <c r="O667" i="29"/>
  <c r="P667" i="29"/>
  <c r="Q667" i="29"/>
  <c r="R667" i="29"/>
  <c r="S667" i="29"/>
  <c r="A668" i="29"/>
  <c r="B668" i="29"/>
  <c r="C668" i="29"/>
  <c r="D668" i="29"/>
  <c r="E668" i="29"/>
  <c r="F668" i="29"/>
  <c r="G668" i="29"/>
  <c r="H668" i="29"/>
  <c r="I668" i="29"/>
  <c r="J668" i="29"/>
  <c r="L668" i="29"/>
  <c r="M668" i="29"/>
  <c r="N668" i="29"/>
  <c r="O668" i="29"/>
  <c r="P668" i="29"/>
  <c r="Q668" i="29"/>
  <c r="R668" i="29"/>
  <c r="S668" i="29"/>
  <c r="A669" i="29"/>
  <c r="B669" i="29"/>
  <c r="C669" i="29"/>
  <c r="D669" i="29"/>
  <c r="E669" i="29"/>
  <c r="F669" i="29"/>
  <c r="G669" i="29"/>
  <c r="H669" i="29"/>
  <c r="I669" i="29"/>
  <c r="J669" i="29"/>
  <c r="L669" i="29"/>
  <c r="M669" i="29"/>
  <c r="N669" i="29"/>
  <c r="O669" i="29"/>
  <c r="P669" i="29"/>
  <c r="Q669" i="29"/>
  <c r="R669" i="29"/>
  <c r="S669" i="29"/>
  <c r="A670" i="29"/>
  <c r="B670" i="29"/>
  <c r="C670" i="29"/>
  <c r="D670" i="29"/>
  <c r="E670" i="29"/>
  <c r="F670" i="29"/>
  <c r="G670" i="29"/>
  <c r="H670" i="29"/>
  <c r="I670" i="29"/>
  <c r="J670" i="29"/>
  <c r="L670" i="29"/>
  <c r="M670" i="29"/>
  <c r="N670" i="29"/>
  <c r="O670" i="29"/>
  <c r="P670" i="29"/>
  <c r="Q670" i="29"/>
  <c r="R670" i="29"/>
  <c r="S670" i="29"/>
  <c r="A671" i="29"/>
  <c r="B671" i="29"/>
  <c r="C671" i="29"/>
  <c r="D671" i="29"/>
  <c r="E671" i="29"/>
  <c r="F671" i="29"/>
  <c r="G671" i="29"/>
  <c r="H671" i="29"/>
  <c r="I671" i="29"/>
  <c r="J671" i="29"/>
  <c r="L671" i="29"/>
  <c r="M671" i="29"/>
  <c r="N671" i="29"/>
  <c r="O671" i="29"/>
  <c r="P671" i="29"/>
  <c r="Q671" i="29"/>
  <c r="R671" i="29"/>
  <c r="S671" i="29"/>
  <c r="A672" i="29"/>
  <c r="B672" i="29"/>
  <c r="C672" i="29"/>
  <c r="D672" i="29"/>
  <c r="E672" i="29"/>
  <c r="F672" i="29"/>
  <c r="G672" i="29"/>
  <c r="H672" i="29"/>
  <c r="I672" i="29"/>
  <c r="J672" i="29"/>
  <c r="L672" i="29"/>
  <c r="M672" i="29"/>
  <c r="N672" i="29"/>
  <c r="O672" i="29"/>
  <c r="P672" i="29"/>
  <c r="Q672" i="29"/>
  <c r="R672" i="29"/>
  <c r="S672" i="29"/>
  <c r="A673" i="29"/>
  <c r="B673" i="29"/>
  <c r="C673" i="29"/>
  <c r="D673" i="29"/>
  <c r="E673" i="29"/>
  <c r="F673" i="29"/>
  <c r="G673" i="29"/>
  <c r="H673" i="29"/>
  <c r="I673" i="29"/>
  <c r="J673" i="29"/>
  <c r="L673" i="29"/>
  <c r="M673" i="29"/>
  <c r="N673" i="29"/>
  <c r="O673" i="29"/>
  <c r="P673" i="29"/>
  <c r="Q673" i="29"/>
  <c r="R673" i="29"/>
  <c r="S673" i="29"/>
  <c r="A674" i="29"/>
  <c r="B674" i="29"/>
  <c r="C674" i="29"/>
  <c r="D674" i="29"/>
  <c r="E674" i="29"/>
  <c r="F674" i="29"/>
  <c r="G674" i="29"/>
  <c r="H674" i="29"/>
  <c r="I674" i="29"/>
  <c r="J674" i="29"/>
  <c r="L674" i="29"/>
  <c r="M674" i="29"/>
  <c r="N674" i="29"/>
  <c r="O674" i="29"/>
  <c r="P674" i="29"/>
  <c r="Q674" i="29"/>
  <c r="R674" i="29"/>
  <c r="S674" i="29"/>
  <c r="A675" i="29"/>
  <c r="B675" i="29"/>
  <c r="C675" i="29"/>
  <c r="D675" i="29"/>
  <c r="E675" i="29"/>
  <c r="F675" i="29"/>
  <c r="G675" i="29"/>
  <c r="H675" i="29"/>
  <c r="I675" i="29"/>
  <c r="J675" i="29"/>
  <c r="L675" i="29"/>
  <c r="M675" i="29"/>
  <c r="N675" i="29"/>
  <c r="O675" i="29"/>
  <c r="P675" i="29"/>
  <c r="Q675" i="29"/>
  <c r="R675" i="29"/>
  <c r="S675" i="29"/>
  <c r="A676" i="29"/>
  <c r="B676" i="29"/>
  <c r="C676" i="29"/>
  <c r="D676" i="29"/>
  <c r="E676" i="29"/>
  <c r="F676" i="29"/>
  <c r="G676" i="29"/>
  <c r="H676" i="29"/>
  <c r="I676" i="29"/>
  <c r="J676" i="29"/>
  <c r="L676" i="29"/>
  <c r="M676" i="29"/>
  <c r="N676" i="29"/>
  <c r="O676" i="29"/>
  <c r="P676" i="29"/>
  <c r="Q676" i="29"/>
  <c r="R676" i="29"/>
  <c r="S676" i="29"/>
  <c r="A677" i="29"/>
  <c r="B677" i="29"/>
  <c r="C677" i="29"/>
  <c r="D677" i="29"/>
  <c r="E677" i="29"/>
  <c r="F677" i="29"/>
  <c r="G677" i="29"/>
  <c r="H677" i="29"/>
  <c r="I677" i="29"/>
  <c r="J677" i="29"/>
  <c r="L677" i="29"/>
  <c r="M677" i="29"/>
  <c r="N677" i="29"/>
  <c r="O677" i="29"/>
  <c r="P677" i="29"/>
  <c r="Q677" i="29"/>
  <c r="R677" i="29"/>
  <c r="S677" i="29"/>
  <c r="A678" i="29"/>
  <c r="B678" i="29"/>
  <c r="C678" i="29"/>
  <c r="D678" i="29"/>
  <c r="E678" i="29"/>
  <c r="F678" i="29"/>
  <c r="G678" i="29"/>
  <c r="H678" i="29"/>
  <c r="I678" i="29"/>
  <c r="J678" i="29"/>
  <c r="L678" i="29"/>
  <c r="M678" i="29"/>
  <c r="N678" i="29"/>
  <c r="O678" i="29"/>
  <c r="P678" i="29"/>
  <c r="Q678" i="29"/>
  <c r="R678" i="29"/>
  <c r="S678" i="29"/>
  <c r="A679" i="29"/>
  <c r="B679" i="29"/>
  <c r="C679" i="29"/>
  <c r="D679" i="29"/>
  <c r="E679" i="29"/>
  <c r="F679" i="29"/>
  <c r="G679" i="29"/>
  <c r="H679" i="29"/>
  <c r="I679" i="29"/>
  <c r="J679" i="29"/>
  <c r="L679" i="29"/>
  <c r="M679" i="29"/>
  <c r="N679" i="29"/>
  <c r="O679" i="29"/>
  <c r="P679" i="29"/>
  <c r="Q679" i="29"/>
  <c r="R679" i="29"/>
  <c r="S679" i="29"/>
  <c r="A680" i="29"/>
  <c r="B680" i="29"/>
  <c r="C680" i="29"/>
  <c r="D680" i="29"/>
  <c r="E680" i="29"/>
  <c r="F680" i="29"/>
  <c r="G680" i="29"/>
  <c r="H680" i="29"/>
  <c r="I680" i="29"/>
  <c r="J680" i="29"/>
  <c r="L680" i="29"/>
  <c r="M680" i="29"/>
  <c r="N680" i="29"/>
  <c r="O680" i="29"/>
  <c r="P680" i="29"/>
  <c r="Q680" i="29"/>
  <c r="R680" i="29"/>
  <c r="S680" i="29"/>
  <c r="A681" i="29"/>
  <c r="B681" i="29"/>
  <c r="C681" i="29"/>
  <c r="D681" i="29"/>
  <c r="E681" i="29"/>
  <c r="F681" i="29"/>
  <c r="G681" i="29"/>
  <c r="H681" i="29"/>
  <c r="I681" i="29"/>
  <c r="J681" i="29"/>
  <c r="L681" i="29"/>
  <c r="M681" i="29"/>
  <c r="N681" i="29"/>
  <c r="O681" i="29"/>
  <c r="P681" i="29"/>
  <c r="Q681" i="29"/>
  <c r="R681" i="29"/>
  <c r="S681" i="29"/>
  <c r="A682" i="29"/>
  <c r="B682" i="29"/>
  <c r="C682" i="29"/>
  <c r="D682" i="29"/>
  <c r="E682" i="29"/>
  <c r="F682" i="29"/>
  <c r="G682" i="29"/>
  <c r="H682" i="29"/>
  <c r="I682" i="29"/>
  <c r="J682" i="29"/>
  <c r="L682" i="29"/>
  <c r="M682" i="29"/>
  <c r="N682" i="29"/>
  <c r="O682" i="29"/>
  <c r="P682" i="29"/>
  <c r="Q682" i="29"/>
  <c r="R682" i="29"/>
  <c r="S682" i="29"/>
  <c r="A683" i="29"/>
  <c r="B683" i="29"/>
  <c r="C683" i="29"/>
  <c r="D683" i="29"/>
  <c r="E683" i="29"/>
  <c r="F683" i="29"/>
  <c r="G683" i="29"/>
  <c r="H683" i="29"/>
  <c r="I683" i="29"/>
  <c r="J683" i="29"/>
  <c r="L683" i="29"/>
  <c r="M683" i="29"/>
  <c r="N683" i="29"/>
  <c r="O683" i="29"/>
  <c r="P683" i="29"/>
  <c r="Q683" i="29"/>
  <c r="R683" i="29"/>
  <c r="S683" i="29"/>
  <c r="A684" i="29"/>
  <c r="B684" i="29"/>
  <c r="C684" i="29"/>
  <c r="D684" i="29"/>
  <c r="E684" i="29"/>
  <c r="F684" i="29"/>
  <c r="G684" i="29"/>
  <c r="H684" i="29"/>
  <c r="I684" i="29"/>
  <c r="J684" i="29"/>
  <c r="L684" i="29"/>
  <c r="M684" i="29"/>
  <c r="N684" i="29"/>
  <c r="O684" i="29"/>
  <c r="P684" i="29"/>
  <c r="Q684" i="29"/>
  <c r="R684" i="29"/>
  <c r="S684" i="29"/>
  <c r="A685" i="29"/>
  <c r="B685" i="29"/>
  <c r="C685" i="29"/>
  <c r="D685" i="29"/>
  <c r="E685" i="29"/>
  <c r="F685" i="29"/>
  <c r="G685" i="29"/>
  <c r="H685" i="29"/>
  <c r="I685" i="29"/>
  <c r="J685" i="29"/>
  <c r="L685" i="29"/>
  <c r="M685" i="29"/>
  <c r="N685" i="29"/>
  <c r="O685" i="29"/>
  <c r="P685" i="29"/>
  <c r="Q685" i="29"/>
  <c r="R685" i="29"/>
  <c r="S685" i="29"/>
  <c r="A686" i="29"/>
  <c r="B686" i="29"/>
  <c r="C686" i="29"/>
  <c r="D686" i="29"/>
  <c r="E686" i="29"/>
  <c r="F686" i="29"/>
  <c r="G686" i="29"/>
  <c r="H686" i="29"/>
  <c r="I686" i="29"/>
  <c r="J686" i="29"/>
  <c r="L686" i="29"/>
  <c r="M686" i="29"/>
  <c r="N686" i="29"/>
  <c r="O686" i="29"/>
  <c r="P686" i="29"/>
  <c r="Q686" i="29"/>
  <c r="R686" i="29"/>
  <c r="S686" i="29"/>
  <c r="A687" i="29"/>
  <c r="B687" i="29"/>
  <c r="C687" i="29"/>
  <c r="D687" i="29"/>
  <c r="E687" i="29"/>
  <c r="F687" i="29"/>
  <c r="G687" i="29"/>
  <c r="H687" i="29"/>
  <c r="I687" i="29"/>
  <c r="J687" i="29"/>
  <c r="L687" i="29"/>
  <c r="M687" i="29"/>
  <c r="N687" i="29"/>
  <c r="O687" i="29"/>
  <c r="P687" i="29"/>
  <c r="Q687" i="29"/>
  <c r="R687" i="29"/>
  <c r="S687" i="29"/>
  <c r="A688" i="29"/>
  <c r="B688" i="29"/>
  <c r="C688" i="29"/>
  <c r="D688" i="29"/>
  <c r="E688" i="29"/>
  <c r="F688" i="29"/>
  <c r="G688" i="29"/>
  <c r="H688" i="29"/>
  <c r="I688" i="29"/>
  <c r="J688" i="29"/>
  <c r="L688" i="29"/>
  <c r="M688" i="29"/>
  <c r="N688" i="29"/>
  <c r="O688" i="29"/>
  <c r="P688" i="29"/>
  <c r="Q688" i="29"/>
  <c r="R688" i="29"/>
  <c r="S688" i="29"/>
  <c r="A689" i="29"/>
  <c r="B689" i="29"/>
  <c r="C689" i="29"/>
  <c r="D689" i="29"/>
  <c r="E689" i="29"/>
  <c r="F689" i="29"/>
  <c r="G689" i="29"/>
  <c r="H689" i="29"/>
  <c r="I689" i="29"/>
  <c r="J689" i="29"/>
  <c r="L689" i="29"/>
  <c r="M689" i="29"/>
  <c r="N689" i="29"/>
  <c r="O689" i="29"/>
  <c r="P689" i="29"/>
  <c r="Q689" i="29"/>
  <c r="R689" i="29"/>
  <c r="S689" i="29"/>
  <c r="O4" i="29"/>
  <c r="N4" i="29"/>
  <c r="M4" i="29"/>
  <c r="L4" i="29"/>
  <c r="J4" i="29"/>
  <c r="I4" i="29"/>
  <c r="H4" i="29"/>
  <c r="G4" i="29"/>
  <c r="T4" i="29" s="1"/>
  <c r="F4" i="29"/>
  <c r="E4" i="29"/>
  <c r="D4" i="29"/>
  <c r="C4" i="29"/>
  <c r="B4" i="29"/>
  <c r="A4" i="29"/>
  <c r="S4" i="29"/>
  <c r="R4" i="29"/>
  <c r="Q4" i="29"/>
  <c r="P4" i="29"/>
  <c r="A4" i="5"/>
  <c r="B4" i="5"/>
  <c r="C4" i="5"/>
  <c r="D4" i="5"/>
  <c r="E4" i="5"/>
  <c r="F4" i="5"/>
  <c r="G4" i="5"/>
  <c r="H4" i="5"/>
  <c r="I4" i="5"/>
  <c r="J4" i="5"/>
  <c r="L4" i="5"/>
  <c r="M4" i="5"/>
  <c r="N4" i="5"/>
  <c r="O4" i="5"/>
  <c r="A5" i="5"/>
  <c r="B5" i="5"/>
  <c r="C5" i="5"/>
  <c r="D5" i="5"/>
  <c r="E5" i="5"/>
  <c r="F5" i="5"/>
  <c r="G5" i="5"/>
  <c r="H5" i="5"/>
  <c r="I5" i="5"/>
  <c r="J5" i="5"/>
  <c r="L5" i="5"/>
  <c r="M5" i="5"/>
  <c r="N5" i="5"/>
  <c r="O5" i="5"/>
  <c r="A6" i="5"/>
  <c r="B6" i="5"/>
  <c r="C6" i="5"/>
  <c r="D6" i="5"/>
  <c r="E6" i="5"/>
  <c r="F6" i="5"/>
  <c r="G6" i="5"/>
  <c r="H6" i="5"/>
  <c r="I6" i="5"/>
  <c r="J6" i="5"/>
  <c r="L6" i="5"/>
  <c r="M6" i="5"/>
  <c r="N6" i="5"/>
  <c r="O6" i="5"/>
  <c r="A7" i="5"/>
  <c r="B7" i="5"/>
  <c r="C7" i="5"/>
  <c r="D7" i="5"/>
  <c r="E7" i="5"/>
  <c r="F7" i="5"/>
  <c r="G7" i="5"/>
  <c r="H7" i="5"/>
  <c r="I7" i="5"/>
  <c r="J7" i="5"/>
  <c r="L7" i="5"/>
  <c r="M7" i="5"/>
  <c r="N7" i="5"/>
  <c r="O7" i="5"/>
  <c r="A8" i="5"/>
  <c r="B8" i="5"/>
  <c r="C8" i="5"/>
  <c r="D8" i="5"/>
  <c r="E8" i="5"/>
  <c r="F8" i="5"/>
  <c r="G8" i="5"/>
  <c r="H8" i="5"/>
  <c r="I8" i="5"/>
  <c r="J8" i="5"/>
  <c r="L8" i="5"/>
  <c r="M8" i="5"/>
  <c r="N8" i="5"/>
  <c r="O8" i="5"/>
  <c r="A9" i="5"/>
  <c r="B9" i="5"/>
  <c r="C9" i="5"/>
  <c r="D9" i="5"/>
  <c r="E9" i="5"/>
  <c r="F9" i="5"/>
  <c r="G9" i="5"/>
  <c r="H9" i="5"/>
  <c r="I9" i="5"/>
  <c r="J9" i="5"/>
  <c r="L9" i="5"/>
  <c r="M9" i="5"/>
  <c r="N9" i="5"/>
  <c r="O9" i="5"/>
  <c r="A10" i="5"/>
  <c r="B10" i="5"/>
  <c r="C10" i="5"/>
  <c r="D10" i="5"/>
  <c r="E10" i="5"/>
  <c r="F10" i="5"/>
  <c r="G10" i="5"/>
  <c r="H10" i="5"/>
  <c r="I10" i="5"/>
  <c r="J10" i="5"/>
  <c r="L10" i="5"/>
  <c r="M10" i="5"/>
  <c r="N10" i="5"/>
  <c r="O10" i="5"/>
  <c r="A11" i="5"/>
  <c r="B11" i="5"/>
  <c r="C11" i="5"/>
  <c r="D11" i="5"/>
  <c r="E11" i="5"/>
  <c r="F11" i="5"/>
  <c r="G11" i="5"/>
  <c r="H11" i="5"/>
  <c r="I11" i="5"/>
  <c r="J11" i="5"/>
  <c r="L11" i="5"/>
  <c r="M11" i="5"/>
  <c r="N11" i="5"/>
  <c r="O11" i="5"/>
  <c r="A12" i="5"/>
  <c r="B12" i="5"/>
  <c r="C12" i="5"/>
  <c r="D12" i="5"/>
  <c r="E12" i="5"/>
  <c r="F12" i="5"/>
  <c r="G12" i="5"/>
  <c r="H12" i="5"/>
  <c r="I12" i="5"/>
  <c r="J12" i="5"/>
  <c r="L12" i="5"/>
  <c r="M12" i="5"/>
  <c r="N12" i="5"/>
  <c r="O12" i="5"/>
  <c r="A13" i="5"/>
  <c r="B13" i="5"/>
  <c r="C13" i="5"/>
  <c r="D13" i="5"/>
  <c r="E13" i="5"/>
  <c r="F13" i="5"/>
  <c r="G13" i="5"/>
  <c r="H13" i="5"/>
  <c r="I13" i="5"/>
  <c r="J13" i="5"/>
  <c r="L13" i="5"/>
  <c r="M13" i="5"/>
  <c r="N13" i="5"/>
  <c r="O13" i="5"/>
  <c r="A14" i="5"/>
  <c r="B14" i="5"/>
  <c r="C14" i="5"/>
  <c r="D14" i="5"/>
  <c r="E14" i="5"/>
  <c r="F14" i="5"/>
  <c r="G14" i="5"/>
  <c r="H14" i="5"/>
  <c r="I14" i="5"/>
  <c r="J14" i="5"/>
  <c r="L14" i="5"/>
  <c r="M14" i="5"/>
  <c r="N14" i="5"/>
  <c r="O14" i="5"/>
  <c r="A15" i="5"/>
  <c r="B15" i="5"/>
  <c r="C15" i="5"/>
  <c r="D15" i="5"/>
  <c r="E15" i="5"/>
  <c r="F15" i="5"/>
  <c r="G15" i="5"/>
  <c r="H15" i="5"/>
  <c r="I15" i="5"/>
  <c r="J15" i="5"/>
  <c r="L15" i="5"/>
  <c r="M15" i="5"/>
  <c r="N15" i="5"/>
  <c r="O15" i="5"/>
  <c r="A16" i="5"/>
  <c r="B16" i="5"/>
  <c r="C16" i="5"/>
  <c r="D16" i="5"/>
  <c r="E16" i="5"/>
  <c r="F16" i="5"/>
  <c r="G16" i="5"/>
  <c r="H16" i="5"/>
  <c r="I16" i="5"/>
  <c r="J16" i="5"/>
  <c r="L16" i="5"/>
  <c r="M16" i="5"/>
  <c r="N16" i="5"/>
  <c r="O16" i="5"/>
  <c r="A17" i="5"/>
  <c r="B17" i="5"/>
  <c r="C17" i="5"/>
  <c r="D17" i="5"/>
  <c r="E17" i="5"/>
  <c r="F17" i="5"/>
  <c r="G17" i="5"/>
  <c r="H17" i="5"/>
  <c r="I17" i="5"/>
  <c r="J17" i="5"/>
  <c r="L17" i="5"/>
  <c r="M17" i="5"/>
  <c r="N17" i="5"/>
  <c r="O17" i="5"/>
  <c r="A18" i="5"/>
  <c r="B18" i="5"/>
  <c r="C18" i="5"/>
  <c r="D18" i="5"/>
  <c r="E18" i="5"/>
  <c r="F18" i="5"/>
  <c r="G18" i="5"/>
  <c r="H18" i="5"/>
  <c r="I18" i="5"/>
  <c r="J18" i="5"/>
  <c r="L18" i="5"/>
  <c r="M18" i="5"/>
  <c r="N18" i="5"/>
  <c r="O18" i="5"/>
  <c r="A19" i="5"/>
  <c r="B19" i="5"/>
  <c r="C19" i="5"/>
  <c r="D19" i="5"/>
  <c r="E19" i="5"/>
  <c r="F19" i="5"/>
  <c r="G19" i="5"/>
  <c r="H19" i="5"/>
  <c r="I19" i="5"/>
  <c r="J19" i="5"/>
  <c r="L19" i="5"/>
  <c r="M19" i="5"/>
  <c r="N19" i="5"/>
  <c r="O19" i="5"/>
  <c r="A20" i="5"/>
  <c r="B20" i="5"/>
  <c r="C20" i="5"/>
  <c r="D20" i="5"/>
  <c r="E20" i="5"/>
  <c r="F20" i="5"/>
  <c r="G20" i="5"/>
  <c r="H20" i="5"/>
  <c r="I20" i="5"/>
  <c r="J20" i="5"/>
  <c r="L20" i="5"/>
  <c r="M20" i="5"/>
  <c r="N20" i="5"/>
  <c r="O20" i="5"/>
  <c r="A21" i="5"/>
  <c r="B21" i="5"/>
  <c r="C21" i="5"/>
  <c r="D21" i="5"/>
  <c r="E21" i="5"/>
  <c r="F21" i="5"/>
  <c r="G21" i="5"/>
  <c r="H21" i="5"/>
  <c r="I21" i="5"/>
  <c r="J21" i="5"/>
  <c r="L21" i="5"/>
  <c r="M21" i="5"/>
  <c r="N21" i="5"/>
  <c r="O21" i="5"/>
  <c r="A22" i="5"/>
  <c r="B22" i="5"/>
  <c r="C22" i="5"/>
  <c r="D22" i="5"/>
  <c r="E22" i="5"/>
  <c r="F22" i="5"/>
  <c r="G22" i="5"/>
  <c r="H22" i="5"/>
  <c r="I22" i="5"/>
  <c r="J22" i="5"/>
  <c r="L22" i="5"/>
  <c r="M22" i="5"/>
  <c r="N22" i="5"/>
  <c r="O22" i="5"/>
  <c r="A23" i="5"/>
  <c r="B23" i="5"/>
  <c r="C23" i="5"/>
  <c r="D23" i="5"/>
  <c r="E23" i="5"/>
  <c r="F23" i="5"/>
  <c r="G23" i="5"/>
  <c r="H23" i="5"/>
  <c r="I23" i="5"/>
  <c r="J23" i="5"/>
  <c r="L23" i="5"/>
  <c r="M23" i="5"/>
  <c r="N23" i="5"/>
  <c r="O23" i="5"/>
  <c r="A24" i="5"/>
  <c r="B24" i="5"/>
  <c r="C24" i="5"/>
  <c r="D24" i="5"/>
  <c r="E24" i="5"/>
  <c r="F24" i="5"/>
  <c r="G24" i="5"/>
  <c r="H24" i="5"/>
  <c r="I24" i="5"/>
  <c r="J24" i="5"/>
  <c r="L24" i="5"/>
  <c r="M24" i="5"/>
  <c r="N24" i="5"/>
  <c r="O24" i="5"/>
  <c r="A25" i="5"/>
  <c r="B25" i="5"/>
  <c r="C25" i="5"/>
  <c r="D25" i="5"/>
  <c r="E25" i="5"/>
  <c r="F25" i="5"/>
  <c r="G25" i="5"/>
  <c r="H25" i="5"/>
  <c r="I25" i="5"/>
  <c r="J25" i="5"/>
  <c r="L25" i="5"/>
  <c r="M25" i="5"/>
  <c r="N25" i="5"/>
  <c r="O25" i="5"/>
  <c r="A26" i="5"/>
  <c r="B26" i="5"/>
  <c r="C26" i="5"/>
  <c r="D26" i="5"/>
  <c r="E26" i="5"/>
  <c r="F26" i="5"/>
  <c r="G26" i="5"/>
  <c r="H26" i="5"/>
  <c r="I26" i="5"/>
  <c r="J26" i="5"/>
  <c r="L26" i="5"/>
  <c r="M26" i="5"/>
  <c r="N26" i="5"/>
  <c r="O26" i="5"/>
  <c r="A27" i="5"/>
  <c r="B27" i="5"/>
  <c r="C27" i="5"/>
  <c r="D27" i="5"/>
  <c r="E27" i="5"/>
  <c r="F27" i="5"/>
  <c r="G27" i="5"/>
  <c r="H27" i="5"/>
  <c r="I27" i="5"/>
  <c r="J27" i="5"/>
  <c r="L27" i="5"/>
  <c r="M27" i="5"/>
  <c r="N27" i="5"/>
  <c r="O27" i="5"/>
  <c r="A28" i="5"/>
  <c r="B28" i="5"/>
  <c r="C28" i="5"/>
  <c r="D28" i="5"/>
  <c r="E28" i="5"/>
  <c r="F28" i="5"/>
  <c r="G28" i="5"/>
  <c r="H28" i="5"/>
  <c r="I28" i="5"/>
  <c r="J28" i="5"/>
  <c r="L28" i="5"/>
  <c r="M28" i="5"/>
  <c r="N28" i="5"/>
  <c r="O28" i="5"/>
  <c r="A29" i="5"/>
  <c r="B29" i="5"/>
  <c r="C29" i="5"/>
  <c r="D29" i="5"/>
  <c r="E29" i="5"/>
  <c r="F29" i="5"/>
  <c r="G29" i="5"/>
  <c r="H29" i="5"/>
  <c r="I29" i="5"/>
  <c r="J29" i="5"/>
  <c r="L29" i="5"/>
  <c r="M29" i="5"/>
  <c r="N29" i="5"/>
  <c r="O29" i="5"/>
  <c r="A30" i="5"/>
  <c r="B30" i="5"/>
  <c r="C30" i="5"/>
  <c r="D30" i="5"/>
  <c r="E30" i="5"/>
  <c r="F30" i="5"/>
  <c r="G30" i="5"/>
  <c r="H30" i="5"/>
  <c r="I30" i="5"/>
  <c r="J30" i="5"/>
  <c r="L30" i="5"/>
  <c r="M30" i="5"/>
  <c r="N30" i="5"/>
  <c r="O30" i="5"/>
  <c r="A31" i="5"/>
  <c r="B31" i="5"/>
  <c r="C31" i="5"/>
  <c r="D31" i="5"/>
  <c r="E31" i="5"/>
  <c r="F31" i="5"/>
  <c r="G31" i="5"/>
  <c r="H31" i="5"/>
  <c r="I31" i="5"/>
  <c r="J31" i="5"/>
  <c r="L31" i="5"/>
  <c r="M31" i="5"/>
  <c r="N31" i="5"/>
  <c r="O31" i="5"/>
  <c r="A32" i="5"/>
  <c r="B32" i="5"/>
  <c r="C32" i="5"/>
  <c r="D32" i="5"/>
  <c r="E32" i="5"/>
  <c r="F32" i="5"/>
  <c r="G32" i="5"/>
  <c r="H32" i="5"/>
  <c r="I32" i="5"/>
  <c r="J32" i="5"/>
  <c r="L32" i="5"/>
  <c r="M32" i="5"/>
  <c r="N32" i="5"/>
  <c r="O32" i="5"/>
  <c r="A33" i="5"/>
  <c r="B33" i="5"/>
  <c r="C33" i="5"/>
  <c r="D33" i="5"/>
  <c r="E33" i="5"/>
  <c r="F33" i="5"/>
  <c r="G33" i="5"/>
  <c r="H33" i="5"/>
  <c r="I33" i="5"/>
  <c r="J33" i="5"/>
  <c r="L33" i="5"/>
  <c r="M33" i="5"/>
  <c r="N33" i="5"/>
  <c r="O33" i="5"/>
  <c r="A34" i="5"/>
  <c r="B34" i="5"/>
  <c r="C34" i="5"/>
  <c r="D34" i="5"/>
  <c r="E34" i="5"/>
  <c r="F34" i="5"/>
  <c r="G34" i="5"/>
  <c r="H34" i="5"/>
  <c r="I34" i="5"/>
  <c r="J34" i="5"/>
  <c r="L34" i="5"/>
  <c r="M34" i="5"/>
  <c r="N34" i="5"/>
  <c r="O34" i="5"/>
  <c r="A35" i="5"/>
  <c r="B35" i="5"/>
  <c r="C35" i="5"/>
  <c r="D35" i="5"/>
  <c r="E35" i="5"/>
  <c r="F35" i="5"/>
  <c r="G35" i="5"/>
  <c r="H35" i="5"/>
  <c r="I35" i="5"/>
  <c r="J35" i="5"/>
  <c r="L35" i="5"/>
  <c r="M35" i="5"/>
  <c r="N35" i="5"/>
  <c r="O35" i="5"/>
  <c r="A36" i="5"/>
  <c r="B36" i="5"/>
  <c r="C36" i="5"/>
  <c r="D36" i="5"/>
  <c r="E36" i="5"/>
  <c r="F36" i="5"/>
  <c r="G36" i="5"/>
  <c r="H36" i="5"/>
  <c r="I36" i="5"/>
  <c r="J36" i="5"/>
  <c r="L36" i="5"/>
  <c r="M36" i="5"/>
  <c r="N36" i="5"/>
  <c r="O36" i="5"/>
  <c r="A37" i="5"/>
  <c r="B37" i="5"/>
  <c r="C37" i="5"/>
  <c r="D37" i="5"/>
  <c r="E37" i="5"/>
  <c r="F37" i="5"/>
  <c r="G37" i="5"/>
  <c r="H37" i="5"/>
  <c r="I37" i="5"/>
  <c r="J37" i="5"/>
  <c r="L37" i="5"/>
  <c r="M37" i="5"/>
  <c r="N37" i="5"/>
  <c r="O37" i="5"/>
  <c r="A38" i="5"/>
  <c r="B38" i="5"/>
  <c r="C38" i="5"/>
  <c r="D38" i="5"/>
  <c r="E38" i="5"/>
  <c r="F38" i="5"/>
  <c r="G38" i="5"/>
  <c r="H38" i="5"/>
  <c r="I38" i="5"/>
  <c r="J38" i="5"/>
  <c r="L38" i="5"/>
  <c r="M38" i="5"/>
  <c r="N38" i="5"/>
  <c r="O38" i="5"/>
  <c r="A39" i="5"/>
  <c r="B39" i="5"/>
  <c r="C39" i="5"/>
  <c r="D39" i="5"/>
  <c r="E39" i="5"/>
  <c r="F39" i="5"/>
  <c r="G39" i="5"/>
  <c r="H39" i="5"/>
  <c r="I39" i="5"/>
  <c r="J39" i="5"/>
  <c r="L39" i="5"/>
  <c r="M39" i="5"/>
  <c r="N39" i="5"/>
  <c r="O39" i="5"/>
  <c r="A40" i="5"/>
  <c r="B40" i="5"/>
  <c r="C40" i="5"/>
  <c r="D40" i="5"/>
  <c r="E40" i="5"/>
  <c r="F40" i="5"/>
  <c r="G40" i="5"/>
  <c r="H40" i="5"/>
  <c r="I40" i="5"/>
  <c r="J40" i="5"/>
  <c r="L40" i="5"/>
  <c r="M40" i="5"/>
  <c r="N40" i="5"/>
  <c r="O40" i="5"/>
  <c r="A41" i="5"/>
  <c r="B41" i="5"/>
  <c r="C41" i="5"/>
  <c r="D41" i="5"/>
  <c r="E41" i="5"/>
  <c r="F41" i="5"/>
  <c r="G41" i="5"/>
  <c r="H41" i="5"/>
  <c r="I41" i="5"/>
  <c r="J41" i="5"/>
  <c r="L41" i="5"/>
  <c r="M41" i="5"/>
  <c r="N41" i="5"/>
  <c r="O41" i="5"/>
  <c r="A42" i="5"/>
  <c r="B42" i="5"/>
  <c r="C42" i="5"/>
  <c r="D42" i="5"/>
  <c r="E42" i="5"/>
  <c r="F42" i="5"/>
  <c r="G42" i="5"/>
  <c r="H42" i="5"/>
  <c r="I42" i="5"/>
  <c r="J42" i="5"/>
  <c r="L42" i="5"/>
  <c r="M42" i="5"/>
  <c r="N42" i="5"/>
  <c r="O42" i="5"/>
  <c r="A43" i="5"/>
  <c r="B43" i="5"/>
  <c r="C43" i="5"/>
  <c r="D43" i="5"/>
  <c r="E43" i="5"/>
  <c r="F43" i="5"/>
  <c r="G43" i="5"/>
  <c r="H43" i="5"/>
  <c r="I43" i="5"/>
  <c r="J43" i="5"/>
  <c r="L43" i="5"/>
  <c r="M43" i="5"/>
  <c r="N43" i="5"/>
  <c r="O43" i="5"/>
  <c r="A44" i="5"/>
  <c r="B44" i="5"/>
  <c r="C44" i="5"/>
  <c r="D44" i="5"/>
  <c r="E44" i="5"/>
  <c r="F44" i="5"/>
  <c r="G44" i="5"/>
  <c r="H44" i="5"/>
  <c r="I44" i="5"/>
  <c r="J44" i="5"/>
  <c r="L44" i="5"/>
  <c r="M44" i="5"/>
  <c r="N44" i="5"/>
  <c r="O44" i="5"/>
  <c r="A45" i="5"/>
  <c r="B45" i="5"/>
  <c r="C45" i="5"/>
  <c r="D45" i="5"/>
  <c r="E45" i="5"/>
  <c r="F45" i="5"/>
  <c r="G45" i="5"/>
  <c r="H45" i="5"/>
  <c r="I45" i="5"/>
  <c r="J45" i="5"/>
  <c r="L45" i="5"/>
  <c r="M45" i="5"/>
  <c r="N45" i="5"/>
  <c r="O45" i="5"/>
  <c r="A46" i="5"/>
  <c r="B46" i="5"/>
  <c r="C46" i="5"/>
  <c r="D46" i="5"/>
  <c r="E46" i="5"/>
  <c r="F46" i="5"/>
  <c r="G46" i="5"/>
  <c r="H46" i="5"/>
  <c r="I46" i="5"/>
  <c r="J46" i="5"/>
  <c r="L46" i="5"/>
  <c r="M46" i="5"/>
  <c r="N46" i="5"/>
  <c r="O46" i="5"/>
  <c r="A47" i="5"/>
  <c r="B47" i="5"/>
  <c r="C47" i="5"/>
  <c r="D47" i="5"/>
  <c r="E47" i="5"/>
  <c r="F47" i="5"/>
  <c r="G47" i="5"/>
  <c r="H47" i="5"/>
  <c r="I47" i="5"/>
  <c r="J47" i="5"/>
  <c r="L47" i="5"/>
  <c r="M47" i="5"/>
  <c r="N47" i="5"/>
  <c r="O47" i="5"/>
  <c r="A48" i="5"/>
  <c r="B48" i="5"/>
  <c r="C48" i="5"/>
  <c r="D48" i="5"/>
  <c r="E48" i="5"/>
  <c r="F48" i="5"/>
  <c r="G48" i="5"/>
  <c r="H48" i="5"/>
  <c r="I48" i="5"/>
  <c r="J48" i="5"/>
  <c r="L48" i="5"/>
  <c r="M48" i="5"/>
  <c r="N48" i="5"/>
  <c r="O48" i="5"/>
  <c r="A49" i="5"/>
  <c r="B49" i="5"/>
  <c r="C49" i="5"/>
  <c r="D49" i="5"/>
  <c r="E49" i="5"/>
  <c r="F49" i="5"/>
  <c r="G49" i="5"/>
  <c r="H49" i="5"/>
  <c r="I49" i="5"/>
  <c r="J49" i="5"/>
  <c r="L49" i="5"/>
  <c r="M49" i="5"/>
  <c r="N49" i="5"/>
  <c r="O49" i="5"/>
  <c r="A50" i="5"/>
  <c r="B50" i="5"/>
  <c r="C50" i="5"/>
  <c r="D50" i="5"/>
  <c r="E50" i="5"/>
  <c r="F50" i="5"/>
  <c r="G50" i="5"/>
  <c r="H50" i="5"/>
  <c r="I50" i="5"/>
  <c r="J50" i="5"/>
  <c r="L50" i="5"/>
  <c r="M50" i="5"/>
  <c r="N50" i="5"/>
  <c r="O50" i="5"/>
  <c r="A51" i="5"/>
  <c r="B51" i="5"/>
  <c r="C51" i="5"/>
  <c r="D51" i="5"/>
  <c r="E51" i="5"/>
  <c r="F51" i="5"/>
  <c r="G51" i="5"/>
  <c r="H51" i="5"/>
  <c r="I51" i="5"/>
  <c r="J51" i="5"/>
  <c r="L51" i="5"/>
  <c r="M51" i="5"/>
  <c r="N51" i="5"/>
  <c r="O51" i="5"/>
  <c r="A52" i="5"/>
  <c r="B52" i="5"/>
  <c r="C52" i="5"/>
  <c r="D52" i="5"/>
  <c r="E52" i="5"/>
  <c r="F52" i="5"/>
  <c r="G52" i="5"/>
  <c r="H52" i="5"/>
  <c r="I52" i="5"/>
  <c r="J52" i="5"/>
  <c r="L52" i="5"/>
  <c r="M52" i="5"/>
  <c r="N52" i="5"/>
  <c r="O52" i="5"/>
  <c r="A53" i="5"/>
  <c r="B53" i="5"/>
  <c r="C53" i="5"/>
  <c r="D53" i="5"/>
  <c r="E53" i="5"/>
  <c r="F53" i="5"/>
  <c r="G53" i="5"/>
  <c r="H53" i="5"/>
  <c r="I53" i="5"/>
  <c r="J53" i="5"/>
  <c r="L53" i="5"/>
  <c r="M53" i="5"/>
  <c r="N53" i="5"/>
  <c r="O53" i="5"/>
  <c r="A54" i="5"/>
  <c r="B54" i="5"/>
  <c r="C54" i="5"/>
  <c r="D54" i="5"/>
  <c r="E54" i="5"/>
  <c r="F54" i="5"/>
  <c r="G54" i="5"/>
  <c r="H54" i="5"/>
  <c r="I54" i="5"/>
  <c r="J54" i="5"/>
  <c r="L54" i="5"/>
  <c r="M54" i="5"/>
  <c r="N54" i="5"/>
  <c r="O54" i="5"/>
  <c r="A55" i="5"/>
  <c r="B55" i="5"/>
  <c r="C55" i="5"/>
  <c r="D55" i="5"/>
  <c r="E55" i="5"/>
  <c r="F55" i="5"/>
  <c r="G55" i="5"/>
  <c r="H55" i="5"/>
  <c r="I55" i="5"/>
  <c r="J55" i="5"/>
  <c r="L55" i="5"/>
  <c r="M55" i="5"/>
  <c r="N55" i="5"/>
  <c r="O55" i="5"/>
  <c r="A56" i="5"/>
  <c r="B56" i="5"/>
  <c r="C56" i="5"/>
  <c r="D56" i="5"/>
  <c r="E56" i="5"/>
  <c r="F56" i="5"/>
  <c r="G56" i="5"/>
  <c r="H56" i="5"/>
  <c r="I56" i="5"/>
  <c r="J56" i="5"/>
  <c r="L56" i="5"/>
  <c r="M56" i="5"/>
  <c r="N56" i="5"/>
  <c r="O56" i="5"/>
  <c r="A57" i="5"/>
  <c r="B57" i="5"/>
  <c r="C57" i="5"/>
  <c r="D57" i="5"/>
  <c r="E57" i="5"/>
  <c r="F57" i="5"/>
  <c r="G57" i="5"/>
  <c r="H57" i="5"/>
  <c r="I57" i="5"/>
  <c r="J57" i="5"/>
  <c r="L57" i="5"/>
  <c r="M57" i="5"/>
  <c r="N57" i="5"/>
  <c r="O57" i="5"/>
  <c r="A58" i="5"/>
  <c r="B58" i="5"/>
  <c r="C58" i="5"/>
  <c r="D58" i="5"/>
  <c r="E58" i="5"/>
  <c r="F58" i="5"/>
  <c r="G58" i="5"/>
  <c r="H58" i="5"/>
  <c r="I58" i="5"/>
  <c r="J58" i="5"/>
  <c r="L58" i="5"/>
  <c r="M58" i="5"/>
  <c r="N58" i="5"/>
  <c r="O58" i="5"/>
  <c r="A59" i="5"/>
  <c r="B59" i="5"/>
  <c r="C59" i="5"/>
  <c r="D59" i="5"/>
  <c r="E59" i="5"/>
  <c r="F59" i="5"/>
  <c r="G59" i="5"/>
  <c r="H59" i="5"/>
  <c r="I59" i="5"/>
  <c r="J59" i="5"/>
  <c r="L59" i="5"/>
  <c r="M59" i="5"/>
  <c r="N59" i="5"/>
  <c r="O59" i="5"/>
  <c r="A60" i="5"/>
  <c r="B60" i="5"/>
  <c r="C60" i="5"/>
  <c r="D60" i="5"/>
  <c r="E60" i="5"/>
  <c r="F60" i="5"/>
  <c r="G60" i="5"/>
  <c r="H60" i="5"/>
  <c r="I60" i="5"/>
  <c r="J60" i="5"/>
  <c r="L60" i="5"/>
  <c r="M60" i="5"/>
  <c r="N60" i="5"/>
  <c r="O60" i="5"/>
  <c r="A61" i="5"/>
  <c r="B61" i="5"/>
  <c r="C61" i="5"/>
  <c r="D61" i="5"/>
  <c r="E61" i="5"/>
  <c r="F61" i="5"/>
  <c r="G61" i="5"/>
  <c r="H61" i="5"/>
  <c r="I61" i="5"/>
  <c r="J61" i="5"/>
  <c r="L61" i="5"/>
  <c r="M61" i="5"/>
  <c r="N61" i="5"/>
  <c r="O61" i="5"/>
  <c r="A62" i="5"/>
  <c r="B62" i="5"/>
  <c r="C62" i="5"/>
  <c r="D62" i="5"/>
  <c r="E62" i="5"/>
  <c r="F62" i="5"/>
  <c r="G62" i="5"/>
  <c r="H62" i="5"/>
  <c r="I62" i="5"/>
  <c r="J62" i="5"/>
  <c r="L62" i="5"/>
  <c r="M62" i="5"/>
  <c r="N62" i="5"/>
  <c r="O62" i="5"/>
  <c r="A63" i="5"/>
  <c r="B63" i="5"/>
  <c r="C63" i="5"/>
  <c r="D63" i="5"/>
  <c r="E63" i="5"/>
  <c r="F63" i="5"/>
  <c r="G63" i="5"/>
  <c r="H63" i="5"/>
  <c r="I63" i="5"/>
  <c r="J63" i="5"/>
  <c r="L63" i="5"/>
  <c r="M63" i="5"/>
  <c r="N63" i="5"/>
  <c r="O63" i="5"/>
  <c r="A64" i="5"/>
  <c r="B64" i="5"/>
  <c r="C64" i="5"/>
  <c r="D64" i="5"/>
  <c r="E64" i="5"/>
  <c r="F64" i="5"/>
  <c r="G64" i="5"/>
  <c r="H64" i="5"/>
  <c r="I64" i="5"/>
  <c r="J64" i="5"/>
  <c r="L64" i="5"/>
  <c r="M64" i="5"/>
  <c r="N64" i="5"/>
  <c r="O64" i="5"/>
  <c r="A65" i="5"/>
  <c r="B65" i="5"/>
  <c r="C65" i="5"/>
  <c r="D65" i="5"/>
  <c r="E65" i="5"/>
  <c r="F65" i="5"/>
  <c r="G65" i="5"/>
  <c r="H65" i="5"/>
  <c r="I65" i="5"/>
  <c r="J65" i="5"/>
  <c r="L65" i="5"/>
  <c r="M65" i="5"/>
  <c r="N65" i="5"/>
  <c r="O65" i="5"/>
  <c r="A66" i="5"/>
  <c r="B66" i="5"/>
  <c r="C66" i="5"/>
  <c r="D66" i="5"/>
  <c r="E66" i="5"/>
  <c r="F66" i="5"/>
  <c r="G66" i="5"/>
  <c r="H66" i="5"/>
  <c r="I66" i="5"/>
  <c r="J66" i="5"/>
  <c r="L66" i="5"/>
  <c r="M66" i="5"/>
  <c r="N66" i="5"/>
  <c r="O66" i="5"/>
  <c r="A67" i="5"/>
  <c r="B67" i="5"/>
  <c r="C67" i="5"/>
  <c r="D67" i="5"/>
  <c r="E67" i="5"/>
  <c r="F67" i="5"/>
  <c r="G67" i="5"/>
  <c r="H67" i="5"/>
  <c r="I67" i="5"/>
  <c r="J67" i="5"/>
  <c r="L67" i="5"/>
  <c r="M67" i="5"/>
  <c r="N67" i="5"/>
  <c r="O67" i="5"/>
  <c r="A68" i="5"/>
  <c r="B68" i="5"/>
  <c r="C68" i="5"/>
  <c r="D68" i="5"/>
  <c r="E68" i="5"/>
  <c r="F68" i="5"/>
  <c r="G68" i="5"/>
  <c r="H68" i="5"/>
  <c r="I68" i="5"/>
  <c r="J68" i="5"/>
  <c r="L68" i="5"/>
  <c r="M68" i="5"/>
  <c r="N68" i="5"/>
  <c r="O68" i="5"/>
  <c r="A69" i="5"/>
  <c r="B69" i="5"/>
  <c r="C69" i="5"/>
  <c r="D69" i="5"/>
  <c r="E69" i="5"/>
  <c r="F69" i="5"/>
  <c r="G69" i="5"/>
  <c r="H69" i="5"/>
  <c r="I69" i="5"/>
  <c r="J69" i="5"/>
  <c r="L69" i="5"/>
  <c r="M69" i="5"/>
  <c r="N69" i="5"/>
  <c r="O69" i="5"/>
  <c r="A70" i="5"/>
  <c r="B70" i="5"/>
  <c r="C70" i="5"/>
  <c r="D70" i="5"/>
  <c r="E70" i="5"/>
  <c r="F70" i="5"/>
  <c r="G70" i="5"/>
  <c r="H70" i="5"/>
  <c r="I70" i="5"/>
  <c r="J70" i="5"/>
  <c r="L70" i="5"/>
  <c r="M70" i="5"/>
  <c r="N70" i="5"/>
  <c r="O70" i="5"/>
  <c r="A71" i="5"/>
  <c r="B71" i="5"/>
  <c r="C71" i="5"/>
  <c r="D71" i="5"/>
  <c r="E71" i="5"/>
  <c r="F71" i="5"/>
  <c r="G71" i="5"/>
  <c r="H71" i="5"/>
  <c r="I71" i="5"/>
  <c r="J71" i="5"/>
  <c r="L71" i="5"/>
  <c r="M71" i="5"/>
  <c r="N71" i="5"/>
  <c r="O71" i="5"/>
  <c r="A72" i="5"/>
  <c r="B72" i="5"/>
  <c r="C72" i="5"/>
  <c r="D72" i="5"/>
  <c r="E72" i="5"/>
  <c r="F72" i="5"/>
  <c r="G72" i="5"/>
  <c r="H72" i="5"/>
  <c r="I72" i="5"/>
  <c r="J72" i="5"/>
  <c r="L72" i="5"/>
  <c r="M72" i="5"/>
  <c r="N72" i="5"/>
  <c r="O72" i="5"/>
  <c r="A73" i="5"/>
  <c r="B73" i="5"/>
  <c r="C73" i="5"/>
  <c r="D73" i="5"/>
  <c r="E73" i="5"/>
  <c r="F73" i="5"/>
  <c r="G73" i="5"/>
  <c r="H73" i="5"/>
  <c r="I73" i="5"/>
  <c r="J73" i="5"/>
  <c r="L73" i="5"/>
  <c r="M73" i="5"/>
  <c r="N73" i="5"/>
  <c r="O73" i="5"/>
  <c r="A74" i="5"/>
  <c r="B74" i="5"/>
  <c r="C74" i="5"/>
  <c r="D74" i="5"/>
  <c r="E74" i="5"/>
  <c r="F74" i="5"/>
  <c r="G74" i="5"/>
  <c r="H74" i="5"/>
  <c r="I74" i="5"/>
  <c r="J74" i="5"/>
  <c r="L74" i="5"/>
  <c r="M74" i="5"/>
  <c r="N74" i="5"/>
  <c r="O74" i="5"/>
  <c r="A75" i="5"/>
  <c r="B75" i="5"/>
  <c r="C75" i="5"/>
  <c r="D75" i="5"/>
  <c r="E75" i="5"/>
  <c r="F75" i="5"/>
  <c r="G75" i="5"/>
  <c r="H75" i="5"/>
  <c r="I75" i="5"/>
  <c r="J75" i="5"/>
  <c r="L75" i="5"/>
  <c r="M75" i="5"/>
  <c r="N75" i="5"/>
  <c r="O75" i="5"/>
  <c r="A76" i="5"/>
  <c r="B76" i="5"/>
  <c r="C76" i="5"/>
  <c r="D76" i="5"/>
  <c r="E76" i="5"/>
  <c r="F76" i="5"/>
  <c r="G76" i="5"/>
  <c r="H76" i="5"/>
  <c r="I76" i="5"/>
  <c r="J76" i="5"/>
  <c r="L76" i="5"/>
  <c r="M76" i="5"/>
  <c r="N76" i="5"/>
  <c r="O76" i="5"/>
  <c r="A77" i="5"/>
  <c r="B77" i="5"/>
  <c r="C77" i="5"/>
  <c r="D77" i="5"/>
  <c r="E77" i="5"/>
  <c r="F77" i="5"/>
  <c r="G77" i="5"/>
  <c r="H77" i="5"/>
  <c r="I77" i="5"/>
  <c r="J77" i="5"/>
  <c r="L77" i="5"/>
  <c r="M77" i="5"/>
  <c r="N77" i="5"/>
  <c r="O77" i="5"/>
  <c r="A78" i="5"/>
  <c r="B78" i="5"/>
  <c r="C78" i="5"/>
  <c r="D78" i="5"/>
  <c r="E78" i="5"/>
  <c r="F78" i="5"/>
  <c r="G78" i="5"/>
  <c r="H78" i="5"/>
  <c r="I78" i="5"/>
  <c r="J78" i="5"/>
  <c r="L78" i="5"/>
  <c r="M78" i="5"/>
  <c r="N78" i="5"/>
  <c r="O78" i="5"/>
  <c r="A79" i="5"/>
  <c r="B79" i="5"/>
  <c r="C79" i="5"/>
  <c r="D79" i="5"/>
  <c r="E79" i="5"/>
  <c r="F79" i="5"/>
  <c r="G79" i="5"/>
  <c r="H79" i="5"/>
  <c r="I79" i="5"/>
  <c r="J79" i="5"/>
  <c r="L79" i="5"/>
  <c r="M79" i="5"/>
  <c r="N79" i="5"/>
  <c r="O79" i="5"/>
  <c r="A80" i="5"/>
  <c r="B80" i="5"/>
  <c r="C80" i="5"/>
  <c r="D80" i="5"/>
  <c r="E80" i="5"/>
  <c r="F80" i="5"/>
  <c r="G80" i="5"/>
  <c r="H80" i="5"/>
  <c r="I80" i="5"/>
  <c r="J80" i="5"/>
  <c r="L80" i="5"/>
  <c r="M80" i="5"/>
  <c r="N80" i="5"/>
  <c r="O80" i="5"/>
  <c r="A81" i="5"/>
  <c r="B81" i="5"/>
  <c r="C81" i="5"/>
  <c r="D81" i="5"/>
  <c r="E81" i="5"/>
  <c r="F81" i="5"/>
  <c r="G81" i="5"/>
  <c r="H81" i="5"/>
  <c r="I81" i="5"/>
  <c r="J81" i="5"/>
  <c r="L81" i="5"/>
  <c r="M81" i="5"/>
  <c r="N81" i="5"/>
  <c r="O81" i="5"/>
  <c r="A82" i="5"/>
  <c r="B82" i="5"/>
  <c r="C82" i="5"/>
  <c r="D82" i="5"/>
  <c r="E82" i="5"/>
  <c r="F82" i="5"/>
  <c r="G82" i="5"/>
  <c r="H82" i="5"/>
  <c r="I82" i="5"/>
  <c r="J82" i="5"/>
  <c r="L82" i="5"/>
  <c r="M82" i="5"/>
  <c r="N82" i="5"/>
  <c r="O82" i="5"/>
  <c r="A83" i="5"/>
  <c r="B83" i="5"/>
  <c r="C83" i="5"/>
  <c r="D83" i="5"/>
  <c r="E83" i="5"/>
  <c r="F83" i="5"/>
  <c r="G83" i="5"/>
  <c r="H83" i="5"/>
  <c r="I83" i="5"/>
  <c r="J83" i="5"/>
  <c r="L83" i="5"/>
  <c r="M83" i="5"/>
  <c r="N83" i="5"/>
  <c r="O83" i="5"/>
  <c r="A84" i="5"/>
  <c r="B84" i="5"/>
  <c r="C84" i="5"/>
  <c r="D84" i="5"/>
  <c r="E84" i="5"/>
  <c r="F84" i="5"/>
  <c r="G84" i="5"/>
  <c r="H84" i="5"/>
  <c r="I84" i="5"/>
  <c r="J84" i="5"/>
  <c r="L84" i="5"/>
  <c r="M84" i="5"/>
  <c r="N84" i="5"/>
  <c r="O84" i="5"/>
  <c r="A85" i="5"/>
  <c r="B85" i="5"/>
  <c r="C85" i="5"/>
  <c r="D85" i="5"/>
  <c r="E85" i="5"/>
  <c r="F85" i="5"/>
  <c r="G85" i="5"/>
  <c r="H85" i="5"/>
  <c r="I85" i="5"/>
  <c r="J85" i="5"/>
  <c r="L85" i="5"/>
  <c r="M85" i="5"/>
  <c r="N85" i="5"/>
  <c r="O85" i="5"/>
  <c r="A86" i="5"/>
  <c r="B86" i="5"/>
  <c r="C86" i="5"/>
  <c r="D86" i="5"/>
  <c r="E86" i="5"/>
  <c r="F86" i="5"/>
  <c r="G86" i="5"/>
  <c r="H86" i="5"/>
  <c r="I86" i="5"/>
  <c r="J86" i="5"/>
  <c r="L86" i="5"/>
  <c r="M86" i="5"/>
  <c r="N86" i="5"/>
  <c r="O86" i="5"/>
  <c r="A87" i="5"/>
  <c r="B87" i="5"/>
  <c r="C87" i="5"/>
  <c r="D87" i="5"/>
  <c r="E87" i="5"/>
  <c r="F87" i="5"/>
  <c r="G87" i="5"/>
  <c r="H87" i="5"/>
  <c r="I87" i="5"/>
  <c r="J87" i="5"/>
  <c r="L87" i="5"/>
  <c r="M87" i="5"/>
  <c r="N87" i="5"/>
  <c r="O87" i="5"/>
  <c r="A88" i="5"/>
  <c r="B88" i="5"/>
  <c r="C88" i="5"/>
  <c r="D88" i="5"/>
  <c r="E88" i="5"/>
  <c r="F88" i="5"/>
  <c r="G88" i="5"/>
  <c r="H88" i="5"/>
  <c r="I88" i="5"/>
  <c r="J88" i="5"/>
  <c r="L88" i="5"/>
  <c r="M88" i="5"/>
  <c r="N88" i="5"/>
  <c r="O88" i="5"/>
  <c r="A89" i="5"/>
  <c r="B89" i="5"/>
  <c r="C89" i="5"/>
  <c r="D89" i="5"/>
  <c r="E89" i="5"/>
  <c r="F89" i="5"/>
  <c r="G89" i="5"/>
  <c r="H89" i="5"/>
  <c r="I89" i="5"/>
  <c r="J89" i="5"/>
  <c r="L89" i="5"/>
  <c r="M89" i="5"/>
  <c r="N89" i="5"/>
  <c r="O89" i="5"/>
  <c r="A90" i="5"/>
  <c r="B90" i="5"/>
  <c r="C90" i="5"/>
  <c r="D90" i="5"/>
  <c r="E90" i="5"/>
  <c r="F90" i="5"/>
  <c r="G90" i="5"/>
  <c r="H90" i="5"/>
  <c r="I90" i="5"/>
  <c r="J90" i="5"/>
  <c r="L90" i="5"/>
  <c r="M90" i="5"/>
  <c r="N90" i="5"/>
  <c r="O90" i="5"/>
  <c r="A91" i="5"/>
  <c r="B91" i="5"/>
  <c r="C91" i="5"/>
  <c r="D91" i="5"/>
  <c r="E91" i="5"/>
  <c r="F91" i="5"/>
  <c r="G91" i="5"/>
  <c r="H91" i="5"/>
  <c r="I91" i="5"/>
  <c r="J91" i="5"/>
  <c r="L91" i="5"/>
  <c r="M91" i="5"/>
  <c r="N91" i="5"/>
  <c r="O91" i="5"/>
  <c r="A92" i="5"/>
  <c r="B92" i="5"/>
  <c r="C92" i="5"/>
  <c r="D92" i="5"/>
  <c r="E92" i="5"/>
  <c r="F92" i="5"/>
  <c r="G92" i="5"/>
  <c r="H92" i="5"/>
  <c r="I92" i="5"/>
  <c r="J92" i="5"/>
  <c r="L92" i="5"/>
  <c r="M92" i="5"/>
  <c r="N92" i="5"/>
  <c r="O92" i="5"/>
  <c r="A93" i="5"/>
  <c r="B93" i="5"/>
  <c r="C93" i="5"/>
  <c r="D93" i="5"/>
  <c r="E93" i="5"/>
  <c r="F93" i="5"/>
  <c r="G93" i="5"/>
  <c r="H93" i="5"/>
  <c r="I93" i="5"/>
  <c r="J93" i="5"/>
  <c r="L93" i="5"/>
  <c r="M93" i="5"/>
  <c r="N93" i="5"/>
  <c r="O93" i="5"/>
  <c r="A94" i="5"/>
  <c r="B94" i="5"/>
  <c r="C94" i="5"/>
  <c r="D94" i="5"/>
  <c r="E94" i="5"/>
  <c r="F94" i="5"/>
  <c r="G94" i="5"/>
  <c r="H94" i="5"/>
  <c r="I94" i="5"/>
  <c r="J94" i="5"/>
  <c r="L94" i="5"/>
  <c r="M94" i="5"/>
  <c r="N94" i="5"/>
  <c r="O94" i="5"/>
  <c r="A95" i="5"/>
  <c r="B95" i="5"/>
  <c r="C95" i="5"/>
  <c r="D95" i="5"/>
  <c r="E95" i="5"/>
  <c r="F95" i="5"/>
  <c r="G95" i="5"/>
  <c r="H95" i="5"/>
  <c r="I95" i="5"/>
  <c r="J95" i="5"/>
  <c r="L95" i="5"/>
  <c r="M95" i="5"/>
  <c r="N95" i="5"/>
  <c r="O95" i="5"/>
  <c r="N688" i="3"/>
  <c r="O688" i="3"/>
  <c r="P688" i="3"/>
  <c r="Q688" i="3"/>
  <c r="R688" i="3"/>
  <c r="S688" i="3"/>
  <c r="N688" i="4"/>
  <c r="O688" i="4"/>
  <c r="P688" i="4"/>
  <c r="Q688" i="4"/>
  <c r="R688" i="4"/>
  <c r="S688" i="4"/>
  <c r="T543" i="29" l="1"/>
  <c r="T542" i="29"/>
  <c r="T541" i="29"/>
  <c r="T540" i="29"/>
  <c r="T539" i="29"/>
  <c r="T538" i="29"/>
  <c r="T537" i="29"/>
  <c r="T536" i="29"/>
  <c r="T535" i="29"/>
  <c r="T534" i="29"/>
  <c r="T533" i="29"/>
  <c r="T532" i="29"/>
  <c r="T531" i="29"/>
  <c r="T530" i="29"/>
  <c r="T529" i="29"/>
  <c r="T528" i="29"/>
  <c r="T527" i="29"/>
  <c r="T526" i="29"/>
  <c r="T525" i="29"/>
  <c r="T524" i="29"/>
  <c r="T523" i="29"/>
  <c r="T522" i="29"/>
  <c r="T521" i="29"/>
  <c r="T520" i="29"/>
  <c r="T519" i="29"/>
  <c r="T518" i="29"/>
  <c r="T517" i="29"/>
  <c r="T516" i="29"/>
  <c r="T515" i="29"/>
  <c r="T514" i="29"/>
  <c r="T513" i="29"/>
  <c r="T512" i="29"/>
  <c r="T511" i="29"/>
  <c r="T510" i="29"/>
  <c r="T509" i="29"/>
  <c r="T508" i="29"/>
  <c r="T507" i="29"/>
  <c r="T506" i="29"/>
  <c r="T505" i="29"/>
  <c r="T504" i="29"/>
  <c r="T503" i="29"/>
  <c r="T502" i="29"/>
  <c r="T501" i="29"/>
  <c r="T500" i="29"/>
  <c r="T499" i="29"/>
  <c r="T498" i="29"/>
  <c r="T497" i="29"/>
  <c r="T496" i="29"/>
  <c r="T495" i="29"/>
  <c r="T494" i="29"/>
  <c r="T493" i="29"/>
  <c r="T492" i="29"/>
  <c r="T491" i="29"/>
  <c r="T490" i="29"/>
  <c r="T489" i="29"/>
  <c r="T488" i="29"/>
  <c r="T487" i="29"/>
  <c r="T486" i="29"/>
  <c r="T485" i="29"/>
  <c r="T484" i="29"/>
  <c r="T483" i="29"/>
  <c r="T482" i="29"/>
  <c r="T481" i="29"/>
  <c r="T480" i="29"/>
  <c r="T479" i="29"/>
  <c r="T478" i="29"/>
  <c r="T477" i="29"/>
  <c r="T476" i="29"/>
  <c r="T475" i="29"/>
  <c r="T474" i="29"/>
  <c r="T473" i="29"/>
  <c r="T472" i="29"/>
  <c r="T471" i="29"/>
  <c r="T470" i="29"/>
  <c r="T469" i="29"/>
  <c r="T468" i="29"/>
  <c r="T467" i="29"/>
  <c r="T466" i="29"/>
  <c r="T465" i="29"/>
  <c r="T464" i="29"/>
  <c r="T463" i="29"/>
  <c r="T462" i="29"/>
  <c r="T461" i="29"/>
  <c r="T460" i="29"/>
  <c r="T459" i="29"/>
  <c r="T458" i="29"/>
  <c r="T457" i="29"/>
  <c r="T456" i="29"/>
  <c r="T455" i="29"/>
  <c r="T454" i="29"/>
  <c r="T453" i="29"/>
  <c r="T452" i="29"/>
  <c r="T451" i="29"/>
  <c r="T450" i="29"/>
  <c r="T449" i="29"/>
  <c r="T448" i="29"/>
  <c r="T447" i="29"/>
  <c r="T446" i="29"/>
  <c r="T445" i="29"/>
  <c r="T444" i="29"/>
  <c r="T443" i="29"/>
  <c r="T442" i="29"/>
  <c r="T441" i="29"/>
  <c r="T440" i="29"/>
  <c r="T439" i="29"/>
  <c r="T438" i="29"/>
  <c r="T437" i="29"/>
  <c r="T436" i="29"/>
  <c r="T435" i="29"/>
  <c r="T434" i="29"/>
  <c r="T433" i="29"/>
  <c r="T432" i="29"/>
  <c r="T431" i="29"/>
  <c r="T430" i="29"/>
  <c r="M688" i="4"/>
  <c r="L688" i="4" s="1"/>
  <c r="T689" i="29"/>
  <c r="T688" i="29"/>
  <c r="T687" i="29"/>
  <c r="T686" i="29"/>
  <c r="T685" i="29"/>
  <c r="T684" i="29"/>
  <c r="T683" i="29"/>
  <c r="T682" i="29"/>
  <c r="T681" i="29"/>
  <c r="T680" i="29"/>
  <c r="T679" i="29"/>
  <c r="T678" i="29"/>
  <c r="T677" i="29"/>
  <c r="T676" i="29"/>
  <c r="T675" i="29"/>
  <c r="T674" i="29"/>
  <c r="T673" i="29"/>
  <c r="T672" i="29"/>
  <c r="T671" i="29"/>
  <c r="T670" i="29"/>
  <c r="T669" i="29"/>
  <c r="T668" i="29"/>
  <c r="T667" i="29"/>
  <c r="T666" i="29"/>
  <c r="T665" i="29"/>
  <c r="T664" i="29"/>
  <c r="T663" i="29"/>
  <c r="T662" i="29"/>
  <c r="T661" i="29"/>
  <c r="T660" i="29"/>
  <c r="T659" i="29"/>
  <c r="T658" i="29"/>
  <c r="T657" i="29"/>
  <c r="T656" i="29"/>
  <c r="T655" i="29"/>
  <c r="T654" i="29"/>
  <c r="T653" i="29"/>
  <c r="T652" i="29"/>
  <c r="T651" i="29"/>
  <c r="T650" i="29"/>
  <c r="T649" i="29"/>
  <c r="T648" i="29"/>
  <c r="T647" i="29"/>
  <c r="T646" i="29"/>
  <c r="T645" i="29"/>
  <c r="T644" i="29"/>
  <c r="T643" i="29"/>
  <c r="T642" i="29"/>
  <c r="T641" i="29"/>
  <c r="T640" i="29"/>
  <c r="T639" i="29"/>
  <c r="T638" i="29"/>
  <c r="T637" i="29"/>
  <c r="T636" i="29"/>
  <c r="T635" i="29"/>
  <c r="T634" i="29"/>
  <c r="T633" i="29"/>
  <c r="T632" i="29"/>
  <c r="T631" i="29"/>
  <c r="T630" i="29"/>
  <c r="T629" i="29"/>
  <c r="T628" i="29"/>
  <c r="T627" i="29"/>
  <c r="T626" i="29"/>
  <c r="T625" i="29"/>
  <c r="T624" i="29"/>
  <c r="T623" i="29"/>
  <c r="T622" i="29"/>
  <c r="T621" i="29"/>
  <c r="T620" i="29"/>
  <c r="T619" i="29"/>
  <c r="T618" i="29"/>
  <c r="T617" i="29"/>
  <c r="T616" i="29"/>
  <c r="T615" i="29"/>
  <c r="T614" i="29"/>
  <c r="T613" i="29"/>
  <c r="T612" i="29"/>
  <c r="T611" i="29"/>
  <c r="T610" i="29"/>
  <c r="T609" i="29"/>
  <c r="T608" i="29"/>
  <c r="T607" i="29"/>
  <c r="T606" i="29"/>
  <c r="T605" i="29"/>
  <c r="T604" i="29"/>
  <c r="T603" i="29"/>
  <c r="T602" i="29"/>
  <c r="T601" i="29"/>
  <c r="T600" i="29"/>
  <c r="T599" i="29"/>
  <c r="T598" i="29"/>
  <c r="T597" i="29"/>
  <c r="T596" i="29"/>
  <c r="T595" i="29"/>
  <c r="T594" i="29"/>
  <c r="T593" i="29"/>
  <c r="T592" i="29"/>
  <c r="T591" i="29"/>
  <c r="T590" i="29"/>
  <c r="T589" i="29"/>
  <c r="T588" i="29"/>
  <c r="T587" i="29"/>
  <c r="T586" i="29"/>
  <c r="T585" i="29"/>
  <c r="T584" i="29"/>
  <c r="T583" i="29"/>
  <c r="T582" i="29"/>
  <c r="T581" i="29"/>
  <c r="T580" i="29"/>
  <c r="T579" i="29"/>
  <c r="T578" i="29"/>
  <c r="T577" i="29"/>
  <c r="T576" i="29"/>
  <c r="T575" i="29"/>
  <c r="T574" i="29"/>
  <c r="T573" i="29"/>
  <c r="T572" i="29"/>
  <c r="T571" i="29"/>
  <c r="T570" i="29"/>
  <c r="T569" i="29"/>
  <c r="T568" i="29"/>
  <c r="T567" i="29"/>
  <c r="T566" i="29"/>
  <c r="T565" i="29"/>
  <c r="T564" i="29"/>
  <c r="T563" i="29"/>
  <c r="T562" i="29"/>
  <c r="T561" i="29"/>
  <c r="T560" i="29"/>
  <c r="T559" i="29"/>
  <c r="T558" i="29"/>
  <c r="T557" i="29"/>
  <c r="T556" i="29"/>
  <c r="T555" i="29"/>
  <c r="T554" i="29"/>
  <c r="T553" i="29"/>
  <c r="T552" i="29"/>
  <c r="T551" i="29"/>
  <c r="T550" i="29"/>
  <c r="T549" i="29"/>
  <c r="T548" i="29"/>
  <c r="T547" i="29"/>
  <c r="T546" i="29"/>
  <c r="T545" i="29"/>
  <c r="T544" i="29"/>
  <c r="T429" i="29"/>
  <c r="T428" i="29"/>
  <c r="T427" i="29"/>
  <c r="T426" i="29"/>
  <c r="T425" i="29"/>
  <c r="T424" i="29"/>
  <c r="T423" i="29"/>
  <c r="T422" i="29"/>
  <c r="T421" i="29"/>
  <c r="T420" i="29"/>
  <c r="T419" i="29"/>
  <c r="T418" i="29"/>
  <c r="T417" i="29"/>
  <c r="T416" i="29"/>
  <c r="T415" i="29"/>
  <c r="T414" i="29"/>
  <c r="T413" i="29"/>
  <c r="T412" i="29"/>
  <c r="T411" i="29"/>
  <c r="T410" i="29"/>
  <c r="T409" i="29"/>
  <c r="T408" i="29"/>
  <c r="T407" i="29"/>
  <c r="T406" i="29"/>
  <c r="T405" i="29"/>
  <c r="T404" i="29"/>
  <c r="T403" i="29"/>
  <c r="T402" i="29"/>
  <c r="T401" i="29"/>
  <c r="T400" i="29"/>
  <c r="T399" i="29"/>
  <c r="T398" i="29"/>
  <c r="T397" i="29"/>
  <c r="T396" i="29"/>
  <c r="T395" i="29"/>
  <c r="T394" i="29"/>
  <c r="T393" i="29"/>
  <c r="T392" i="29"/>
  <c r="T391" i="29"/>
  <c r="T390" i="29"/>
  <c r="T389" i="29"/>
  <c r="T388" i="29"/>
  <c r="T387" i="29"/>
  <c r="T386" i="29"/>
  <c r="T385" i="29"/>
  <c r="T384" i="29"/>
  <c r="T383" i="29"/>
  <c r="T382" i="29"/>
  <c r="T381" i="29"/>
  <c r="T380" i="29"/>
  <c r="T379" i="29"/>
  <c r="T378" i="29"/>
  <c r="T377" i="29"/>
  <c r="T376" i="29"/>
  <c r="T375" i="29"/>
  <c r="T374" i="29"/>
  <c r="T373" i="29"/>
  <c r="T372" i="29"/>
  <c r="T371" i="29"/>
  <c r="T370" i="29"/>
  <c r="T369" i="29"/>
  <c r="T368" i="29"/>
  <c r="T367" i="29"/>
  <c r="T366" i="29"/>
  <c r="T365" i="29"/>
  <c r="T364" i="29"/>
  <c r="T363" i="29"/>
  <c r="T362" i="29"/>
  <c r="T361" i="29"/>
  <c r="T360" i="29"/>
  <c r="T359" i="29"/>
  <c r="T358" i="29"/>
  <c r="T357" i="29"/>
  <c r="T356" i="29"/>
  <c r="T355" i="29"/>
  <c r="T354" i="29"/>
  <c r="T353" i="29"/>
  <c r="T352" i="29"/>
  <c r="T351" i="29"/>
  <c r="T350" i="29"/>
  <c r="T349" i="29"/>
  <c r="T348" i="29"/>
  <c r="T347" i="29"/>
  <c r="T346" i="29"/>
  <c r="T345" i="29"/>
  <c r="T344" i="29"/>
  <c r="T343" i="29"/>
  <c r="T342" i="29"/>
  <c r="T341" i="29"/>
  <c r="T340" i="29"/>
  <c r="T339" i="29"/>
  <c r="T338" i="29"/>
  <c r="T337" i="29"/>
  <c r="T336" i="29"/>
  <c r="T335" i="29"/>
  <c r="T334" i="29"/>
  <c r="T333" i="29"/>
  <c r="T332" i="29"/>
  <c r="T331" i="29"/>
  <c r="T330" i="29"/>
  <c r="T329" i="29"/>
  <c r="T328" i="29"/>
  <c r="T327" i="29"/>
  <c r="T326" i="29"/>
  <c r="T325" i="29"/>
  <c r="T324" i="29"/>
  <c r="T323" i="29"/>
  <c r="T322" i="29"/>
  <c r="T321" i="29"/>
  <c r="T320" i="29"/>
  <c r="T319" i="29"/>
  <c r="T318" i="29"/>
  <c r="T317" i="29"/>
  <c r="T316" i="29"/>
  <c r="T315" i="29"/>
  <c r="T314" i="29"/>
  <c r="T313" i="29"/>
  <c r="T312" i="29"/>
  <c r="T311" i="29"/>
  <c r="T310" i="29"/>
  <c r="T309" i="29"/>
  <c r="T308" i="29"/>
  <c r="T307" i="29"/>
  <c r="T306" i="29"/>
  <c r="T305" i="29"/>
  <c r="T304" i="29"/>
  <c r="T303" i="29"/>
  <c r="T302" i="29"/>
  <c r="T301" i="29"/>
  <c r="T300" i="29"/>
  <c r="T299" i="29"/>
  <c r="T298" i="29"/>
  <c r="T297" i="29"/>
  <c r="T296" i="29"/>
  <c r="T295" i="29"/>
  <c r="T294" i="29"/>
  <c r="T293" i="29"/>
  <c r="T292" i="29"/>
  <c r="T291" i="29"/>
  <c r="T290" i="29"/>
  <c r="T289" i="29"/>
  <c r="T288" i="29"/>
  <c r="T287" i="29"/>
  <c r="T286" i="29"/>
  <c r="T285" i="29"/>
  <c r="T284" i="29"/>
  <c r="T283" i="29"/>
  <c r="T282" i="29"/>
  <c r="T281" i="29"/>
  <c r="T280" i="29"/>
  <c r="T279" i="29"/>
  <c r="T278" i="29"/>
  <c r="T277" i="29"/>
  <c r="T276" i="29"/>
  <c r="T275" i="29"/>
  <c r="T274" i="29"/>
  <c r="T273" i="29"/>
  <c r="T272" i="29"/>
  <c r="T271" i="29"/>
  <c r="T270" i="29"/>
  <c r="T269" i="29"/>
  <c r="T268" i="29"/>
  <c r="T267" i="29"/>
  <c r="T266" i="29"/>
  <c r="T265" i="29"/>
  <c r="T264" i="29"/>
  <c r="T263" i="29"/>
  <c r="T262" i="29"/>
  <c r="T261" i="29"/>
  <c r="T260" i="29"/>
  <c r="T259" i="29"/>
  <c r="T258" i="29"/>
  <c r="T257" i="29"/>
  <c r="T256" i="29"/>
  <c r="T255" i="29"/>
  <c r="T254" i="29"/>
  <c r="T253" i="29"/>
  <c r="T252" i="29"/>
  <c r="T251" i="29"/>
  <c r="T250" i="29"/>
  <c r="T249" i="29"/>
  <c r="T248" i="29"/>
  <c r="T247" i="29"/>
  <c r="T246" i="29"/>
  <c r="T245" i="29"/>
  <c r="T244" i="29"/>
  <c r="T243" i="29"/>
  <c r="T242" i="29"/>
  <c r="T241" i="29"/>
  <c r="T240" i="29"/>
  <c r="T239" i="29"/>
  <c r="T238" i="29"/>
  <c r="T237" i="29"/>
  <c r="T236" i="29"/>
  <c r="T235" i="29"/>
  <c r="T234" i="29"/>
  <c r="T233" i="29"/>
  <c r="T232" i="29"/>
  <c r="T231" i="29"/>
  <c r="T230" i="29"/>
  <c r="T229" i="29"/>
  <c r="T228" i="29"/>
  <c r="T227" i="29"/>
  <c r="T226" i="29"/>
  <c r="T225" i="29"/>
  <c r="T224" i="29"/>
  <c r="T223" i="29"/>
  <c r="T222" i="29"/>
  <c r="T221" i="29"/>
  <c r="T220" i="29"/>
  <c r="T219" i="29"/>
  <c r="T218" i="29"/>
  <c r="T217" i="29"/>
  <c r="T216" i="29"/>
  <c r="T215" i="29"/>
  <c r="T214" i="29"/>
  <c r="T213" i="29"/>
  <c r="T212" i="29"/>
  <c r="T211" i="29"/>
  <c r="T210" i="29"/>
  <c r="T209" i="29"/>
  <c r="T208" i="29"/>
  <c r="T207" i="29"/>
  <c r="T206" i="29"/>
  <c r="T205" i="29"/>
  <c r="T204" i="29"/>
  <c r="T203" i="29"/>
  <c r="T202" i="29"/>
  <c r="T201" i="29"/>
  <c r="T200" i="29"/>
  <c r="T199" i="29"/>
  <c r="T198" i="29"/>
  <c r="T197" i="29"/>
  <c r="T196" i="29"/>
  <c r="T195" i="29"/>
  <c r="T194" i="29"/>
  <c r="T193" i="29"/>
  <c r="T192" i="29"/>
  <c r="T191" i="29"/>
  <c r="T190" i="29"/>
  <c r="T189" i="29"/>
  <c r="T188" i="29"/>
  <c r="T187" i="29"/>
  <c r="T186" i="29"/>
  <c r="T185" i="29"/>
  <c r="T184" i="29"/>
  <c r="T183" i="29"/>
  <c r="T182" i="29"/>
  <c r="T181" i="29"/>
  <c r="T180" i="29"/>
  <c r="T179" i="29"/>
  <c r="T178" i="29"/>
  <c r="T177" i="29"/>
  <c r="T176" i="29"/>
  <c r="T175" i="29"/>
  <c r="T174" i="29"/>
  <c r="T173" i="29"/>
  <c r="T172" i="29"/>
  <c r="T171" i="29"/>
  <c r="T170" i="29"/>
  <c r="T169" i="29"/>
  <c r="T168" i="29"/>
  <c r="T167" i="29"/>
  <c r="T166" i="29"/>
  <c r="T165" i="29"/>
  <c r="T164" i="29"/>
  <c r="T163" i="29"/>
  <c r="T162" i="29"/>
  <c r="T161" i="29"/>
  <c r="T160" i="29"/>
  <c r="T159" i="29"/>
  <c r="T158" i="29"/>
  <c r="T157" i="29"/>
  <c r="T156" i="29"/>
  <c r="T155" i="29"/>
  <c r="T154" i="29"/>
  <c r="T153" i="29"/>
  <c r="T152" i="29"/>
  <c r="T151" i="29"/>
  <c r="T150" i="29"/>
  <c r="T149" i="29"/>
  <c r="T148" i="29"/>
  <c r="T147" i="29"/>
  <c r="T146" i="29"/>
  <c r="T145" i="29"/>
  <c r="T144" i="29"/>
  <c r="T143" i="29"/>
  <c r="T142" i="29"/>
  <c r="T141" i="29"/>
  <c r="T140" i="29"/>
  <c r="T139" i="29"/>
  <c r="T138" i="29"/>
  <c r="T137" i="29"/>
  <c r="T136" i="29"/>
  <c r="T135" i="29"/>
  <c r="T134" i="29"/>
  <c r="T133" i="29"/>
  <c r="T132" i="29"/>
  <c r="T131" i="29"/>
  <c r="T130" i="29"/>
  <c r="T129" i="29"/>
  <c r="T128" i="29"/>
  <c r="T127" i="29"/>
  <c r="T126" i="29"/>
  <c r="T125" i="29"/>
  <c r="T124" i="29"/>
  <c r="T123" i="29"/>
  <c r="T122" i="29"/>
  <c r="T121" i="29"/>
  <c r="T120" i="29"/>
  <c r="T119" i="29"/>
  <c r="T118" i="29"/>
  <c r="T117" i="29"/>
  <c r="T116" i="29"/>
  <c r="T115" i="29"/>
  <c r="T114" i="29"/>
  <c r="T113" i="29"/>
  <c r="T112" i="29"/>
  <c r="T111" i="29"/>
  <c r="T110" i="29"/>
  <c r="T109" i="29"/>
  <c r="T108" i="29"/>
  <c r="T107" i="29"/>
  <c r="T106" i="29"/>
  <c r="T105" i="29"/>
  <c r="T104" i="29"/>
  <c r="T103" i="29"/>
  <c r="T102" i="29"/>
  <c r="T101" i="29"/>
  <c r="T100" i="29"/>
  <c r="T99" i="29"/>
  <c r="T98" i="29"/>
  <c r="T97" i="29"/>
  <c r="T96" i="29"/>
  <c r="T95" i="29"/>
  <c r="T94" i="29"/>
  <c r="T93" i="29"/>
  <c r="T92" i="29"/>
  <c r="T91" i="29"/>
  <c r="T90" i="29"/>
  <c r="T89" i="29"/>
  <c r="T88" i="29"/>
  <c r="T87" i="29"/>
  <c r="T86" i="29"/>
  <c r="T85" i="29"/>
  <c r="T84" i="29"/>
  <c r="T83" i="29"/>
  <c r="T82" i="29"/>
  <c r="T81" i="29"/>
  <c r="T80" i="29"/>
  <c r="T79" i="29"/>
  <c r="T78" i="29"/>
  <c r="T77" i="29"/>
  <c r="T76" i="29"/>
  <c r="T75" i="29"/>
  <c r="T74" i="29"/>
  <c r="T73" i="29"/>
  <c r="T72" i="29"/>
  <c r="T71" i="29"/>
  <c r="T70" i="29"/>
  <c r="T69" i="29"/>
  <c r="T68" i="29"/>
  <c r="T67" i="29"/>
  <c r="T66" i="29"/>
  <c r="T65" i="29"/>
  <c r="T64" i="29"/>
  <c r="T63" i="29"/>
  <c r="T62" i="29"/>
  <c r="T61" i="29"/>
  <c r="T60" i="29"/>
  <c r="T59" i="29"/>
  <c r="T58" i="29"/>
  <c r="T57" i="29"/>
  <c r="T56" i="29"/>
  <c r="T55" i="29"/>
  <c r="T54" i="29"/>
  <c r="T53" i="29"/>
  <c r="T52" i="29"/>
  <c r="T51" i="29"/>
  <c r="T50" i="29"/>
  <c r="T49" i="29"/>
  <c r="T48" i="29"/>
  <c r="T47" i="29"/>
  <c r="T46" i="29"/>
  <c r="T45" i="29"/>
  <c r="T44" i="29"/>
  <c r="T43" i="29"/>
  <c r="T42" i="29"/>
  <c r="T41" i="29"/>
  <c r="T40" i="29"/>
  <c r="T39" i="29"/>
  <c r="T38" i="29"/>
  <c r="T37" i="29"/>
  <c r="T36" i="29"/>
  <c r="T35" i="29"/>
  <c r="T34" i="29"/>
  <c r="T33" i="29"/>
  <c r="T32" i="29"/>
  <c r="T31" i="29"/>
  <c r="T30" i="29"/>
  <c r="T29" i="29"/>
  <c r="T28" i="29"/>
  <c r="T27" i="29"/>
  <c r="T26" i="29"/>
  <c r="T25" i="29"/>
  <c r="T24" i="29"/>
  <c r="T23" i="29"/>
  <c r="T22" i="29"/>
  <c r="T21" i="29"/>
  <c r="T20" i="29"/>
  <c r="T19" i="29"/>
  <c r="T18" i="29"/>
  <c r="T17" i="29"/>
  <c r="T16" i="29"/>
  <c r="T15" i="29"/>
  <c r="T14" i="29"/>
  <c r="T13" i="29"/>
  <c r="T12" i="29"/>
  <c r="T11" i="29"/>
  <c r="T10" i="29"/>
  <c r="T9" i="29"/>
  <c r="T8" i="29"/>
  <c r="T7" i="29"/>
  <c r="T6" i="29"/>
  <c r="T5" i="29"/>
  <c r="M688" i="3"/>
  <c r="L688" i="3" s="1"/>
  <c r="K689" i="29" s="1"/>
  <c r="A4" i="28"/>
  <c r="B4" i="28"/>
  <c r="C4" i="28"/>
  <c r="D4" i="28"/>
  <c r="E4" i="28"/>
  <c r="F4" i="28"/>
  <c r="G4" i="28"/>
  <c r="H4" i="28"/>
  <c r="I4" i="28"/>
  <c r="J4" i="28"/>
  <c r="L4" i="28"/>
  <c r="M4" i="28"/>
  <c r="N4" i="28"/>
  <c r="O4" i="28"/>
  <c r="A5" i="28"/>
  <c r="B5" i="28"/>
  <c r="C5" i="28"/>
  <c r="D5" i="28"/>
  <c r="E5" i="28"/>
  <c r="F5" i="28"/>
  <c r="G5" i="28"/>
  <c r="H5" i="28"/>
  <c r="I5" i="28"/>
  <c r="J5" i="28"/>
  <c r="L5" i="28"/>
  <c r="M5" i="28"/>
  <c r="N5" i="28"/>
  <c r="O5" i="28"/>
  <c r="A6" i="28"/>
  <c r="B6" i="28"/>
  <c r="C6" i="28"/>
  <c r="D6" i="28"/>
  <c r="E6" i="28"/>
  <c r="F6" i="28"/>
  <c r="G6" i="28"/>
  <c r="H6" i="28"/>
  <c r="I6" i="28"/>
  <c r="J6" i="28"/>
  <c r="L6" i="28"/>
  <c r="M6" i="28"/>
  <c r="N6" i="28"/>
  <c r="O6" i="28"/>
  <c r="A7" i="28"/>
  <c r="B7" i="28"/>
  <c r="C7" i="28"/>
  <c r="D7" i="28"/>
  <c r="E7" i="28"/>
  <c r="F7" i="28"/>
  <c r="G7" i="28"/>
  <c r="H7" i="28"/>
  <c r="I7" i="28"/>
  <c r="J7" i="28"/>
  <c r="L7" i="28"/>
  <c r="M7" i="28"/>
  <c r="N7" i="28"/>
  <c r="O7" i="28"/>
  <c r="A8" i="28"/>
  <c r="B8" i="28"/>
  <c r="C8" i="28"/>
  <c r="D8" i="28"/>
  <c r="E8" i="28"/>
  <c r="F8" i="28"/>
  <c r="G8" i="28"/>
  <c r="H8" i="28"/>
  <c r="I8" i="28"/>
  <c r="J8" i="28"/>
  <c r="L8" i="28"/>
  <c r="M8" i="28"/>
  <c r="N8" i="28"/>
  <c r="O8" i="28"/>
  <c r="A9" i="28"/>
  <c r="B9" i="28"/>
  <c r="C9" i="28"/>
  <c r="D9" i="28"/>
  <c r="E9" i="28"/>
  <c r="F9" i="28"/>
  <c r="G9" i="28"/>
  <c r="H9" i="28"/>
  <c r="I9" i="28"/>
  <c r="J9" i="28"/>
  <c r="L9" i="28"/>
  <c r="M9" i="28"/>
  <c r="N9" i="28"/>
  <c r="O9" i="28"/>
  <c r="A10" i="28"/>
  <c r="B10" i="28"/>
  <c r="C10" i="28"/>
  <c r="D10" i="28"/>
  <c r="E10" i="28"/>
  <c r="F10" i="28"/>
  <c r="G10" i="28"/>
  <c r="H10" i="28"/>
  <c r="I10" i="28"/>
  <c r="J10" i="28"/>
  <c r="L10" i="28"/>
  <c r="M10" i="28"/>
  <c r="N10" i="28"/>
  <c r="O10" i="28"/>
  <c r="A11" i="28"/>
  <c r="B11" i="28"/>
  <c r="C11" i="28"/>
  <c r="D11" i="28"/>
  <c r="E11" i="28"/>
  <c r="F11" i="28"/>
  <c r="G11" i="28"/>
  <c r="H11" i="28"/>
  <c r="I11" i="28"/>
  <c r="J11" i="28"/>
  <c r="L11" i="28"/>
  <c r="M11" i="28"/>
  <c r="N11" i="28"/>
  <c r="O11" i="28"/>
  <c r="A12" i="28"/>
  <c r="B12" i="28"/>
  <c r="C12" i="28"/>
  <c r="D12" i="28"/>
  <c r="E12" i="28"/>
  <c r="F12" i="28"/>
  <c r="G12" i="28"/>
  <c r="H12" i="28"/>
  <c r="I12" i="28"/>
  <c r="J12" i="28"/>
  <c r="L12" i="28"/>
  <c r="M12" i="28"/>
  <c r="N12" i="28"/>
  <c r="O12" i="28"/>
  <c r="A13" i="28"/>
  <c r="B13" i="28"/>
  <c r="C13" i="28"/>
  <c r="D13" i="28"/>
  <c r="E13" i="28"/>
  <c r="F13" i="28"/>
  <c r="G13" i="28"/>
  <c r="H13" i="28"/>
  <c r="I13" i="28"/>
  <c r="J13" i="28"/>
  <c r="L13" i="28"/>
  <c r="M13" i="28"/>
  <c r="N13" i="28"/>
  <c r="O13" i="28"/>
  <c r="A14" i="28"/>
  <c r="B14" i="28"/>
  <c r="C14" i="28"/>
  <c r="D14" i="28"/>
  <c r="E14" i="28"/>
  <c r="F14" i="28"/>
  <c r="G14" i="28"/>
  <c r="H14" i="28"/>
  <c r="I14" i="28"/>
  <c r="J14" i="28"/>
  <c r="L14" i="28"/>
  <c r="M14" i="28"/>
  <c r="N14" i="28"/>
  <c r="O14" i="28"/>
  <c r="A15" i="28"/>
  <c r="B15" i="28"/>
  <c r="C15" i="28"/>
  <c r="D15" i="28"/>
  <c r="E15" i="28"/>
  <c r="F15" i="28"/>
  <c r="G15" i="28"/>
  <c r="H15" i="28"/>
  <c r="I15" i="28"/>
  <c r="J15" i="28"/>
  <c r="L15" i="28"/>
  <c r="M15" i="28"/>
  <c r="N15" i="28"/>
  <c r="O15" i="28"/>
  <c r="A16" i="28"/>
  <c r="B16" i="28"/>
  <c r="C16" i="28"/>
  <c r="D16" i="28"/>
  <c r="E16" i="28"/>
  <c r="F16" i="28"/>
  <c r="G16" i="28"/>
  <c r="H16" i="28"/>
  <c r="I16" i="28"/>
  <c r="J16" i="28"/>
  <c r="L16" i="28"/>
  <c r="M16" i="28"/>
  <c r="N16" i="28"/>
  <c r="O16" i="28"/>
  <c r="A17" i="28"/>
  <c r="B17" i="28"/>
  <c r="C17" i="28"/>
  <c r="D17" i="28"/>
  <c r="E17" i="28"/>
  <c r="F17" i="28"/>
  <c r="G17" i="28"/>
  <c r="H17" i="28"/>
  <c r="I17" i="28"/>
  <c r="J17" i="28"/>
  <c r="L17" i="28"/>
  <c r="M17" i="28"/>
  <c r="N17" i="28"/>
  <c r="O17" i="28"/>
  <c r="A18" i="28"/>
  <c r="B18" i="28"/>
  <c r="C18" i="28"/>
  <c r="D18" i="28"/>
  <c r="E18" i="28"/>
  <c r="F18" i="28"/>
  <c r="G18" i="28"/>
  <c r="H18" i="28"/>
  <c r="I18" i="28"/>
  <c r="J18" i="28"/>
  <c r="L18" i="28"/>
  <c r="M18" i="28"/>
  <c r="N18" i="28"/>
  <c r="O18" i="28"/>
  <c r="A19" i="28"/>
  <c r="B19" i="28"/>
  <c r="C19" i="28"/>
  <c r="D19" i="28"/>
  <c r="E19" i="28"/>
  <c r="F19" i="28"/>
  <c r="G19" i="28"/>
  <c r="H19" i="28"/>
  <c r="I19" i="28"/>
  <c r="J19" i="28"/>
  <c r="L19" i="28"/>
  <c r="M19" i="28"/>
  <c r="N19" i="28"/>
  <c r="O19" i="28"/>
  <c r="A20" i="28"/>
  <c r="B20" i="28"/>
  <c r="C20" i="28"/>
  <c r="D20" i="28"/>
  <c r="E20" i="28"/>
  <c r="F20" i="28"/>
  <c r="G20" i="28"/>
  <c r="H20" i="28"/>
  <c r="I20" i="28"/>
  <c r="J20" i="28"/>
  <c r="L20" i="28"/>
  <c r="M20" i="28"/>
  <c r="N20" i="28"/>
  <c r="O20" i="28"/>
  <c r="A21" i="28"/>
  <c r="B21" i="28"/>
  <c r="C21" i="28"/>
  <c r="D21" i="28"/>
  <c r="E21" i="28"/>
  <c r="F21" i="28"/>
  <c r="G21" i="28"/>
  <c r="H21" i="28"/>
  <c r="I21" i="28"/>
  <c r="J21" i="28"/>
  <c r="L21" i="28"/>
  <c r="M21" i="28"/>
  <c r="N21" i="28"/>
  <c r="O21" i="28"/>
  <c r="A22" i="28"/>
  <c r="B22" i="28"/>
  <c r="C22" i="28"/>
  <c r="D22" i="28"/>
  <c r="E22" i="28"/>
  <c r="F22" i="28"/>
  <c r="G22" i="28"/>
  <c r="H22" i="28"/>
  <c r="I22" i="28"/>
  <c r="J22" i="28"/>
  <c r="L22" i="28"/>
  <c r="M22" i="28"/>
  <c r="N22" i="28"/>
  <c r="O22" i="28"/>
  <c r="A23" i="28"/>
  <c r="B23" i="28"/>
  <c r="C23" i="28"/>
  <c r="D23" i="28"/>
  <c r="E23" i="28"/>
  <c r="F23" i="28"/>
  <c r="G23" i="28"/>
  <c r="H23" i="28"/>
  <c r="I23" i="28"/>
  <c r="J23" i="28"/>
  <c r="L23" i="28"/>
  <c r="M23" i="28"/>
  <c r="N23" i="28"/>
  <c r="O23" i="28"/>
  <c r="A24" i="28"/>
  <c r="B24" i="28"/>
  <c r="C24" i="28"/>
  <c r="D24" i="28"/>
  <c r="E24" i="28"/>
  <c r="F24" i="28"/>
  <c r="G24" i="28"/>
  <c r="H24" i="28"/>
  <c r="I24" i="28"/>
  <c r="J24" i="28"/>
  <c r="L24" i="28"/>
  <c r="M24" i="28"/>
  <c r="N24" i="28"/>
  <c r="O24" i="28"/>
  <c r="A25" i="28"/>
  <c r="B25" i="28"/>
  <c r="C25" i="28"/>
  <c r="D25" i="28"/>
  <c r="E25" i="28"/>
  <c r="F25" i="28"/>
  <c r="G25" i="28"/>
  <c r="H25" i="28"/>
  <c r="I25" i="28"/>
  <c r="J25" i="28"/>
  <c r="L25" i="28"/>
  <c r="M25" i="28"/>
  <c r="N25" i="28"/>
  <c r="O25" i="28"/>
  <c r="A26" i="28"/>
  <c r="B26" i="28"/>
  <c r="C26" i="28"/>
  <c r="D26" i="28"/>
  <c r="E26" i="28"/>
  <c r="F26" i="28"/>
  <c r="G26" i="28"/>
  <c r="H26" i="28"/>
  <c r="I26" i="28"/>
  <c r="J26" i="28"/>
  <c r="L26" i="28"/>
  <c r="M26" i="28"/>
  <c r="N26" i="28"/>
  <c r="O26" i="28"/>
  <c r="A27" i="28"/>
  <c r="B27" i="28"/>
  <c r="C27" i="28"/>
  <c r="D27" i="28"/>
  <c r="E27" i="28"/>
  <c r="F27" i="28"/>
  <c r="G27" i="28"/>
  <c r="H27" i="28"/>
  <c r="I27" i="28"/>
  <c r="J27" i="28"/>
  <c r="L27" i="28"/>
  <c r="M27" i="28"/>
  <c r="N27" i="28"/>
  <c r="O27" i="28"/>
  <c r="A28" i="28"/>
  <c r="B28" i="28"/>
  <c r="C28" i="28"/>
  <c r="D28" i="28"/>
  <c r="E28" i="28"/>
  <c r="F28" i="28"/>
  <c r="G28" i="28"/>
  <c r="H28" i="28"/>
  <c r="I28" i="28"/>
  <c r="J28" i="28"/>
  <c r="L28" i="28"/>
  <c r="M28" i="28"/>
  <c r="N28" i="28"/>
  <c r="O28" i="28"/>
  <c r="A29" i="28"/>
  <c r="B29" i="28"/>
  <c r="C29" i="28"/>
  <c r="D29" i="28"/>
  <c r="E29" i="28"/>
  <c r="F29" i="28"/>
  <c r="G29" i="28"/>
  <c r="H29" i="28"/>
  <c r="I29" i="28"/>
  <c r="J29" i="28"/>
  <c r="L29" i="28"/>
  <c r="M29" i="28"/>
  <c r="N29" i="28"/>
  <c r="O29" i="28"/>
  <c r="A30" i="28"/>
  <c r="B30" i="28"/>
  <c r="C30" i="28"/>
  <c r="D30" i="28"/>
  <c r="E30" i="28"/>
  <c r="F30" i="28"/>
  <c r="G30" i="28"/>
  <c r="H30" i="28"/>
  <c r="I30" i="28"/>
  <c r="J30" i="28"/>
  <c r="L30" i="28"/>
  <c r="M30" i="28"/>
  <c r="N30" i="28"/>
  <c r="O30" i="28"/>
  <c r="A31" i="28"/>
  <c r="B31" i="28"/>
  <c r="C31" i="28"/>
  <c r="D31" i="28"/>
  <c r="E31" i="28"/>
  <c r="F31" i="28"/>
  <c r="G31" i="28"/>
  <c r="H31" i="28"/>
  <c r="I31" i="28"/>
  <c r="J31" i="28"/>
  <c r="L31" i="28"/>
  <c r="M31" i="28"/>
  <c r="N31" i="28"/>
  <c r="O31" i="28"/>
  <c r="A32" i="28"/>
  <c r="B32" i="28"/>
  <c r="C32" i="28"/>
  <c r="D32" i="28"/>
  <c r="E32" i="28"/>
  <c r="F32" i="28"/>
  <c r="G32" i="28"/>
  <c r="H32" i="28"/>
  <c r="I32" i="28"/>
  <c r="J32" i="28"/>
  <c r="L32" i="28"/>
  <c r="M32" i="28"/>
  <c r="N32" i="28"/>
  <c r="O32" i="28"/>
  <c r="A33" i="28"/>
  <c r="B33" i="28"/>
  <c r="C33" i="28"/>
  <c r="D33" i="28"/>
  <c r="E33" i="28"/>
  <c r="F33" i="28"/>
  <c r="G33" i="28"/>
  <c r="H33" i="28"/>
  <c r="I33" i="28"/>
  <c r="J33" i="28"/>
  <c r="L33" i="28"/>
  <c r="M33" i="28"/>
  <c r="N33" i="28"/>
  <c r="O33" i="28"/>
  <c r="A34" i="28"/>
  <c r="B34" i="28"/>
  <c r="C34" i="28"/>
  <c r="D34" i="28"/>
  <c r="E34" i="28"/>
  <c r="F34" i="28"/>
  <c r="G34" i="28"/>
  <c r="H34" i="28"/>
  <c r="I34" i="28"/>
  <c r="J34" i="28"/>
  <c r="L34" i="28"/>
  <c r="M34" i="28"/>
  <c r="N34" i="28"/>
  <c r="O34" i="28"/>
  <c r="A35" i="28"/>
  <c r="B35" i="28"/>
  <c r="C35" i="28"/>
  <c r="D35" i="28"/>
  <c r="E35" i="28"/>
  <c r="F35" i="28"/>
  <c r="G35" i="28"/>
  <c r="H35" i="28"/>
  <c r="I35" i="28"/>
  <c r="J35" i="28"/>
  <c r="L35" i="28"/>
  <c r="M35" i="28"/>
  <c r="N35" i="28"/>
  <c r="O35" i="28"/>
  <c r="A36" i="28"/>
  <c r="B36" i="28"/>
  <c r="C36" i="28"/>
  <c r="D36" i="28"/>
  <c r="E36" i="28"/>
  <c r="F36" i="28"/>
  <c r="G36" i="28"/>
  <c r="H36" i="28"/>
  <c r="I36" i="28"/>
  <c r="J36" i="28"/>
  <c r="L36" i="28"/>
  <c r="M36" i="28"/>
  <c r="N36" i="28"/>
  <c r="O36" i="28"/>
  <c r="A37" i="28"/>
  <c r="B37" i="28"/>
  <c r="C37" i="28"/>
  <c r="D37" i="28"/>
  <c r="E37" i="28"/>
  <c r="F37" i="28"/>
  <c r="G37" i="28"/>
  <c r="H37" i="28"/>
  <c r="I37" i="28"/>
  <c r="J37" i="28"/>
  <c r="L37" i="28"/>
  <c r="M37" i="28"/>
  <c r="N37" i="28"/>
  <c r="O37" i="28"/>
  <c r="A38" i="28"/>
  <c r="B38" i="28"/>
  <c r="C38" i="28"/>
  <c r="D38" i="28"/>
  <c r="E38" i="28"/>
  <c r="F38" i="28"/>
  <c r="G38" i="28"/>
  <c r="H38" i="28"/>
  <c r="I38" i="28"/>
  <c r="J38" i="28"/>
  <c r="L38" i="28"/>
  <c r="M38" i="28"/>
  <c r="N38" i="28"/>
  <c r="O38" i="28"/>
  <c r="A39" i="28"/>
  <c r="B39" i="28"/>
  <c r="C39" i="28"/>
  <c r="D39" i="28"/>
  <c r="E39" i="28"/>
  <c r="F39" i="28"/>
  <c r="G39" i="28"/>
  <c r="H39" i="28"/>
  <c r="I39" i="28"/>
  <c r="J39" i="28"/>
  <c r="L39" i="28"/>
  <c r="M39" i="28"/>
  <c r="N39" i="28"/>
  <c r="O39" i="28"/>
  <c r="A40" i="28"/>
  <c r="B40" i="28"/>
  <c r="C40" i="28"/>
  <c r="D40" i="28"/>
  <c r="E40" i="28"/>
  <c r="F40" i="28"/>
  <c r="G40" i="28"/>
  <c r="H40" i="28"/>
  <c r="I40" i="28"/>
  <c r="J40" i="28"/>
  <c r="L40" i="28"/>
  <c r="M40" i="28"/>
  <c r="N40" i="28"/>
  <c r="O40" i="28"/>
  <c r="A41" i="28"/>
  <c r="B41" i="28"/>
  <c r="C41" i="28"/>
  <c r="D41" i="28"/>
  <c r="E41" i="28"/>
  <c r="F41" i="28"/>
  <c r="G41" i="28"/>
  <c r="H41" i="28"/>
  <c r="I41" i="28"/>
  <c r="J41" i="28"/>
  <c r="L41" i="28"/>
  <c r="M41" i="28"/>
  <c r="N41" i="28"/>
  <c r="O41" i="28"/>
  <c r="A42" i="28"/>
  <c r="B42" i="28"/>
  <c r="C42" i="28"/>
  <c r="D42" i="28"/>
  <c r="E42" i="28"/>
  <c r="F42" i="28"/>
  <c r="G42" i="28"/>
  <c r="H42" i="28"/>
  <c r="I42" i="28"/>
  <c r="J42" i="28"/>
  <c r="L42" i="28"/>
  <c r="M42" i="28"/>
  <c r="N42" i="28"/>
  <c r="O42" i="28"/>
  <c r="A43" i="28"/>
  <c r="B43" i="28"/>
  <c r="C43" i="28"/>
  <c r="D43" i="28"/>
  <c r="E43" i="28"/>
  <c r="F43" i="28"/>
  <c r="G43" i="28"/>
  <c r="H43" i="28"/>
  <c r="I43" i="28"/>
  <c r="J43" i="28"/>
  <c r="L43" i="28"/>
  <c r="M43" i="28"/>
  <c r="N43" i="28"/>
  <c r="O43" i="28"/>
  <c r="A44" i="28"/>
  <c r="B44" i="28"/>
  <c r="C44" i="28"/>
  <c r="D44" i="28"/>
  <c r="E44" i="28"/>
  <c r="F44" i="28"/>
  <c r="G44" i="28"/>
  <c r="H44" i="28"/>
  <c r="I44" i="28"/>
  <c r="J44" i="28"/>
  <c r="L44" i="28"/>
  <c r="M44" i="28"/>
  <c r="N44" i="28"/>
  <c r="O44" i="28"/>
  <c r="A45" i="28"/>
  <c r="B45" i="28"/>
  <c r="C45" i="28"/>
  <c r="D45" i="28"/>
  <c r="E45" i="28"/>
  <c r="F45" i="28"/>
  <c r="G45" i="28"/>
  <c r="H45" i="28"/>
  <c r="I45" i="28"/>
  <c r="J45" i="28"/>
  <c r="L45" i="28"/>
  <c r="M45" i="28"/>
  <c r="N45" i="28"/>
  <c r="O45" i="28"/>
  <c r="A46" i="28"/>
  <c r="B46" i="28"/>
  <c r="C46" i="28"/>
  <c r="D46" i="28"/>
  <c r="E46" i="28"/>
  <c r="F46" i="28"/>
  <c r="G46" i="28"/>
  <c r="H46" i="28"/>
  <c r="I46" i="28"/>
  <c r="J46" i="28"/>
  <c r="L46" i="28"/>
  <c r="M46" i="28"/>
  <c r="N46" i="28"/>
  <c r="O46" i="28"/>
  <c r="A47" i="28"/>
  <c r="B47" i="28"/>
  <c r="C47" i="28"/>
  <c r="D47" i="28"/>
  <c r="E47" i="28"/>
  <c r="F47" i="28"/>
  <c r="G47" i="28"/>
  <c r="H47" i="28"/>
  <c r="I47" i="28"/>
  <c r="J47" i="28"/>
  <c r="L47" i="28"/>
  <c r="M47" i="28"/>
  <c r="N47" i="28"/>
  <c r="O47" i="28"/>
  <c r="A48" i="28"/>
  <c r="B48" i="28"/>
  <c r="C48" i="28"/>
  <c r="D48" i="28"/>
  <c r="E48" i="28"/>
  <c r="F48" i="28"/>
  <c r="G48" i="28"/>
  <c r="H48" i="28"/>
  <c r="I48" i="28"/>
  <c r="J48" i="28"/>
  <c r="L48" i="28"/>
  <c r="M48" i="28"/>
  <c r="N48" i="28"/>
  <c r="O48" i="28"/>
  <c r="A49" i="28"/>
  <c r="B49" i="28"/>
  <c r="C49" i="28"/>
  <c r="D49" i="28"/>
  <c r="E49" i="28"/>
  <c r="F49" i="28"/>
  <c r="G49" i="28"/>
  <c r="H49" i="28"/>
  <c r="I49" i="28"/>
  <c r="J49" i="28"/>
  <c r="L49" i="28"/>
  <c r="M49" i="28"/>
  <c r="N49" i="28"/>
  <c r="O49" i="28"/>
  <c r="A50" i="28"/>
  <c r="B50" i="28"/>
  <c r="C50" i="28"/>
  <c r="D50" i="28"/>
  <c r="E50" i="28"/>
  <c r="F50" i="28"/>
  <c r="G50" i="28"/>
  <c r="H50" i="28"/>
  <c r="I50" i="28"/>
  <c r="J50" i="28"/>
  <c r="L50" i="28"/>
  <c r="M50" i="28"/>
  <c r="N50" i="28"/>
  <c r="O50" i="28"/>
  <c r="A51" i="28"/>
  <c r="B51" i="28"/>
  <c r="C51" i="28"/>
  <c r="D51" i="28"/>
  <c r="E51" i="28"/>
  <c r="F51" i="28"/>
  <c r="G51" i="28"/>
  <c r="H51" i="28"/>
  <c r="I51" i="28"/>
  <c r="J51" i="28"/>
  <c r="L51" i="28"/>
  <c r="M51" i="28"/>
  <c r="N51" i="28"/>
  <c r="O51" i="28"/>
  <c r="A52" i="28"/>
  <c r="B52" i="28"/>
  <c r="C52" i="28"/>
  <c r="D52" i="28"/>
  <c r="E52" i="28"/>
  <c r="F52" i="28"/>
  <c r="G52" i="28"/>
  <c r="H52" i="28"/>
  <c r="I52" i="28"/>
  <c r="J52" i="28"/>
  <c r="L52" i="28"/>
  <c r="M52" i="28"/>
  <c r="N52" i="28"/>
  <c r="O52" i="28"/>
  <c r="A53" i="28"/>
  <c r="B53" i="28"/>
  <c r="C53" i="28"/>
  <c r="D53" i="28"/>
  <c r="E53" i="28"/>
  <c r="F53" i="28"/>
  <c r="G53" i="28"/>
  <c r="H53" i="28"/>
  <c r="I53" i="28"/>
  <c r="J53" i="28"/>
  <c r="L53" i="28"/>
  <c r="M53" i="28"/>
  <c r="N53" i="28"/>
  <c r="O53" i="28"/>
  <c r="A54" i="28"/>
  <c r="B54" i="28"/>
  <c r="C54" i="28"/>
  <c r="D54" i="28"/>
  <c r="E54" i="28"/>
  <c r="F54" i="28"/>
  <c r="G54" i="28"/>
  <c r="H54" i="28"/>
  <c r="I54" i="28"/>
  <c r="J54" i="28"/>
  <c r="L54" i="28"/>
  <c r="M54" i="28"/>
  <c r="N54" i="28"/>
  <c r="O54" i="28"/>
  <c r="A55" i="28"/>
  <c r="B55" i="28"/>
  <c r="C55" i="28"/>
  <c r="D55" i="28"/>
  <c r="E55" i="28"/>
  <c r="F55" i="28"/>
  <c r="G55" i="28"/>
  <c r="H55" i="28"/>
  <c r="I55" i="28"/>
  <c r="J55" i="28"/>
  <c r="L55" i="28"/>
  <c r="M55" i="28"/>
  <c r="N55" i="28"/>
  <c r="O55" i="28"/>
  <c r="A56" i="28"/>
  <c r="B56" i="28"/>
  <c r="C56" i="28"/>
  <c r="D56" i="28"/>
  <c r="E56" i="28"/>
  <c r="F56" i="28"/>
  <c r="G56" i="28"/>
  <c r="H56" i="28"/>
  <c r="I56" i="28"/>
  <c r="J56" i="28"/>
  <c r="L56" i="28"/>
  <c r="M56" i="28"/>
  <c r="N56" i="28"/>
  <c r="O56" i="28"/>
  <c r="A57" i="28"/>
  <c r="B57" i="28"/>
  <c r="C57" i="28"/>
  <c r="D57" i="28"/>
  <c r="E57" i="28"/>
  <c r="F57" i="28"/>
  <c r="G57" i="28"/>
  <c r="H57" i="28"/>
  <c r="I57" i="28"/>
  <c r="J57" i="28"/>
  <c r="L57" i="28"/>
  <c r="M57" i="28"/>
  <c r="N57" i="28"/>
  <c r="O57" i="28"/>
  <c r="A58" i="28"/>
  <c r="B58" i="28"/>
  <c r="C58" i="28"/>
  <c r="D58" i="28"/>
  <c r="E58" i="28"/>
  <c r="F58" i="28"/>
  <c r="G58" i="28"/>
  <c r="H58" i="28"/>
  <c r="I58" i="28"/>
  <c r="J58" i="28"/>
  <c r="L58" i="28"/>
  <c r="M58" i="28"/>
  <c r="N58" i="28"/>
  <c r="O58" i="28"/>
  <c r="A59" i="28"/>
  <c r="B59" i="28"/>
  <c r="C59" i="28"/>
  <c r="D59" i="28"/>
  <c r="E59" i="28"/>
  <c r="F59" i="28"/>
  <c r="G59" i="28"/>
  <c r="H59" i="28"/>
  <c r="I59" i="28"/>
  <c r="J59" i="28"/>
  <c r="L59" i="28"/>
  <c r="M59" i="28"/>
  <c r="N59" i="28"/>
  <c r="O59" i="28"/>
  <c r="A60" i="28"/>
  <c r="B60" i="28"/>
  <c r="C60" i="28"/>
  <c r="D60" i="28"/>
  <c r="E60" i="28"/>
  <c r="F60" i="28"/>
  <c r="G60" i="28"/>
  <c r="H60" i="28"/>
  <c r="I60" i="28"/>
  <c r="J60" i="28"/>
  <c r="L60" i="28"/>
  <c r="M60" i="28"/>
  <c r="N60" i="28"/>
  <c r="O60" i="28"/>
  <c r="A61" i="28"/>
  <c r="B61" i="28"/>
  <c r="C61" i="28"/>
  <c r="D61" i="28"/>
  <c r="E61" i="28"/>
  <c r="F61" i="28"/>
  <c r="G61" i="28"/>
  <c r="H61" i="28"/>
  <c r="I61" i="28"/>
  <c r="J61" i="28"/>
  <c r="L61" i="28"/>
  <c r="M61" i="28"/>
  <c r="N61" i="28"/>
  <c r="O61" i="28"/>
  <c r="A62" i="28"/>
  <c r="B62" i="28"/>
  <c r="C62" i="28"/>
  <c r="D62" i="28"/>
  <c r="E62" i="28"/>
  <c r="F62" i="28"/>
  <c r="G62" i="28"/>
  <c r="H62" i="28"/>
  <c r="I62" i="28"/>
  <c r="J62" i="28"/>
  <c r="L62" i="28"/>
  <c r="M62" i="28"/>
  <c r="N62" i="28"/>
  <c r="O62" i="28"/>
  <c r="A63" i="28"/>
  <c r="B63" i="28"/>
  <c r="C63" i="28"/>
  <c r="D63" i="28"/>
  <c r="E63" i="28"/>
  <c r="F63" i="28"/>
  <c r="G63" i="28"/>
  <c r="H63" i="28"/>
  <c r="I63" i="28"/>
  <c r="J63" i="28"/>
  <c r="L63" i="28"/>
  <c r="M63" i="28"/>
  <c r="N63" i="28"/>
  <c r="O63" i="28"/>
  <c r="A64" i="28"/>
  <c r="B64" i="28"/>
  <c r="C64" i="28"/>
  <c r="D64" i="28"/>
  <c r="E64" i="28"/>
  <c r="F64" i="28"/>
  <c r="G64" i="28"/>
  <c r="H64" i="28"/>
  <c r="I64" i="28"/>
  <c r="J64" i="28"/>
  <c r="L64" i="28"/>
  <c r="M64" i="28"/>
  <c r="N64" i="28"/>
  <c r="O64" i="28"/>
  <c r="A65" i="28"/>
  <c r="B65" i="28"/>
  <c r="C65" i="28"/>
  <c r="D65" i="28"/>
  <c r="E65" i="28"/>
  <c r="F65" i="28"/>
  <c r="G65" i="28"/>
  <c r="H65" i="28"/>
  <c r="I65" i="28"/>
  <c r="J65" i="28"/>
  <c r="L65" i="28"/>
  <c r="M65" i="28"/>
  <c r="N65" i="28"/>
  <c r="O65" i="28"/>
  <c r="A66" i="28"/>
  <c r="B66" i="28"/>
  <c r="C66" i="28"/>
  <c r="D66" i="28"/>
  <c r="E66" i="28"/>
  <c r="F66" i="28"/>
  <c r="G66" i="28"/>
  <c r="H66" i="28"/>
  <c r="I66" i="28"/>
  <c r="J66" i="28"/>
  <c r="L66" i="28"/>
  <c r="M66" i="28"/>
  <c r="N66" i="28"/>
  <c r="O66" i="28"/>
  <c r="A67" i="28"/>
  <c r="B67" i="28"/>
  <c r="C67" i="28"/>
  <c r="D67" i="28"/>
  <c r="E67" i="28"/>
  <c r="F67" i="28"/>
  <c r="G67" i="28"/>
  <c r="H67" i="28"/>
  <c r="I67" i="28"/>
  <c r="J67" i="28"/>
  <c r="L67" i="28"/>
  <c r="M67" i="28"/>
  <c r="N67" i="28"/>
  <c r="O67" i="28"/>
  <c r="A68" i="28"/>
  <c r="B68" i="28"/>
  <c r="C68" i="28"/>
  <c r="D68" i="28"/>
  <c r="E68" i="28"/>
  <c r="F68" i="28"/>
  <c r="G68" i="28"/>
  <c r="H68" i="28"/>
  <c r="I68" i="28"/>
  <c r="J68" i="28"/>
  <c r="L68" i="28"/>
  <c r="M68" i="28"/>
  <c r="N68" i="28"/>
  <c r="O68" i="28"/>
  <c r="A69" i="28"/>
  <c r="B69" i="28"/>
  <c r="C69" i="28"/>
  <c r="D69" i="28"/>
  <c r="E69" i="28"/>
  <c r="F69" i="28"/>
  <c r="G69" i="28"/>
  <c r="H69" i="28"/>
  <c r="I69" i="28"/>
  <c r="J69" i="28"/>
  <c r="L69" i="28"/>
  <c r="M69" i="28"/>
  <c r="N69" i="28"/>
  <c r="O69" i="28"/>
  <c r="A70" i="28"/>
  <c r="B70" i="28"/>
  <c r="C70" i="28"/>
  <c r="D70" i="28"/>
  <c r="E70" i="28"/>
  <c r="F70" i="28"/>
  <c r="G70" i="28"/>
  <c r="H70" i="28"/>
  <c r="I70" i="28"/>
  <c r="J70" i="28"/>
  <c r="L70" i="28"/>
  <c r="M70" i="28"/>
  <c r="N70" i="28"/>
  <c r="O70" i="28"/>
  <c r="A71" i="28"/>
  <c r="B71" i="28"/>
  <c r="C71" i="28"/>
  <c r="D71" i="28"/>
  <c r="E71" i="28"/>
  <c r="F71" i="28"/>
  <c r="G71" i="28"/>
  <c r="H71" i="28"/>
  <c r="I71" i="28"/>
  <c r="J71" i="28"/>
  <c r="L71" i="28"/>
  <c r="M71" i="28"/>
  <c r="N71" i="28"/>
  <c r="O71" i="28"/>
  <c r="A72" i="28"/>
  <c r="B72" i="28"/>
  <c r="C72" i="28"/>
  <c r="D72" i="28"/>
  <c r="E72" i="28"/>
  <c r="F72" i="28"/>
  <c r="G72" i="28"/>
  <c r="H72" i="28"/>
  <c r="I72" i="28"/>
  <c r="J72" i="28"/>
  <c r="L72" i="28"/>
  <c r="M72" i="28"/>
  <c r="N72" i="28"/>
  <c r="O72" i="28"/>
  <c r="A73" i="28"/>
  <c r="B73" i="28"/>
  <c r="C73" i="28"/>
  <c r="D73" i="28"/>
  <c r="E73" i="28"/>
  <c r="F73" i="28"/>
  <c r="G73" i="28"/>
  <c r="H73" i="28"/>
  <c r="I73" i="28"/>
  <c r="J73" i="28"/>
  <c r="L73" i="28"/>
  <c r="M73" i="28"/>
  <c r="N73" i="28"/>
  <c r="O73" i="28"/>
  <c r="A74" i="28"/>
  <c r="B74" i="28"/>
  <c r="C74" i="28"/>
  <c r="D74" i="28"/>
  <c r="E74" i="28"/>
  <c r="F74" i="28"/>
  <c r="G74" i="28"/>
  <c r="H74" i="28"/>
  <c r="I74" i="28"/>
  <c r="J74" i="28"/>
  <c r="L74" i="28"/>
  <c r="M74" i="28"/>
  <c r="N74" i="28"/>
  <c r="O74" i="28"/>
  <c r="A75" i="28"/>
  <c r="B75" i="28"/>
  <c r="C75" i="28"/>
  <c r="D75" i="28"/>
  <c r="E75" i="28"/>
  <c r="F75" i="28"/>
  <c r="G75" i="28"/>
  <c r="H75" i="28"/>
  <c r="I75" i="28"/>
  <c r="J75" i="28"/>
  <c r="L75" i="28"/>
  <c r="M75" i="28"/>
  <c r="N75" i="28"/>
  <c r="O75" i="28"/>
  <c r="A76" i="28"/>
  <c r="B76" i="28"/>
  <c r="C76" i="28"/>
  <c r="D76" i="28"/>
  <c r="E76" i="28"/>
  <c r="F76" i="28"/>
  <c r="G76" i="28"/>
  <c r="H76" i="28"/>
  <c r="I76" i="28"/>
  <c r="J76" i="28"/>
  <c r="L76" i="28"/>
  <c r="M76" i="28"/>
  <c r="N76" i="28"/>
  <c r="O76" i="28"/>
  <c r="A77" i="28"/>
  <c r="B77" i="28"/>
  <c r="C77" i="28"/>
  <c r="D77" i="28"/>
  <c r="E77" i="28"/>
  <c r="F77" i="28"/>
  <c r="G77" i="28"/>
  <c r="H77" i="28"/>
  <c r="I77" i="28"/>
  <c r="J77" i="28"/>
  <c r="L77" i="28"/>
  <c r="M77" i="28"/>
  <c r="N77" i="28"/>
  <c r="O77" i="28"/>
  <c r="A78" i="28"/>
  <c r="B78" i="28"/>
  <c r="C78" i="28"/>
  <c r="D78" i="28"/>
  <c r="E78" i="28"/>
  <c r="F78" i="28"/>
  <c r="G78" i="28"/>
  <c r="H78" i="28"/>
  <c r="I78" i="28"/>
  <c r="J78" i="28"/>
  <c r="L78" i="28"/>
  <c r="M78" i="28"/>
  <c r="N78" i="28"/>
  <c r="O78" i="28"/>
  <c r="A79" i="28"/>
  <c r="B79" i="28"/>
  <c r="C79" i="28"/>
  <c r="D79" i="28"/>
  <c r="E79" i="28"/>
  <c r="F79" i="28"/>
  <c r="G79" i="28"/>
  <c r="H79" i="28"/>
  <c r="I79" i="28"/>
  <c r="J79" i="28"/>
  <c r="L79" i="28"/>
  <c r="M79" i="28"/>
  <c r="N79" i="28"/>
  <c r="O79" i="28"/>
  <c r="A80" i="28"/>
  <c r="B80" i="28"/>
  <c r="C80" i="28"/>
  <c r="D80" i="28"/>
  <c r="E80" i="28"/>
  <c r="F80" i="28"/>
  <c r="G80" i="28"/>
  <c r="H80" i="28"/>
  <c r="I80" i="28"/>
  <c r="J80" i="28"/>
  <c r="L80" i="28"/>
  <c r="M80" i="28"/>
  <c r="N80" i="28"/>
  <c r="O80" i="28"/>
  <c r="A81" i="28"/>
  <c r="B81" i="28"/>
  <c r="C81" i="28"/>
  <c r="D81" i="28"/>
  <c r="E81" i="28"/>
  <c r="F81" i="28"/>
  <c r="G81" i="28"/>
  <c r="H81" i="28"/>
  <c r="I81" i="28"/>
  <c r="J81" i="28"/>
  <c r="L81" i="28"/>
  <c r="M81" i="28"/>
  <c r="N81" i="28"/>
  <c r="O81" i="28"/>
  <c r="A82" i="28"/>
  <c r="B82" i="28"/>
  <c r="C82" i="28"/>
  <c r="D82" i="28"/>
  <c r="E82" i="28"/>
  <c r="F82" i="28"/>
  <c r="G82" i="28"/>
  <c r="H82" i="28"/>
  <c r="I82" i="28"/>
  <c r="J82" i="28"/>
  <c r="L82" i="28"/>
  <c r="M82" i="28"/>
  <c r="N82" i="28"/>
  <c r="O82" i="28"/>
  <c r="A83" i="28"/>
  <c r="B83" i="28"/>
  <c r="C83" i="28"/>
  <c r="D83" i="28"/>
  <c r="E83" i="28"/>
  <c r="F83" i="28"/>
  <c r="G83" i="28"/>
  <c r="H83" i="28"/>
  <c r="I83" i="28"/>
  <c r="J83" i="28"/>
  <c r="L83" i="28"/>
  <c r="M83" i="28"/>
  <c r="N83" i="28"/>
  <c r="O83" i="28"/>
  <c r="A84" i="28"/>
  <c r="B84" i="28"/>
  <c r="C84" i="28"/>
  <c r="D84" i="28"/>
  <c r="E84" i="28"/>
  <c r="F84" i="28"/>
  <c r="G84" i="28"/>
  <c r="H84" i="28"/>
  <c r="I84" i="28"/>
  <c r="J84" i="28"/>
  <c r="L84" i="28"/>
  <c r="M84" i="28"/>
  <c r="N84" i="28"/>
  <c r="O84" i="28"/>
  <c r="A85" i="28"/>
  <c r="B85" i="28"/>
  <c r="C85" i="28"/>
  <c r="D85" i="28"/>
  <c r="E85" i="28"/>
  <c r="F85" i="28"/>
  <c r="G85" i="28"/>
  <c r="H85" i="28"/>
  <c r="I85" i="28"/>
  <c r="J85" i="28"/>
  <c r="L85" i="28"/>
  <c r="M85" i="28"/>
  <c r="N85" i="28"/>
  <c r="O85" i="28"/>
  <c r="A86" i="28"/>
  <c r="B86" i="28"/>
  <c r="C86" i="28"/>
  <c r="D86" i="28"/>
  <c r="E86" i="28"/>
  <c r="F86" i="28"/>
  <c r="G86" i="28"/>
  <c r="H86" i="28"/>
  <c r="I86" i="28"/>
  <c r="J86" i="28"/>
  <c r="L86" i="28"/>
  <c r="M86" i="28"/>
  <c r="N86" i="28"/>
  <c r="O86" i="28"/>
  <c r="A87" i="28"/>
  <c r="B87" i="28"/>
  <c r="C87" i="28"/>
  <c r="D87" i="28"/>
  <c r="E87" i="28"/>
  <c r="F87" i="28"/>
  <c r="G87" i="28"/>
  <c r="H87" i="28"/>
  <c r="I87" i="28"/>
  <c r="J87" i="28"/>
  <c r="L87" i="28"/>
  <c r="M87" i="28"/>
  <c r="N87" i="28"/>
  <c r="O87" i="28"/>
  <c r="A88" i="28"/>
  <c r="B88" i="28"/>
  <c r="C88" i="28"/>
  <c r="D88" i="28"/>
  <c r="E88" i="28"/>
  <c r="F88" i="28"/>
  <c r="G88" i="28"/>
  <c r="H88" i="28"/>
  <c r="I88" i="28"/>
  <c r="J88" i="28"/>
  <c r="L88" i="28"/>
  <c r="M88" i="28"/>
  <c r="N88" i="28"/>
  <c r="O88" i="28"/>
  <c r="A89" i="28"/>
  <c r="B89" i="28"/>
  <c r="C89" i="28"/>
  <c r="D89" i="28"/>
  <c r="E89" i="28"/>
  <c r="F89" i="28"/>
  <c r="G89" i="28"/>
  <c r="H89" i="28"/>
  <c r="I89" i="28"/>
  <c r="J89" i="28"/>
  <c r="L89" i="28"/>
  <c r="M89" i="28"/>
  <c r="N89" i="28"/>
  <c r="O89" i="28"/>
  <c r="O3" i="28"/>
  <c r="N3" i="28"/>
  <c r="M3" i="28"/>
  <c r="L3" i="28"/>
  <c r="H3" i="28"/>
  <c r="G3" i="28"/>
  <c r="F3" i="28"/>
  <c r="E3" i="28"/>
  <c r="D3" i="28"/>
  <c r="C3" i="28"/>
  <c r="B3" i="28"/>
  <c r="A3" i="28"/>
  <c r="J3" i="28"/>
  <c r="I3" i="28"/>
  <c r="N3" i="3" l="1"/>
  <c r="O3" i="3"/>
  <c r="P3" i="3"/>
  <c r="Q3" i="3"/>
  <c r="R3" i="3"/>
  <c r="S3" i="3"/>
  <c r="N4" i="3"/>
  <c r="O4" i="3"/>
  <c r="P4" i="3"/>
  <c r="Q4" i="3"/>
  <c r="R4" i="3"/>
  <c r="S4" i="3"/>
  <c r="N5" i="3"/>
  <c r="O5" i="3"/>
  <c r="P5" i="3"/>
  <c r="Q5" i="3"/>
  <c r="R5" i="3"/>
  <c r="S5" i="3"/>
  <c r="N6" i="3"/>
  <c r="O6" i="3"/>
  <c r="P6" i="3"/>
  <c r="Q6" i="3"/>
  <c r="R6" i="3"/>
  <c r="S6" i="3"/>
  <c r="N7" i="3"/>
  <c r="O7" i="3"/>
  <c r="P7" i="3"/>
  <c r="Q7" i="3"/>
  <c r="R7" i="3"/>
  <c r="S7" i="3"/>
  <c r="N8" i="3"/>
  <c r="O8" i="3"/>
  <c r="P8" i="3"/>
  <c r="Q8" i="3"/>
  <c r="R8" i="3"/>
  <c r="S8" i="3"/>
  <c r="N9" i="3"/>
  <c r="O9" i="3"/>
  <c r="P9" i="3"/>
  <c r="Q9" i="3"/>
  <c r="R9" i="3"/>
  <c r="S9" i="3"/>
  <c r="N10" i="3"/>
  <c r="O10" i="3"/>
  <c r="P10" i="3"/>
  <c r="Q10" i="3"/>
  <c r="R10" i="3"/>
  <c r="S10" i="3"/>
  <c r="N11" i="3"/>
  <c r="O11" i="3"/>
  <c r="P11" i="3"/>
  <c r="Q11" i="3"/>
  <c r="R11" i="3"/>
  <c r="S11" i="3"/>
  <c r="N12" i="3"/>
  <c r="O12" i="3"/>
  <c r="P12" i="3"/>
  <c r="Q12" i="3"/>
  <c r="R12" i="3"/>
  <c r="S12" i="3"/>
  <c r="N13" i="3"/>
  <c r="O13" i="3"/>
  <c r="P13" i="3"/>
  <c r="Q13" i="3"/>
  <c r="R13" i="3"/>
  <c r="S13" i="3"/>
  <c r="N14" i="3"/>
  <c r="O14" i="3"/>
  <c r="P14" i="3"/>
  <c r="Q14" i="3"/>
  <c r="R14" i="3"/>
  <c r="S14" i="3"/>
  <c r="N15" i="3"/>
  <c r="O15" i="3"/>
  <c r="P15" i="3"/>
  <c r="Q15" i="3"/>
  <c r="R15" i="3"/>
  <c r="S15" i="3"/>
  <c r="N16" i="3"/>
  <c r="O16" i="3"/>
  <c r="P16" i="3"/>
  <c r="Q16" i="3"/>
  <c r="R16" i="3"/>
  <c r="S16" i="3"/>
  <c r="N17" i="3"/>
  <c r="O17" i="3"/>
  <c r="P17" i="3"/>
  <c r="Q17" i="3"/>
  <c r="R17" i="3"/>
  <c r="S17" i="3"/>
  <c r="N18" i="3"/>
  <c r="O18" i="3"/>
  <c r="P18" i="3"/>
  <c r="Q18" i="3"/>
  <c r="R18" i="3"/>
  <c r="S18" i="3"/>
  <c r="N19" i="3"/>
  <c r="O19" i="3"/>
  <c r="P19" i="3"/>
  <c r="Q19" i="3"/>
  <c r="R19" i="3"/>
  <c r="S19" i="3"/>
  <c r="N20" i="3"/>
  <c r="O20" i="3"/>
  <c r="P20" i="3"/>
  <c r="Q20" i="3"/>
  <c r="R20" i="3"/>
  <c r="S20" i="3"/>
  <c r="N21" i="3"/>
  <c r="O21" i="3"/>
  <c r="P21" i="3"/>
  <c r="Q21" i="3"/>
  <c r="R21" i="3"/>
  <c r="S21" i="3"/>
  <c r="N22" i="3"/>
  <c r="O22" i="3"/>
  <c r="P22" i="3"/>
  <c r="Q22" i="3"/>
  <c r="R22" i="3"/>
  <c r="S22" i="3"/>
  <c r="N23" i="3"/>
  <c r="O23" i="3"/>
  <c r="P23" i="3"/>
  <c r="Q23" i="3"/>
  <c r="R23" i="3"/>
  <c r="S23" i="3"/>
  <c r="N24" i="3"/>
  <c r="O24" i="3"/>
  <c r="P24" i="3"/>
  <c r="Q24" i="3"/>
  <c r="R24" i="3"/>
  <c r="S24" i="3"/>
  <c r="N25" i="3"/>
  <c r="O25" i="3"/>
  <c r="P25" i="3"/>
  <c r="Q25" i="3"/>
  <c r="R25" i="3"/>
  <c r="S25" i="3"/>
  <c r="N26" i="3"/>
  <c r="O26" i="3"/>
  <c r="P26" i="3"/>
  <c r="Q26" i="3"/>
  <c r="R26" i="3"/>
  <c r="S26" i="3"/>
  <c r="N27" i="3"/>
  <c r="O27" i="3"/>
  <c r="P27" i="3"/>
  <c r="Q27" i="3"/>
  <c r="R27" i="3"/>
  <c r="S27" i="3"/>
  <c r="N28" i="3"/>
  <c r="O28" i="3"/>
  <c r="P28" i="3"/>
  <c r="Q28" i="3"/>
  <c r="R28" i="3"/>
  <c r="S28" i="3"/>
  <c r="N29" i="3"/>
  <c r="O29" i="3"/>
  <c r="P29" i="3"/>
  <c r="Q29" i="3"/>
  <c r="R29" i="3"/>
  <c r="S29" i="3"/>
  <c r="N30" i="3"/>
  <c r="O30" i="3"/>
  <c r="P30" i="3"/>
  <c r="Q30" i="3"/>
  <c r="R30" i="3"/>
  <c r="S30" i="3"/>
  <c r="N31" i="3"/>
  <c r="O31" i="3"/>
  <c r="P31" i="3"/>
  <c r="Q31" i="3"/>
  <c r="R31" i="3"/>
  <c r="S31" i="3"/>
  <c r="N32" i="3"/>
  <c r="O32" i="3"/>
  <c r="P32" i="3"/>
  <c r="Q32" i="3"/>
  <c r="R32" i="3"/>
  <c r="S32" i="3"/>
  <c r="N33" i="3"/>
  <c r="O33" i="3"/>
  <c r="P33" i="3"/>
  <c r="Q33" i="3"/>
  <c r="R33" i="3"/>
  <c r="S33" i="3"/>
  <c r="N34" i="3"/>
  <c r="O34" i="3"/>
  <c r="P34" i="3"/>
  <c r="Q34" i="3"/>
  <c r="R34" i="3"/>
  <c r="S34" i="3"/>
  <c r="N35" i="3"/>
  <c r="O35" i="3"/>
  <c r="P35" i="3"/>
  <c r="Q35" i="3"/>
  <c r="R35" i="3"/>
  <c r="S35" i="3"/>
  <c r="N36" i="3"/>
  <c r="O36" i="3"/>
  <c r="P36" i="3"/>
  <c r="Q36" i="3"/>
  <c r="R36" i="3"/>
  <c r="S36" i="3"/>
  <c r="N37" i="3"/>
  <c r="O37" i="3"/>
  <c r="P37" i="3"/>
  <c r="Q37" i="3"/>
  <c r="R37" i="3"/>
  <c r="S37" i="3"/>
  <c r="N38" i="3"/>
  <c r="O38" i="3"/>
  <c r="P38" i="3"/>
  <c r="Q38" i="3"/>
  <c r="R38" i="3"/>
  <c r="S38" i="3"/>
  <c r="N39" i="3"/>
  <c r="O39" i="3"/>
  <c r="P39" i="3"/>
  <c r="Q39" i="3"/>
  <c r="R39" i="3"/>
  <c r="S39" i="3"/>
  <c r="N40" i="3"/>
  <c r="O40" i="3"/>
  <c r="P40" i="3"/>
  <c r="Q40" i="3"/>
  <c r="R40" i="3"/>
  <c r="S40" i="3"/>
  <c r="N41" i="3"/>
  <c r="O41" i="3"/>
  <c r="P41" i="3"/>
  <c r="Q41" i="3"/>
  <c r="R41" i="3"/>
  <c r="S41" i="3"/>
  <c r="N42" i="3"/>
  <c r="O42" i="3"/>
  <c r="P42" i="3"/>
  <c r="Q42" i="3"/>
  <c r="R42" i="3"/>
  <c r="S42" i="3"/>
  <c r="N43" i="3"/>
  <c r="O43" i="3"/>
  <c r="P43" i="3"/>
  <c r="Q43" i="3"/>
  <c r="R43" i="3"/>
  <c r="S43" i="3"/>
  <c r="N44" i="3"/>
  <c r="O44" i="3"/>
  <c r="P44" i="3"/>
  <c r="Q44" i="3"/>
  <c r="R44" i="3"/>
  <c r="S44" i="3"/>
  <c r="N45" i="3"/>
  <c r="O45" i="3"/>
  <c r="P45" i="3"/>
  <c r="Q45" i="3"/>
  <c r="R45" i="3"/>
  <c r="S45" i="3"/>
  <c r="N46" i="3"/>
  <c r="O46" i="3"/>
  <c r="P46" i="3"/>
  <c r="Q46" i="3"/>
  <c r="R46" i="3"/>
  <c r="S46" i="3"/>
  <c r="N47" i="3"/>
  <c r="O47" i="3"/>
  <c r="P47" i="3"/>
  <c r="Q47" i="3"/>
  <c r="R47" i="3"/>
  <c r="S47" i="3"/>
  <c r="N48" i="3"/>
  <c r="O48" i="3"/>
  <c r="P48" i="3"/>
  <c r="Q48" i="3"/>
  <c r="R48" i="3"/>
  <c r="S48" i="3"/>
  <c r="N49" i="3"/>
  <c r="O49" i="3"/>
  <c r="P49" i="3"/>
  <c r="Q49" i="3"/>
  <c r="R49" i="3"/>
  <c r="S49" i="3"/>
  <c r="N50" i="3"/>
  <c r="O50" i="3"/>
  <c r="P50" i="3"/>
  <c r="Q50" i="3"/>
  <c r="R50" i="3"/>
  <c r="S50" i="3"/>
  <c r="N51" i="3"/>
  <c r="O51" i="3"/>
  <c r="P51" i="3"/>
  <c r="Q51" i="3"/>
  <c r="R51" i="3"/>
  <c r="S51" i="3"/>
  <c r="N52" i="3"/>
  <c r="O52" i="3"/>
  <c r="P52" i="3"/>
  <c r="Q52" i="3"/>
  <c r="R52" i="3"/>
  <c r="S52" i="3"/>
  <c r="N53" i="3"/>
  <c r="O53" i="3"/>
  <c r="P53" i="3"/>
  <c r="Q53" i="3"/>
  <c r="R53" i="3"/>
  <c r="S53" i="3"/>
  <c r="N54" i="3"/>
  <c r="O54" i="3"/>
  <c r="P54" i="3"/>
  <c r="Q54" i="3"/>
  <c r="R54" i="3"/>
  <c r="S54" i="3"/>
  <c r="N55" i="3"/>
  <c r="O55" i="3"/>
  <c r="P55" i="3"/>
  <c r="Q55" i="3"/>
  <c r="R55" i="3"/>
  <c r="S55" i="3"/>
  <c r="N56" i="3"/>
  <c r="O56" i="3"/>
  <c r="P56" i="3"/>
  <c r="Q56" i="3"/>
  <c r="R56" i="3"/>
  <c r="S56" i="3"/>
  <c r="N57" i="3"/>
  <c r="O57" i="3"/>
  <c r="P57" i="3"/>
  <c r="Q57" i="3"/>
  <c r="R57" i="3"/>
  <c r="S57" i="3"/>
  <c r="N58" i="3"/>
  <c r="O58" i="3"/>
  <c r="P58" i="3"/>
  <c r="Q58" i="3"/>
  <c r="R58" i="3"/>
  <c r="S58" i="3"/>
  <c r="N59" i="3"/>
  <c r="O59" i="3"/>
  <c r="P59" i="3"/>
  <c r="Q59" i="3"/>
  <c r="R59" i="3"/>
  <c r="S59" i="3"/>
  <c r="N60" i="3"/>
  <c r="O60" i="3"/>
  <c r="P60" i="3"/>
  <c r="Q60" i="3"/>
  <c r="R60" i="3"/>
  <c r="S60" i="3"/>
  <c r="N61" i="3"/>
  <c r="O61" i="3"/>
  <c r="P61" i="3"/>
  <c r="Q61" i="3"/>
  <c r="R61" i="3"/>
  <c r="S61" i="3"/>
  <c r="N62" i="3"/>
  <c r="O62" i="3"/>
  <c r="P62" i="3"/>
  <c r="Q62" i="3"/>
  <c r="R62" i="3"/>
  <c r="S62" i="3"/>
  <c r="N63" i="3"/>
  <c r="O63" i="3"/>
  <c r="P63" i="3"/>
  <c r="Q63" i="3"/>
  <c r="R63" i="3"/>
  <c r="S63" i="3"/>
  <c r="N64" i="3"/>
  <c r="O64" i="3"/>
  <c r="P64" i="3"/>
  <c r="Q64" i="3"/>
  <c r="R64" i="3"/>
  <c r="S64" i="3"/>
  <c r="N65" i="3"/>
  <c r="O65" i="3"/>
  <c r="P65" i="3"/>
  <c r="Q65" i="3"/>
  <c r="R65" i="3"/>
  <c r="S65" i="3"/>
  <c r="N66" i="3"/>
  <c r="O66" i="3"/>
  <c r="P66" i="3"/>
  <c r="Q66" i="3"/>
  <c r="R66" i="3"/>
  <c r="S66" i="3"/>
  <c r="N67" i="3"/>
  <c r="O67" i="3"/>
  <c r="P67" i="3"/>
  <c r="Q67" i="3"/>
  <c r="R67" i="3"/>
  <c r="S67" i="3"/>
  <c r="N68" i="3"/>
  <c r="O68" i="3"/>
  <c r="P68" i="3"/>
  <c r="Q68" i="3"/>
  <c r="R68" i="3"/>
  <c r="S68" i="3"/>
  <c r="N69" i="3"/>
  <c r="O69" i="3"/>
  <c r="P69" i="3"/>
  <c r="Q69" i="3"/>
  <c r="R69" i="3"/>
  <c r="S69" i="3"/>
  <c r="N70" i="3"/>
  <c r="O70" i="3"/>
  <c r="P70" i="3"/>
  <c r="Q70" i="3"/>
  <c r="R70" i="3"/>
  <c r="S70" i="3"/>
  <c r="N71" i="3"/>
  <c r="O71" i="3"/>
  <c r="P71" i="3"/>
  <c r="Q71" i="3"/>
  <c r="R71" i="3"/>
  <c r="S71" i="3"/>
  <c r="N72" i="3"/>
  <c r="O72" i="3"/>
  <c r="P72" i="3"/>
  <c r="Q72" i="3"/>
  <c r="R72" i="3"/>
  <c r="S72" i="3"/>
  <c r="N73" i="3"/>
  <c r="O73" i="3"/>
  <c r="P73" i="3"/>
  <c r="Q73" i="3"/>
  <c r="R73" i="3"/>
  <c r="S73" i="3"/>
  <c r="N74" i="3"/>
  <c r="O74" i="3"/>
  <c r="P74" i="3"/>
  <c r="Q74" i="3"/>
  <c r="R74" i="3"/>
  <c r="S74" i="3"/>
  <c r="N75" i="3"/>
  <c r="O75" i="3"/>
  <c r="P75" i="3"/>
  <c r="Q75" i="3"/>
  <c r="R75" i="3"/>
  <c r="S75" i="3"/>
  <c r="N76" i="3"/>
  <c r="O76" i="3"/>
  <c r="P76" i="3"/>
  <c r="Q76" i="3"/>
  <c r="R76" i="3"/>
  <c r="S76" i="3"/>
  <c r="N77" i="3"/>
  <c r="O77" i="3"/>
  <c r="P77" i="3"/>
  <c r="Q77" i="3"/>
  <c r="R77" i="3"/>
  <c r="S77" i="3"/>
  <c r="N78" i="3"/>
  <c r="O78" i="3"/>
  <c r="P78" i="3"/>
  <c r="Q78" i="3"/>
  <c r="R78" i="3"/>
  <c r="S78" i="3"/>
  <c r="N79" i="3"/>
  <c r="O79" i="3"/>
  <c r="P79" i="3"/>
  <c r="Q79" i="3"/>
  <c r="R79" i="3"/>
  <c r="S79" i="3"/>
  <c r="N80" i="3"/>
  <c r="O80" i="3"/>
  <c r="P80" i="3"/>
  <c r="Q80" i="3"/>
  <c r="R80" i="3"/>
  <c r="S80" i="3"/>
  <c r="N81" i="3"/>
  <c r="O81" i="3"/>
  <c r="P81" i="3"/>
  <c r="Q81" i="3"/>
  <c r="R81" i="3"/>
  <c r="S81" i="3"/>
  <c r="N82" i="3"/>
  <c r="O82" i="3"/>
  <c r="P82" i="3"/>
  <c r="Q82" i="3"/>
  <c r="R82" i="3"/>
  <c r="S82" i="3"/>
  <c r="N83" i="3"/>
  <c r="O83" i="3"/>
  <c r="P83" i="3"/>
  <c r="Q83" i="3"/>
  <c r="R83" i="3"/>
  <c r="S83" i="3"/>
  <c r="N84" i="3"/>
  <c r="O84" i="3"/>
  <c r="P84" i="3"/>
  <c r="Q84" i="3"/>
  <c r="R84" i="3"/>
  <c r="S84" i="3"/>
  <c r="N85" i="3"/>
  <c r="O85" i="3"/>
  <c r="P85" i="3"/>
  <c r="Q85" i="3"/>
  <c r="R85" i="3"/>
  <c r="S85" i="3"/>
  <c r="N86" i="3"/>
  <c r="O86" i="3"/>
  <c r="P86" i="3"/>
  <c r="Q86" i="3"/>
  <c r="R86" i="3"/>
  <c r="S86" i="3"/>
  <c r="N87" i="3"/>
  <c r="O87" i="3"/>
  <c r="P87" i="3"/>
  <c r="Q87" i="3"/>
  <c r="R87" i="3"/>
  <c r="S87" i="3"/>
  <c r="N88" i="3"/>
  <c r="O88" i="3"/>
  <c r="P88" i="3"/>
  <c r="Q88" i="3"/>
  <c r="R88" i="3"/>
  <c r="S88" i="3"/>
  <c r="N89" i="3"/>
  <c r="O89" i="3"/>
  <c r="P89" i="3"/>
  <c r="Q89" i="3"/>
  <c r="R89" i="3"/>
  <c r="S89" i="3"/>
  <c r="N90" i="3"/>
  <c r="O90" i="3"/>
  <c r="P90" i="3"/>
  <c r="Q90" i="3"/>
  <c r="R90" i="3"/>
  <c r="S90" i="3"/>
  <c r="N91" i="3"/>
  <c r="O91" i="3"/>
  <c r="P91" i="3"/>
  <c r="Q91" i="3"/>
  <c r="R91" i="3"/>
  <c r="S91" i="3"/>
  <c r="N92" i="3"/>
  <c r="O92" i="3"/>
  <c r="P92" i="3"/>
  <c r="Q92" i="3"/>
  <c r="R92" i="3"/>
  <c r="S92" i="3"/>
  <c r="N93" i="3"/>
  <c r="O93" i="3"/>
  <c r="P93" i="3"/>
  <c r="Q93" i="3"/>
  <c r="R93" i="3"/>
  <c r="S93" i="3"/>
  <c r="N94" i="3"/>
  <c r="O94" i="3"/>
  <c r="P94" i="3"/>
  <c r="Q94" i="3"/>
  <c r="R94" i="3"/>
  <c r="S94" i="3"/>
  <c r="N95" i="3"/>
  <c r="O95" i="3"/>
  <c r="P95" i="3"/>
  <c r="Q95" i="3"/>
  <c r="R95" i="3"/>
  <c r="S95" i="3"/>
  <c r="N96" i="3"/>
  <c r="O96" i="3"/>
  <c r="P96" i="3"/>
  <c r="Q96" i="3"/>
  <c r="R96" i="3"/>
  <c r="S96" i="3"/>
  <c r="N97" i="3"/>
  <c r="O97" i="3"/>
  <c r="P97" i="3"/>
  <c r="Q97" i="3"/>
  <c r="R97" i="3"/>
  <c r="S97" i="3"/>
  <c r="N98" i="3"/>
  <c r="O98" i="3"/>
  <c r="P98" i="3"/>
  <c r="Q98" i="3"/>
  <c r="R98" i="3"/>
  <c r="S98" i="3"/>
  <c r="N99" i="3"/>
  <c r="O99" i="3"/>
  <c r="P99" i="3"/>
  <c r="Q99" i="3"/>
  <c r="R99" i="3"/>
  <c r="S99" i="3"/>
  <c r="N100" i="3"/>
  <c r="O100" i="3"/>
  <c r="P100" i="3"/>
  <c r="Q100" i="3"/>
  <c r="R100" i="3"/>
  <c r="S100" i="3"/>
  <c r="N101" i="3"/>
  <c r="O101" i="3"/>
  <c r="P101" i="3"/>
  <c r="Q101" i="3"/>
  <c r="R101" i="3"/>
  <c r="S101" i="3"/>
  <c r="N102" i="3"/>
  <c r="O102" i="3"/>
  <c r="P102" i="3"/>
  <c r="Q102" i="3"/>
  <c r="R102" i="3"/>
  <c r="S102" i="3"/>
  <c r="N103" i="3"/>
  <c r="O103" i="3"/>
  <c r="P103" i="3"/>
  <c r="Q103" i="3"/>
  <c r="R103" i="3"/>
  <c r="S103" i="3"/>
  <c r="N104" i="3"/>
  <c r="O104" i="3"/>
  <c r="P104" i="3"/>
  <c r="Q104" i="3"/>
  <c r="R104" i="3"/>
  <c r="S104" i="3"/>
  <c r="N105" i="3"/>
  <c r="O105" i="3"/>
  <c r="P105" i="3"/>
  <c r="Q105" i="3"/>
  <c r="R105" i="3"/>
  <c r="S105" i="3"/>
  <c r="N106" i="3"/>
  <c r="O106" i="3"/>
  <c r="P106" i="3"/>
  <c r="Q106" i="3"/>
  <c r="R106" i="3"/>
  <c r="S106" i="3"/>
  <c r="N107" i="3"/>
  <c r="O107" i="3"/>
  <c r="P107" i="3"/>
  <c r="Q107" i="3"/>
  <c r="R107" i="3"/>
  <c r="S107" i="3"/>
  <c r="N108" i="3"/>
  <c r="O108" i="3"/>
  <c r="P108" i="3"/>
  <c r="Q108" i="3"/>
  <c r="R108" i="3"/>
  <c r="S108" i="3"/>
  <c r="N109" i="3"/>
  <c r="O109" i="3"/>
  <c r="P109" i="3"/>
  <c r="Q109" i="3"/>
  <c r="R109" i="3"/>
  <c r="S109" i="3"/>
  <c r="N110" i="3"/>
  <c r="O110" i="3"/>
  <c r="P110" i="3"/>
  <c r="Q110" i="3"/>
  <c r="R110" i="3"/>
  <c r="S110" i="3"/>
  <c r="N111" i="3"/>
  <c r="O111" i="3"/>
  <c r="P111" i="3"/>
  <c r="Q111" i="3"/>
  <c r="R111" i="3"/>
  <c r="S111" i="3"/>
  <c r="N112" i="3"/>
  <c r="O112" i="3"/>
  <c r="P112" i="3"/>
  <c r="Q112" i="3"/>
  <c r="R112" i="3"/>
  <c r="S112" i="3"/>
  <c r="N113" i="3"/>
  <c r="O113" i="3"/>
  <c r="P113" i="3"/>
  <c r="Q113" i="3"/>
  <c r="R113" i="3"/>
  <c r="S113" i="3"/>
  <c r="N114" i="3"/>
  <c r="O114" i="3"/>
  <c r="P114" i="3"/>
  <c r="Q114" i="3"/>
  <c r="R114" i="3"/>
  <c r="S114" i="3"/>
  <c r="N115" i="3"/>
  <c r="O115" i="3"/>
  <c r="P115" i="3"/>
  <c r="Q115" i="3"/>
  <c r="R115" i="3"/>
  <c r="S115" i="3"/>
  <c r="N116" i="3"/>
  <c r="O116" i="3"/>
  <c r="P116" i="3"/>
  <c r="Q116" i="3"/>
  <c r="R116" i="3"/>
  <c r="S116" i="3"/>
  <c r="N117" i="3"/>
  <c r="O117" i="3"/>
  <c r="P117" i="3"/>
  <c r="Q117" i="3"/>
  <c r="R117" i="3"/>
  <c r="S117" i="3"/>
  <c r="N118" i="3"/>
  <c r="O118" i="3"/>
  <c r="P118" i="3"/>
  <c r="Q118" i="3"/>
  <c r="R118" i="3"/>
  <c r="S118" i="3"/>
  <c r="N119" i="3"/>
  <c r="O119" i="3"/>
  <c r="P119" i="3"/>
  <c r="Q119" i="3"/>
  <c r="R119" i="3"/>
  <c r="S119" i="3"/>
  <c r="N120" i="3"/>
  <c r="O120" i="3"/>
  <c r="P120" i="3"/>
  <c r="Q120" i="3"/>
  <c r="R120" i="3"/>
  <c r="S120" i="3"/>
  <c r="N121" i="3"/>
  <c r="O121" i="3"/>
  <c r="P121" i="3"/>
  <c r="Q121" i="3"/>
  <c r="R121" i="3"/>
  <c r="S121" i="3"/>
  <c r="N122" i="3"/>
  <c r="O122" i="3"/>
  <c r="P122" i="3"/>
  <c r="Q122" i="3"/>
  <c r="R122" i="3"/>
  <c r="S122" i="3"/>
  <c r="N123" i="3"/>
  <c r="O123" i="3"/>
  <c r="P123" i="3"/>
  <c r="Q123" i="3"/>
  <c r="R123" i="3"/>
  <c r="S123" i="3"/>
  <c r="N124" i="3"/>
  <c r="O124" i="3"/>
  <c r="P124" i="3"/>
  <c r="Q124" i="3"/>
  <c r="R124" i="3"/>
  <c r="S124" i="3"/>
  <c r="N125" i="3"/>
  <c r="O125" i="3"/>
  <c r="P125" i="3"/>
  <c r="Q125" i="3"/>
  <c r="R125" i="3"/>
  <c r="S125" i="3"/>
  <c r="N126" i="3"/>
  <c r="O126" i="3"/>
  <c r="P126" i="3"/>
  <c r="Q126" i="3"/>
  <c r="R126" i="3"/>
  <c r="S126" i="3"/>
  <c r="N127" i="3"/>
  <c r="O127" i="3"/>
  <c r="P127" i="3"/>
  <c r="Q127" i="3"/>
  <c r="R127" i="3"/>
  <c r="S127" i="3"/>
  <c r="N128" i="3"/>
  <c r="O128" i="3"/>
  <c r="P128" i="3"/>
  <c r="Q128" i="3"/>
  <c r="R128" i="3"/>
  <c r="S128" i="3"/>
  <c r="N129" i="3"/>
  <c r="O129" i="3"/>
  <c r="P129" i="3"/>
  <c r="Q129" i="3"/>
  <c r="R129" i="3"/>
  <c r="S129" i="3"/>
  <c r="N130" i="3"/>
  <c r="O130" i="3"/>
  <c r="P130" i="3"/>
  <c r="Q130" i="3"/>
  <c r="R130" i="3"/>
  <c r="S130" i="3"/>
  <c r="N131" i="3"/>
  <c r="O131" i="3"/>
  <c r="P131" i="3"/>
  <c r="Q131" i="3"/>
  <c r="R131" i="3"/>
  <c r="S131" i="3"/>
  <c r="N132" i="3"/>
  <c r="O132" i="3"/>
  <c r="P132" i="3"/>
  <c r="Q132" i="3"/>
  <c r="R132" i="3"/>
  <c r="S132" i="3"/>
  <c r="N133" i="3"/>
  <c r="O133" i="3"/>
  <c r="P133" i="3"/>
  <c r="Q133" i="3"/>
  <c r="R133" i="3"/>
  <c r="S133" i="3"/>
  <c r="N134" i="3"/>
  <c r="O134" i="3"/>
  <c r="P134" i="3"/>
  <c r="Q134" i="3"/>
  <c r="R134" i="3"/>
  <c r="S134" i="3"/>
  <c r="N135" i="3"/>
  <c r="O135" i="3"/>
  <c r="P135" i="3"/>
  <c r="Q135" i="3"/>
  <c r="R135" i="3"/>
  <c r="S135" i="3"/>
  <c r="N136" i="3"/>
  <c r="O136" i="3"/>
  <c r="P136" i="3"/>
  <c r="Q136" i="3"/>
  <c r="R136" i="3"/>
  <c r="S136" i="3"/>
  <c r="N137" i="3"/>
  <c r="O137" i="3"/>
  <c r="P137" i="3"/>
  <c r="Q137" i="3"/>
  <c r="R137" i="3"/>
  <c r="S137" i="3"/>
  <c r="N138" i="3"/>
  <c r="O138" i="3"/>
  <c r="P138" i="3"/>
  <c r="Q138" i="3"/>
  <c r="R138" i="3"/>
  <c r="S138" i="3"/>
  <c r="N139" i="3"/>
  <c r="O139" i="3"/>
  <c r="P139" i="3"/>
  <c r="Q139" i="3"/>
  <c r="R139" i="3"/>
  <c r="S139" i="3"/>
  <c r="N140" i="3"/>
  <c r="O140" i="3"/>
  <c r="P140" i="3"/>
  <c r="Q140" i="3"/>
  <c r="R140" i="3"/>
  <c r="S140" i="3"/>
  <c r="N141" i="3"/>
  <c r="O141" i="3"/>
  <c r="P141" i="3"/>
  <c r="Q141" i="3"/>
  <c r="R141" i="3"/>
  <c r="S141" i="3"/>
  <c r="N142" i="3"/>
  <c r="O142" i="3"/>
  <c r="P142" i="3"/>
  <c r="Q142" i="3"/>
  <c r="R142" i="3"/>
  <c r="S142" i="3"/>
  <c r="N143" i="3"/>
  <c r="O143" i="3"/>
  <c r="P143" i="3"/>
  <c r="Q143" i="3"/>
  <c r="R143" i="3"/>
  <c r="S143" i="3"/>
  <c r="N144" i="3"/>
  <c r="O144" i="3"/>
  <c r="P144" i="3"/>
  <c r="Q144" i="3"/>
  <c r="R144" i="3"/>
  <c r="S144" i="3"/>
  <c r="N145" i="3"/>
  <c r="O145" i="3"/>
  <c r="P145" i="3"/>
  <c r="Q145" i="3"/>
  <c r="R145" i="3"/>
  <c r="S145" i="3"/>
  <c r="N146" i="3"/>
  <c r="O146" i="3"/>
  <c r="P146" i="3"/>
  <c r="Q146" i="3"/>
  <c r="R146" i="3"/>
  <c r="S146" i="3"/>
  <c r="N147" i="3"/>
  <c r="O147" i="3"/>
  <c r="P147" i="3"/>
  <c r="Q147" i="3"/>
  <c r="R147" i="3"/>
  <c r="S147" i="3"/>
  <c r="N148" i="3"/>
  <c r="O148" i="3"/>
  <c r="P148" i="3"/>
  <c r="Q148" i="3"/>
  <c r="R148" i="3"/>
  <c r="S148" i="3"/>
  <c r="N149" i="3"/>
  <c r="O149" i="3"/>
  <c r="P149" i="3"/>
  <c r="Q149" i="3"/>
  <c r="R149" i="3"/>
  <c r="S149" i="3"/>
  <c r="N150" i="3"/>
  <c r="O150" i="3"/>
  <c r="P150" i="3"/>
  <c r="Q150" i="3"/>
  <c r="R150" i="3"/>
  <c r="S150" i="3"/>
  <c r="N151" i="3"/>
  <c r="O151" i="3"/>
  <c r="P151" i="3"/>
  <c r="Q151" i="3"/>
  <c r="R151" i="3"/>
  <c r="S151" i="3"/>
  <c r="N152" i="3"/>
  <c r="O152" i="3"/>
  <c r="P152" i="3"/>
  <c r="Q152" i="3"/>
  <c r="R152" i="3"/>
  <c r="S152" i="3"/>
  <c r="N153" i="3"/>
  <c r="O153" i="3"/>
  <c r="P153" i="3"/>
  <c r="Q153" i="3"/>
  <c r="R153" i="3"/>
  <c r="S153" i="3"/>
  <c r="N154" i="3"/>
  <c r="O154" i="3"/>
  <c r="P154" i="3"/>
  <c r="Q154" i="3"/>
  <c r="R154" i="3"/>
  <c r="S154" i="3"/>
  <c r="N155" i="3"/>
  <c r="O155" i="3"/>
  <c r="P155" i="3"/>
  <c r="Q155" i="3"/>
  <c r="R155" i="3"/>
  <c r="S155" i="3"/>
  <c r="N156" i="3"/>
  <c r="O156" i="3"/>
  <c r="P156" i="3"/>
  <c r="Q156" i="3"/>
  <c r="R156" i="3"/>
  <c r="S156" i="3"/>
  <c r="N157" i="3"/>
  <c r="O157" i="3"/>
  <c r="P157" i="3"/>
  <c r="Q157" i="3"/>
  <c r="R157" i="3"/>
  <c r="S157" i="3"/>
  <c r="N158" i="3"/>
  <c r="O158" i="3"/>
  <c r="P158" i="3"/>
  <c r="Q158" i="3"/>
  <c r="R158" i="3"/>
  <c r="S158" i="3"/>
  <c r="N159" i="3"/>
  <c r="O159" i="3"/>
  <c r="P159" i="3"/>
  <c r="Q159" i="3"/>
  <c r="R159" i="3"/>
  <c r="S159" i="3"/>
  <c r="N160" i="3"/>
  <c r="O160" i="3"/>
  <c r="P160" i="3"/>
  <c r="Q160" i="3"/>
  <c r="R160" i="3"/>
  <c r="S160" i="3"/>
  <c r="N161" i="3"/>
  <c r="O161" i="3"/>
  <c r="P161" i="3"/>
  <c r="Q161" i="3"/>
  <c r="R161" i="3"/>
  <c r="S161" i="3"/>
  <c r="N162" i="3"/>
  <c r="O162" i="3"/>
  <c r="P162" i="3"/>
  <c r="Q162" i="3"/>
  <c r="R162" i="3"/>
  <c r="S162" i="3"/>
  <c r="N163" i="3"/>
  <c r="O163" i="3"/>
  <c r="P163" i="3"/>
  <c r="Q163" i="3"/>
  <c r="R163" i="3"/>
  <c r="S163" i="3"/>
  <c r="N164" i="3"/>
  <c r="O164" i="3"/>
  <c r="P164" i="3"/>
  <c r="Q164" i="3"/>
  <c r="R164" i="3"/>
  <c r="S164" i="3"/>
  <c r="N165" i="3"/>
  <c r="O165" i="3"/>
  <c r="P165" i="3"/>
  <c r="Q165" i="3"/>
  <c r="R165" i="3"/>
  <c r="S165" i="3"/>
  <c r="N166" i="3"/>
  <c r="O166" i="3"/>
  <c r="P166" i="3"/>
  <c r="Q166" i="3"/>
  <c r="R166" i="3"/>
  <c r="S166" i="3"/>
  <c r="N167" i="3"/>
  <c r="O167" i="3"/>
  <c r="P167" i="3"/>
  <c r="Q167" i="3"/>
  <c r="R167" i="3"/>
  <c r="S167" i="3"/>
  <c r="N168" i="3"/>
  <c r="O168" i="3"/>
  <c r="P168" i="3"/>
  <c r="Q168" i="3"/>
  <c r="R168" i="3"/>
  <c r="S168" i="3"/>
  <c r="N169" i="3"/>
  <c r="O169" i="3"/>
  <c r="P169" i="3"/>
  <c r="Q169" i="3"/>
  <c r="R169" i="3"/>
  <c r="S169" i="3"/>
  <c r="N170" i="3"/>
  <c r="O170" i="3"/>
  <c r="P170" i="3"/>
  <c r="Q170" i="3"/>
  <c r="R170" i="3"/>
  <c r="S170" i="3"/>
  <c r="N171" i="3"/>
  <c r="O171" i="3"/>
  <c r="P171" i="3"/>
  <c r="Q171" i="3"/>
  <c r="R171" i="3"/>
  <c r="S171" i="3"/>
  <c r="N172" i="3"/>
  <c r="O172" i="3"/>
  <c r="P172" i="3"/>
  <c r="Q172" i="3"/>
  <c r="R172" i="3"/>
  <c r="S172" i="3"/>
  <c r="N173" i="3"/>
  <c r="O173" i="3"/>
  <c r="P173" i="3"/>
  <c r="Q173" i="3"/>
  <c r="R173" i="3"/>
  <c r="S173" i="3"/>
  <c r="N174" i="3"/>
  <c r="O174" i="3"/>
  <c r="P174" i="3"/>
  <c r="Q174" i="3"/>
  <c r="R174" i="3"/>
  <c r="S174" i="3"/>
  <c r="N175" i="3"/>
  <c r="O175" i="3"/>
  <c r="P175" i="3"/>
  <c r="Q175" i="3"/>
  <c r="R175" i="3"/>
  <c r="S175" i="3"/>
  <c r="N176" i="3"/>
  <c r="O176" i="3"/>
  <c r="P176" i="3"/>
  <c r="Q176" i="3"/>
  <c r="R176" i="3"/>
  <c r="S176" i="3"/>
  <c r="N177" i="3"/>
  <c r="O177" i="3"/>
  <c r="P177" i="3"/>
  <c r="Q177" i="3"/>
  <c r="R177" i="3"/>
  <c r="S177" i="3"/>
  <c r="N178" i="3"/>
  <c r="O178" i="3"/>
  <c r="P178" i="3"/>
  <c r="Q178" i="3"/>
  <c r="R178" i="3"/>
  <c r="S178" i="3"/>
  <c r="N179" i="3"/>
  <c r="O179" i="3"/>
  <c r="P179" i="3"/>
  <c r="Q179" i="3"/>
  <c r="R179" i="3"/>
  <c r="S179" i="3"/>
  <c r="N180" i="3"/>
  <c r="O180" i="3"/>
  <c r="P180" i="3"/>
  <c r="Q180" i="3"/>
  <c r="R180" i="3"/>
  <c r="S180" i="3"/>
  <c r="N181" i="3"/>
  <c r="O181" i="3"/>
  <c r="P181" i="3"/>
  <c r="Q181" i="3"/>
  <c r="R181" i="3"/>
  <c r="S181" i="3"/>
  <c r="N182" i="3"/>
  <c r="O182" i="3"/>
  <c r="P182" i="3"/>
  <c r="Q182" i="3"/>
  <c r="R182" i="3"/>
  <c r="S182" i="3"/>
  <c r="N183" i="3"/>
  <c r="O183" i="3"/>
  <c r="P183" i="3"/>
  <c r="Q183" i="3"/>
  <c r="R183" i="3"/>
  <c r="S183" i="3"/>
  <c r="N184" i="3"/>
  <c r="O184" i="3"/>
  <c r="P184" i="3"/>
  <c r="Q184" i="3"/>
  <c r="R184" i="3"/>
  <c r="S184" i="3"/>
  <c r="N185" i="3"/>
  <c r="O185" i="3"/>
  <c r="P185" i="3"/>
  <c r="Q185" i="3"/>
  <c r="R185" i="3"/>
  <c r="S185" i="3"/>
  <c r="N186" i="3"/>
  <c r="O186" i="3"/>
  <c r="P186" i="3"/>
  <c r="Q186" i="3"/>
  <c r="R186" i="3"/>
  <c r="S186" i="3"/>
  <c r="N187" i="3"/>
  <c r="O187" i="3"/>
  <c r="P187" i="3"/>
  <c r="Q187" i="3"/>
  <c r="R187" i="3"/>
  <c r="S187" i="3"/>
  <c r="N188" i="3"/>
  <c r="O188" i="3"/>
  <c r="P188" i="3"/>
  <c r="Q188" i="3"/>
  <c r="R188" i="3"/>
  <c r="S188" i="3"/>
  <c r="N189" i="3"/>
  <c r="O189" i="3"/>
  <c r="P189" i="3"/>
  <c r="Q189" i="3"/>
  <c r="R189" i="3"/>
  <c r="S189" i="3"/>
  <c r="N190" i="3"/>
  <c r="O190" i="3"/>
  <c r="P190" i="3"/>
  <c r="Q190" i="3"/>
  <c r="R190" i="3"/>
  <c r="S190" i="3"/>
  <c r="N191" i="3"/>
  <c r="O191" i="3"/>
  <c r="P191" i="3"/>
  <c r="Q191" i="3"/>
  <c r="R191" i="3"/>
  <c r="S191" i="3"/>
  <c r="N192" i="3"/>
  <c r="O192" i="3"/>
  <c r="P192" i="3"/>
  <c r="Q192" i="3"/>
  <c r="R192" i="3"/>
  <c r="S192" i="3"/>
  <c r="N193" i="3"/>
  <c r="O193" i="3"/>
  <c r="P193" i="3"/>
  <c r="Q193" i="3"/>
  <c r="R193" i="3"/>
  <c r="S193" i="3"/>
  <c r="N194" i="3"/>
  <c r="O194" i="3"/>
  <c r="P194" i="3"/>
  <c r="Q194" i="3"/>
  <c r="R194" i="3"/>
  <c r="S194" i="3"/>
  <c r="N195" i="3"/>
  <c r="O195" i="3"/>
  <c r="P195" i="3"/>
  <c r="Q195" i="3"/>
  <c r="R195" i="3"/>
  <c r="S195" i="3"/>
  <c r="N196" i="3"/>
  <c r="O196" i="3"/>
  <c r="P196" i="3"/>
  <c r="Q196" i="3"/>
  <c r="R196" i="3"/>
  <c r="S196" i="3"/>
  <c r="N197" i="3"/>
  <c r="O197" i="3"/>
  <c r="P197" i="3"/>
  <c r="Q197" i="3"/>
  <c r="R197" i="3"/>
  <c r="S197" i="3"/>
  <c r="N198" i="3"/>
  <c r="O198" i="3"/>
  <c r="P198" i="3"/>
  <c r="Q198" i="3"/>
  <c r="R198" i="3"/>
  <c r="S198" i="3"/>
  <c r="N199" i="3"/>
  <c r="O199" i="3"/>
  <c r="P199" i="3"/>
  <c r="Q199" i="3"/>
  <c r="R199" i="3"/>
  <c r="S199" i="3"/>
  <c r="N200" i="3"/>
  <c r="O200" i="3"/>
  <c r="P200" i="3"/>
  <c r="Q200" i="3"/>
  <c r="R200" i="3"/>
  <c r="S200" i="3"/>
  <c r="N201" i="3"/>
  <c r="O201" i="3"/>
  <c r="P201" i="3"/>
  <c r="Q201" i="3"/>
  <c r="R201" i="3"/>
  <c r="S201" i="3"/>
  <c r="N202" i="3"/>
  <c r="O202" i="3"/>
  <c r="P202" i="3"/>
  <c r="Q202" i="3"/>
  <c r="R202" i="3"/>
  <c r="S202" i="3"/>
  <c r="N203" i="3"/>
  <c r="O203" i="3"/>
  <c r="P203" i="3"/>
  <c r="Q203" i="3"/>
  <c r="R203" i="3"/>
  <c r="S203" i="3"/>
  <c r="N204" i="3"/>
  <c r="O204" i="3"/>
  <c r="P204" i="3"/>
  <c r="Q204" i="3"/>
  <c r="R204" i="3"/>
  <c r="S204" i="3"/>
  <c r="N205" i="3"/>
  <c r="O205" i="3"/>
  <c r="P205" i="3"/>
  <c r="Q205" i="3"/>
  <c r="R205" i="3"/>
  <c r="S205" i="3"/>
  <c r="N206" i="3"/>
  <c r="O206" i="3"/>
  <c r="P206" i="3"/>
  <c r="Q206" i="3"/>
  <c r="R206" i="3"/>
  <c r="S206" i="3"/>
  <c r="N207" i="3"/>
  <c r="O207" i="3"/>
  <c r="P207" i="3"/>
  <c r="Q207" i="3"/>
  <c r="R207" i="3"/>
  <c r="S207" i="3"/>
  <c r="N208" i="3"/>
  <c r="O208" i="3"/>
  <c r="P208" i="3"/>
  <c r="Q208" i="3"/>
  <c r="R208" i="3"/>
  <c r="S208" i="3"/>
  <c r="N209" i="3"/>
  <c r="O209" i="3"/>
  <c r="P209" i="3"/>
  <c r="Q209" i="3"/>
  <c r="R209" i="3"/>
  <c r="S209" i="3"/>
  <c r="N210" i="3"/>
  <c r="O210" i="3"/>
  <c r="P210" i="3"/>
  <c r="Q210" i="3"/>
  <c r="R210" i="3"/>
  <c r="S210" i="3"/>
  <c r="N211" i="3"/>
  <c r="O211" i="3"/>
  <c r="P211" i="3"/>
  <c r="Q211" i="3"/>
  <c r="R211" i="3"/>
  <c r="S211" i="3"/>
  <c r="N212" i="3"/>
  <c r="O212" i="3"/>
  <c r="P212" i="3"/>
  <c r="Q212" i="3"/>
  <c r="R212" i="3"/>
  <c r="S212" i="3"/>
  <c r="N213" i="3"/>
  <c r="O213" i="3"/>
  <c r="P213" i="3"/>
  <c r="Q213" i="3"/>
  <c r="R213" i="3"/>
  <c r="S213" i="3"/>
  <c r="N214" i="3"/>
  <c r="O214" i="3"/>
  <c r="P214" i="3"/>
  <c r="Q214" i="3"/>
  <c r="R214" i="3"/>
  <c r="S214" i="3"/>
  <c r="N215" i="3"/>
  <c r="O215" i="3"/>
  <c r="P215" i="3"/>
  <c r="Q215" i="3"/>
  <c r="R215" i="3"/>
  <c r="S215" i="3"/>
  <c r="N216" i="3"/>
  <c r="O216" i="3"/>
  <c r="P216" i="3"/>
  <c r="Q216" i="3"/>
  <c r="R216" i="3"/>
  <c r="S216" i="3"/>
  <c r="N217" i="3"/>
  <c r="O217" i="3"/>
  <c r="P217" i="3"/>
  <c r="Q217" i="3"/>
  <c r="R217" i="3"/>
  <c r="S217" i="3"/>
  <c r="N218" i="3"/>
  <c r="O218" i="3"/>
  <c r="P218" i="3"/>
  <c r="Q218" i="3"/>
  <c r="R218" i="3"/>
  <c r="S218" i="3"/>
  <c r="N219" i="3"/>
  <c r="O219" i="3"/>
  <c r="P219" i="3"/>
  <c r="Q219" i="3"/>
  <c r="R219" i="3"/>
  <c r="S219" i="3"/>
  <c r="N220" i="3"/>
  <c r="O220" i="3"/>
  <c r="P220" i="3"/>
  <c r="Q220" i="3"/>
  <c r="R220" i="3"/>
  <c r="S220" i="3"/>
  <c r="N221" i="3"/>
  <c r="O221" i="3"/>
  <c r="P221" i="3"/>
  <c r="Q221" i="3"/>
  <c r="R221" i="3"/>
  <c r="S221" i="3"/>
  <c r="N222" i="3"/>
  <c r="O222" i="3"/>
  <c r="P222" i="3"/>
  <c r="Q222" i="3"/>
  <c r="R222" i="3"/>
  <c r="S222" i="3"/>
  <c r="N223" i="3"/>
  <c r="O223" i="3"/>
  <c r="P223" i="3"/>
  <c r="Q223" i="3"/>
  <c r="R223" i="3"/>
  <c r="S223" i="3"/>
  <c r="N224" i="3"/>
  <c r="O224" i="3"/>
  <c r="P224" i="3"/>
  <c r="Q224" i="3"/>
  <c r="R224" i="3"/>
  <c r="S224" i="3"/>
  <c r="N225" i="3"/>
  <c r="O225" i="3"/>
  <c r="P225" i="3"/>
  <c r="Q225" i="3"/>
  <c r="R225" i="3"/>
  <c r="S225" i="3"/>
  <c r="N226" i="3"/>
  <c r="O226" i="3"/>
  <c r="P226" i="3"/>
  <c r="Q226" i="3"/>
  <c r="R226" i="3"/>
  <c r="S226" i="3"/>
  <c r="N227" i="3"/>
  <c r="O227" i="3"/>
  <c r="P227" i="3"/>
  <c r="Q227" i="3"/>
  <c r="R227" i="3"/>
  <c r="S227" i="3"/>
  <c r="N228" i="3"/>
  <c r="O228" i="3"/>
  <c r="P228" i="3"/>
  <c r="Q228" i="3"/>
  <c r="R228" i="3"/>
  <c r="S228" i="3"/>
  <c r="N229" i="3"/>
  <c r="O229" i="3"/>
  <c r="P229" i="3"/>
  <c r="Q229" i="3"/>
  <c r="R229" i="3"/>
  <c r="S229" i="3"/>
  <c r="N230" i="3"/>
  <c r="O230" i="3"/>
  <c r="P230" i="3"/>
  <c r="Q230" i="3"/>
  <c r="R230" i="3"/>
  <c r="S230" i="3"/>
  <c r="N231" i="3"/>
  <c r="O231" i="3"/>
  <c r="P231" i="3"/>
  <c r="Q231" i="3"/>
  <c r="R231" i="3"/>
  <c r="S231" i="3"/>
  <c r="N232" i="3"/>
  <c r="O232" i="3"/>
  <c r="P232" i="3"/>
  <c r="Q232" i="3"/>
  <c r="R232" i="3"/>
  <c r="S232" i="3"/>
  <c r="N233" i="3"/>
  <c r="O233" i="3"/>
  <c r="P233" i="3"/>
  <c r="Q233" i="3"/>
  <c r="R233" i="3"/>
  <c r="S233" i="3"/>
  <c r="N234" i="3"/>
  <c r="O234" i="3"/>
  <c r="P234" i="3"/>
  <c r="Q234" i="3"/>
  <c r="R234" i="3"/>
  <c r="S234" i="3"/>
  <c r="N235" i="3"/>
  <c r="O235" i="3"/>
  <c r="P235" i="3"/>
  <c r="Q235" i="3"/>
  <c r="R235" i="3"/>
  <c r="S235" i="3"/>
  <c r="N236" i="3"/>
  <c r="O236" i="3"/>
  <c r="P236" i="3"/>
  <c r="Q236" i="3"/>
  <c r="R236" i="3"/>
  <c r="S236" i="3"/>
  <c r="N237" i="3"/>
  <c r="O237" i="3"/>
  <c r="P237" i="3"/>
  <c r="Q237" i="3"/>
  <c r="R237" i="3"/>
  <c r="S237" i="3"/>
  <c r="N238" i="3"/>
  <c r="O238" i="3"/>
  <c r="P238" i="3"/>
  <c r="Q238" i="3"/>
  <c r="R238" i="3"/>
  <c r="S238" i="3"/>
  <c r="N239" i="3"/>
  <c r="O239" i="3"/>
  <c r="P239" i="3"/>
  <c r="Q239" i="3"/>
  <c r="R239" i="3"/>
  <c r="S239" i="3"/>
  <c r="N240" i="3"/>
  <c r="O240" i="3"/>
  <c r="P240" i="3"/>
  <c r="Q240" i="3"/>
  <c r="R240" i="3"/>
  <c r="S240" i="3"/>
  <c r="N241" i="3"/>
  <c r="O241" i="3"/>
  <c r="P241" i="3"/>
  <c r="Q241" i="3"/>
  <c r="R241" i="3"/>
  <c r="S241" i="3"/>
  <c r="N242" i="3"/>
  <c r="O242" i="3"/>
  <c r="P242" i="3"/>
  <c r="Q242" i="3"/>
  <c r="R242" i="3"/>
  <c r="S242" i="3"/>
  <c r="N243" i="3"/>
  <c r="O243" i="3"/>
  <c r="P243" i="3"/>
  <c r="Q243" i="3"/>
  <c r="R243" i="3"/>
  <c r="S243" i="3"/>
  <c r="N244" i="3"/>
  <c r="O244" i="3"/>
  <c r="P244" i="3"/>
  <c r="Q244" i="3"/>
  <c r="R244" i="3"/>
  <c r="S244" i="3"/>
  <c r="N245" i="3"/>
  <c r="O245" i="3"/>
  <c r="P245" i="3"/>
  <c r="Q245" i="3"/>
  <c r="R245" i="3"/>
  <c r="S245" i="3"/>
  <c r="N246" i="3"/>
  <c r="O246" i="3"/>
  <c r="P246" i="3"/>
  <c r="Q246" i="3"/>
  <c r="R246" i="3"/>
  <c r="S246" i="3"/>
  <c r="N247" i="3"/>
  <c r="O247" i="3"/>
  <c r="P247" i="3"/>
  <c r="Q247" i="3"/>
  <c r="R247" i="3"/>
  <c r="S247" i="3"/>
  <c r="N248" i="3"/>
  <c r="O248" i="3"/>
  <c r="P248" i="3"/>
  <c r="Q248" i="3"/>
  <c r="R248" i="3"/>
  <c r="S248" i="3"/>
  <c r="N249" i="3"/>
  <c r="O249" i="3"/>
  <c r="P249" i="3"/>
  <c r="Q249" i="3"/>
  <c r="R249" i="3"/>
  <c r="S249" i="3"/>
  <c r="N250" i="3"/>
  <c r="O250" i="3"/>
  <c r="P250" i="3"/>
  <c r="Q250" i="3"/>
  <c r="R250" i="3"/>
  <c r="S250" i="3"/>
  <c r="N251" i="3"/>
  <c r="O251" i="3"/>
  <c r="P251" i="3"/>
  <c r="Q251" i="3"/>
  <c r="R251" i="3"/>
  <c r="S251" i="3"/>
  <c r="N252" i="3"/>
  <c r="O252" i="3"/>
  <c r="P252" i="3"/>
  <c r="Q252" i="3"/>
  <c r="R252" i="3"/>
  <c r="S252" i="3"/>
  <c r="N253" i="3"/>
  <c r="O253" i="3"/>
  <c r="P253" i="3"/>
  <c r="Q253" i="3"/>
  <c r="R253" i="3"/>
  <c r="S253" i="3"/>
  <c r="N254" i="3"/>
  <c r="O254" i="3"/>
  <c r="P254" i="3"/>
  <c r="Q254" i="3"/>
  <c r="R254" i="3"/>
  <c r="S254" i="3"/>
  <c r="N255" i="3"/>
  <c r="O255" i="3"/>
  <c r="P255" i="3"/>
  <c r="Q255" i="3"/>
  <c r="R255" i="3"/>
  <c r="S255" i="3"/>
  <c r="N256" i="3"/>
  <c r="O256" i="3"/>
  <c r="P256" i="3"/>
  <c r="Q256" i="3"/>
  <c r="R256" i="3"/>
  <c r="S256" i="3"/>
  <c r="N257" i="3"/>
  <c r="O257" i="3"/>
  <c r="P257" i="3"/>
  <c r="Q257" i="3"/>
  <c r="R257" i="3"/>
  <c r="S257" i="3"/>
  <c r="N258" i="3"/>
  <c r="O258" i="3"/>
  <c r="P258" i="3"/>
  <c r="Q258" i="3"/>
  <c r="R258" i="3"/>
  <c r="S258" i="3"/>
  <c r="N259" i="3"/>
  <c r="O259" i="3"/>
  <c r="P259" i="3"/>
  <c r="Q259" i="3"/>
  <c r="R259" i="3"/>
  <c r="S259" i="3"/>
  <c r="N260" i="3"/>
  <c r="O260" i="3"/>
  <c r="P260" i="3"/>
  <c r="Q260" i="3"/>
  <c r="R260" i="3"/>
  <c r="S260" i="3"/>
  <c r="N261" i="3"/>
  <c r="O261" i="3"/>
  <c r="P261" i="3"/>
  <c r="Q261" i="3"/>
  <c r="R261" i="3"/>
  <c r="S261" i="3"/>
  <c r="N262" i="3"/>
  <c r="O262" i="3"/>
  <c r="P262" i="3"/>
  <c r="Q262" i="3"/>
  <c r="R262" i="3"/>
  <c r="S262" i="3"/>
  <c r="N263" i="3"/>
  <c r="O263" i="3"/>
  <c r="P263" i="3"/>
  <c r="Q263" i="3"/>
  <c r="R263" i="3"/>
  <c r="S263" i="3"/>
  <c r="N264" i="3"/>
  <c r="O264" i="3"/>
  <c r="P264" i="3"/>
  <c r="Q264" i="3"/>
  <c r="R264" i="3"/>
  <c r="S264" i="3"/>
  <c r="N265" i="3"/>
  <c r="O265" i="3"/>
  <c r="P265" i="3"/>
  <c r="Q265" i="3"/>
  <c r="R265" i="3"/>
  <c r="S265" i="3"/>
  <c r="N266" i="3"/>
  <c r="O266" i="3"/>
  <c r="P266" i="3"/>
  <c r="Q266" i="3"/>
  <c r="R266" i="3"/>
  <c r="S266" i="3"/>
  <c r="N267" i="3"/>
  <c r="O267" i="3"/>
  <c r="P267" i="3"/>
  <c r="Q267" i="3"/>
  <c r="R267" i="3"/>
  <c r="S267" i="3"/>
  <c r="N268" i="3"/>
  <c r="O268" i="3"/>
  <c r="P268" i="3"/>
  <c r="Q268" i="3"/>
  <c r="R268" i="3"/>
  <c r="S268" i="3"/>
  <c r="N269" i="3"/>
  <c r="O269" i="3"/>
  <c r="P269" i="3"/>
  <c r="Q269" i="3"/>
  <c r="R269" i="3"/>
  <c r="S269" i="3"/>
  <c r="N270" i="3"/>
  <c r="O270" i="3"/>
  <c r="P270" i="3"/>
  <c r="Q270" i="3"/>
  <c r="R270" i="3"/>
  <c r="S270" i="3"/>
  <c r="N271" i="3"/>
  <c r="O271" i="3"/>
  <c r="P271" i="3"/>
  <c r="Q271" i="3"/>
  <c r="R271" i="3"/>
  <c r="S271" i="3"/>
  <c r="N272" i="3"/>
  <c r="O272" i="3"/>
  <c r="P272" i="3"/>
  <c r="Q272" i="3"/>
  <c r="R272" i="3"/>
  <c r="S272" i="3"/>
  <c r="N273" i="3"/>
  <c r="O273" i="3"/>
  <c r="P273" i="3"/>
  <c r="Q273" i="3"/>
  <c r="R273" i="3"/>
  <c r="S273" i="3"/>
  <c r="N274" i="3"/>
  <c r="O274" i="3"/>
  <c r="P274" i="3"/>
  <c r="Q274" i="3"/>
  <c r="R274" i="3"/>
  <c r="S274" i="3"/>
  <c r="N275" i="3"/>
  <c r="O275" i="3"/>
  <c r="P275" i="3"/>
  <c r="Q275" i="3"/>
  <c r="R275" i="3"/>
  <c r="S275" i="3"/>
  <c r="N276" i="3"/>
  <c r="O276" i="3"/>
  <c r="P276" i="3"/>
  <c r="Q276" i="3"/>
  <c r="R276" i="3"/>
  <c r="S276" i="3"/>
  <c r="N277" i="3"/>
  <c r="O277" i="3"/>
  <c r="P277" i="3"/>
  <c r="Q277" i="3"/>
  <c r="R277" i="3"/>
  <c r="S277" i="3"/>
  <c r="N278" i="3"/>
  <c r="O278" i="3"/>
  <c r="P278" i="3"/>
  <c r="Q278" i="3"/>
  <c r="R278" i="3"/>
  <c r="S278" i="3"/>
  <c r="N279" i="3"/>
  <c r="O279" i="3"/>
  <c r="P279" i="3"/>
  <c r="Q279" i="3"/>
  <c r="R279" i="3"/>
  <c r="S279" i="3"/>
  <c r="N280" i="3"/>
  <c r="O280" i="3"/>
  <c r="P280" i="3"/>
  <c r="Q280" i="3"/>
  <c r="R280" i="3"/>
  <c r="S280" i="3"/>
  <c r="N281" i="3"/>
  <c r="O281" i="3"/>
  <c r="P281" i="3"/>
  <c r="Q281" i="3"/>
  <c r="R281" i="3"/>
  <c r="S281" i="3"/>
  <c r="N282" i="3"/>
  <c r="O282" i="3"/>
  <c r="P282" i="3"/>
  <c r="Q282" i="3"/>
  <c r="R282" i="3"/>
  <c r="S282" i="3"/>
  <c r="N283" i="3"/>
  <c r="O283" i="3"/>
  <c r="P283" i="3"/>
  <c r="Q283" i="3"/>
  <c r="R283" i="3"/>
  <c r="S283" i="3"/>
  <c r="N284" i="3"/>
  <c r="O284" i="3"/>
  <c r="P284" i="3"/>
  <c r="Q284" i="3"/>
  <c r="R284" i="3"/>
  <c r="S284" i="3"/>
  <c r="N285" i="3"/>
  <c r="O285" i="3"/>
  <c r="P285" i="3"/>
  <c r="Q285" i="3"/>
  <c r="R285" i="3"/>
  <c r="S285" i="3"/>
  <c r="N286" i="3"/>
  <c r="O286" i="3"/>
  <c r="P286" i="3"/>
  <c r="Q286" i="3"/>
  <c r="R286" i="3"/>
  <c r="S286" i="3"/>
  <c r="N287" i="3"/>
  <c r="O287" i="3"/>
  <c r="P287" i="3"/>
  <c r="Q287" i="3"/>
  <c r="R287" i="3"/>
  <c r="S287" i="3"/>
  <c r="N288" i="3"/>
  <c r="O288" i="3"/>
  <c r="P288" i="3"/>
  <c r="Q288" i="3"/>
  <c r="R288" i="3"/>
  <c r="S288" i="3"/>
  <c r="N289" i="3"/>
  <c r="O289" i="3"/>
  <c r="P289" i="3"/>
  <c r="Q289" i="3"/>
  <c r="R289" i="3"/>
  <c r="S289" i="3"/>
  <c r="N290" i="3"/>
  <c r="O290" i="3"/>
  <c r="P290" i="3"/>
  <c r="Q290" i="3"/>
  <c r="R290" i="3"/>
  <c r="S290" i="3"/>
  <c r="N291" i="3"/>
  <c r="O291" i="3"/>
  <c r="P291" i="3"/>
  <c r="Q291" i="3"/>
  <c r="R291" i="3"/>
  <c r="S291" i="3"/>
  <c r="N292" i="3"/>
  <c r="O292" i="3"/>
  <c r="P292" i="3"/>
  <c r="Q292" i="3"/>
  <c r="R292" i="3"/>
  <c r="S292" i="3"/>
  <c r="N293" i="3"/>
  <c r="O293" i="3"/>
  <c r="P293" i="3"/>
  <c r="Q293" i="3"/>
  <c r="R293" i="3"/>
  <c r="S293" i="3"/>
  <c r="N294" i="3"/>
  <c r="O294" i="3"/>
  <c r="P294" i="3"/>
  <c r="Q294" i="3"/>
  <c r="R294" i="3"/>
  <c r="S294" i="3"/>
  <c r="N295" i="3"/>
  <c r="O295" i="3"/>
  <c r="P295" i="3"/>
  <c r="Q295" i="3"/>
  <c r="R295" i="3"/>
  <c r="S295" i="3"/>
  <c r="N296" i="3"/>
  <c r="O296" i="3"/>
  <c r="P296" i="3"/>
  <c r="Q296" i="3"/>
  <c r="R296" i="3"/>
  <c r="S296" i="3"/>
  <c r="N297" i="3"/>
  <c r="O297" i="3"/>
  <c r="P297" i="3"/>
  <c r="Q297" i="3"/>
  <c r="R297" i="3"/>
  <c r="S297" i="3"/>
  <c r="N298" i="3"/>
  <c r="O298" i="3"/>
  <c r="P298" i="3"/>
  <c r="Q298" i="3"/>
  <c r="R298" i="3"/>
  <c r="S298" i="3"/>
  <c r="N299" i="3"/>
  <c r="O299" i="3"/>
  <c r="P299" i="3"/>
  <c r="Q299" i="3"/>
  <c r="R299" i="3"/>
  <c r="S299" i="3"/>
  <c r="N300" i="3"/>
  <c r="O300" i="3"/>
  <c r="P300" i="3"/>
  <c r="Q300" i="3"/>
  <c r="R300" i="3"/>
  <c r="S300" i="3"/>
  <c r="N301" i="3"/>
  <c r="O301" i="3"/>
  <c r="P301" i="3"/>
  <c r="Q301" i="3"/>
  <c r="R301" i="3"/>
  <c r="S301" i="3"/>
  <c r="N302" i="3"/>
  <c r="O302" i="3"/>
  <c r="P302" i="3"/>
  <c r="Q302" i="3"/>
  <c r="R302" i="3"/>
  <c r="S302" i="3"/>
  <c r="N303" i="3"/>
  <c r="O303" i="3"/>
  <c r="P303" i="3"/>
  <c r="Q303" i="3"/>
  <c r="R303" i="3"/>
  <c r="S303" i="3"/>
  <c r="N304" i="3"/>
  <c r="O304" i="3"/>
  <c r="P304" i="3"/>
  <c r="Q304" i="3"/>
  <c r="R304" i="3"/>
  <c r="S304" i="3"/>
  <c r="N305" i="3"/>
  <c r="O305" i="3"/>
  <c r="P305" i="3"/>
  <c r="Q305" i="3"/>
  <c r="R305" i="3"/>
  <c r="S305" i="3"/>
  <c r="N306" i="3"/>
  <c r="O306" i="3"/>
  <c r="P306" i="3"/>
  <c r="Q306" i="3"/>
  <c r="R306" i="3"/>
  <c r="S306" i="3"/>
  <c r="N307" i="3"/>
  <c r="O307" i="3"/>
  <c r="P307" i="3"/>
  <c r="Q307" i="3"/>
  <c r="R307" i="3"/>
  <c r="S307" i="3"/>
  <c r="N308" i="3"/>
  <c r="O308" i="3"/>
  <c r="P308" i="3"/>
  <c r="Q308" i="3"/>
  <c r="R308" i="3"/>
  <c r="S308" i="3"/>
  <c r="N309" i="3"/>
  <c r="O309" i="3"/>
  <c r="P309" i="3"/>
  <c r="Q309" i="3"/>
  <c r="R309" i="3"/>
  <c r="S309" i="3"/>
  <c r="N310" i="3"/>
  <c r="O310" i="3"/>
  <c r="P310" i="3"/>
  <c r="Q310" i="3"/>
  <c r="R310" i="3"/>
  <c r="S310" i="3"/>
  <c r="N311" i="3"/>
  <c r="O311" i="3"/>
  <c r="P311" i="3"/>
  <c r="Q311" i="3"/>
  <c r="R311" i="3"/>
  <c r="S311" i="3"/>
  <c r="N312" i="3"/>
  <c r="O312" i="3"/>
  <c r="P312" i="3"/>
  <c r="Q312" i="3"/>
  <c r="R312" i="3"/>
  <c r="S312" i="3"/>
  <c r="N313" i="3"/>
  <c r="O313" i="3"/>
  <c r="P313" i="3"/>
  <c r="Q313" i="3"/>
  <c r="R313" i="3"/>
  <c r="S313" i="3"/>
  <c r="N314" i="3"/>
  <c r="O314" i="3"/>
  <c r="P314" i="3"/>
  <c r="Q314" i="3"/>
  <c r="R314" i="3"/>
  <c r="S314" i="3"/>
  <c r="N315" i="3"/>
  <c r="O315" i="3"/>
  <c r="P315" i="3"/>
  <c r="Q315" i="3"/>
  <c r="R315" i="3"/>
  <c r="S315" i="3"/>
  <c r="N316" i="3"/>
  <c r="O316" i="3"/>
  <c r="P316" i="3"/>
  <c r="Q316" i="3"/>
  <c r="R316" i="3"/>
  <c r="S316" i="3"/>
  <c r="N317" i="3"/>
  <c r="O317" i="3"/>
  <c r="P317" i="3"/>
  <c r="Q317" i="3"/>
  <c r="R317" i="3"/>
  <c r="S317" i="3"/>
  <c r="N318" i="3"/>
  <c r="O318" i="3"/>
  <c r="P318" i="3"/>
  <c r="Q318" i="3"/>
  <c r="R318" i="3"/>
  <c r="S318" i="3"/>
  <c r="N319" i="3"/>
  <c r="O319" i="3"/>
  <c r="P319" i="3"/>
  <c r="Q319" i="3"/>
  <c r="R319" i="3"/>
  <c r="S319" i="3"/>
  <c r="N320" i="3"/>
  <c r="O320" i="3"/>
  <c r="P320" i="3"/>
  <c r="Q320" i="3"/>
  <c r="R320" i="3"/>
  <c r="S320" i="3"/>
  <c r="N321" i="3"/>
  <c r="O321" i="3"/>
  <c r="P321" i="3"/>
  <c r="Q321" i="3"/>
  <c r="R321" i="3"/>
  <c r="S321" i="3"/>
  <c r="N322" i="3"/>
  <c r="O322" i="3"/>
  <c r="P322" i="3"/>
  <c r="Q322" i="3"/>
  <c r="R322" i="3"/>
  <c r="S322" i="3"/>
  <c r="N323" i="3"/>
  <c r="O323" i="3"/>
  <c r="P323" i="3"/>
  <c r="Q323" i="3"/>
  <c r="R323" i="3"/>
  <c r="S323" i="3"/>
  <c r="N324" i="3"/>
  <c r="O324" i="3"/>
  <c r="P324" i="3"/>
  <c r="Q324" i="3"/>
  <c r="R324" i="3"/>
  <c r="S324" i="3"/>
  <c r="N325" i="3"/>
  <c r="O325" i="3"/>
  <c r="P325" i="3"/>
  <c r="Q325" i="3"/>
  <c r="R325" i="3"/>
  <c r="S325" i="3"/>
  <c r="N326" i="3"/>
  <c r="O326" i="3"/>
  <c r="P326" i="3"/>
  <c r="Q326" i="3"/>
  <c r="R326" i="3"/>
  <c r="S326" i="3"/>
  <c r="N327" i="3"/>
  <c r="O327" i="3"/>
  <c r="P327" i="3"/>
  <c r="Q327" i="3"/>
  <c r="R327" i="3"/>
  <c r="S327" i="3"/>
  <c r="N328" i="3"/>
  <c r="O328" i="3"/>
  <c r="P328" i="3"/>
  <c r="Q328" i="3"/>
  <c r="R328" i="3"/>
  <c r="S328" i="3"/>
  <c r="N329" i="3"/>
  <c r="O329" i="3"/>
  <c r="P329" i="3"/>
  <c r="Q329" i="3"/>
  <c r="R329" i="3"/>
  <c r="S329" i="3"/>
  <c r="N330" i="3"/>
  <c r="O330" i="3"/>
  <c r="P330" i="3"/>
  <c r="Q330" i="3"/>
  <c r="R330" i="3"/>
  <c r="S330" i="3"/>
  <c r="N331" i="3"/>
  <c r="O331" i="3"/>
  <c r="P331" i="3"/>
  <c r="Q331" i="3"/>
  <c r="R331" i="3"/>
  <c r="S331" i="3"/>
  <c r="N332" i="3"/>
  <c r="O332" i="3"/>
  <c r="P332" i="3"/>
  <c r="Q332" i="3"/>
  <c r="R332" i="3"/>
  <c r="S332" i="3"/>
  <c r="N333" i="3"/>
  <c r="O333" i="3"/>
  <c r="P333" i="3"/>
  <c r="Q333" i="3"/>
  <c r="R333" i="3"/>
  <c r="S333" i="3"/>
  <c r="N334" i="3"/>
  <c r="O334" i="3"/>
  <c r="P334" i="3"/>
  <c r="Q334" i="3"/>
  <c r="R334" i="3"/>
  <c r="S334" i="3"/>
  <c r="N335" i="3"/>
  <c r="O335" i="3"/>
  <c r="P335" i="3"/>
  <c r="Q335" i="3"/>
  <c r="R335" i="3"/>
  <c r="S335" i="3"/>
  <c r="N336" i="3"/>
  <c r="O336" i="3"/>
  <c r="P336" i="3"/>
  <c r="Q336" i="3"/>
  <c r="R336" i="3"/>
  <c r="S336" i="3"/>
  <c r="N337" i="3"/>
  <c r="O337" i="3"/>
  <c r="P337" i="3"/>
  <c r="Q337" i="3"/>
  <c r="R337" i="3"/>
  <c r="S337" i="3"/>
  <c r="N338" i="3"/>
  <c r="O338" i="3"/>
  <c r="P338" i="3"/>
  <c r="Q338" i="3"/>
  <c r="R338" i="3"/>
  <c r="S338" i="3"/>
  <c r="N339" i="3"/>
  <c r="O339" i="3"/>
  <c r="P339" i="3"/>
  <c r="Q339" i="3"/>
  <c r="R339" i="3"/>
  <c r="S339" i="3"/>
  <c r="N340" i="3"/>
  <c r="O340" i="3"/>
  <c r="P340" i="3"/>
  <c r="Q340" i="3"/>
  <c r="R340" i="3"/>
  <c r="S340" i="3"/>
  <c r="N341" i="3"/>
  <c r="O341" i="3"/>
  <c r="P341" i="3"/>
  <c r="Q341" i="3"/>
  <c r="R341" i="3"/>
  <c r="S341" i="3"/>
  <c r="N342" i="3"/>
  <c r="O342" i="3"/>
  <c r="P342" i="3"/>
  <c r="Q342" i="3"/>
  <c r="R342" i="3"/>
  <c r="S342" i="3"/>
  <c r="N343" i="3"/>
  <c r="O343" i="3"/>
  <c r="P343" i="3"/>
  <c r="Q343" i="3"/>
  <c r="R343" i="3"/>
  <c r="S343" i="3"/>
  <c r="N344" i="3"/>
  <c r="O344" i="3"/>
  <c r="P344" i="3"/>
  <c r="Q344" i="3"/>
  <c r="R344" i="3"/>
  <c r="S344" i="3"/>
  <c r="N345" i="3"/>
  <c r="O345" i="3"/>
  <c r="P345" i="3"/>
  <c r="Q345" i="3"/>
  <c r="R345" i="3"/>
  <c r="S345" i="3"/>
  <c r="N346" i="3"/>
  <c r="O346" i="3"/>
  <c r="P346" i="3"/>
  <c r="Q346" i="3"/>
  <c r="R346" i="3"/>
  <c r="S346" i="3"/>
  <c r="N347" i="3"/>
  <c r="O347" i="3"/>
  <c r="P347" i="3"/>
  <c r="Q347" i="3"/>
  <c r="R347" i="3"/>
  <c r="S347" i="3"/>
  <c r="N348" i="3"/>
  <c r="O348" i="3"/>
  <c r="P348" i="3"/>
  <c r="Q348" i="3"/>
  <c r="R348" i="3"/>
  <c r="S348" i="3"/>
  <c r="N349" i="3"/>
  <c r="O349" i="3"/>
  <c r="P349" i="3"/>
  <c r="Q349" i="3"/>
  <c r="R349" i="3"/>
  <c r="S349" i="3"/>
  <c r="N350" i="3"/>
  <c r="O350" i="3"/>
  <c r="P350" i="3"/>
  <c r="Q350" i="3"/>
  <c r="R350" i="3"/>
  <c r="S350" i="3"/>
  <c r="N351" i="3"/>
  <c r="O351" i="3"/>
  <c r="P351" i="3"/>
  <c r="Q351" i="3"/>
  <c r="R351" i="3"/>
  <c r="S351" i="3"/>
  <c r="N352" i="3"/>
  <c r="O352" i="3"/>
  <c r="P352" i="3"/>
  <c r="Q352" i="3"/>
  <c r="R352" i="3"/>
  <c r="S352" i="3"/>
  <c r="N353" i="3"/>
  <c r="O353" i="3"/>
  <c r="P353" i="3"/>
  <c r="Q353" i="3"/>
  <c r="R353" i="3"/>
  <c r="S353" i="3"/>
  <c r="N354" i="3"/>
  <c r="O354" i="3"/>
  <c r="P354" i="3"/>
  <c r="Q354" i="3"/>
  <c r="R354" i="3"/>
  <c r="S354" i="3"/>
  <c r="N355" i="3"/>
  <c r="O355" i="3"/>
  <c r="P355" i="3"/>
  <c r="Q355" i="3"/>
  <c r="R355" i="3"/>
  <c r="S355" i="3"/>
  <c r="N356" i="3"/>
  <c r="O356" i="3"/>
  <c r="P356" i="3"/>
  <c r="Q356" i="3"/>
  <c r="R356" i="3"/>
  <c r="S356" i="3"/>
  <c r="N357" i="3"/>
  <c r="O357" i="3"/>
  <c r="P357" i="3"/>
  <c r="Q357" i="3"/>
  <c r="R357" i="3"/>
  <c r="S357" i="3"/>
  <c r="N358" i="3"/>
  <c r="O358" i="3"/>
  <c r="P358" i="3"/>
  <c r="Q358" i="3"/>
  <c r="R358" i="3"/>
  <c r="S358" i="3"/>
  <c r="N359" i="3"/>
  <c r="O359" i="3"/>
  <c r="P359" i="3"/>
  <c r="Q359" i="3"/>
  <c r="R359" i="3"/>
  <c r="S359" i="3"/>
  <c r="N360" i="3"/>
  <c r="O360" i="3"/>
  <c r="P360" i="3"/>
  <c r="Q360" i="3"/>
  <c r="R360" i="3"/>
  <c r="S360" i="3"/>
  <c r="N361" i="3"/>
  <c r="O361" i="3"/>
  <c r="P361" i="3"/>
  <c r="Q361" i="3"/>
  <c r="R361" i="3"/>
  <c r="S361" i="3"/>
  <c r="N362" i="3"/>
  <c r="O362" i="3"/>
  <c r="P362" i="3"/>
  <c r="Q362" i="3"/>
  <c r="R362" i="3"/>
  <c r="S362" i="3"/>
  <c r="N363" i="3"/>
  <c r="O363" i="3"/>
  <c r="P363" i="3"/>
  <c r="Q363" i="3"/>
  <c r="R363" i="3"/>
  <c r="S363" i="3"/>
  <c r="N364" i="3"/>
  <c r="O364" i="3"/>
  <c r="P364" i="3"/>
  <c r="Q364" i="3"/>
  <c r="R364" i="3"/>
  <c r="S364" i="3"/>
  <c r="N365" i="3"/>
  <c r="O365" i="3"/>
  <c r="P365" i="3"/>
  <c r="Q365" i="3"/>
  <c r="R365" i="3"/>
  <c r="S365" i="3"/>
  <c r="N366" i="3"/>
  <c r="O366" i="3"/>
  <c r="P366" i="3"/>
  <c r="Q366" i="3"/>
  <c r="R366" i="3"/>
  <c r="S366" i="3"/>
  <c r="N367" i="3"/>
  <c r="O367" i="3"/>
  <c r="P367" i="3"/>
  <c r="Q367" i="3"/>
  <c r="R367" i="3"/>
  <c r="S367" i="3"/>
  <c r="N368" i="3"/>
  <c r="O368" i="3"/>
  <c r="P368" i="3"/>
  <c r="Q368" i="3"/>
  <c r="R368" i="3"/>
  <c r="S368" i="3"/>
  <c r="N369" i="3"/>
  <c r="O369" i="3"/>
  <c r="P369" i="3"/>
  <c r="Q369" i="3"/>
  <c r="R369" i="3"/>
  <c r="S369" i="3"/>
  <c r="N370" i="3"/>
  <c r="O370" i="3"/>
  <c r="P370" i="3"/>
  <c r="Q370" i="3"/>
  <c r="R370" i="3"/>
  <c r="S370" i="3"/>
  <c r="N371" i="3"/>
  <c r="O371" i="3"/>
  <c r="P371" i="3"/>
  <c r="Q371" i="3"/>
  <c r="R371" i="3"/>
  <c r="S371" i="3"/>
  <c r="N372" i="3"/>
  <c r="O372" i="3"/>
  <c r="P372" i="3"/>
  <c r="Q372" i="3"/>
  <c r="R372" i="3"/>
  <c r="S372" i="3"/>
  <c r="N373" i="3"/>
  <c r="O373" i="3"/>
  <c r="P373" i="3"/>
  <c r="Q373" i="3"/>
  <c r="R373" i="3"/>
  <c r="S373" i="3"/>
  <c r="N374" i="3"/>
  <c r="O374" i="3"/>
  <c r="P374" i="3"/>
  <c r="Q374" i="3"/>
  <c r="R374" i="3"/>
  <c r="S374" i="3"/>
  <c r="N375" i="3"/>
  <c r="O375" i="3"/>
  <c r="P375" i="3"/>
  <c r="Q375" i="3"/>
  <c r="R375" i="3"/>
  <c r="S375" i="3"/>
  <c r="N376" i="3"/>
  <c r="O376" i="3"/>
  <c r="P376" i="3"/>
  <c r="Q376" i="3"/>
  <c r="R376" i="3"/>
  <c r="S376" i="3"/>
  <c r="N377" i="3"/>
  <c r="O377" i="3"/>
  <c r="P377" i="3"/>
  <c r="Q377" i="3"/>
  <c r="R377" i="3"/>
  <c r="S377" i="3"/>
  <c r="N378" i="3"/>
  <c r="O378" i="3"/>
  <c r="P378" i="3"/>
  <c r="Q378" i="3"/>
  <c r="R378" i="3"/>
  <c r="S378" i="3"/>
  <c r="N379" i="3"/>
  <c r="O379" i="3"/>
  <c r="P379" i="3"/>
  <c r="Q379" i="3"/>
  <c r="R379" i="3"/>
  <c r="S379" i="3"/>
  <c r="N380" i="3"/>
  <c r="O380" i="3"/>
  <c r="P380" i="3"/>
  <c r="Q380" i="3"/>
  <c r="R380" i="3"/>
  <c r="S380" i="3"/>
  <c r="N381" i="3"/>
  <c r="O381" i="3"/>
  <c r="P381" i="3"/>
  <c r="Q381" i="3"/>
  <c r="R381" i="3"/>
  <c r="S381" i="3"/>
  <c r="N382" i="3"/>
  <c r="O382" i="3"/>
  <c r="P382" i="3"/>
  <c r="Q382" i="3"/>
  <c r="R382" i="3"/>
  <c r="S382" i="3"/>
  <c r="N383" i="3"/>
  <c r="O383" i="3"/>
  <c r="P383" i="3"/>
  <c r="Q383" i="3"/>
  <c r="R383" i="3"/>
  <c r="S383" i="3"/>
  <c r="N384" i="3"/>
  <c r="O384" i="3"/>
  <c r="P384" i="3"/>
  <c r="Q384" i="3"/>
  <c r="R384" i="3"/>
  <c r="S384" i="3"/>
  <c r="N385" i="3"/>
  <c r="O385" i="3"/>
  <c r="P385" i="3"/>
  <c r="Q385" i="3"/>
  <c r="R385" i="3"/>
  <c r="S385" i="3"/>
  <c r="N386" i="3"/>
  <c r="O386" i="3"/>
  <c r="P386" i="3"/>
  <c r="Q386" i="3"/>
  <c r="R386" i="3"/>
  <c r="S386" i="3"/>
  <c r="N387" i="3"/>
  <c r="O387" i="3"/>
  <c r="P387" i="3"/>
  <c r="Q387" i="3"/>
  <c r="R387" i="3"/>
  <c r="S387" i="3"/>
  <c r="N388" i="3"/>
  <c r="O388" i="3"/>
  <c r="P388" i="3"/>
  <c r="Q388" i="3"/>
  <c r="R388" i="3"/>
  <c r="S388" i="3"/>
  <c r="N389" i="3"/>
  <c r="O389" i="3"/>
  <c r="P389" i="3"/>
  <c r="Q389" i="3"/>
  <c r="R389" i="3"/>
  <c r="S389" i="3"/>
  <c r="N390" i="3"/>
  <c r="O390" i="3"/>
  <c r="P390" i="3"/>
  <c r="Q390" i="3"/>
  <c r="R390" i="3"/>
  <c r="S390" i="3"/>
  <c r="N391" i="3"/>
  <c r="O391" i="3"/>
  <c r="P391" i="3"/>
  <c r="Q391" i="3"/>
  <c r="R391" i="3"/>
  <c r="S391" i="3"/>
  <c r="N392" i="3"/>
  <c r="O392" i="3"/>
  <c r="P392" i="3"/>
  <c r="Q392" i="3"/>
  <c r="R392" i="3"/>
  <c r="S392" i="3"/>
  <c r="N393" i="3"/>
  <c r="O393" i="3"/>
  <c r="P393" i="3"/>
  <c r="Q393" i="3"/>
  <c r="R393" i="3"/>
  <c r="S393" i="3"/>
  <c r="N394" i="3"/>
  <c r="O394" i="3"/>
  <c r="P394" i="3"/>
  <c r="Q394" i="3"/>
  <c r="R394" i="3"/>
  <c r="S394" i="3"/>
  <c r="N395" i="3"/>
  <c r="O395" i="3"/>
  <c r="P395" i="3"/>
  <c r="Q395" i="3"/>
  <c r="R395" i="3"/>
  <c r="S395" i="3"/>
  <c r="N396" i="3"/>
  <c r="O396" i="3"/>
  <c r="P396" i="3"/>
  <c r="Q396" i="3"/>
  <c r="R396" i="3"/>
  <c r="S396" i="3"/>
  <c r="N397" i="3"/>
  <c r="O397" i="3"/>
  <c r="P397" i="3"/>
  <c r="Q397" i="3"/>
  <c r="R397" i="3"/>
  <c r="S397" i="3"/>
  <c r="N398" i="3"/>
  <c r="O398" i="3"/>
  <c r="P398" i="3"/>
  <c r="Q398" i="3"/>
  <c r="R398" i="3"/>
  <c r="S398" i="3"/>
  <c r="N399" i="3"/>
  <c r="O399" i="3"/>
  <c r="P399" i="3"/>
  <c r="Q399" i="3"/>
  <c r="R399" i="3"/>
  <c r="S399" i="3"/>
  <c r="N400" i="3"/>
  <c r="O400" i="3"/>
  <c r="P400" i="3"/>
  <c r="Q400" i="3"/>
  <c r="R400" i="3"/>
  <c r="S400" i="3"/>
  <c r="N401" i="3"/>
  <c r="O401" i="3"/>
  <c r="P401" i="3"/>
  <c r="Q401" i="3"/>
  <c r="R401" i="3"/>
  <c r="S401" i="3"/>
  <c r="N402" i="3"/>
  <c r="O402" i="3"/>
  <c r="P402" i="3"/>
  <c r="Q402" i="3"/>
  <c r="R402" i="3"/>
  <c r="S402" i="3"/>
  <c r="N403" i="3"/>
  <c r="O403" i="3"/>
  <c r="P403" i="3"/>
  <c r="Q403" i="3"/>
  <c r="R403" i="3"/>
  <c r="S403" i="3"/>
  <c r="N404" i="3"/>
  <c r="O404" i="3"/>
  <c r="P404" i="3"/>
  <c r="Q404" i="3"/>
  <c r="R404" i="3"/>
  <c r="S404" i="3"/>
  <c r="N405" i="3"/>
  <c r="O405" i="3"/>
  <c r="P405" i="3"/>
  <c r="Q405" i="3"/>
  <c r="R405" i="3"/>
  <c r="S405" i="3"/>
  <c r="N406" i="3"/>
  <c r="O406" i="3"/>
  <c r="P406" i="3"/>
  <c r="Q406" i="3"/>
  <c r="R406" i="3"/>
  <c r="S406" i="3"/>
  <c r="N407" i="3"/>
  <c r="O407" i="3"/>
  <c r="P407" i="3"/>
  <c r="Q407" i="3"/>
  <c r="R407" i="3"/>
  <c r="S407" i="3"/>
  <c r="N408" i="3"/>
  <c r="O408" i="3"/>
  <c r="P408" i="3"/>
  <c r="Q408" i="3"/>
  <c r="R408" i="3"/>
  <c r="S408" i="3"/>
  <c r="N409" i="3"/>
  <c r="O409" i="3"/>
  <c r="P409" i="3"/>
  <c r="Q409" i="3"/>
  <c r="R409" i="3"/>
  <c r="S409" i="3"/>
  <c r="N410" i="3"/>
  <c r="O410" i="3"/>
  <c r="P410" i="3"/>
  <c r="Q410" i="3"/>
  <c r="R410" i="3"/>
  <c r="S410" i="3"/>
  <c r="N411" i="3"/>
  <c r="O411" i="3"/>
  <c r="P411" i="3"/>
  <c r="Q411" i="3"/>
  <c r="R411" i="3"/>
  <c r="S411" i="3"/>
  <c r="N412" i="3"/>
  <c r="O412" i="3"/>
  <c r="P412" i="3"/>
  <c r="Q412" i="3"/>
  <c r="R412" i="3"/>
  <c r="S412" i="3"/>
  <c r="N413" i="3"/>
  <c r="O413" i="3"/>
  <c r="P413" i="3"/>
  <c r="Q413" i="3"/>
  <c r="R413" i="3"/>
  <c r="S413" i="3"/>
  <c r="N414" i="3"/>
  <c r="O414" i="3"/>
  <c r="P414" i="3"/>
  <c r="Q414" i="3"/>
  <c r="R414" i="3"/>
  <c r="S414" i="3"/>
  <c r="N415" i="3"/>
  <c r="O415" i="3"/>
  <c r="P415" i="3"/>
  <c r="Q415" i="3"/>
  <c r="R415" i="3"/>
  <c r="S415" i="3"/>
  <c r="N416" i="3"/>
  <c r="O416" i="3"/>
  <c r="P416" i="3"/>
  <c r="Q416" i="3"/>
  <c r="R416" i="3"/>
  <c r="S416" i="3"/>
  <c r="N417" i="3"/>
  <c r="O417" i="3"/>
  <c r="P417" i="3"/>
  <c r="Q417" i="3"/>
  <c r="R417" i="3"/>
  <c r="S417" i="3"/>
  <c r="N418" i="3"/>
  <c r="O418" i="3"/>
  <c r="P418" i="3"/>
  <c r="Q418" i="3"/>
  <c r="R418" i="3"/>
  <c r="S418" i="3"/>
  <c r="N419" i="3"/>
  <c r="O419" i="3"/>
  <c r="P419" i="3"/>
  <c r="Q419" i="3"/>
  <c r="R419" i="3"/>
  <c r="S419" i="3"/>
  <c r="N420" i="3"/>
  <c r="O420" i="3"/>
  <c r="P420" i="3"/>
  <c r="Q420" i="3"/>
  <c r="R420" i="3"/>
  <c r="S420" i="3"/>
  <c r="N421" i="3"/>
  <c r="O421" i="3"/>
  <c r="P421" i="3"/>
  <c r="Q421" i="3"/>
  <c r="R421" i="3"/>
  <c r="S421" i="3"/>
  <c r="N422" i="3"/>
  <c r="O422" i="3"/>
  <c r="P422" i="3"/>
  <c r="Q422" i="3"/>
  <c r="R422" i="3"/>
  <c r="S422" i="3"/>
  <c r="N423" i="3"/>
  <c r="O423" i="3"/>
  <c r="P423" i="3"/>
  <c r="Q423" i="3"/>
  <c r="R423" i="3"/>
  <c r="S423" i="3"/>
  <c r="N424" i="3"/>
  <c r="O424" i="3"/>
  <c r="P424" i="3"/>
  <c r="Q424" i="3"/>
  <c r="R424" i="3"/>
  <c r="S424" i="3"/>
  <c r="N425" i="3"/>
  <c r="O425" i="3"/>
  <c r="P425" i="3"/>
  <c r="Q425" i="3"/>
  <c r="R425" i="3"/>
  <c r="S425" i="3"/>
  <c r="N426" i="3"/>
  <c r="O426" i="3"/>
  <c r="P426" i="3"/>
  <c r="Q426" i="3"/>
  <c r="R426" i="3"/>
  <c r="S426" i="3"/>
  <c r="N427" i="3"/>
  <c r="O427" i="3"/>
  <c r="P427" i="3"/>
  <c r="Q427" i="3"/>
  <c r="R427" i="3"/>
  <c r="S427" i="3"/>
  <c r="N428" i="3"/>
  <c r="O428" i="3"/>
  <c r="P428" i="3"/>
  <c r="Q428" i="3"/>
  <c r="R428" i="3"/>
  <c r="S428" i="3"/>
  <c r="N429" i="3"/>
  <c r="O429" i="3"/>
  <c r="P429" i="3"/>
  <c r="Q429" i="3"/>
  <c r="R429" i="3"/>
  <c r="S429" i="3"/>
  <c r="N430" i="3"/>
  <c r="O430" i="3"/>
  <c r="P430" i="3"/>
  <c r="Q430" i="3"/>
  <c r="R430" i="3"/>
  <c r="S430" i="3"/>
  <c r="N431" i="3"/>
  <c r="O431" i="3"/>
  <c r="P431" i="3"/>
  <c r="Q431" i="3"/>
  <c r="R431" i="3"/>
  <c r="S431" i="3"/>
  <c r="N432" i="3"/>
  <c r="O432" i="3"/>
  <c r="P432" i="3"/>
  <c r="Q432" i="3"/>
  <c r="R432" i="3"/>
  <c r="S432" i="3"/>
  <c r="N433" i="3"/>
  <c r="O433" i="3"/>
  <c r="P433" i="3"/>
  <c r="Q433" i="3"/>
  <c r="R433" i="3"/>
  <c r="S433" i="3"/>
  <c r="N434" i="3"/>
  <c r="O434" i="3"/>
  <c r="P434" i="3"/>
  <c r="Q434" i="3"/>
  <c r="R434" i="3"/>
  <c r="S434" i="3"/>
  <c r="N435" i="3"/>
  <c r="O435" i="3"/>
  <c r="P435" i="3"/>
  <c r="Q435" i="3"/>
  <c r="R435" i="3"/>
  <c r="S435" i="3"/>
  <c r="N436" i="3"/>
  <c r="O436" i="3"/>
  <c r="P436" i="3"/>
  <c r="Q436" i="3"/>
  <c r="R436" i="3"/>
  <c r="S436" i="3"/>
  <c r="N437" i="3"/>
  <c r="O437" i="3"/>
  <c r="P437" i="3"/>
  <c r="Q437" i="3"/>
  <c r="R437" i="3"/>
  <c r="S437" i="3"/>
  <c r="N438" i="3"/>
  <c r="O438" i="3"/>
  <c r="P438" i="3"/>
  <c r="Q438" i="3"/>
  <c r="R438" i="3"/>
  <c r="S438" i="3"/>
  <c r="N439" i="3"/>
  <c r="O439" i="3"/>
  <c r="P439" i="3"/>
  <c r="Q439" i="3"/>
  <c r="R439" i="3"/>
  <c r="S439" i="3"/>
  <c r="N440" i="3"/>
  <c r="O440" i="3"/>
  <c r="P440" i="3"/>
  <c r="Q440" i="3"/>
  <c r="R440" i="3"/>
  <c r="S440" i="3"/>
  <c r="N441" i="3"/>
  <c r="O441" i="3"/>
  <c r="P441" i="3"/>
  <c r="Q441" i="3"/>
  <c r="R441" i="3"/>
  <c r="S441" i="3"/>
  <c r="N442" i="3"/>
  <c r="O442" i="3"/>
  <c r="P442" i="3"/>
  <c r="Q442" i="3"/>
  <c r="R442" i="3"/>
  <c r="S442" i="3"/>
  <c r="N443" i="3"/>
  <c r="O443" i="3"/>
  <c r="P443" i="3"/>
  <c r="Q443" i="3"/>
  <c r="R443" i="3"/>
  <c r="S443" i="3"/>
  <c r="N444" i="3"/>
  <c r="O444" i="3"/>
  <c r="P444" i="3"/>
  <c r="Q444" i="3"/>
  <c r="R444" i="3"/>
  <c r="S444" i="3"/>
  <c r="N445" i="3"/>
  <c r="O445" i="3"/>
  <c r="P445" i="3"/>
  <c r="Q445" i="3"/>
  <c r="R445" i="3"/>
  <c r="S445" i="3"/>
  <c r="N446" i="3"/>
  <c r="O446" i="3"/>
  <c r="P446" i="3"/>
  <c r="Q446" i="3"/>
  <c r="R446" i="3"/>
  <c r="S446" i="3"/>
  <c r="N447" i="3"/>
  <c r="O447" i="3"/>
  <c r="P447" i="3"/>
  <c r="Q447" i="3"/>
  <c r="R447" i="3"/>
  <c r="S447" i="3"/>
  <c r="N448" i="3"/>
  <c r="O448" i="3"/>
  <c r="P448" i="3"/>
  <c r="Q448" i="3"/>
  <c r="R448" i="3"/>
  <c r="S448" i="3"/>
  <c r="N449" i="3"/>
  <c r="O449" i="3"/>
  <c r="P449" i="3"/>
  <c r="Q449" i="3"/>
  <c r="R449" i="3"/>
  <c r="S449" i="3"/>
  <c r="N450" i="3"/>
  <c r="O450" i="3"/>
  <c r="P450" i="3"/>
  <c r="Q450" i="3"/>
  <c r="R450" i="3"/>
  <c r="S450" i="3"/>
  <c r="N451" i="3"/>
  <c r="O451" i="3"/>
  <c r="P451" i="3"/>
  <c r="Q451" i="3"/>
  <c r="R451" i="3"/>
  <c r="S451" i="3"/>
  <c r="N452" i="3"/>
  <c r="O452" i="3"/>
  <c r="P452" i="3"/>
  <c r="Q452" i="3"/>
  <c r="R452" i="3"/>
  <c r="S452" i="3"/>
  <c r="N453" i="3"/>
  <c r="O453" i="3"/>
  <c r="P453" i="3"/>
  <c r="Q453" i="3"/>
  <c r="R453" i="3"/>
  <c r="S453" i="3"/>
  <c r="N454" i="3"/>
  <c r="O454" i="3"/>
  <c r="P454" i="3"/>
  <c r="Q454" i="3"/>
  <c r="R454" i="3"/>
  <c r="S454" i="3"/>
  <c r="N455" i="3"/>
  <c r="O455" i="3"/>
  <c r="P455" i="3"/>
  <c r="Q455" i="3"/>
  <c r="R455" i="3"/>
  <c r="S455" i="3"/>
  <c r="N456" i="3"/>
  <c r="O456" i="3"/>
  <c r="P456" i="3"/>
  <c r="Q456" i="3"/>
  <c r="R456" i="3"/>
  <c r="S456" i="3"/>
  <c r="N457" i="3"/>
  <c r="O457" i="3"/>
  <c r="P457" i="3"/>
  <c r="Q457" i="3"/>
  <c r="R457" i="3"/>
  <c r="S457" i="3"/>
  <c r="N458" i="3"/>
  <c r="O458" i="3"/>
  <c r="P458" i="3"/>
  <c r="Q458" i="3"/>
  <c r="R458" i="3"/>
  <c r="S458" i="3"/>
  <c r="N459" i="3"/>
  <c r="O459" i="3"/>
  <c r="P459" i="3"/>
  <c r="Q459" i="3"/>
  <c r="R459" i="3"/>
  <c r="S459" i="3"/>
  <c r="N460" i="3"/>
  <c r="O460" i="3"/>
  <c r="P460" i="3"/>
  <c r="Q460" i="3"/>
  <c r="R460" i="3"/>
  <c r="S460" i="3"/>
  <c r="N461" i="3"/>
  <c r="O461" i="3"/>
  <c r="P461" i="3"/>
  <c r="Q461" i="3"/>
  <c r="R461" i="3"/>
  <c r="S461" i="3"/>
  <c r="N462" i="3"/>
  <c r="O462" i="3"/>
  <c r="P462" i="3"/>
  <c r="Q462" i="3"/>
  <c r="R462" i="3"/>
  <c r="S462" i="3"/>
  <c r="N463" i="3"/>
  <c r="O463" i="3"/>
  <c r="P463" i="3"/>
  <c r="Q463" i="3"/>
  <c r="R463" i="3"/>
  <c r="S463" i="3"/>
  <c r="N464" i="3"/>
  <c r="O464" i="3"/>
  <c r="P464" i="3"/>
  <c r="Q464" i="3"/>
  <c r="R464" i="3"/>
  <c r="S464" i="3"/>
  <c r="N465" i="3"/>
  <c r="O465" i="3"/>
  <c r="P465" i="3"/>
  <c r="Q465" i="3"/>
  <c r="R465" i="3"/>
  <c r="S465" i="3"/>
  <c r="N466" i="3"/>
  <c r="O466" i="3"/>
  <c r="P466" i="3"/>
  <c r="Q466" i="3"/>
  <c r="R466" i="3"/>
  <c r="S466" i="3"/>
  <c r="N467" i="3"/>
  <c r="O467" i="3"/>
  <c r="P467" i="3"/>
  <c r="Q467" i="3"/>
  <c r="R467" i="3"/>
  <c r="S467" i="3"/>
  <c r="N468" i="3"/>
  <c r="O468" i="3"/>
  <c r="P468" i="3"/>
  <c r="Q468" i="3"/>
  <c r="R468" i="3"/>
  <c r="S468" i="3"/>
  <c r="N469" i="3"/>
  <c r="O469" i="3"/>
  <c r="P469" i="3"/>
  <c r="Q469" i="3"/>
  <c r="R469" i="3"/>
  <c r="S469" i="3"/>
  <c r="N470" i="3"/>
  <c r="O470" i="3"/>
  <c r="P470" i="3"/>
  <c r="Q470" i="3"/>
  <c r="R470" i="3"/>
  <c r="S470" i="3"/>
  <c r="N471" i="3"/>
  <c r="O471" i="3"/>
  <c r="P471" i="3"/>
  <c r="Q471" i="3"/>
  <c r="R471" i="3"/>
  <c r="S471" i="3"/>
  <c r="N472" i="3"/>
  <c r="O472" i="3"/>
  <c r="P472" i="3"/>
  <c r="Q472" i="3"/>
  <c r="R472" i="3"/>
  <c r="S472" i="3"/>
  <c r="N473" i="3"/>
  <c r="O473" i="3"/>
  <c r="P473" i="3"/>
  <c r="Q473" i="3"/>
  <c r="R473" i="3"/>
  <c r="S473" i="3"/>
  <c r="N474" i="3"/>
  <c r="O474" i="3"/>
  <c r="P474" i="3"/>
  <c r="Q474" i="3"/>
  <c r="R474" i="3"/>
  <c r="S474" i="3"/>
  <c r="N475" i="3"/>
  <c r="O475" i="3"/>
  <c r="P475" i="3"/>
  <c r="Q475" i="3"/>
  <c r="R475" i="3"/>
  <c r="S475" i="3"/>
  <c r="N476" i="3"/>
  <c r="O476" i="3"/>
  <c r="P476" i="3"/>
  <c r="Q476" i="3"/>
  <c r="R476" i="3"/>
  <c r="S476" i="3"/>
  <c r="N477" i="3"/>
  <c r="O477" i="3"/>
  <c r="P477" i="3"/>
  <c r="Q477" i="3"/>
  <c r="R477" i="3"/>
  <c r="S477" i="3"/>
  <c r="N478" i="3"/>
  <c r="O478" i="3"/>
  <c r="P478" i="3"/>
  <c r="Q478" i="3"/>
  <c r="R478" i="3"/>
  <c r="S478" i="3"/>
  <c r="N479" i="3"/>
  <c r="O479" i="3"/>
  <c r="P479" i="3"/>
  <c r="Q479" i="3"/>
  <c r="R479" i="3"/>
  <c r="S479" i="3"/>
  <c r="N480" i="3"/>
  <c r="O480" i="3"/>
  <c r="P480" i="3"/>
  <c r="Q480" i="3"/>
  <c r="R480" i="3"/>
  <c r="S480" i="3"/>
  <c r="N481" i="3"/>
  <c r="O481" i="3"/>
  <c r="P481" i="3"/>
  <c r="Q481" i="3"/>
  <c r="R481" i="3"/>
  <c r="S481" i="3"/>
  <c r="N482" i="3"/>
  <c r="O482" i="3"/>
  <c r="P482" i="3"/>
  <c r="Q482" i="3"/>
  <c r="R482" i="3"/>
  <c r="S482" i="3"/>
  <c r="N483" i="3"/>
  <c r="O483" i="3"/>
  <c r="P483" i="3"/>
  <c r="Q483" i="3"/>
  <c r="R483" i="3"/>
  <c r="S483" i="3"/>
  <c r="N484" i="3"/>
  <c r="O484" i="3"/>
  <c r="P484" i="3"/>
  <c r="Q484" i="3"/>
  <c r="R484" i="3"/>
  <c r="S484" i="3"/>
  <c r="N485" i="3"/>
  <c r="O485" i="3"/>
  <c r="P485" i="3"/>
  <c r="Q485" i="3"/>
  <c r="R485" i="3"/>
  <c r="S485" i="3"/>
  <c r="N486" i="3"/>
  <c r="O486" i="3"/>
  <c r="P486" i="3"/>
  <c r="Q486" i="3"/>
  <c r="R486" i="3"/>
  <c r="S486" i="3"/>
  <c r="N487" i="3"/>
  <c r="O487" i="3"/>
  <c r="P487" i="3"/>
  <c r="Q487" i="3"/>
  <c r="R487" i="3"/>
  <c r="S487" i="3"/>
  <c r="N488" i="3"/>
  <c r="O488" i="3"/>
  <c r="P488" i="3"/>
  <c r="Q488" i="3"/>
  <c r="R488" i="3"/>
  <c r="S488" i="3"/>
  <c r="N489" i="3"/>
  <c r="O489" i="3"/>
  <c r="P489" i="3"/>
  <c r="Q489" i="3"/>
  <c r="R489" i="3"/>
  <c r="S489" i="3"/>
  <c r="N490" i="3"/>
  <c r="O490" i="3"/>
  <c r="P490" i="3"/>
  <c r="Q490" i="3"/>
  <c r="R490" i="3"/>
  <c r="S490" i="3"/>
  <c r="N491" i="3"/>
  <c r="O491" i="3"/>
  <c r="P491" i="3"/>
  <c r="Q491" i="3"/>
  <c r="R491" i="3"/>
  <c r="S491" i="3"/>
  <c r="N492" i="3"/>
  <c r="O492" i="3"/>
  <c r="P492" i="3"/>
  <c r="Q492" i="3"/>
  <c r="R492" i="3"/>
  <c r="S492" i="3"/>
  <c r="N493" i="3"/>
  <c r="O493" i="3"/>
  <c r="P493" i="3"/>
  <c r="Q493" i="3"/>
  <c r="R493" i="3"/>
  <c r="S493" i="3"/>
  <c r="N494" i="3"/>
  <c r="O494" i="3"/>
  <c r="P494" i="3"/>
  <c r="Q494" i="3"/>
  <c r="R494" i="3"/>
  <c r="S494" i="3"/>
  <c r="N495" i="3"/>
  <c r="O495" i="3"/>
  <c r="P495" i="3"/>
  <c r="Q495" i="3"/>
  <c r="R495" i="3"/>
  <c r="S495" i="3"/>
  <c r="N496" i="3"/>
  <c r="O496" i="3"/>
  <c r="P496" i="3"/>
  <c r="Q496" i="3"/>
  <c r="R496" i="3"/>
  <c r="S496" i="3"/>
  <c r="N497" i="3"/>
  <c r="O497" i="3"/>
  <c r="P497" i="3"/>
  <c r="Q497" i="3"/>
  <c r="R497" i="3"/>
  <c r="S497" i="3"/>
  <c r="N498" i="3"/>
  <c r="O498" i="3"/>
  <c r="P498" i="3"/>
  <c r="Q498" i="3"/>
  <c r="R498" i="3"/>
  <c r="S498" i="3"/>
  <c r="N499" i="3"/>
  <c r="O499" i="3"/>
  <c r="P499" i="3"/>
  <c r="Q499" i="3"/>
  <c r="R499" i="3"/>
  <c r="S499" i="3"/>
  <c r="N500" i="3"/>
  <c r="O500" i="3"/>
  <c r="P500" i="3"/>
  <c r="Q500" i="3"/>
  <c r="R500" i="3"/>
  <c r="S500" i="3"/>
  <c r="N501" i="3"/>
  <c r="O501" i="3"/>
  <c r="P501" i="3"/>
  <c r="Q501" i="3"/>
  <c r="R501" i="3"/>
  <c r="S501" i="3"/>
  <c r="N502" i="3"/>
  <c r="O502" i="3"/>
  <c r="P502" i="3"/>
  <c r="Q502" i="3"/>
  <c r="R502" i="3"/>
  <c r="S502" i="3"/>
  <c r="N503" i="3"/>
  <c r="O503" i="3"/>
  <c r="P503" i="3"/>
  <c r="Q503" i="3"/>
  <c r="R503" i="3"/>
  <c r="S503" i="3"/>
  <c r="N504" i="3"/>
  <c r="O504" i="3"/>
  <c r="P504" i="3"/>
  <c r="Q504" i="3"/>
  <c r="R504" i="3"/>
  <c r="S504" i="3"/>
  <c r="N505" i="3"/>
  <c r="O505" i="3"/>
  <c r="P505" i="3"/>
  <c r="Q505" i="3"/>
  <c r="R505" i="3"/>
  <c r="S505" i="3"/>
  <c r="N506" i="3"/>
  <c r="O506" i="3"/>
  <c r="P506" i="3"/>
  <c r="Q506" i="3"/>
  <c r="R506" i="3"/>
  <c r="S506" i="3"/>
  <c r="N507" i="3"/>
  <c r="O507" i="3"/>
  <c r="P507" i="3"/>
  <c r="Q507" i="3"/>
  <c r="R507" i="3"/>
  <c r="S507" i="3"/>
  <c r="N508" i="3"/>
  <c r="O508" i="3"/>
  <c r="P508" i="3"/>
  <c r="Q508" i="3"/>
  <c r="R508" i="3"/>
  <c r="S508" i="3"/>
  <c r="N509" i="3"/>
  <c r="O509" i="3"/>
  <c r="P509" i="3"/>
  <c r="Q509" i="3"/>
  <c r="R509" i="3"/>
  <c r="S509" i="3"/>
  <c r="N510" i="3"/>
  <c r="O510" i="3"/>
  <c r="P510" i="3"/>
  <c r="Q510" i="3"/>
  <c r="R510" i="3"/>
  <c r="S510" i="3"/>
  <c r="N511" i="3"/>
  <c r="O511" i="3"/>
  <c r="P511" i="3"/>
  <c r="Q511" i="3"/>
  <c r="R511" i="3"/>
  <c r="S511" i="3"/>
  <c r="N512" i="3"/>
  <c r="O512" i="3"/>
  <c r="P512" i="3"/>
  <c r="Q512" i="3"/>
  <c r="R512" i="3"/>
  <c r="S512" i="3"/>
  <c r="N513" i="3"/>
  <c r="O513" i="3"/>
  <c r="P513" i="3"/>
  <c r="Q513" i="3"/>
  <c r="R513" i="3"/>
  <c r="S513" i="3"/>
  <c r="N514" i="3"/>
  <c r="O514" i="3"/>
  <c r="P514" i="3"/>
  <c r="Q514" i="3"/>
  <c r="R514" i="3"/>
  <c r="S514" i="3"/>
  <c r="N515" i="3"/>
  <c r="O515" i="3"/>
  <c r="P515" i="3"/>
  <c r="Q515" i="3"/>
  <c r="R515" i="3"/>
  <c r="S515" i="3"/>
  <c r="N516" i="3"/>
  <c r="O516" i="3"/>
  <c r="P516" i="3"/>
  <c r="Q516" i="3"/>
  <c r="R516" i="3"/>
  <c r="S516" i="3"/>
  <c r="N517" i="3"/>
  <c r="O517" i="3"/>
  <c r="P517" i="3"/>
  <c r="Q517" i="3"/>
  <c r="R517" i="3"/>
  <c r="S517" i="3"/>
  <c r="N518" i="3"/>
  <c r="O518" i="3"/>
  <c r="P518" i="3"/>
  <c r="Q518" i="3"/>
  <c r="R518" i="3"/>
  <c r="S518" i="3"/>
  <c r="N519" i="3"/>
  <c r="O519" i="3"/>
  <c r="P519" i="3"/>
  <c r="Q519" i="3"/>
  <c r="R519" i="3"/>
  <c r="S519" i="3"/>
  <c r="N520" i="3"/>
  <c r="O520" i="3"/>
  <c r="P520" i="3"/>
  <c r="Q520" i="3"/>
  <c r="R520" i="3"/>
  <c r="S520" i="3"/>
  <c r="N521" i="3"/>
  <c r="O521" i="3"/>
  <c r="P521" i="3"/>
  <c r="Q521" i="3"/>
  <c r="R521" i="3"/>
  <c r="S521" i="3"/>
  <c r="N522" i="3"/>
  <c r="O522" i="3"/>
  <c r="P522" i="3"/>
  <c r="Q522" i="3"/>
  <c r="R522" i="3"/>
  <c r="S522" i="3"/>
  <c r="N523" i="3"/>
  <c r="O523" i="3"/>
  <c r="P523" i="3"/>
  <c r="Q523" i="3"/>
  <c r="R523" i="3"/>
  <c r="S523" i="3"/>
  <c r="N524" i="3"/>
  <c r="O524" i="3"/>
  <c r="P524" i="3"/>
  <c r="Q524" i="3"/>
  <c r="R524" i="3"/>
  <c r="S524" i="3"/>
  <c r="N525" i="3"/>
  <c r="O525" i="3"/>
  <c r="P525" i="3"/>
  <c r="Q525" i="3"/>
  <c r="R525" i="3"/>
  <c r="S525" i="3"/>
  <c r="N526" i="3"/>
  <c r="O526" i="3"/>
  <c r="P526" i="3"/>
  <c r="Q526" i="3"/>
  <c r="R526" i="3"/>
  <c r="S526" i="3"/>
  <c r="N527" i="3"/>
  <c r="O527" i="3"/>
  <c r="P527" i="3"/>
  <c r="Q527" i="3"/>
  <c r="R527" i="3"/>
  <c r="S527" i="3"/>
  <c r="N528" i="3"/>
  <c r="O528" i="3"/>
  <c r="P528" i="3"/>
  <c r="Q528" i="3"/>
  <c r="R528" i="3"/>
  <c r="S528" i="3"/>
  <c r="N529" i="3"/>
  <c r="O529" i="3"/>
  <c r="P529" i="3"/>
  <c r="Q529" i="3"/>
  <c r="R529" i="3"/>
  <c r="S529" i="3"/>
  <c r="N530" i="3"/>
  <c r="O530" i="3"/>
  <c r="P530" i="3"/>
  <c r="Q530" i="3"/>
  <c r="R530" i="3"/>
  <c r="S530" i="3"/>
  <c r="N531" i="3"/>
  <c r="O531" i="3"/>
  <c r="P531" i="3"/>
  <c r="Q531" i="3"/>
  <c r="R531" i="3"/>
  <c r="S531" i="3"/>
  <c r="N532" i="3"/>
  <c r="O532" i="3"/>
  <c r="P532" i="3"/>
  <c r="Q532" i="3"/>
  <c r="R532" i="3"/>
  <c r="S532" i="3"/>
  <c r="N533" i="3"/>
  <c r="O533" i="3"/>
  <c r="P533" i="3"/>
  <c r="Q533" i="3"/>
  <c r="R533" i="3"/>
  <c r="S533" i="3"/>
  <c r="N534" i="3"/>
  <c r="O534" i="3"/>
  <c r="P534" i="3"/>
  <c r="Q534" i="3"/>
  <c r="R534" i="3"/>
  <c r="S534" i="3"/>
  <c r="N535" i="3"/>
  <c r="O535" i="3"/>
  <c r="P535" i="3"/>
  <c r="Q535" i="3"/>
  <c r="R535" i="3"/>
  <c r="S535" i="3"/>
  <c r="N536" i="3"/>
  <c r="O536" i="3"/>
  <c r="P536" i="3"/>
  <c r="Q536" i="3"/>
  <c r="R536" i="3"/>
  <c r="S536" i="3"/>
  <c r="N537" i="3"/>
  <c r="O537" i="3"/>
  <c r="P537" i="3"/>
  <c r="Q537" i="3"/>
  <c r="R537" i="3"/>
  <c r="S537" i="3"/>
  <c r="N538" i="3"/>
  <c r="O538" i="3"/>
  <c r="P538" i="3"/>
  <c r="Q538" i="3"/>
  <c r="R538" i="3"/>
  <c r="S538" i="3"/>
  <c r="N539" i="3"/>
  <c r="O539" i="3"/>
  <c r="P539" i="3"/>
  <c r="Q539" i="3"/>
  <c r="R539" i="3"/>
  <c r="S539" i="3"/>
  <c r="N540" i="3"/>
  <c r="O540" i="3"/>
  <c r="P540" i="3"/>
  <c r="Q540" i="3"/>
  <c r="R540" i="3"/>
  <c r="S540" i="3"/>
  <c r="N541" i="3"/>
  <c r="O541" i="3"/>
  <c r="P541" i="3"/>
  <c r="Q541" i="3"/>
  <c r="R541" i="3"/>
  <c r="S541" i="3"/>
  <c r="N542" i="3"/>
  <c r="O542" i="3"/>
  <c r="P542" i="3"/>
  <c r="Q542" i="3"/>
  <c r="R542" i="3"/>
  <c r="S542" i="3"/>
  <c r="N543" i="3"/>
  <c r="O543" i="3"/>
  <c r="P543" i="3"/>
  <c r="Q543" i="3"/>
  <c r="R543" i="3"/>
  <c r="S543" i="3"/>
  <c r="N544" i="3"/>
  <c r="O544" i="3"/>
  <c r="P544" i="3"/>
  <c r="Q544" i="3"/>
  <c r="R544" i="3"/>
  <c r="S544" i="3"/>
  <c r="N545" i="3"/>
  <c r="O545" i="3"/>
  <c r="P545" i="3"/>
  <c r="Q545" i="3"/>
  <c r="R545" i="3"/>
  <c r="S545" i="3"/>
  <c r="N546" i="3"/>
  <c r="O546" i="3"/>
  <c r="P546" i="3"/>
  <c r="Q546" i="3"/>
  <c r="R546" i="3"/>
  <c r="S546" i="3"/>
  <c r="N547" i="3"/>
  <c r="O547" i="3"/>
  <c r="P547" i="3"/>
  <c r="Q547" i="3"/>
  <c r="R547" i="3"/>
  <c r="S547" i="3"/>
  <c r="N548" i="3"/>
  <c r="O548" i="3"/>
  <c r="P548" i="3"/>
  <c r="Q548" i="3"/>
  <c r="R548" i="3"/>
  <c r="S548" i="3"/>
  <c r="N549" i="3"/>
  <c r="O549" i="3"/>
  <c r="P549" i="3"/>
  <c r="Q549" i="3"/>
  <c r="R549" i="3"/>
  <c r="S549" i="3"/>
  <c r="N550" i="3"/>
  <c r="O550" i="3"/>
  <c r="P550" i="3"/>
  <c r="Q550" i="3"/>
  <c r="R550" i="3"/>
  <c r="S550" i="3"/>
  <c r="N551" i="3"/>
  <c r="O551" i="3"/>
  <c r="P551" i="3"/>
  <c r="Q551" i="3"/>
  <c r="R551" i="3"/>
  <c r="S551" i="3"/>
  <c r="N552" i="3"/>
  <c r="O552" i="3"/>
  <c r="P552" i="3"/>
  <c r="Q552" i="3"/>
  <c r="R552" i="3"/>
  <c r="S552" i="3"/>
  <c r="N553" i="3"/>
  <c r="O553" i="3"/>
  <c r="P553" i="3"/>
  <c r="Q553" i="3"/>
  <c r="R553" i="3"/>
  <c r="S553" i="3"/>
  <c r="N554" i="3"/>
  <c r="O554" i="3"/>
  <c r="P554" i="3"/>
  <c r="Q554" i="3"/>
  <c r="R554" i="3"/>
  <c r="S554" i="3"/>
  <c r="N555" i="3"/>
  <c r="O555" i="3"/>
  <c r="P555" i="3"/>
  <c r="Q555" i="3"/>
  <c r="R555" i="3"/>
  <c r="S555" i="3"/>
  <c r="N556" i="3"/>
  <c r="O556" i="3"/>
  <c r="P556" i="3"/>
  <c r="Q556" i="3"/>
  <c r="R556" i="3"/>
  <c r="S556" i="3"/>
  <c r="N557" i="3"/>
  <c r="O557" i="3"/>
  <c r="P557" i="3"/>
  <c r="Q557" i="3"/>
  <c r="R557" i="3"/>
  <c r="S557" i="3"/>
  <c r="N558" i="3"/>
  <c r="O558" i="3"/>
  <c r="P558" i="3"/>
  <c r="Q558" i="3"/>
  <c r="R558" i="3"/>
  <c r="S558" i="3"/>
  <c r="N559" i="3"/>
  <c r="O559" i="3"/>
  <c r="P559" i="3"/>
  <c r="Q559" i="3"/>
  <c r="R559" i="3"/>
  <c r="S559" i="3"/>
  <c r="N560" i="3"/>
  <c r="O560" i="3"/>
  <c r="P560" i="3"/>
  <c r="Q560" i="3"/>
  <c r="R560" i="3"/>
  <c r="S560" i="3"/>
  <c r="N561" i="3"/>
  <c r="O561" i="3"/>
  <c r="P561" i="3"/>
  <c r="Q561" i="3"/>
  <c r="R561" i="3"/>
  <c r="S561" i="3"/>
  <c r="N562" i="3"/>
  <c r="O562" i="3"/>
  <c r="P562" i="3"/>
  <c r="Q562" i="3"/>
  <c r="R562" i="3"/>
  <c r="S562" i="3"/>
  <c r="N563" i="3"/>
  <c r="O563" i="3"/>
  <c r="P563" i="3"/>
  <c r="Q563" i="3"/>
  <c r="R563" i="3"/>
  <c r="S563" i="3"/>
  <c r="N564" i="3"/>
  <c r="O564" i="3"/>
  <c r="P564" i="3"/>
  <c r="Q564" i="3"/>
  <c r="R564" i="3"/>
  <c r="S564" i="3"/>
  <c r="N565" i="3"/>
  <c r="O565" i="3"/>
  <c r="P565" i="3"/>
  <c r="Q565" i="3"/>
  <c r="R565" i="3"/>
  <c r="S565" i="3"/>
  <c r="N566" i="3"/>
  <c r="O566" i="3"/>
  <c r="P566" i="3"/>
  <c r="Q566" i="3"/>
  <c r="R566" i="3"/>
  <c r="S566" i="3"/>
  <c r="N567" i="3"/>
  <c r="O567" i="3"/>
  <c r="P567" i="3"/>
  <c r="Q567" i="3"/>
  <c r="R567" i="3"/>
  <c r="S567" i="3"/>
  <c r="N568" i="3"/>
  <c r="O568" i="3"/>
  <c r="P568" i="3"/>
  <c r="Q568" i="3"/>
  <c r="R568" i="3"/>
  <c r="S568" i="3"/>
  <c r="N569" i="3"/>
  <c r="O569" i="3"/>
  <c r="P569" i="3"/>
  <c r="Q569" i="3"/>
  <c r="R569" i="3"/>
  <c r="S569" i="3"/>
  <c r="N570" i="3"/>
  <c r="O570" i="3"/>
  <c r="P570" i="3"/>
  <c r="Q570" i="3"/>
  <c r="R570" i="3"/>
  <c r="S570" i="3"/>
  <c r="N571" i="3"/>
  <c r="O571" i="3"/>
  <c r="P571" i="3"/>
  <c r="Q571" i="3"/>
  <c r="R571" i="3"/>
  <c r="S571" i="3"/>
  <c r="N572" i="3"/>
  <c r="O572" i="3"/>
  <c r="P572" i="3"/>
  <c r="Q572" i="3"/>
  <c r="R572" i="3"/>
  <c r="S572" i="3"/>
  <c r="N573" i="3"/>
  <c r="O573" i="3"/>
  <c r="P573" i="3"/>
  <c r="Q573" i="3"/>
  <c r="R573" i="3"/>
  <c r="S573" i="3"/>
  <c r="N574" i="3"/>
  <c r="O574" i="3"/>
  <c r="P574" i="3"/>
  <c r="Q574" i="3"/>
  <c r="R574" i="3"/>
  <c r="S574" i="3"/>
  <c r="N575" i="3"/>
  <c r="O575" i="3"/>
  <c r="P575" i="3"/>
  <c r="Q575" i="3"/>
  <c r="R575" i="3"/>
  <c r="S575" i="3"/>
  <c r="N576" i="3"/>
  <c r="O576" i="3"/>
  <c r="P576" i="3"/>
  <c r="Q576" i="3"/>
  <c r="R576" i="3"/>
  <c r="S576" i="3"/>
  <c r="N577" i="3"/>
  <c r="O577" i="3"/>
  <c r="P577" i="3"/>
  <c r="Q577" i="3"/>
  <c r="R577" i="3"/>
  <c r="S577" i="3"/>
  <c r="N578" i="3"/>
  <c r="O578" i="3"/>
  <c r="P578" i="3"/>
  <c r="Q578" i="3"/>
  <c r="R578" i="3"/>
  <c r="S578" i="3"/>
  <c r="N579" i="3"/>
  <c r="O579" i="3"/>
  <c r="P579" i="3"/>
  <c r="Q579" i="3"/>
  <c r="R579" i="3"/>
  <c r="S579" i="3"/>
  <c r="N580" i="3"/>
  <c r="O580" i="3"/>
  <c r="P580" i="3"/>
  <c r="Q580" i="3"/>
  <c r="R580" i="3"/>
  <c r="S580" i="3"/>
  <c r="N581" i="3"/>
  <c r="O581" i="3"/>
  <c r="P581" i="3"/>
  <c r="Q581" i="3"/>
  <c r="R581" i="3"/>
  <c r="S581" i="3"/>
  <c r="N582" i="3"/>
  <c r="O582" i="3"/>
  <c r="P582" i="3"/>
  <c r="Q582" i="3"/>
  <c r="R582" i="3"/>
  <c r="S582" i="3"/>
  <c r="N583" i="3"/>
  <c r="O583" i="3"/>
  <c r="P583" i="3"/>
  <c r="Q583" i="3"/>
  <c r="R583" i="3"/>
  <c r="S583" i="3"/>
  <c r="N584" i="3"/>
  <c r="O584" i="3"/>
  <c r="P584" i="3"/>
  <c r="Q584" i="3"/>
  <c r="R584" i="3"/>
  <c r="S584" i="3"/>
  <c r="N585" i="3"/>
  <c r="O585" i="3"/>
  <c r="P585" i="3"/>
  <c r="Q585" i="3"/>
  <c r="R585" i="3"/>
  <c r="S585" i="3"/>
  <c r="N586" i="3"/>
  <c r="O586" i="3"/>
  <c r="P586" i="3"/>
  <c r="Q586" i="3"/>
  <c r="R586" i="3"/>
  <c r="S586" i="3"/>
  <c r="N587" i="3"/>
  <c r="O587" i="3"/>
  <c r="P587" i="3"/>
  <c r="Q587" i="3"/>
  <c r="R587" i="3"/>
  <c r="S587" i="3"/>
  <c r="N588" i="3"/>
  <c r="O588" i="3"/>
  <c r="P588" i="3"/>
  <c r="Q588" i="3"/>
  <c r="R588" i="3"/>
  <c r="S588" i="3"/>
  <c r="N589" i="3"/>
  <c r="O589" i="3"/>
  <c r="P589" i="3"/>
  <c r="Q589" i="3"/>
  <c r="R589" i="3"/>
  <c r="S589" i="3"/>
  <c r="N590" i="3"/>
  <c r="O590" i="3"/>
  <c r="P590" i="3"/>
  <c r="Q590" i="3"/>
  <c r="R590" i="3"/>
  <c r="S590" i="3"/>
  <c r="N591" i="3"/>
  <c r="O591" i="3"/>
  <c r="P591" i="3"/>
  <c r="Q591" i="3"/>
  <c r="R591" i="3"/>
  <c r="S591" i="3"/>
  <c r="N592" i="3"/>
  <c r="O592" i="3"/>
  <c r="P592" i="3"/>
  <c r="Q592" i="3"/>
  <c r="R592" i="3"/>
  <c r="S592" i="3"/>
  <c r="N593" i="3"/>
  <c r="O593" i="3"/>
  <c r="P593" i="3"/>
  <c r="Q593" i="3"/>
  <c r="R593" i="3"/>
  <c r="S593" i="3"/>
  <c r="N594" i="3"/>
  <c r="O594" i="3"/>
  <c r="P594" i="3"/>
  <c r="Q594" i="3"/>
  <c r="R594" i="3"/>
  <c r="S594" i="3"/>
  <c r="N595" i="3"/>
  <c r="O595" i="3"/>
  <c r="P595" i="3"/>
  <c r="Q595" i="3"/>
  <c r="R595" i="3"/>
  <c r="S595" i="3"/>
  <c r="N596" i="3"/>
  <c r="O596" i="3"/>
  <c r="P596" i="3"/>
  <c r="Q596" i="3"/>
  <c r="R596" i="3"/>
  <c r="S596" i="3"/>
  <c r="N597" i="3"/>
  <c r="O597" i="3"/>
  <c r="P597" i="3"/>
  <c r="Q597" i="3"/>
  <c r="R597" i="3"/>
  <c r="S597" i="3"/>
  <c r="N598" i="3"/>
  <c r="O598" i="3"/>
  <c r="P598" i="3"/>
  <c r="Q598" i="3"/>
  <c r="R598" i="3"/>
  <c r="S598" i="3"/>
  <c r="N599" i="3"/>
  <c r="O599" i="3"/>
  <c r="P599" i="3"/>
  <c r="Q599" i="3"/>
  <c r="R599" i="3"/>
  <c r="S599" i="3"/>
  <c r="N600" i="3"/>
  <c r="O600" i="3"/>
  <c r="P600" i="3"/>
  <c r="Q600" i="3"/>
  <c r="R600" i="3"/>
  <c r="S600" i="3"/>
  <c r="N601" i="3"/>
  <c r="O601" i="3"/>
  <c r="P601" i="3"/>
  <c r="Q601" i="3"/>
  <c r="R601" i="3"/>
  <c r="S601" i="3"/>
  <c r="N602" i="3"/>
  <c r="O602" i="3"/>
  <c r="P602" i="3"/>
  <c r="Q602" i="3"/>
  <c r="R602" i="3"/>
  <c r="S602" i="3"/>
  <c r="N603" i="3"/>
  <c r="O603" i="3"/>
  <c r="P603" i="3"/>
  <c r="Q603" i="3"/>
  <c r="R603" i="3"/>
  <c r="S603" i="3"/>
  <c r="N604" i="3"/>
  <c r="O604" i="3"/>
  <c r="P604" i="3"/>
  <c r="Q604" i="3"/>
  <c r="R604" i="3"/>
  <c r="S604" i="3"/>
  <c r="N605" i="3"/>
  <c r="O605" i="3"/>
  <c r="P605" i="3"/>
  <c r="Q605" i="3"/>
  <c r="R605" i="3"/>
  <c r="S605" i="3"/>
  <c r="N606" i="3"/>
  <c r="O606" i="3"/>
  <c r="P606" i="3"/>
  <c r="Q606" i="3"/>
  <c r="R606" i="3"/>
  <c r="S606" i="3"/>
  <c r="N607" i="3"/>
  <c r="O607" i="3"/>
  <c r="P607" i="3"/>
  <c r="Q607" i="3"/>
  <c r="R607" i="3"/>
  <c r="S607" i="3"/>
  <c r="N608" i="3"/>
  <c r="O608" i="3"/>
  <c r="P608" i="3"/>
  <c r="Q608" i="3"/>
  <c r="R608" i="3"/>
  <c r="S608" i="3"/>
  <c r="N609" i="3"/>
  <c r="O609" i="3"/>
  <c r="P609" i="3"/>
  <c r="Q609" i="3"/>
  <c r="R609" i="3"/>
  <c r="S609" i="3"/>
  <c r="N610" i="3"/>
  <c r="O610" i="3"/>
  <c r="P610" i="3"/>
  <c r="Q610" i="3"/>
  <c r="R610" i="3"/>
  <c r="S610" i="3"/>
  <c r="N611" i="3"/>
  <c r="O611" i="3"/>
  <c r="P611" i="3"/>
  <c r="Q611" i="3"/>
  <c r="R611" i="3"/>
  <c r="S611" i="3"/>
  <c r="N612" i="3"/>
  <c r="O612" i="3"/>
  <c r="P612" i="3"/>
  <c r="Q612" i="3"/>
  <c r="R612" i="3"/>
  <c r="S612" i="3"/>
  <c r="N613" i="3"/>
  <c r="O613" i="3"/>
  <c r="P613" i="3"/>
  <c r="Q613" i="3"/>
  <c r="R613" i="3"/>
  <c r="S613" i="3"/>
  <c r="N614" i="3"/>
  <c r="O614" i="3"/>
  <c r="P614" i="3"/>
  <c r="Q614" i="3"/>
  <c r="R614" i="3"/>
  <c r="S614" i="3"/>
  <c r="N615" i="3"/>
  <c r="O615" i="3"/>
  <c r="P615" i="3"/>
  <c r="Q615" i="3"/>
  <c r="R615" i="3"/>
  <c r="S615" i="3"/>
  <c r="N616" i="3"/>
  <c r="O616" i="3"/>
  <c r="P616" i="3"/>
  <c r="Q616" i="3"/>
  <c r="R616" i="3"/>
  <c r="S616" i="3"/>
  <c r="N617" i="3"/>
  <c r="O617" i="3"/>
  <c r="P617" i="3"/>
  <c r="Q617" i="3"/>
  <c r="R617" i="3"/>
  <c r="S617" i="3"/>
  <c r="N618" i="3"/>
  <c r="O618" i="3"/>
  <c r="P618" i="3"/>
  <c r="Q618" i="3"/>
  <c r="R618" i="3"/>
  <c r="S618" i="3"/>
  <c r="N619" i="3"/>
  <c r="O619" i="3"/>
  <c r="P619" i="3"/>
  <c r="Q619" i="3"/>
  <c r="R619" i="3"/>
  <c r="S619" i="3"/>
  <c r="N620" i="3"/>
  <c r="O620" i="3"/>
  <c r="P620" i="3"/>
  <c r="Q620" i="3"/>
  <c r="R620" i="3"/>
  <c r="S620" i="3"/>
  <c r="N621" i="3"/>
  <c r="O621" i="3"/>
  <c r="P621" i="3"/>
  <c r="Q621" i="3"/>
  <c r="R621" i="3"/>
  <c r="S621" i="3"/>
  <c r="N622" i="3"/>
  <c r="O622" i="3"/>
  <c r="P622" i="3"/>
  <c r="Q622" i="3"/>
  <c r="R622" i="3"/>
  <c r="S622" i="3"/>
  <c r="N623" i="3"/>
  <c r="O623" i="3"/>
  <c r="P623" i="3"/>
  <c r="Q623" i="3"/>
  <c r="R623" i="3"/>
  <c r="S623" i="3"/>
  <c r="N624" i="3"/>
  <c r="O624" i="3"/>
  <c r="P624" i="3"/>
  <c r="Q624" i="3"/>
  <c r="R624" i="3"/>
  <c r="S624" i="3"/>
  <c r="N625" i="3"/>
  <c r="O625" i="3"/>
  <c r="P625" i="3"/>
  <c r="Q625" i="3"/>
  <c r="R625" i="3"/>
  <c r="S625" i="3"/>
  <c r="N626" i="3"/>
  <c r="O626" i="3"/>
  <c r="P626" i="3"/>
  <c r="Q626" i="3"/>
  <c r="R626" i="3"/>
  <c r="S626" i="3"/>
  <c r="N627" i="3"/>
  <c r="O627" i="3"/>
  <c r="P627" i="3"/>
  <c r="Q627" i="3"/>
  <c r="R627" i="3"/>
  <c r="S627" i="3"/>
  <c r="N628" i="3"/>
  <c r="O628" i="3"/>
  <c r="P628" i="3"/>
  <c r="Q628" i="3"/>
  <c r="R628" i="3"/>
  <c r="S628" i="3"/>
  <c r="N629" i="3"/>
  <c r="O629" i="3"/>
  <c r="P629" i="3"/>
  <c r="Q629" i="3"/>
  <c r="R629" i="3"/>
  <c r="S629" i="3"/>
  <c r="N630" i="3"/>
  <c r="O630" i="3"/>
  <c r="P630" i="3"/>
  <c r="Q630" i="3"/>
  <c r="R630" i="3"/>
  <c r="S630" i="3"/>
  <c r="N631" i="3"/>
  <c r="O631" i="3"/>
  <c r="P631" i="3"/>
  <c r="Q631" i="3"/>
  <c r="R631" i="3"/>
  <c r="S631" i="3"/>
  <c r="N632" i="3"/>
  <c r="O632" i="3"/>
  <c r="P632" i="3"/>
  <c r="Q632" i="3"/>
  <c r="R632" i="3"/>
  <c r="S632" i="3"/>
  <c r="N633" i="3"/>
  <c r="O633" i="3"/>
  <c r="P633" i="3"/>
  <c r="Q633" i="3"/>
  <c r="R633" i="3"/>
  <c r="S633" i="3"/>
  <c r="N634" i="3"/>
  <c r="O634" i="3"/>
  <c r="P634" i="3"/>
  <c r="Q634" i="3"/>
  <c r="R634" i="3"/>
  <c r="S634" i="3"/>
  <c r="N635" i="3"/>
  <c r="O635" i="3"/>
  <c r="P635" i="3"/>
  <c r="Q635" i="3"/>
  <c r="R635" i="3"/>
  <c r="S635" i="3"/>
  <c r="N636" i="3"/>
  <c r="O636" i="3"/>
  <c r="P636" i="3"/>
  <c r="Q636" i="3"/>
  <c r="R636" i="3"/>
  <c r="S636" i="3"/>
  <c r="N637" i="3"/>
  <c r="O637" i="3"/>
  <c r="P637" i="3"/>
  <c r="Q637" i="3"/>
  <c r="R637" i="3"/>
  <c r="S637" i="3"/>
  <c r="N638" i="3"/>
  <c r="O638" i="3"/>
  <c r="P638" i="3"/>
  <c r="Q638" i="3"/>
  <c r="R638" i="3"/>
  <c r="S638" i="3"/>
  <c r="N639" i="3"/>
  <c r="O639" i="3"/>
  <c r="P639" i="3"/>
  <c r="Q639" i="3"/>
  <c r="R639" i="3"/>
  <c r="S639" i="3"/>
  <c r="N640" i="3"/>
  <c r="O640" i="3"/>
  <c r="P640" i="3"/>
  <c r="Q640" i="3"/>
  <c r="R640" i="3"/>
  <c r="S640" i="3"/>
  <c r="N641" i="3"/>
  <c r="O641" i="3"/>
  <c r="P641" i="3"/>
  <c r="Q641" i="3"/>
  <c r="R641" i="3"/>
  <c r="S641" i="3"/>
  <c r="N642" i="3"/>
  <c r="O642" i="3"/>
  <c r="P642" i="3"/>
  <c r="Q642" i="3"/>
  <c r="R642" i="3"/>
  <c r="S642" i="3"/>
  <c r="N643" i="3"/>
  <c r="O643" i="3"/>
  <c r="P643" i="3"/>
  <c r="Q643" i="3"/>
  <c r="R643" i="3"/>
  <c r="S643" i="3"/>
  <c r="N644" i="3"/>
  <c r="O644" i="3"/>
  <c r="P644" i="3"/>
  <c r="Q644" i="3"/>
  <c r="R644" i="3"/>
  <c r="S644" i="3"/>
  <c r="N645" i="3"/>
  <c r="O645" i="3"/>
  <c r="P645" i="3"/>
  <c r="Q645" i="3"/>
  <c r="R645" i="3"/>
  <c r="S645" i="3"/>
  <c r="N646" i="3"/>
  <c r="O646" i="3"/>
  <c r="P646" i="3"/>
  <c r="Q646" i="3"/>
  <c r="R646" i="3"/>
  <c r="S646" i="3"/>
  <c r="N647" i="3"/>
  <c r="O647" i="3"/>
  <c r="P647" i="3"/>
  <c r="Q647" i="3"/>
  <c r="R647" i="3"/>
  <c r="S647" i="3"/>
  <c r="N648" i="3"/>
  <c r="O648" i="3"/>
  <c r="P648" i="3"/>
  <c r="Q648" i="3"/>
  <c r="R648" i="3"/>
  <c r="S648" i="3"/>
  <c r="N649" i="3"/>
  <c r="O649" i="3"/>
  <c r="P649" i="3"/>
  <c r="Q649" i="3"/>
  <c r="R649" i="3"/>
  <c r="S649" i="3"/>
  <c r="N650" i="3"/>
  <c r="O650" i="3"/>
  <c r="P650" i="3"/>
  <c r="Q650" i="3"/>
  <c r="R650" i="3"/>
  <c r="S650" i="3"/>
  <c r="N651" i="3"/>
  <c r="O651" i="3"/>
  <c r="P651" i="3"/>
  <c r="Q651" i="3"/>
  <c r="R651" i="3"/>
  <c r="S651" i="3"/>
  <c r="N652" i="3"/>
  <c r="O652" i="3"/>
  <c r="P652" i="3"/>
  <c r="Q652" i="3"/>
  <c r="R652" i="3"/>
  <c r="S652" i="3"/>
  <c r="N653" i="3"/>
  <c r="O653" i="3"/>
  <c r="P653" i="3"/>
  <c r="Q653" i="3"/>
  <c r="R653" i="3"/>
  <c r="S653" i="3"/>
  <c r="N654" i="3"/>
  <c r="O654" i="3"/>
  <c r="P654" i="3"/>
  <c r="Q654" i="3"/>
  <c r="R654" i="3"/>
  <c r="S654" i="3"/>
  <c r="N655" i="3"/>
  <c r="O655" i="3"/>
  <c r="P655" i="3"/>
  <c r="Q655" i="3"/>
  <c r="R655" i="3"/>
  <c r="S655" i="3"/>
  <c r="N656" i="3"/>
  <c r="O656" i="3"/>
  <c r="P656" i="3"/>
  <c r="Q656" i="3"/>
  <c r="R656" i="3"/>
  <c r="S656" i="3"/>
  <c r="N657" i="3"/>
  <c r="O657" i="3"/>
  <c r="P657" i="3"/>
  <c r="Q657" i="3"/>
  <c r="R657" i="3"/>
  <c r="S657" i="3"/>
  <c r="N658" i="3"/>
  <c r="O658" i="3"/>
  <c r="P658" i="3"/>
  <c r="Q658" i="3"/>
  <c r="R658" i="3"/>
  <c r="S658" i="3"/>
  <c r="N659" i="3"/>
  <c r="O659" i="3"/>
  <c r="P659" i="3"/>
  <c r="Q659" i="3"/>
  <c r="R659" i="3"/>
  <c r="S659" i="3"/>
  <c r="N660" i="3"/>
  <c r="O660" i="3"/>
  <c r="P660" i="3"/>
  <c r="Q660" i="3"/>
  <c r="R660" i="3"/>
  <c r="S660" i="3"/>
  <c r="N661" i="3"/>
  <c r="O661" i="3"/>
  <c r="P661" i="3"/>
  <c r="Q661" i="3"/>
  <c r="R661" i="3"/>
  <c r="S661" i="3"/>
  <c r="N662" i="3"/>
  <c r="O662" i="3"/>
  <c r="P662" i="3"/>
  <c r="Q662" i="3"/>
  <c r="R662" i="3"/>
  <c r="S662" i="3"/>
  <c r="N663" i="3"/>
  <c r="O663" i="3"/>
  <c r="P663" i="3"/>
  <c r="Q663" i="3"/>
  <c r="R663" i="3"/>
  <c r="S663" i="3"/>
  <c r="N664" i="3"/>
  <c r="O664" i="3"/>
  <c r="P664" i="3"/>
  <c r="Q664" i="3"/>
  <c r="R664" i="3"/>
  <c r="S664" i="3"/>
  <c r="N665" i="3"/>
  <c r="O665" i="3"/>
  <c r="P665" i="3"/>
  <c r="Q665" i="3"/>
  <c r="R665" i="3"/>
  <c r="S665" i="3"/>
  <c r="N666" i="3"/>
  <c r="O666" i="3"/>
  <c r="P666" i="3"/>
  <c r="Q666" i="3"/>
  <c r="R666" i="3"/>
  <c r="S666" i="3"/>
  <c r="N667" i="3"/>
  <c r="O667" i="3"/>
  <c r="P667" i="3"/>
  <c r="Q667" i="3"/>
  <c r="R667" i="3"/>
  <c r="S667" i="3"/>
  <c r="N668" i="3"/>
  <c r="O668" i="3"/>
  <c r="P668" i="3"/>
  <c r="Q668" i="3"/>
  <c r="R668" i="3"/>
  <c r="S668" i="3"/>
  <c r="N669" i="3"/>
  <c r="O669" i="3"/>
  <c r="P669" i="3"/>
  <c r="Q669" i="3"/>
  <c r="R669" i="3"/>
  <c r="S669" i="3"/>
  <c r="N670" i="3"/>
  <c r="O670" i="3"/>
  <c r="P670" i="3"/>
  <c r="Q670" i="3"/>
  <c r="R670" i="3"/>
  <c r="S670" i="3"/>
  <c r="N671" i="3"/>
  <c r="O671" i="3"/>
  <c r="P671" i="3"/>
  <c r="Q671" i="3"/>
  <c r="R671" i="3"/>
  <c r="S671" i="3"/>
  <c r="N672" i="3"/>
  <c r="O672" i="3"/>
  <c r="P672" i="3"/>
  <c r="Q672" i="3"/>
  <c r="R672" i="3"/>
  <c r="S672" i="3"/>
  <c r="N673" i="3"/>
  <c r="O673" i="3"/>
  <c r="P673" i="3"/>
  <c r="Q673" i="3"/>
  <c r="R673" i="3"/>
  <c r="S673" i="3"/>
  <c r="N674" i="3"/>
  <c r="O674" i="3"/>
  <c r="P674" i="3"/>
  <c r="Q674" i="3"/>
  <c r="R674" i="3"/>
  <c r="S674" i="3"/>
  <c r="N675" i="3"/>
  <c r="O675" i="3"/>
  <c r="P675" i="3"/>
  <c r="Q675" i="3"/>
  <c r="R675" i="3"/>
  <c r="S675" i="3"/>
  <c r="N676" i="3"/>
  <c r="O676" i="3"/>
  <c r="P676" i="3"/>
  <c r="Q676" i="3"/>
  <c r="R676" i="3"/>
  <c r="S676" i="3"/>
  <c r="N677" i="3"/>
  <c r="O677" i="3"/>
  <c r="P677" i="3"/>
  <c r="Q677" i="3"/>
  <c r="R677" i="3"/>
  <c r="S677" i="3"/>
  <c r="N678" i="3"/>
  <c r="O678" i="3"/>
  <c r="P678" i="3"/>
  <c r="Q678" i="3"/>
  <c r="R678" i="3"/>
  <c r="S678" i="3"/>
  <c r="N679" i="3"/>
  <c r="O679" i="3"/>
  <c r="P679" i="3"/>
  <c r="Q679" i="3"/>
  <c r="R679" i="3"/>
  <c r="S679" i="3"/>
  <c r="N680" i="3"/>
  <c r="O680" i="3"/>
  <c r="P680" i="3"/>
  <c r="Q680" i="3"/>
  <c r="R680" i="3"/>
  <c r="S680" i="3"/>
  <c r="N681" i="3"/>
  <c r="O681" i="3"/>
  <c r="P681" i="3"/>
  <c r="Q681" i="3"/>
  <c r="R681" i="3"/>
  <c r="S681" i="3"/>
  <c r="N682" i="3"/>
  <c r="O682" i="3"/>
  <c r="P682" i="3"/>
  <c r="Q682" i="3"/>
  <c r="R682" i="3"/>
  <c r="S682" i="3"/>
  <c r="N683" i="3"/>
  <c r="O683" i="3"/>
  <c r="P683" i="3"/>
  <c r="Q683" i="3"/>
  <c r="R683" i="3"/>
  <c r="S683" i="3"/>
  <c r="N684" i="3"/>
  <c r="O684" i="3"/>
  <c r="P684" i="3"/>
  <c r="Q684" i="3"/>
  <c r="R684" i="3"/>
  <c r="S684" i="3"/>
  <c r="N685" i="3"/>
  <c r="O685" i="3"/>
  <c r="P685" i="3"/>
  <c r="Q685" i="3"/>
  <c r="R685" i="3"/>
  <c r="S685" i="3"/>
  <c r="N686" i="3"/>
  <c r="O686" i="3"/>
  <c r="P686" i="3"/>
  <c r="Q686" i="3"/>
  <c r="R686" i="3"/>
  <c r="S686" i="3"/>
  <c r="N687" i="3"/>
  <c r="O687" i="3"/>
  <c r="P687" i="3"/>
  <c r="Q687" i="3"/>
  <c r="R687" i="3"/>
  <c r="S687" i="3"/>
  <c r="O3" i="5"/>
  <c r="N3" i="5"/>
  <c r="M3" i="5"/>
  <c r="L3" i="5"/>
  <c r="J3" i="5"/>
  <c r="I3" i="5"/>
  <c r="H3" i="5"/>
  <c r="G3" i="5"/>
  <c r="F3" i="5"/>
  <c r="E3" i="5"/>
  <c r="D3" i="5"/>
  <c r="C3" i="5"/>
  <c r="B3" i="5"/>
  <c r="A3" i="5"/>
  <c r="N614" i="4"/>
  <c r="O614" i="4"/>
  <c r="P614" i="4"/>
  <c r="Q614" i="4"/>
  <c r="R614" i="4"/>
  <c r="S614" i="4"/>
  <c r="N615" i="4"/>
  <c r="O615" i="4"/>
  <c r="P615" i="4"/>
  <c r="Q615" i="4"/>
  <c r="R615" i="4"/>
  <c r="S615" i="4"/>
  <c r="N616" i="4"/>
  <c r="O616" i="4"/>
  <c r="P616" i="4"/>
  <c r="Q616" i="4"/>
  <c r="R616" i="4"/>
  <c r="S616" i="4"/>
  <c r="N617" i="4"/>
  <c r="O617" i="4"/>
  <c r="P617" i="4"/>
  <c r="Q617" i="4"/>
  <c r="R617" i="4"/>
  <c r="S617" i="4"/>
  <c r="N618" i="4"/>
  <c r="O618" i="4"/>
  <c r="P618" i="4"/>
  <c r="Q618" i="4"/>
  <c r="R618" i="4"/>
  <c r="S618" i="4"/>
  <c r="N619" i="4"/>
  <c r="O619" i="4"/>
  <c r="P619" i="4"/>
  <c r="Q619" i="4"/>
  <c r="R619" i="4"/>
  <c r="S619" i="4"/>
  <c r="N620" i="4"/>
  <c r="O620" i="4"/>
  <c r="P620" i="4"/>
  <c r="Q620" i="4"/>
  <c r="R620" i="4"/>
  <c r="S620" i="4"/>
  <c r="N621" i="4"/>
  <c r="O621" i="4"/>
  <c r="P621" i="4"/>
  <c r="Q621" i="4"/>
  <c r="R621" i="4"/>
  <c r="S621" i="4"/>
  <c r="N622" i="4"/>
  <c r="O622" i="4"/>
  <c r="P622" i="4"/>
  <c r="Q622" i="4"/>
  <c r="R622" i="4"/>
  <c r="S622" i="4"/>
  <c r="N623" i="4"/>
  <c r="O623" i="4"/>
  <c r="P623" i="4"/>
  <c r="Q623" i="4"/>
  <c r="R623" i="4"/>
  <c r="S623" i="4"/>
  <c r="N624" i="4"/>
  <c r="O624" i="4"/>
  <c r="P624" i="4"/>
  <c r="Q624" i="4"/>
  <c r="R624" i="4"/>
  <c r="S624" i="4"/>
  <c r="N625" i="4"/>
  <c r="O625" i="4"/>
  <c r="P625" i="4"/>
  <c r="Q625" i="4"/>
  <c r="R625" i="4"/>
  <c r="S625" i="4"/>
  <c r="N626" i="4"/>
  <c r="O626" i="4"/>
  <c r="P626" i="4"/>
  <c r="Q626" i="4"/>
  <c r="R626" i="4"/>
  <c r="S626" i="4"/>
  <c r="N627" i="4"/>
  <c r="O627" i="4"/>
  <c r="P627" i="4"/>
  <c r="Q627" i="4"/>
  <c r="R627" i="4"/>
  <c r="S627" i="4"/>
  <c r="N628" i="4"/>
  <c r="O628" i="4"/>
  <c r="P628" i="4"/>
  <c r="Q628" i="4"/>
  <c r="R628" i="4"/>
  <c r="S628" i="4"/>
  <c r="N629" i="4"/>
  <c r="O629" i="4"/>
  <c r="P629" i="4"/>
  <c r="Q629" i="4"/>
  <c r="R629" i="4"/>
  <c r="S629" i="4"/>
  <c r="N630" i="4"/>
  <c r="O630" i="4"/>
  <c r="P630" i="4"/>
  <c r="Q630" i="4"/>
  <c r="R630" i="4"/>
  <c r="S630" i="4"/>
  <c r="N631" i="4"/>
  <c r="O631" i="4"/>
  <c r="P631" i="4"/>
  <c r="Q631" i="4"/>
  <c r="R631" i="4"/>
  <c r="S631" i="4"/>
  <c r="N632" i="4"/>
  <c r="O632" i="4"/>
  <c r="P632" i="4"/>
  <c r="Q632" i="4"/>
  <c r="R632" i="4"/>
  <c r="S632" i="4"/>
  <c r="N633" i="4"/>
  <c r="O633" i="4"/>
  <c r="P633" i="4"/>
  <c r="Q633" i="4"/>
  <c r="R633" i="4"/>
  <c r="S633" i="4"/>
  <c r="N634" i="4"/>
  <c r="O634" i="4"/>
  <c r="P634" i="4"/>
  <c r="Q634" i="4"/>
  <c r="R634" i="4"/>
  <c r="S634" i="4"/>
  <c r="N635" i="4"/>
  <c r="O635" i="4"/>
  <c r="P635" i="4"/>
  <c r="Q635" i="4"/>
  <c r="R635" i="4"/>
  <c r="S635" i="4"/>
  <c r="N636" i="4"/>
  <c r="O636" i="4"/>
  <c r="P636" i="4"/>
  <c r="Q636" i="4"/>
  <c r="R636" i="4"/>
  <c r="S636" i="4"/>
  <c r="N637" i="4"/>
  <c r="O637" i="4"/>
  <c r="P637" i="4"/>
  <c r="Q637" i="4"/>
  <c r="R637" i="4"/>
  <c r="S637" i="4"/>
  <c r="N638" i="4"/>
  <c r="O638" i="4"/>
  <c r="P638" i="4"/>
  <c r="Q638" i="4"/>
  <c r="R638" i="4"/>
  <c r="S638" i="4"/>
  <c r="N639" i="4"/>
  <c r="O639" i="4"/>
  <c r="P639" i="4"/>
  <c r="Q639" i="4"/>
  <c r="R639" i="4"/>
  <c r="S639" i="4"/>
  <c r="N640" i="4"/>
  <c r="O640" i="4"/>
  <c r="P640" i="4"/>
  <c r="Q640" i="4"/>
  <c r="R640" i="4"/>
  <c r="S640" i="4"/>
  <c r="N641" i="4"/>
  <c r="O641" i="4"/>
  <c r="P641" i="4"/>
  <c r="Q641" i="4"/>
  <c r="R641" i="4"/>
  <c r="S641" i="4"/>
  <c r="N642" i="4"/>
  <c r="O642" i="4"/>
  <c r="P642" i="4"/>
  <c r="Q642" i="4"/>
  <c r="R642" i="4"/>
  <c r="S642" i="4"/>
  <c r="N643" i="4"/>
  <c r="O643" i="4"/>
  <c r="P643" i="4"/>
  <c r="Q643" i="4"/>
  <c r="R643" i="4"/>
  <c r="S643" i="4"/>
  <c r="N644" i="4"/>
  <c r="O644" i="4"/>
  <c r="P644" i="4"/>
  <c r="Q644" i="4"/>
  <c r="R644" i="4"/>
  <c r="S644" i="4"/>
  <c r="N645" i="4"/>
  <c r="O645" i="4"/>
  <c r="P645" i="4"/>
  <c r="Q645" i="4"/>
  <c r="R645" i="4"/>
  <c r="S645" i="4"/>
  <c r="N646" i="4"/>
  <c r="O646" i="4"/>
  <c r="P646" i="4"/>
  <c r="Q646" i="4"/>
  <c r="R646" i="4"/>
  <c r="S646" i="4"/>
  <c r="N647" i="4"/>
  <c r="O647" i="4"/>
  <c r="P647" i="4"/>
  <c r="Q647" i="4"/>
  <c r="R647" i="4"/>
  <c r="S647" i="4"/>
  <c r="N648" i="4"/>
  <c r="O648" i="4"/>
  <c r="P648" i="4"/>
  <c r="Q648" i="4"/>
  <c r="R648" i="4"/>
  <c r="S648" i="4"/>
  <c r="N649" i="4"/>
  <c r="O649" i="4"/>
  <c r="P649" i="4"/>
  <c r="Q649" i="4"/>
  <c r="R649" i="4"/>
  <c r="S649" i="4"/>
  <c r="N650" i="4"/>
  <c r="O650" i="4"/>
  <c r="P650" i="4"/>
  <c r="Q650" i="4"/>
  <c r="R650" i="4"/>
  <c r="S650" i="4"/>
  <c r="N651" i="4"/>
  <c r="O651" i="4"/>
  <c r="P651" i="4"/>
  <c r="Q651" i="4"/>
  <c r="R651" i="4"/>
  <c r="S651" i="4"/>
  <c r="N652" i="4"/>
  <c r="O652" i="4"/>
  <c r="P652" i="4"/>
  <c r="Q652" i="4"/>
  <c r="R652" i="4"/>
  <c r="S652" i="4"/>
  <c r="N653" i="4"/>
  <c r="O653" i="4"/>
  <c r="P653" i="4"/>
  <c r="Q653" i="4"/>
  <c r="R653" i="4"/>
  <c r="S653" i="4"/>
  <c r="N654" i="4"/>
  <c r="O654" i="4"/>
  <c r="P654" i="4"/>
  <c r="Q654" i="4"/>
  <c r="R654" i="4"/>
  <c r="S654" i="4"/>
  <c r="N655" i="4"/>
  <c r="O655" i="4"/>
  <c r="P655" i="4"/>
  <c r="Q655" i="4"/>
  <c r="R655" i="4"/>
  <c r="S655" i="4"/>
  <c r="N656" i="4"/>
  <c r="O656" i="4"/>
  <c r="P656" i="4"/>
  <c r="Q656" i="4"/>
  <c r="R656" i="4"/>
  <c r="S656" i="4"/>
  <c r="N657" i="4"/>
  <c r="O657" i="4"/>
  <c r="P657" i="4"/>
  <c r="Q657" i="4"/>
  <c r="R657" i="4"/>
  <c r="S657" i="4"/>
  <c r="N658" i="4"/>
  <c r="O658" i="4"/>
  <c r="P658" i="4"/>
  <c r="Q658" i="4"/>
  <c r="R658" i="4"/>
  <c r="S658" i="4"/>
  <c r="N659" i="4"/>
  <c r="O659" i="4"/>
  <c r="P659" i="4"/>
  <c r="Q659" i="4"/>
  <c r="R659" i="4"/>
  <c r="S659" i="4"/>
  <c r="N660" i="4"/>
  <c r="O660" i="4"/>
  <c r="P660" i="4"/>
  <c r="Q660" i="4"/>
  <c r="R660" i="4"/>
  <c r="S660" i="4"/>
  <c r="N661" i="4"/>
  <c r="O661" i="4"/>
  <c r="P661" i="4"/>
  <c r="Q661" i="4"/>
  <c r="R661" i="4"/>
  <c r="S661" i="4"/>
  <c r="N662" i="4"/>
  <c r="O662" i="4"/>
  <c r="P662" i="4"/>
  <c r="Q662" i="4"/>
  <c r="R662" i="4"/>
  <c r="S662" i="4"/>
  <c r="N663" i="4"/>
  <c r="O663" i="4"/>
  <c r="P663" i="4"/>
  <c r="Q663" i="4"/>
  <c r="R663" i="4"/>
  <c r="S663" i="4"/>
  <c r="N664" i="4"/>
  <c r="O664" i="4"/>
  <c r="P664" i="4"/>
  <c r="Q664" i="4"/>
  <c r="R664" i="4"/>
  <c r="S664" i="4"/>
  <c r="N665" i="4"/>
  <c r="O665" i="4"/>
  <c r="P665" i="4"/>
  <c r="Q665" i="4"/>
  <c r="R665" i="4"/>
  <c r="S665" i="4"/>
  <c r="N666" i="4"/>
  <c r="O666" i="4"/>
  <c r="P666" i="4"/>
  <c r="Q666" i="4"/>
  <c r="R666" i="4"/>
  <c r="S666" i="4"/>
  <c r="N667" i="4"/>
  <c r="O667" i="4"/>
  <c r="P667" i="4"/>
  <c r="Q667" i="4"/>
  <c r="R667" i="4"/>
  <c r="S667" i="4"/>
  <c r="N668" i="4"/>
  <c r="O668" i="4"/>
  <c r="P668" i="4"/>
  <c r="Q668" i="4"/>
  <c r="R668" i="4"/>
  <c r="S668" i="4"/>
  <c r="N669" i="4"/>
  <c r="O669" i="4"/>
  <c r="P669" i="4"/>
  <c r="Q669" i="4"/>
  <c r="R669" i="4"/>
  <c r="S669" i="4"/>
  <c r="N670" i="4"/>
  <c r="O670" i="4"/>
  <c r="P670" i="4"/>
  <c r="Q670" i="4"/>
  <c r="R670" i="4"/>
  <c r="S670" i="4"/>
  <c r="N671" i="4"/>
  <c r="O671" i="4"/>
  <c r="P671" i="4"/>
  <c r="Q671" i="4"/>
  <c r="R671" i="4"/>
  <c r="S671" i="4"/>
  <c r="N672" i="4"/>
  <c r="O672" i="4"/>
  <c r="P672" i="4"/>
  <c r="Q672" i="4"/>
  <c r="R672" i="4"/>
  <c r="S672" i="4"/>
  <c r="N673" i="4"/>
  <c r="O673" i="4"/>
  <c r="P673" i="4"/>
  <c r="Q673" i="4"/>
  <c r="R673" i="4"/>
  <c r="S673" i="4"/>
  <c r="N674" i="4"/>
  <c r="O674" i="4"/>
  <c r="P674" i="4"/>
  <c r="Q674" i="4"/>
  <c r="R674" i="4"/>
  <c r="S674" i="4"/>
  <c r="N675" i="4"/>
  <c r="O675" i="4"/>
  <c r="P675" i="4"/>
  <c r="Q675" i="4"/>
  <c r="R675" i="4"/>
  <c r="S675" i="4"/>
  <c r="N676" i="4"/>
  <c r="O676" i="4"/>
  <c r="P676" i="4"/>
  <c r="Q676" i="4"/>
  <c r="R676" i="4"/>
  <c r="S676" i="4"/>
  <c r="N677" i="4"/>
  <c r="O677" i="4"/>
  <c r="P677" i="4"/>
  <c r="Q677" i="4"/>
  <c r="R677" i="4"/>
  <c r="S677" i="4"/>
  <c r="N678" i="4"/>
  <c r="O678" i="4"/>
  <c r="P678" i="4"/>
  <c r="Q678" i="4"/>
  <c r="R678" i="4"/>
  <c r="S678" i="4"/>
  <c r="N679" i="4"/>
  <c r="O679" i="4"/>
  <c r="P679" i="4"/>
  <c r="Q679" i="4"/>
  <c r="R679" i="4"/>
  <c r="S679" i="4"/>
  <c r="N680" i="4"/>
  <c r="O680" i="4"/>
  <c r="P680" i="4"/>
  <c r="Q680" i="4"/>
  <c r="R680" i="4"/>
  <c r="S680" i="4"/>
  <c r="N681" i="4"/>
  <c r="O681" i="4"/>
  <c r="P681" i="4"/>
  <c r="Q681" i="4"/>
  <c r="R681" i="4"/>
  <c r="S681" i="4"/>
  <c r="N682" i="4"/>
  <c r="O682" i="4"/>
  <c r="P682" i="4"/>
  <c r="Q682" i="4"/>
  <c r="R682" i="4"/>
  <c r="S682" i="4"/>
  <c r="N683" i="4"/>
  <c r="O683" i="4"/>
  <c r="P683" i="4"/>
  <c r="Q683" i="4"/>
  <c r="R683" i="4"/>
  <c r="S683" i="4"/>
  <c r="N684" i="4"/>
  <c r="O684" i="4"/>
  <c r="P684" i="4"/>
  <c r="Q684" i="4"/>
  <c r="R684" i="4"/>
  <c r="S684" i="4"/>
  <c r="N685" i="4"/>
  <c r="O685" i="4"/>
  <c r="P685" i="4"/>
  <c r="Q685" i="4"/>
  <c r="R685" i="4"/>
  <c r="S685" i="4"/>
  <c r="N686" i="4"/>
  <c r="O686" i="4"/>
  <c r="P686" i="4"/>
  <c r="Q686" i="4"/>
  <c r="R686" i="4"/>
  <c r="S686" i="4"/>
  <c r="N687" i="4"/>
  <c r="O687" i="4"/>
  <c r="P687" i="4"/>
  <c r="Q687" i="4"/>
  <c r="R687" i="4"/>
  <c r="S687" i="4"/>
  <c r="M687" i="3" l="1"/>
  <c r="L687" i="3" s="1"/>
  <c r="K688" i="29" s="1"/>
  <c r="M685" i="3"/>
  <c r="L685" i="3" s="1"/>
  <c r="K686" i="29" s="1"/>
  <c r="M683" i="3"/>
  <c r="M681" i="3"/>
  <c r="L681" i="3" s="1"/>
  <c r="K682" i="29" s="1"/>
  <c r="M679" i="3"/>
  <c r="L679" i="3" s="1"/>
  <c r="K680" i="29" s="1"/>
  <c r="M677" i="3"/>
  <c r="L677" i="3" s="1"/>
  <c r="K678" i="29" s="1"/>
  <c r="M675" i="3"/>
  <c r="M673" i="3"/>
  <c r="L673" i="3" s="1"/>
  <c r="K674" i="29" s="1"/>
  <c r="M671" i="3"/>
  <c r="L671" i="3" s="1"/>
  <c r="K672" i="29" s="1"/>
  <c r="M669" i="3"/>
  <c r="M667" i="3"/>
  <c r="M665" i="3"/>
  <c r="L665" i="3" s="1"/>
  <c r="K666" i="29" s="1"/>
  <c r="M663" i="3"/>
  <c r="L663" i="3" s="1"/>
  <c r="K664" i="29" s="1"/>
  <c r="M661" i="3"/>
  <c r="L661" i="3" s="1"/>
  <c r="K662" i="29" s="1"/>
  <c r="M659" i="3"/>
  <c r="M657" i="3"/>
  <c r="L657" i="3" s="1"/>
  <c r="K658" i="29" s="1"/>
  <c r="M655" i="3"/>
  <c r="L655" i="3" s="1"/>
  <c r="K656" i="29" s="1"/>
  <c r="M653" i="3"/>
  <c r="M651" i="3"/>
  <c r="M649" i="3"/>
  <c r="L649" i="3" s="1"/>
  <c r="K650" i="29" s="1"/>
  <c r="M647" i="3"/>
  <c r="L647" i="3" s="1"/>
  <c r="K648" i="29" s="1"/>
  <c r="M645" i="3"/>
  <c r="L645" i="3" s="1"/>
  <c r="K646" i="29" s="1"/>
  <c r="M643" i="3"/>
  <c r="M641" i="3"/>
  <c r="L641" i="3" s="1"/>
  <c r="K642" i="29" s="1"/>
  <c r="M639" i="3"/>
  <c r="L639" i="3" s="1"/>
  <c r="K640" i="29" s="1"/>
  <c r="M637" i="3"/>
  <c r="L637" i="3" s="1"/>
  <c r="K638" i="29" s="1"/>
  <c r="M635" i="3"/>
  <c r="M633" i="3"/>
  <c r="L633" i="3" s="1"/>
  <c r="K634" i="29" s="1"/>
  <c r="M631" i="3"/>
  <c r="L631" i="3" s="1"/>
  <c r="K632" i="29" s="1"/>
  <c r="M629" i="3"/>
  <c r="M627" i="3"/>
  <c r="M625" i="3"/>
  <c r="L625" i="3" s="1"/>
  <c r="K626" i="29" s="1"/>
  <c r="M623" i="3"/>
  <c r="L623" i="3" s="1"/>
  <c r="K624" i="29" s="1"/>
  <c r="M621" i="3"/>
  <c r="L621" i="3" s="1"/>
  <c r="K622" i="29" s="1"/>
  <c r="M619" i="3"/>
  <c r="M617" i="3"/>
  <c r="L617" i="3" s="1"/>
  <c r="K618" i="29" s="1"/>
  <c r="M615" i="3"/>
  <c r="L615" i="3" s="1"/>
  <c r="K616" i="29" s="1"/>
  <c r="M613" i="3"/>
  <c r="M611" i="3"/>
  <c r="M609" i="3"/>
  <c r="M607" i="3"/>
  <c r="M605" i="3"/>
  <c r="M603" i="3"/>
  <c r="M601" i="3"/>
  <c r="M599" i="3"/>
  <c r="M597" i="3"/>
  <c r="M595" i="3"/>
  <c r="M593" i="3"/>
  <c r="M591" i="3"/>
  <c r="M589" i="3"/>
  <c r="M587" i="3"/>
  <c r="M585" i="3"/>
  <c r="M583" i="3"/>
  <c r="M581" i="3"/>
  <c r="M579" i="3"/>
  <c r="M576" i="3"/>
  <c r="M574" i="3"/>
  <c r="M572" i="3"/>
  <c r="M570" i="3"/>
  <c r="M568" i="3"/>
  <c r="M566" i="3"/>
  <c r="M564" i="3"/>
  <c r="M562" i="3"/>
  <c r="M560" i="3"/>
  <c r="M558" i="3"/>
  <c r="M556" i="3"/>
  <c r="M554" i="3"/>
  <c r="M552" i="3"/>
  <c r="M550" i="3"/>
  <c r="M548" i="3"/>
  <c r="M546" i="3"/>
  <c r="M544" i="3"/>
  <c r="M542" i="3"/>
  <c r="M540" i="3"/>
  <c r="M538" i="3"/>
  <c r="M536" i="3"/>
  <c r="M534" i="3"/>
  <c r="M532" i="3"/>
  <c r="M530" i="3"/>
  <c r="M528" i="3"/>
  <c r="M526" i="3"/>
  <c r="M524" i="3"/>
  <c r="M522" i="3"/>
  <c r="M520" i="3"/>
  <c r="M518" i="3"/>
  <c r="M516" i="3"/>
  <c r="M686" i="3"/>
  <c r="L686" i="3" s="1"/>
  <c r="K687" i="29" s="1"/>
  <c r="M684" i="3"/>
  <c r="L684" i="3" s="1"/>
  <c r="K685" i="29" s="1"/>
  <c r="M682" i="3"/>
  <c r="L682" i="3" s="1"/>
  <c r="K683" i="29" s="1"/>
  <c r="M680" i="3"/>
  <c r="L680" i="3" s="1"/>
  <c r="K681" i="29" s="1"/>
  <c r="M678" i="3"/>
  <c r="L678" i="3" s="1"/>
  <c r="K679" i="29" s="1"/>
  <c r="M676" i="3"/>
  <c r="L676" i="3" s="1"/>
  <c r="K677" i="29" s="1"/>
  <c r="M674" i="3"/>
  <c r="L674" i="3" s="1"/>
  <c r="K675" i="29" s="1"/>
  <c r="M672" i="3"/>
  <c r="L672" i="3" s="1"/>
  <c r="K673" i="29" s="1"/>
  <c r="M670" i="3"/>
  <c r="L670" i="3" s="1"/>
  <c r="K671" i="29" s="1"/>
  <c r="M668" i="3"/>
  <c r="L668" i="3" s="1"/>
  <c r="K669" i="29" s="1"/>
  <c r="M666" i="3"/>
  <c r="L666" i="3" s="1"/>
  <c r="K667" i="29" s="1"/>
  <c r="M664" i="3"/>
  <c r="M662" i="3"/>
  <c r="L662" i="3" s="1"/>
  <c r="K663" i="29" s="1"/>
  <c r="M660" i="3"/>
  <c r="L660" i="3" s="1"/>
  <c r="K661" i="29" s="1"/>
  <c r="M658" i="3"/>
  <c r="L658" i="3" s="1"/>
  <c r="K659" i="29" s="1"/>
  <c r="M656" i="3"/>
  <c r="L656" i="3" s="1"/>
  <c r="K657" i="29" s="1"/>
  <c r="M654" i="3"/>
  <c r="L654" i="3" s="1"/>
  <c r="K655" i="29" s="1"/>
  <c r="M652" i="3"/>
  <c r="L652" i="3" s="1"/>
  <c r="K653" i="29" s="1"/>
  <c r="M650" i="3"/>
  <c r="L650" i="3" s="1"/>
  <c r="K651" i="29" s="1"/>
  <c r="M648" i="3"/>
  <c r="M646" i="3"/>
  <c r="L646" i="3" s="1"/>
  <c r="K647" i="29" s="1"/>
  <c r="M644" i="3"/>
  <c r="L644" i="3" s="1"/>
  <c r="K645" i="29" s="1"/>
  <c r="M642" i="3"/>
  <c r="L642" i="3" s="1"/>
  <c r="K643" i="29" s="1"/>
  <c r="M640" i="3"/>
  <c r="L640" i="3" s="1"/>
  <c r="K641" i="29" s="1"/>
  <c r="M638" i="3"/>
  <c r="L638" i="3" s="1"/>
  <c r="K639" i="29" s="1"/>
  <c r="M636" i="3"/>
  <c r="L636" i="3" s="1"/>
  <c r="K637" i="29" s="1"/>
  <c r="M634" i="3"/>
  <c r="L634" i="3" s="1"/>
  <c r="K635" i="29" s="1"/>
  <c r="M632" i="3"/>
  <c r="L632" i="3" s="1"/>
  <c r="K633" i="29" s="1"/>
  <c r="M630" i="3"/>
  <c r="L630" i="3" s="1"/>
  <c r="K631" i="29" s="1"/>
  <c r="M628" i="3"/>
  <c r="L628" i="3" s="1"/>
  <c r="K629" i="29" s="1"/>
  <c r="M626" i="3"/>
  <c r="L626" i="3" s="1"/>
  <c r="K627" i="29" s="1"/>
  <c r="M624" i="3"/>
  <c r="M622" i="3"/>
  <c r="L622" i="3" s="1"/>
  <c r="K623" i="29" s="1"/>
  <c r="M620" i="3"/>
  <c r="L620" i="3" s="1"/>
  <c r="K621" i="29" s="1"/>
  <c r="M618" i="3"/>
  <c r="L618" i="3" s="1"/>
  <c r="K619" i="29" s="1"/>
  <c r="M616" i="3"/>
  <c r="L616" i="3" s="1"/>
  <c r="K617" i="29" s="1"/>
  <c r="M614" i="3"/>
  <c r="L614" i="3" s="1"/>
  <c r="K615" i="29" s="1"/>
  <c r="M612" i="3"/>
  <c r="M610" i="3"/>
  <c r="M608" i="3"/>
  <c r="M606" i="3"/>
  <c r="M604" i="3"/>
  <c r="M602" i="3"/>
  <c r="M600" i="3"/>
  <c r="M598" i="3"/>
  <c r="M596" i="3"/>
  <c r="M594" i="3"/>
  <c r="M592" i="3"/>
  <c r="M590" i="3"/>
  <c r="M588" i="3"/>
  <c r="M586" i="3"/>
  <c r="M584" i="3"/>
  <c r="M582" i="3"/>
  <c r="M580" i="3"/>
  <c r="M578" i="3"/>
  <c r="M563" i="3"/>
  <c r="M561" i="3"/>
  <c r="M559" i="3"/>
  <c r="M557" i="3"/>
  <c r="M555" i="3"/>
  <c r="M553" i="3"/>
  <c r="M551" i="3"/>
  <c r="M549" i="3"/>
  <c r="M547" i="3"/>
  <c r="M545" i="3"/>
  <c r="M543" i="3"/>
  <c r="M541" i="3"/>
  <c r="M539" i="3"/>
  <c r="M537" i="3"/>
  <c r="M535" i="3"/>
  <c r="M533" i="3"/>
  <c r="M531" i="3"/>
  <c r="M529" i="3"/>
  <c r="M527" i="3"/>
  <c r="M525" i="3"/>
  <c r="M523" i="3"/>
  <c r="M521" i="3"/>
  <c r="M519" i="3"/>
  <c r="M517" i="3"/>
  <c r="M515" i="3"/>
  <c r="M66" i="3"/>
  <c r="M64" i="3"/>
  <c r="M62" i="3"/>
  <c r="M60" i="3"/>
  <c r="M58" i="3"/>
  <c r="M56" i="3"/>
  <c r="M54" i="3"/>
  <c r="M52" i="3"/>
  <c r="M50" i="3"/>
  <c r="M48" i="3"/>
  <c r="M46" i="3"/>
  <c r="M44" i="3"/>
  <c r="M42" i="3"/>
  <c r="M40" i="3"/>
  <c r="M38" i="3"/>
  <c r="M36" i="3"/>
  <c r="M34" i="3"/>
  <c r="M32" i="3"/>
  <c r="M30" i="3"/>
  <c r="M28" i="3"/>
  <c r="M26" i="3"/>
  <c r="M24" i="3"/>
  <c r="M22" i="3"/>
  <c r="M20" i="3"/>
  <c r="M18" i="3"/>
  <c r="M16" i="3"/>
  <c r="M14" i="3"/>
  <c r="M12" i="3"/>
  <c r="M10" i="3"/>
  <c r="M8" i="3"/>
  <c r="M6" i="3"/>
  <c r="M4" i="3"/>
  <c r="M3" i="3"/>
  <c r="M514" i="3"/>
  <c r="M512" i="3"/>
  <c r="M510" i="3"/>
  <c r="M508" i="3"/>
  <c r="M506" i="3"/>
  <c r="M504" i="3"/>
  <c r="M502" i="3"/>
  <c r="M500" i="3"/>
  <c r="M498" i="3"/>
  <c r="M496" i="3"/>
  <c r="M494" i="3"/>
  <c r="M492" i="3"/>
  <c r="M490" i="3"/>
  <c r="M488" i="3"/>
  <c r="M486" i="3"/>
  <c r="M484" i="3"/>
  <c r="M482" i="3"/>
  <c r="M480" i="3"/>
  <c r="M478" i="3"/>
  <c r="M476" i="3"/>
  <c r="M474" i="3"/>
  <c r="M472" i="3"/>
  <c r="M470" i="3"/>
  <c r="M468" i="3"/>
  <c r="M466" i="3"/>
  <c r="M464" i="3"/>
  <c r="M462" i="3"/>
  <c r="M460" i="3"/>
  <c r="M458" i="3"/>
  <c r="M456" i="3"/>
  <c r="M454" i="3"/>
  <c r="M452" i="3"/>
  <c r="M450" i="3"/>
  <c r="M448" i="3"/>
  <c r="M446" i="3"/>
  <c r="M444" i="3"/>
  <c r="M442" i="3"/>
  <c r="M440" i="3"/>
  <c r="M438" i="3"/>
  <c r="M436" i="3"/>
  <c r="M434" i="3"/>
  <c r="M432" i="3"/>
  <c r="M430" i="3"/>
  <c r="M428" i="3"/>
  <c r="M426" i="3"/>
  <c r="M424" i="3"/>
  <c r="M422" i="3"/>
  <c r="M420" i="3"/>
  <c r="M418" i="3"/>
  <c r="M416" i="3"/>
  <c r="M414" i="3"/>
  <c r="M412" i="3"/>
  <c r="M410" i="3"/>
  <c r="M408" i="3"/>
  <c r="M406" i="3"/>
  <c r="M404" i="3"/>
  <c r="M402" i="3"/>
  <c r="M400" i="3"/>
  <c r="M398" i="3"/>
  <c r="M396" i="3"/>
  <c r="M394" i="3"/>
  <c r="M392" i="3"/>
  <c r="M390" i="3"/>
  <c r="M388" i="3"/>
  <c r="M386" i="3"/>
  <c r="M384" i="3"/>
  <c r="M382" i="3"/>
  <c r="M380" i="3"/>
  <c r="M378" i="3"/>
  <c r="M376" i="3"/>
  <c r="M374" i="3"/>
  <c r="M372" i="3"/>
  <c r="M370" i="3"/>
  <c r="M368" i="3"/>
  <c r="M366" i="3"/>
  <c r="M364" i="3"/>
  <c r="M362" i="3"/>
  <c r="M360" i="3"/>
  <c r="M358" i="3"/>
  <c r="M356" i="3"/>
  <c r="M354" i="3"/>
  <c r="M352" i="3"/>
  <c r="M350" i="3"/>
  <c r="M348" i="3"/>
  <c r="M346" i="3"/>
  <c r="M344" i="3"/>
  <c r="M342" i="3"/>
  <c r="M340" i="3"/>
  <c r="M338" i="3"/>
  <c r="M336" i="3"/>
  <c r="M334" i="3"/>
  <c r="M332" i="3"/>
  <c r="M330" i="3"/>
  <c r="M328" i="3"/>
  <c r="M326" i="3"/>
  <c r="M324" i="3"/>
  <c r="M322" i="3"/>
  <c r="M320" i="3"/>
  <c r="M318" i="3"/>
  <c r="M316" i="3"/>
  <c r="M314" i="3"/>
  <c r="M312" i="3"/>
  <c r="M310" i="3"/>
  <c r="M308" i="3"/>
  <c r="M306" i="3"/>
  <c r="M304" i="3"/>
  <c r="M302" i="3"/>
  <c r="M300" i="3"/>
  <c r="M298" i="3"/>
  <c r="M296" i="3"/>
  <c r="M294" i="3"/>
  <c r="M292" i="3"/>
  <c r="M290" i="3"/>
  <c r="M288" i="3"/>
  <c r="M286" i="3"/>
  <c r="M284" i="3"/>
  <c r="M282" i="3"/>
  <c r="M280" i="3"/>
  <c r="M278" i="3"/>
  <c r="M276" i="3"/>
  <c r="M274" i="3"/>
  <c r="M272" i="3"/>
  <c r="M270" i="3"/>
  <c r="M268" i="3"/>
  <c r="M266" i="3"/>
  <c r="M264" i="3"/>
  <c r="M262" i="3"/>
  <c r="M260" i="3"/>
  <c r="M258" i="3"/>
  <c r="M256" i="3"/>
  <c r="M254" i="3"/>
  <c r="M252" i="3"/>
  <c r="M250" i="3"/>
  <c r="M248" i="3"/>
  <c r="M246" i="3"/>
  <c r="M244" i="3"/>
  <c r="M242" i="3"/>
  <c r="M240" i="3"/>
  <c r="M238" i="3"/>
  <c r="M236" i="3"/>
  <c r="M234" i="3"/>
  <c r="M232" i="3"/>
  <c r="M230" i="3"/>
  <c r="M228" i="3"/>
  <c r="M226" i="3"/>
  <c r="M224" i="3"/>
  <c r="M222" i="3"/>
  <c r="M220" i="3"/>
  <c r="M218" i="3"/>
  <c r="M216" i="3"/>
  <c r="M214" i="3"/>
  <c r="M212" i="3"/>
  <c r="M210" i="3"/>
  <c r="M208" i="3"/>
  <c r="M206" i="3"/>
  <c r="M204" i="3"/>
  <c r="M202" i="3"/>
  <c r="M200" i="3"/>
  <c r="M198" i="3"/>
  <c r="M196" i="3"/>
  <c r="M194" i="3"/>
  <c r="M192" i="3"/>
  <c r="M190" i="3"/>
  <c r="M188" i="3"/>
  <c r="M186" i="3"/>
  <c r="M184" i="3"/>
  <c r="M182" i="3"/>
  <c r="M180" i="3"/>
  <c r="M178" i="3"/>
  <c r="M176" i="3"/>
  <c r="M174" i="3"/>
  <c r="M172" i="3"/>
  <c r="M170" i="3"/>
  <c r="M168" i="3"/>
  <c r="M166" i="3"/>
  <c r="M164" i="3"/>
  <c r="M162" i="3"/>
  <c r="M160" i="3"/>
  <c r="M158" i="3"/>
  <c r="M156" i="3"/>
  <c r="M154" i="3"/>
  <c r="M152" i="3"/>
  <c r="M150" i="3"/>
  <c r="M148" i="3"/>
  <c r="M146" i="3"/>
  <c r="M144" i="3"/>
  <c r="M142" i="3"/>
  <c r="M140" i="3"/>
  <c r="M138" i="3"/>
  <c r="M136" i="3"/>
  <c r="M134" i="3"/>
  <c r="M132" i="3"/>
  <c r="M130" i="3"/>
  <c r="M128" i="3"/>
  <c r="M126" i="3"/>
  <c r="M124" i="3"/>
  <c r="M122" i="3"/>
  <c r="M120" i="3"/>
  <c r="M118" i="3"/>
  <c r="M116" i="3"/>
  <c r="M114" i="3"/>
  <c r="M112" i="3"/>
  <c r="M110" i="3"/>
  <c r="M108" i="3"/>
  <c r="M106" i="3"/>
  <c r="M104" i="3"/>
  <c r="M102" i="3"/>
  <c r="M100" i="3"/>
  <c r="M98" i="3"/>
  <c r="M96" i="3"/>
  <c r="M94" i="3"/>
  <c r="M92" i="3"/>
  <c r="M90" i="3"/>
  <c r="M88" i="3"/>
  <c r="M86" i="3"/>
  <c r="M84" i="3"/>
  <c r="M82" i="3"/>
  <c r="M80" i="3"/>
  <c r="M78" i="3"/>
  <c r="M76" i="3"/>
  <c r="M74" i="3"/>
  <c r="M72" i="3"/>
  <c r="M70" i="3"/>
  <c r="M68" i="3"/>
  <c r="M65" i="3"/>
  <c r="M63" i="3"/>
  <c r="M61" i="3"/>
  <c r="M59" i="3"/>
  <c r="M57" i="3"/>
  <c r="M55" i="3"/>
  <c r="M53" i="3"/>
  <c r="M51" i="3"/>
  <c r="M49" i="3"/>
  <c r="M47" i="3"/>
  <c r="M45" i="3"/>
  <c r="M43" i="3"/>
  <c r="M41" i="3"/>
  <c r="M39" i="3"/>
  <c r="M37" i="3"/>
  <c r="M35" i="3"/>
  <c r="M33" i="3"/>
  <c r="M31" i="3"/>
  <c r="M29" i="3"/>
  <c r="M27" i="3"/>
  <c r="M25" i="3"/>
  <c r="M23" i="3"/>
  <c r="M21" i="3"/>
  <c r="M19" i="3"/>
  <c r="M17" i="3"/>
  <c r="M15" i="3"/>
  <c r="M13" i="3"/>
  <c r="M11" i="3"/>
  <c r="M9" i="3"/>
  <c r="M7" i="3"/>
  <c r="M5" i="3"/>
  <c r="M577" i="3"/>
  <c r="M573" i="3"/>
  <c r="M569" i="3"/>
  <c r="M565" i="3"/>
  <c r="M575" i="3"/>
  <c r="M571" i="3"/>
  <c r="M567" i="3"/>
  <c r="M511" i="3"/>
  <c r="M507" i="3"/>
  <c r="M503" i="3"/>
  <c r="M499" i="3"/>
  <c r="M495" i="3"/>
  <c r="M491" i="3"/>
  <c r="M487" i="3"/>
  <c r="M483" i="3"/>
  <c r="M479" i="3"/>
  <c r="M475" i="3"/>
  <c r="M471" i="3"/>
  <c r="M467" i="3"/>
  <c r="M463" i="3"/>
  <c r="M459" i="3"/>
  <c r="M455" i="3"/>
  <c r="M451" i="3"/>
  <c r="M447" i="3"/>
  <c r="M443" i="3"/>
  <c r="M439" i="3"/>
  <c r="M435" i="3"/>
  <c r="M431" i="3"/>
  <c r="M427" i="3"/>
  <c r="M423" i="3"/>
  <c r="M419" i="3"/>
  <c r="M415" i="3"/>
  <c r="M411" i="3"/>
  <c r="M407" i="3"/>
  <c r="M403" i="3"/>
  <c r="M399" i="3"/>
  <c r="M395" i="3"/>
  <c r="M391" i="3"/>
  <c r="M387" i="3"/>
  <c r="M383" i="3"/>
  <c r="M379" i="3"/>
  <c r="M375" i="3"/>
  <c r="M371" i="3"/>
  <c r="M367" i="3"/>
  <c r="M363" i="3"/>
  <c r="M359" i="3"/>
  <c r="M355" i="3"/>
  <c r="M351" i="3"/>
  <c r="M347" i="3"/>
  <c r="M343" i="3"/>
  <c r="M339" i="3"/>
  <c r="M335" i="3"/>
  <c r="M331" i="3"/>
  <c r="M327" i="3"/>
  <c r="M323" i="3"/>
  <c r="M319" i="3"/>
  <c r="M315" i="3"/>
  <c r="M311" i="3"/>
  <c r="M307" i="3"/>
  <c r="M303" i="3"/>
  <c r="M299" i="3"/>
  <c r="M295" i="3"/>
  <c r="M291" i="3"/>
  <c r="M287" i="3"/>
  <c r="M283" i="3"/>
  <c r="M279" i="3"/>
  <c r="M275" i="3"/>
  <c r="M271" i="3"/>
  <c r="M267" i="3"/>
  <c r="M263" i="3"/>
  <c r="M259" i="3"/>
  <c r="M255" i="3"/>
  <c r="M251" i="3"/>
  <c r="M247" i="3"/>
  <c r="M243" i="3"/>
  <c r="M239" i="3"/>
  <c r="M235" i="3"/>
  <c r="M231" i="3"/>
  <c r="M227" i="3"/>
  <c r="M223" i="3"/>
  <c r="M219" i="3"/>
  <c r="M215" i="3"/>
  <c r="M211" i="3"/>
  <c r="M207" i="3"/>
  <c r="M203" i="3"/>
  <c r="M199" i="3"/>
  <c r="M195" i="3"/>
  <c r="M191" i="3"/>
  <c r="M187" i="3"/>
  <c r="M183" i="3"/>
  <c r="M179" i="3"/>
  <c r="M175" i="3"/>
  <c r="M171" i="3"/>
  <c r="M167" i="3"/>
  <c r="M163" i="3"/>
  <c r="M159" i="3"/>
  <c r="M155" i="3"/>
  <c r="M151" i="3"/>
  <c r="M147" i="3"/>
  <c r="M143" i="3"/>
  <c r="M139" i="3"/>
  <c r="M135" i="3"/>
  <c r="M131" i="3"/>
  <c r="M127" i="3"/>
  <c r="M123" i="3"/>
  <c r="M119" i="3"/>
  <c r="M115" i="3"/>
  <c r="M111" i="3"/>
  <c r="M107" i="3"/>
  <c r="M103" i="3"/>
  <c r="M99" i="3"/>
  <c r="M95" i="3"/>
  <c r="M91" i="3"/>
  <c r="M87" i="3"/>
  <c r="M83" i="3"/>
  <c r="M79" i="3"/>
  <c r="M75" i="3"/>
  <c r="M71" i="3"/>
  <c r="M67" i="3"/>
  <c r="M513" i="3"/>
  <c r="M509" i="3"/>
  <c r="M505" i="3"/>
  <c r="M501" i="3"/>
  <c r="M497" i="3"/>
  <c r="M493" i="3"/>
  <c r="M489" i="3"/>
  <c r="M485" i="3"/>
  <c r="M481" i="3"/>
  <c r="M477" i="3"/>
  <c r="M473" i="3"/>
  <c r="M469" i="3"/>
  <c r="M465" i="3"/>
  <c r="M461" i="3"/>
  <c r="M457" i="3"/>
  <c r="M453" i="3"/>
  <c r="M449" i="3"/>
  <c r="M445" i="3"/>
  <c r="M441" i="3"/>
  <c r="M437" i="3"/>
  <c r="M433" i="3"/>
  <c r="M429" i="3"/>
  <c r="M425" i="3"/>
  <c r="M421" i="3"/>
  <c r="M417" i="3"/>
  <c r="M413" i="3"/>
  <c r="M409" i="3"/>
  <c r="M405" i="3"/>
  <c r="M401" i="3"/>
  <c r="M397" i="3"/>
  <c r="M393" i="3"/>
  <c r="M389" i="3"/>
  <c r="M385" i="3"/>
  <c r="M381" i="3"/>
  <c r="M377" i="3"/>
  <c r="M373" i="3"/>
  <c r="M369" i="3"/>
  <c r="M365" i="3"/>
  <c r="M361" i="3"/>
  <c r="M357" i="3"/>
  <c r="M353" i="3"/>
  <c r="M349" i="3"/>
  <c r="M345" i="3"/>
  <c r="M341" i="3"/>
  <c r="M337" i="3"/>
  <c r="M333" i="3"/>
  <c r="M329" i="3"/>
  <c r="M325" i="3"/>
  <c r="M321" i="3"/>
  <c r="M317" i="3"/>
  <c r="M313" i="3"/>
  <c r="M309" i="3"/>
  <c r="M305" i="3"/>
  <c r="M301" i="3"/>
  <c r="M297" i="3"/>
  <c r="M293" i="3"/>
  <c r="M289" i="3"/>
  <c r="M285" i="3"/>
  <c r="M281" i="3"/>
  <c r="M277" i="3"/>
  <c r="M273" i="3"/>
  <c r="M269" i="3"/>
  <c r="M265" i="3"/>
  <c r="M261" i="3"/>
  <c r="M257" i="3"/>
  <c r="M253" i="3"/>
  <c r="M249" i="3"/>
  <c r="M245" i="3"/>
  <c r="M241" i="3"/>
  <c r="M237" i="3"/>
  <c r="M233" i="3"/>
  <c r="M229" i="3"/>
  <c r="M225" i="3"/>
  <c r="M221" i="3"/>
  <c r="M217" i="3"/>
  <c r="M213" i="3"/>
  <c r="M209" i="3"/>
  <c r="M205" i="3"/>
  <c r="M201" i="3"/>
  <c r="M197" i="3"/>
  <c r="M193" i="3"/>
  <c r="M189" i="3"/>
  <c r="M185" i="3"/>
  <c r="M181" i="3"/>
  <c r="M177" i="3"/>
  <c r="M173" i="3"/>
  <c r="M169" i="3"/>
  <c r="M165" i="3"/>
  <c r="M161" i="3"/>
  <c r="M157" i="3"/>
  <c r="M153" i="3"/>
  <c r="M149" i="3"/>
  <c r="M145" i="3"/>
  <c r="M141" i="3"/>
  <c r="M137" i="3"/>
  <c r="M133" i="3"/>
  <c r="M129" i="3"/>
  <c r="M125" i="3"/>
  <c r="M121" i="3"/>
  <c r="M117" i="3"/>
  <c r="M113" i="3"/>
  <c r="M109" i="3"/>
  <c r="M105" i="3"/>
  <c r="M101" i="3"/>
  <c r="M97" i="3"/>
  <c r="M93" i="3"/>
  <c r="M89" i="3"/>
  <c r="M85" i="3"/>
  <c r="M81" i="3"/>
  <c r="M77" i="3"/>
  <c r="M73" i="3"/>
  <c r="M69" i="3"/>
  <c r="L683" i="3"/>
  <c r="K684" i="29" s="1"/>
  <c r="L675" i="3"/>
  <c r="K676" i="29" s="1"/>
  <c r="L669" i="3"/>
  <c r="K670" i="29" s="1"/>
  <c r="L667" i="3"/>
  <c r="K668" i="29" s="1"/>
  <c r="L664" i="3"/>
  <c r="K665" i="29" s="1"/>
  <c r="L659" i="3"/>
  <c r="K660" i="29" s="1"/>
  <c r="L653" i="3"/>
  <c r="K654" i="29" s="1"/>
  <c r="L651" i="3"/>
  <c r="K652" i="29" s="1"/>
  <c r="L648" i="3"/>
  <c r="K649" i="29" s="1"/>
  <c r="L643" i="3"/>
  <c r="K644" i="29" s="1"/>
  <c r="L635" i="3"/>
  <c r="K636" i="29" s="1"/>
  <c r="L629" i="3"/>
  <c r="K630" i="29" s="1"/>
  <c r="L627" i="3"/>
  <c r="K628" i="29" s="1"/>
  <c r="L624" i="3"/>
  <c r="K625" i="29" s="1"/>
  <c r="L619" i="3"/>
  <c r="K620" i="29" s="1"/>
  <c r="M685" i="4"/>
  <c r="L685" i="4" s="1"/>
  <c r="M679" i="4"/>
  <c r="L679" i="4" s="1"/>
  <c r="M673" i="4"/>
  <c r="L673" i="4" s="1"/>
  <c r="M667" i="4"/>
  <c r="L667" i="4" s="1"/>
  <c r="M661" i="4"/>
  <c r="L661" i="4" s="1"/>
  <c r="M657" i="4"/>
  <c r="L657" i="4" s="1"/>
  <c r="M649" i="4"/>
  <c r="L649" i="4" s="1"/>
  <c r="M639" i="4"/>
  <c r="L639" i="4" s="1"/>
  <c r="M619" i="4"/>
  <c r="L619" i="4" s="1"/>
  <c r="M687" i="4"/>
  <c r="L687" i="4" s="1"/>
  <c r="M683" i="4"/>
  <c r="L683" i="4" s="1"/>
  <c r="M681" i="4"/>
  <c r="L681" i="4" s="1"/>
  <c r="M677" i="4"/>
  <c r="L677" i="4" s="1"/>
  <c r="M675" i="4"/>
  <c r="L675" i="4" s="1"/>
  <c r="M671" i="4"/>
  <c r="L671" i="4" s="1"/>
  <c r="M669" i="4"/>
  <c r="L669" i="4" s="1"/>
  <c r="M659" i="4"/>
  <c r="L659" i="4" s="1"/>
  <c r="M655" i="4"/>
  <c r="L655" i="4" s="1"/>
  <c r="M653" i="4"/>
  <c r="L653" i="4" s="1"/>
  <c r="M651" i="4"/>
  <c r="L651" i="4" s="1"/>
  <c r="M647" i="4"/>
  <c r="L647" i="4" s="1"/>
  <c r="M645" i="4"/>
  <c r="L645" i="4" s="1"/>
  <c r="M643" i="4"/>
  <c r="L643" i="4" s="1"/>
  <c r="M641" i="4"/>
  <c r="L641" i="4" s="1"/>
  <c r="M616" i="4"/>
  <c r="L616" i="4" s="1"/>
  <c r="M614" i="4"/>
  <c r="L614" i="4" s="1"/>
  <c r="M665" i="4"/>
  <c r="L665" i="4" s="1"/>
  <c r="M663" i="4"/>
  <c r="L663" i="4" s="1"/>
  <c r="M637" i="4"/>
  <c r="L637" i="4" s="1"/>
  <c r="M635" i="4"/>
  <c r="L635" i="4" s="1"/>
  <c r="M633" i="4"/>
  <c r="L633" i="4" s="1"/>
  <c r="M631" i="4"/>
  <c r="L631" i="4" s="1"/>
  <c r="M629" i="4"/>
  <c r="L629" i="4" s="1"/>
  <c r="M627" i="4"/>
  <c r="L627" i="4" s="1"/>
  <c r="M625" i="4"/>
  <c r="L625" i="4" s="1"/>
  <c r="M623" i="4"/>
  <c r="L623" i="4" s="1"/>
  <c r="M621" i="4"/>
  <c r="L621" i="4" s="1"/>
  <c r="M686" i="4"/>
  <c r="L686" i="4" s="1"/>
  <c r="M684" i="4"/>
  <c r="L684" i="4" s="1"/>
  <c r="M682" i="4"/>
  <c r="L682" i="4" s="1"/>
  <c r="M680" i="4"/>
  <c r="L680" i="4" s="1"/>
  <c r="M678" i="4"/>
  <c r="L678" i="4" s="1"/>
  <c r="M676" i="4"/>
  <c r="L676" i="4" s="1"/>
  <c r="M674" i="4"/>
  <c r="L674" i="4" s="1"/>
  <c r="M672" i="4"/>
  <c r="L672" i="4" s="1"/>
  <c r="M670" i="4"/>
  <c r="L670" i="4" s="1"/>
  <c r="M668" i="4"/>
  <c r="L668" i="4" s="1"/>
  <c r="M666" i="4"/>
  <c r="L666" i="4" s="1"/>
  <c r="M664" i="4"/>
  <c r="L664" i="4" s="1"/>
  <c r="M662" i="4"/>
  <c r="L662" i="4" s="1"/>
  <c r="M660" i="4"/>
  <c r="L660" i="4" s="1"/>
  <c r="M658" i="4"/>
  <c r="L658" i="4" s="1"/>
  <c r="M656" i="4"/>
  <c r="L656" i="4" s="1"/>
  <c r="M654" i="4"/>
  <c r="L654" i="4" s="1"/>
  <c r="M652" i="4"/>
  <c r="L652" i="4" s="1"/>
  <c r="M650" i="4"/>
  <c r="L650" i="4" s="1"/>
  <c r="M648" i="4"/>
  <c r="L648" i="4" s="1"/>
  <c r="M646" i="4"/>
  <c r="L646" i="4" s="1"/>
  <c r="M644" i="4"/>
  <c r="L644" i="4" s="1"/>
  <c r="M642" i="4"/>
  <c r="L642" i="4" s="1"/>
  <c r="M640" i="4"/>
  <c r="L640" i="4" s="1"/>
  <c r="M638" i="4"/>
  <c r="L638" i="4" s="1"/>
  <c r="M636" i="4"/>
  <c r="L636" i="4" s="1"/>
  <c r="M634" i="4"/>
  <c r="L634" i="4" s="1"/>
  <c r="M632" i="4"/>
  <c r="L632" i="4" s="1"/>
  <c r="M630" i="4"/>
  <c r="L630" i="4" s="1"/>
  <c r="M628" i="4"/>
  <c r="L628" i="4" s="1"/>
  <c r="M626" i="4"/>
  <c r="L626" i="4" s="1"/>
  <c r="M624" i="4"/>
  <c r="L624" i="4" s="1"/>
  <c r="M622" i="4"/>
  <c r="L622" i="4" s="1"/>
  <c r="M620" i="4"/>
  <c r="L620" i="4" s="1"/>
  <c r="M618" i="4"/>
  <c r="L618" i="4" s="1"/>
  <c r="M617" i="4"/>
  <c r="L617" i="4" s="1"/>
  <c r="M615" i="4"/>
  <c r="L615" i="4" s="1"/>
  <c r="N4" i="4" l="1"/>
  <c r="O4" i="4"/>
  <c r="P4" i="4"/>
  <c r="Q4" i="4"/>
  <c r="R4" i="4"/>
  <c r="S4" i="4"/>
  <c r="N5" i="4"/>
  <c r="O5" i="4"/>
  <c r="P5" i="4"/>
  <c r="Q5" i="4"/>
  <c r="R5" i="4"/>
  <c r="S5" i="4"/>
  <c r="N6" i="4"/>
  <c r="O6" i="4"/>
  <c r="P6" i="4"/>
  <c r="Q6" i="4"/>
  <c r="R6" i="4"/>
  <c r="S6" i="4"/>
  <c r="N7" i="4"/>
  <c r="O7" i="4"/>
  <c r="P7" i="4"/>
  <c r="Q7" i="4"/>
  <c r="R7" i="4"/>
  <c r="S7" i="4"/>
  <c r="N8" i="4"/>
  <c r="O8" i="4"/>
  <c r="P8" i="4"/>
  <c r="Q8" i="4"/>
  <c r="R8" i="4"/>
  <c r="S8" i="4"/>
  <c r="N9" i="4"/>
  <c r="O9" i="4"/>
  <c r="P9" i="4"/>
  <c r="Q9" i="4"/>
  <c r="R9" i="4"/>
  <c r="S9" i="4"/>
  <c r="N10" i="4"/>
  <c r="O10" i="4"/>
  <c r="P10" i="4"/>
  <c r="Q10" i="4"/>
  <c r="R10" i="4"/>
  <c r="S10" i="4"/>
  <c r="N11" i="4"/>
  <c r="O11" i="4"/>
  <c r="P11" i="4"/>
  <c r="Q11" i="4"/>
  <c r="R11" i="4"/>
  <c r="S11" i="4"/>
  <c r="N12" i="4"/>
  <c r="O12" i="4"/>
  <c r="P12" i="4"/>
  <c r="Q12" i="4"/>
  <c r="R12" i="4"/>
  <c r="S12" i="4"/>
  <c r="N13" i="4"/>
  <c r="O13" i="4"/>
  <c r="P13" i="4"/>
  <c r="Q13" i="4"/>
  <c r="R13" i="4"/>
  <c r="S13" i="4"/>
  <c r="N14" i="4"/>
  <c r="O14" i="4"/>
  <c r="P14" i="4"/>
  <c r="Q14" i="4"/>
  <c r="R14" i="4"/>
  <c r="S14" i="4"/>
  <c r="N15" i="4"/>
  <c r="O15" i="4"/>
  <c r="P15" i="4"/>
  <c r="Q15" i="4"/>
  <c r="R15" i="4"/>
  <c r="S15" i="4"/>
  <c r="N16" i="4"/>
  <c r="O16" i="4"/>
  <c r="P16" i="4"/>
  <c r="Q16" i="4"/>
  <c r="R16" i="4"/>
  <c r="S16" i="4"/>
  <c r="N17" i="4"/>
  <c r="O17" i="4"/>
  <c r="P17" i="4"/>
  <c r="Q17" i="4"/>
  <c r="R17" i="4"/>
  <c r="S17" i="4"/>
  <c r="N18" i="4"/>
  <c r="O18" i="4"/>
  <c r="P18" i="4"/>
  <c r="Q18" i="4"/>
  <c r="R18" i="4"/>
  <c r="S18" i="4"/>
  <c r="N19" i="4"/>
  <c r="O19" i="4"/>
  <c r="P19" i="4"/>
  <c r="Q19" i="4"/>
  <c r="R19" i="4"/>
  <c r="S19" i="4"/>
  <c r="N20" i="4"/>
  <c r="O20" i="4"/>
  <c r="P20" i="4"/>
  <c r="Q20" i="4"/>
  <c r="R20" i="4"/>
  <c r="S20" i="4"/>
  <c r="N21" i="4"/>
  <c r="O21" i="4"/>
  <c r="P21" i="4"/>
  <c r="Q21" i="4"/>
  <c r="R21" i="4"/>
  <c r="S21" i="4"/>
  <c r="N22" i="4"/>
  <c r="O22" i="4"/>
  <c r="P22" i="4"/>
  <c r="Q22" i="4"/>
  <c r="R22" i="4"/>
  <c r="S22" i="4"/>
  <c r="N23" i="4"/>
  <c r="O23" i="4"/>
  <c r="P23" i="4"/>
  <c r="Q23" i="4"/>
  <c r="R23" i="4"/>
  <c r="S23" i="4"/>
  <c r="N24" i="4"/>
  <c r="O24" i="4"/>
  <c r="P24" i="4"/>
  <c r="Q24" i="4"/>
  <c r="R24" i="4"/>
  <c r="S24" i="4"/>
  <c r="N25" i="4"/>
  <c r="O25" i="4"/>
  <c r="P25" i="4"/>
  <c r="Q25" i="4"/>
  <c r="R25" i="4"/>
  <c r="S25" i="4"/>
  <c r="N26" i="4"/>
  <c r="O26" i="4"/>
  <c r="P26" i="4"/>
  <c r="Q26" i="4"/>
  <c r="R26" i="4"/>
  <c r="S26" i="4"/>
  <c r="N27" i="4"/>
  <c r="O27" i="4"/>
  <c r="P27" i="4"/>
  <c r="Q27" i="4"/>
  <c r="R27" i="4"/>
  <c r="S27" i="4"/>
  <c r="N28" i="4"/>
  <c r="O28" i="4"/>
  <c r="P28" i="4"/>
  <c r="Q28" i="4"/>
  <c r="R28" i="4"/>
  <c r="S28" i="4"/>
  <c r="N29" i="4"/>
  <c r="O29" i="4"/>
  <c r="P29" i="4"/>
  <c r="Q29" i="4"/>
  <c r="R29" i="4"/>
  <c r="S29" i="4"/>
  <c r="N30" i="4"/>
  <c r="O30" i="4"/>
  <c r="P30" i="4"/>
  <c r="Q30" i="4"/>
  <c r="R30" i="4"/>
  <c r="S30" i="4"/>
  <c r="N31" i="4"/>
  <c r="O31" i="4"/>
  <c r="P31" i="4"/>
  <c r="Q31" i="4"/>
  <c r="R31" i="4"/>
  <c r="S31" i="4"/>
  <c r="N32" i="4"/>
  <c r="O32" i="4"/>
  <c r="P32" i="4"/>
  <c r="Q32" i="4"/>
  <c r="R32" i="4"/>
  <c r="S32" i="4"/>
  <c r="N33" i="4"/>
  <c r="O33" i="4"/>
  <c r="P33" i="4"/>
  <c r="Q33" i="4"/>
  <c r="R33" i="4"/>
  <c r="S33" i="4"/>
  <c r="N34" i="4"/>
  <c r="O34" i="4"/>
  <c r="P34" i="4"/>
  <c r="Q34" i="4"/>
  <c r="R34" i="4"/>
  <c r="S34" i="4"/>
  <c r="N35" i="4"/>
  <c r="O35" i="4"/>
  <c r="P35" i="4"/>
  <c r="Q35" i="4"/>
  <c r="R35" i="4"/>
  <c r="S35" i="4"/>
  <c r="N36" i="4"/>
  <c r="O36" i="4"/>
  <c r="P36" i="4"/>
  <c r="Q36" i="4"/>
  <c r="R36" i="4"/>
  <c r="S36" i="4"/>
  <c r="N37" i="4"/>
  <c r="O37" i="4"/>
  <c r="P37" i="4"/>
  <c r="Q37" i="4"/>
  <c r="R37" i="4"/>
  <c r="S37" i="4"/>
  <c r="N38" i="4"/>
  <c r="O38" i="4"/>
  <c r="P38" i="4"/>
  <c r="Q38" i="4"/>
  <c r="R38" i="4"/>
  <c r="S38" i="4"/>
  <c r="N39" i="4"/>
  <c r="O39" i="4"/>
  <c r="P39" i="4"/>
  <c r="Q39" i="4"/>
  <c r="R39" i="4"/>
  <c r="S39" i="4"/>
  <c r="N40" i="4"/>
  <c r="O40" i="4"/>
  <c r="P40" i="4"/>
  <c r="Q40" i="4"/>
  <c r="R40" i="4"/>
  <c r="S40" i="4"/>
  <c r="N41" i="4"/>
  <c r="O41" i="4"/>
  <c r="P41" i="4"/>
  <c r="Q41" i="4"/>
  <c r="R41" i="4"/>
  <c r="S41" i="4"/>
  <c r="N42" i="4"/>
  <c r="O42" i="4"/>
  <c r="P42" i="4"/>
  <c r="Q42" i="4"/>
  <c r="R42" i="4"/>
  <c r="S42" i="4"/>
  <c r="N43" i="4"/>
  <c r="O43" i="4"/>
  <c r="P43" i="4"/>
  <c r="Q43" i="4"/>
  <c r="R43" i="4"/>
  <c r="S43" i="4"/>
  <c r="N44" i="4"/>
  <c r="O44" i="4"/>
  <c r="P44" i="4"/>
  <c r="Q44" i="4"/>
  <c r="R44" i="4"/>
  <c r="S44" i="4"/>
  <c r="N45" i="4"/>
  <c r="O45" i="4"/>
  <c r="P45" i="4"/>
  <c r="Q45" i="4"/>
  <c r="R45" i="4"/>
  <c r="S45" i="4"/>
  <c r="N46" i="4"/>
  <c r="O46" i="4"/>
  <c r="P46" i="4"/>
  <c r="Q46" i="4"/>
  <c r="R46" i="4"/>
  <c r="S46" i="4"/>
  <c r="N47" i="4"/>
  <c r="O47" i="4"/>
  <c r="P47" i="4"/>
  <c r="Q47" i="4"/>
  <c r="R47" i="4"/>
  <c r="S47" i="4"/>
  <c r="N48" i="4"/>
  <c r="O48" i="4"/>
  <c r="P48" i="4"/>
  <c r="Q48" i="4"/>
  <c r="R48" i="4"/>
  <c r="S48" i="4"/>
  <c r="N49" i="4"/>
  <c r="O49" i="4"/>
  <c r="P49" i="4"/>
  <c r="Q49" i="4"/>
  <c r="R49" i="4"/>
  <c r="S49" i="4"/>
  <c r="N50" i="4"/>
  <c r="O50" i="4"/>
  <c r="P50" i="4"/>
  <c r="Q50" i="4"/>
  <c r="R50" i="4"/>
  <c r="S50" i="4"/>
  <c r="N51" i="4"/>
  <c r="O51" i="4"/>
  <c r="P51" i="4"/>
  <c r="Q51" i="4"/>
  <c r="R51" i="4"/>
  <c r="S51" i="4"/>
  <c r="N52" i="4"/>
  <c r="O52" i="4"/>
  <c r="P52" i="4"/>
  <c r="Q52" i="4"/>
  <c r="R52" i="4"/>
  <c r="S52" i="4"/>
  <c r="N53" i="4"/>
  <c r="O53" i="4"/>
  <c r="P53" i="4"/>
  <c r="Q53" i="4"/>
  <c r="R53" i="4"/>
  <c r="S53" i="4"/>
  <c r="N54" i="4"/>
  <c r="O54" i="4"/>
  <c r="P54" i="4"/>
  <c r="Q54" i="4"/>
  <c r="R54" i="4"/>
  <c r="S54" i="4"/>
  <c r="N55" i="4"/>
  <c r="O55" i="4"/>
  <c r="P55" i="4"/>
  <c r="Q55" i="4"/>
  <c r="R55" i="4"/>
  <c r="S55" i="4"/>
  <c r="N56" i="4"/>
  <c r="O56" i="4"/>
  <c r="P56" i="4"/>
  <c r="Q56" i="4"/>
  <c r="R56" i="4"/>
  <c r="S56" i="4"/>
  <c r="N57" i="4"/>
  <c r="O57" i="4"/>
  <c r="P57" i="4"/>
  <c r="Q57" i="4"/>
  <c r="R57" i="4"/>
  <c r="S57" i="4"/>
  <c r="N58" i="4"/>
  <c r="O58" i="4"/>
  <c r="P58" i="4"/>
  <c r="Q58" i="4"/>
  <c r="R58" i="4"/>
  <c r="S58" i="4"/>
  <c r="N59" i="4"/>
  <c r="O59" i="4"/>
  <c r="P59" i="4"/>
  <c r="Q59" i="4"/>
  <c r="R59" i="4"/>
  <c r="S59" i="4"/>
  <c r="N60" i="4"/>
  <c r="O60" i="4"/>
  <c r="P60" i="4"/>
  <c r="Q60" i="4"/>
  <c r="R60" i="4"/>
  <c r="S60" i="4"/>
  <c r="N61" i="4"/>
  <c r="O61" i="4"/>
  <c r="P61" i="4"/>
  <c r="Q61" i="4"/>
  <c r="R61" i="4"/>
  <c r="S61" i="4"/>
  <c r="N62" i="4"/>
  <c r="O62" i="4"/>
  <c r="P62" i="4"/>
  <c r="Q62" i="4"/>
  <c r="R62" i="4"/>
  <c r="S62" i="4"/>
  <c r="N63" i="4"/>
  <c r="O63" i="4"/>
  <c r="P63" i="4"/>
  <c r="Q63" i="4"/>
  <c r="R63" i="4"/>
  <c r="S63" i="4"/>
  <c r="N64" i="4"/>
  <c r="O64" i="4"/>
  <c r="P64" i="4"/>
  <c r="Q64" i="4"/>
  <c r="R64" i="4"/>
  <c r="S64" i="4"/>
  <c r="N65" i="4"/>
  <c r="O65" i="4"/>
  <c r="P65" i="4"/>
  <c r="Q65" i="4"/>
  <c r="R65" i="4"/>
  <c r="S65" i="4"/>
  <c r="N66" i="4"/>
  <c r="O66" i="4"/>
  <c r="P66" i="4"/>
  <c r="Q66" i="4"/>
  <c r="R66" i="4"/>
  <c r="S66" i="4"/>
  <c r="N67" i="4"/>
  <c r="O67" i="4"/>
  <c r="P67" i="4"/>
  <c r="Q67" i="4"/>
  <c r="R67" i="4"/>
  <c r="S67" i="4"/>
  <c r="N68" i="4"/>
  <c r="O68" i="4"/>
  <c r="P68" i="4"/>
  <c r="Q68" i="4"/>
  <c r="R68" i="4"/>
  <c r="S68" i="4"/>
  <c r="N69" i="4"/>
  <c r="O69" i="4"/>
  <c r="P69" i="4"/>
  <c r="Q69" i="4"/>
  <c r="R69" i="4"/>
  <c r="S69" i="4"/>
  <c r="N70" i="4"/>
  <c r="O70" i="4"/>
  <c r="P70" i="4"/>
  <c r="Q70" i="4"/>
  <c r="R70" i="4"/>
  <c r="S70" i="4"/>
  <c r="N71" i="4"/>
  <c r="O71" i="4"/>
  <c r="P71" i="4"/>
  <c r="Q71" i="4"/>
  <c r="R71" i="4"/>
  <c r="S71" i="4"/>
  <c r="N72" i="4"/>
  <c r="O72" i="4"/>
  <c r="P72" i="4"/>
  <c r="Q72" i="4"/>
  <c r="R72" i="4"/>
  <c r="S72" i="4"/>
  <c r="N73" i="4"/>
  <c r="O73" i="4"/>
  <c r="P73" i="4"/>
  <c r="Q73" i="4"/>
  <c r="R73" i="4"/>
  <c r="S73" i="4"/>
  <c r="N74" i="4"/>
  <c r="O74" i="4"/>
  <c r="P74" i="4"/>
  <c r="Q74" i="4"/>
  <c r="R74" i="4"/>
  <c r="S74" i="4"/>
  <c r="N75" i="4"/>
  <c r="O75" i="4"/>
  <c r="P75" i="4"/>
  <c r="Q75" i="4"/>
  <c r="R75" i="4"/>
  <c r="S75" i="4"/>
  <c r="N76" i="4"/>
  <c r="O76" i="4"/>
  <c r="P76" i="4"/>
  <c r="Q76" i="4"/>
  <c r="R76" i="4"/>
  <c r="S76" i="4"/>
  <c r="N77" i="4"/>
  <c r="O77" i="4"/>
  <c r="P77" i="4"/>
  <c r="Q77" i="4"/>
  <c r="R77" i="4"/>
  <c r="S77" i="4"/>
  <c r="N78" i="4"/>
  <c r="O78" i="4"/>
  <c r="P78" i="4"/>
  <c r="Q78" i="4"/>
  <c r="R78" i="4"/>
  <c r="S78" i="4"/>
  <c r="N79" i="4"/>
  <c r="O79" i="4"/>
  <c r="P79" i="4"/>
  <c r="Q79" i="4"/>
  <c r="R79" i="4"/>
  <c r="S79" i="4"/>
  <c r="N80" i="4"/>
  <c r="O80" i="4"/>
  <c r="P80" i="4"/>
  <c r="Q80" i="4"/>
  <c r="R80" i="4"/>
  <c r="S80" i="4"/>
  <c r="N81" i="4"/>
  <c r="O81" i="4"/>
  <c r="P81" i="4"/>
  <c r="Q81" i="4"/>
  <c r="R81" i="4"/>
  <c r="S81" i="4"/>
  <c r="N82" i="4"/>
  <c r="O82" i="4"/>
  <c r="P82" i="4"/>
  <c r="Q82" i="4"/>
  <c r="R82" i="4"/>
  <c r="S82" i="4"/>
  <c r="N83" i="4"/>
  <c r="O83" i="4"/>
  <c r="P83" i="4"/>
  <c r="Q83" i="4"/>
  <c r="R83" i="4"/>
  <c r="S83" i="4"/>
  <c r="N84" i="4"/>
  <c r="O84" i="4"/>
  <c r="P84" i="4"/>
  <c r="Q84" i="4"/>
  <c r="R84" i="4"/>
  <c r="S84" i="4"/>
  <c r="N85" i="4"/>
  <c r="O85" i="4"/>
  <c r="P85" i="4"/>
  <c r="Q85" i="4"/>
  <c r="R85" i="4"/>
  <c r="S85" i="4"/>
  <c r="N86" i="4"/>
  <c r="O86" i="4"/>
  <c r="P86" i="4"/>
  <c r="Q86" i="4"/>
  <c r="R86" i="4"/>
  <c r="S86" i="4"/>
  <c r="N87" i="4"/>
  <c r="O87" i="4"/>
  <c r="P87" i="4"/>
  <c r="Q87" i="4"/>
  <c r="R87" i="4"/>
  <c r="S87" i="4"/>
  <c r="N88" i="4"/>
  <c r="O88" i="4"/>
  <c r="P88" i="4"/>
  <c r="Q88" i="4"/>
  <c r="R88" i="4"/>
  <c r="S88" i="4"/>
  <c r="N89" i="4"/>
  <c r="O89" i="4"/>
  <c r="P89" i="4"/>
  <c r="Q89" i="4"/>
  <c r="R89" i="4"/>
  <c r="S89" i="4"/>
  <c r="N90" i="4"/>
  <c r="O90" i="4"/>
  <c r="P90" i="4"/>
  <c r="Q90" i="4"/>
  <c r="R90" i="4"/>
  <c r="S90" i="4"/>
  <c r="N91" i="4"/>
  <c r="O91" i="4"/>
  <c r="P91" i="4"/>
  <c r="Q91" i="4"/>
  <c r="R91" i="4"/>
  <c r="S91" i="4"/>
  <c r="N92" i="4"/>
  <c r="O92" i="4"/>
  <c r="P92" i="4"/>
  <c r="Q92" i="4"/>
  <c r="R92" i="4"/>
  <c r="S92" i="4"/>
  <c r="N93" i="4"/>
  <c r="O93" i="4"/>
  <c r="P93" i="4"/>
  <c r="Q93" i="4"/>
  <c r="R93" i="4"/>
  <c r="S93" i="4"/>
  <c r="N94" i="4"/>
  <c r="O94" i="4"/>
  <c r="P94" i="4"/>
  <c r="Q94" i="4"/>
  <c r="R94" i="4"/>
  <c r="S94" i="4"/>
  <c r="N95" i="4"/>
  <c r="O95" i="4"/>
  <c r="P95" i="4"/>
  <c r="Q95" i="4"/>
  <c r="R95" i="4"/>
  <c r="S95" i="4"/>
  <c r="N96" i="4"/>
  <c r="O96" i="4"/>
  <c r="P96" i="4"/>
  <c r="Q96" i="4"/>
  <c r="R96" i="4"/>
  <c r="S96" i="4"/>
  <c r="N97" i="4"/>
  <c r="O97" i="4"/>
  <c r="P97" i="4"/>
  <c r="Q97" i="4"/>
  <c r="R97" i="4"/>
  <c r="S97" i="4"/>
  <c r="N98" i="4"/>
  <c r="O98" i="4"/>
  <c r="P98" i="4"/>
  <c r="Q98" i="4"/>
  <c r="R98" i="4"/>
  <c r="S98" i="4"/>
  <c r="N99" i="4"/>
  <c r="O99" i="4"/>
  <c r="P99" i="4"/>
  <c r="Q99" i="4"/>
  <c r="R99" i="4"/>
  <c r="S99" i="4"/>
  <c r="N100" i="4"/>
  <c r="O100" i="4"/>
  <c r="P100" i="4"/>
  <c r="Q100" i="4"/>
  <c r="R100" i="4"/>
  <c r="S100" i="4"/>
  <c r="N101" i="4"/>
  <c r="O101" i="4"/>
  <c r="P101" i="4"/>
  <c r="Q101" i="4"/>
  <c r="R101" i="4"/>
  <c r="S101" i="4"/>
  <c r="N102" i="4"/>
  <c r="O102" i="4"/>
  <c r="P102" i="4"/>
  <c r="Q102" i="4"/>
  <c r="R102" i="4"/>
  <c r="S102" i="4"/>
  <c r="N103" i="4"/>
  <c r="O103" i="4"/>
  <c r="P103" i="4"/>
  <c r="Q103" i="4"/>
  <c r="R103" i="4"/>
  <c r="S103" i="4"/>
  <c r="N104" i="4"/>
  <c r="O104" i="4"/>
  <c r="P104" i="4"/>
  <c r="Q104" i="4"/>
  <c r="R104" i="4"/>
  <c r="S104" i="4"/>
  <c r="N105" i="4"/>
  <c r="O105" i="4"/>
  <c r="P105" i="4"/>
  <c r="Q105" i="4"/>
  <c r="R105" i="4"/>
  <c r="S105" i="4"/>
  <c r="N106" i="4"/>
  <c r="O106" i="4"/>
  <c r="P106" i="4"/>
  <c r="Q106" i="4"/>
  <c r="R106" i="4"/>
  <c r="S106" i="4"/>
  <c r="N107" i="4"/>
  <c r="O107" i="4"/>
  <c r="P107" i="4"/>
  <c r="Q107" i="4"/>
  <c r="R107" i="4"/>
  <c r="S107" i="4"/>
  <c r="N108" i="4"/>
  <c r="O108" i="4"/>
  <c r="P108" i="4"/>
  <c r="Q108" i="4"/>
  <c r="R108" i="4"/>
  <c r="S108" i="4"/>
  <c r="N109" i="4"/>
  <c r="O109" i="4"/>
  <c r="P109" i="4"/>
  <c r="Q109" i="4"/>
  <c r="R109" i="4"/>
  <c r="S109" i="4"/>
  <c r="N110" i="4"/>
  <c r="O110" i="4"/>
  <c r="P110" i="4"/>
  <c r="Q110" i="4"/>
  <c r="R110" i="4"/>
  <c r="S110" i="4"/>
  <c r="N111" i="4"/>
  <c r="O111" i="4"/>
  <c r="P111" i="4"/>
  <c r="Q111" i="4"/>
  <c r="R111" i="4"/>
  <c r="S111" i="4"/>
  <c r="N112" i="4"/>
  <c r="O112" i="4"/>
  <c r="P112" i="4"/>
  <c r="Q112" i="4"/>
  <c r="R112" i="4"/>
  <c r="S112" i="4"/>
  <c r="N113" i="4"/>
  <c r="O113" i="4"/>
  <c r="P113" i="4"/>
  <c r="Q113" i="4"/>
  <c r="R113" i="4"/>
  <c r="S113" i="4"/>
  <c r="N114" i="4"/>
  <c r="O114" i="4"/>
  <c r="P114" i="4"/>
  <c r="Q114" i="4"/>
  <c r="R114" i="4"/>
  <c r="S114" i="4"/>
  <c r="N115" i="4"/>
  <c r="O115" i="4"/>
  <c r="P115" i="4"/>
  <c r="Q115" i="4"/>
  <c r="R115" i="4"/>
  <c r="S115" i="4"/>
  <c r="N116" i="4"/>
  <c r="O116" i="4"/>
  <c r="P116" i="4"/>
  <c r="Q116" i="4"/>
  <c r="R116" i="4"/>
  <c r="S116" i="4"/>
  <c r="N117" i="4"/>
  <c r="O117" i="4"/>
  <c r="P117" i="4"/>
  <c r="Q117" i="4"/>
  <c r="R117" i="4"/>
  <c r="S117" i="4"/>
  <c r="N118" i="4"/>
  <c r="O118" i="4"/>
  <c r="P118" i="4"/>
  <c r="Q118" i="4"/>
  <c r="R118" i="4"/>
  <c r="S118" i="4"/>
  <c r="N119" i="4"/>
  <c r="O119" i="4"/>
  <c r="P119" i="4"/>
  <c r="Q119" i="4"/>
  <c r="R119" i="4"/>
  <c r="S119" i="4"/>
  <c r="N120" i="4"/>
  <c r="O120" i="4"/>
  <c r="P120" i="4"/>
  <c r="Q120" i="4"/>
  <c r="R120" i="4"/>
  <c r="S120" i="4"/>
  <c r="N121" i="4"/>
  <c r="O121" i="4"/>
  <c r="P121" i="4"/>
  <c r="Q121" i="4"/>
  <c r="R121" i="4"/>
  <c r="S121" i="4"/>
  <c r="N122" i="4"/>
  <c r="O122" i="4"/>
  <c r="P122" i="4"/>
  <c r="Q122" i="4"/>
  <c r="R122" i="4"/>
  <c r="S122" i="4"/>
  <c r="N123" i="4"/>
  <c r="O123" i="4"/>
  <c r="P123" i="4"/>
  <c r="Q123" i="4"/>
  <c r="R123" i="4"/>
  <c r="S123" i="4"/>
  <c r="N124" i="4"/>
  <c r="O124" i="4"/>
  <c r="P124" i="4"/>
  <c r="Q124" i="4"/>
  <c r="R124" i="4"/>
  <c r="S124" i="4"/>
  <c r="N125" i="4"/>
  <c r="O125" i="4"/>
  <c r="P125" i="4"/>
  <c r="Q125" i="4"/>
  <c r="R125" i="4"/>
  <c r="S125" i="4"/>
  <c r="N126" i="4"/>
  <c r="O126" i="4"/>
  <c r="P126" i="4"/>
  <c r="Q126" i="4"/>
  <c r="R126" i="4"/>
  <c r="S126" i="4"/>
  <c r="N127" i="4"/>
  <c r="O127" i="4"/>
  <c r="P127" i="4"/>
  <c r="Q127" i="4"/>
  <c r="R127" i="4"/>
  <c r="S127" i="4"/>
  <c r="N128" i="4"/>
  <c r="O128" i="4"/>
  <c r="P128" i="4"/>
  <c r="Q128" i="4"/>
  <c r="R128" i="4"/>
  <c r="S128" i="4"/>
  <c r="N129" i="4"/>
  <c r="O129" i="4"/>
  <c r="P129" i="4"/>
  <c r="Q129" i="4"/>
  <c r="R129" i="4"/>
  <c r="S129" i="4"/>
  <c r="N130" i="4"/>
  <c r="O130" i="4"/>
  <c r="P130" i="4"/>
  <c r="Q130" i="4"/>
  <c r="R130" i="4"/>
  <c r="S130" i="4"/>
  <c r="N131" i="4"/>
  <c r="O131" i="4"/>
  <c r="P131" i="4"/>
  <c r="Q131" i="4"/>
  <c r="R131" i="4"/>
  <c r="S131" i="4"/>
  <c r="N132" i="4"/>
  <c r="O132" i="4"/>
  <c r="P132" i="4"/>
  <c r="Q132" i="4"/>
  <c r="R132" i="4"/>
  <c r="S132" i="4"/>
  <c r="N133" i="4"/>
  <c r="O133" i="4"/>
  <c r="P133" i="4"/>
  <c r="Q133" i="4"/>
  <c r="R133" i="4"/>
  <c r="S133" i="4"/>
  <c r="N134" i="4"/>
  <c r="O134" i="4"/>
  <c r="P134" i="4"/>
  <c r="Q134" i="4"/>
  <c r="R134" i="4"/>
  <c r="S134" i="4"/>
  <c r="N135" i="4"/>
  <c r="O135" i="4"/>
  <c r="P135" i="4"/>
  <c r="Q135" i="4"/>
  <c r="R135" i="4"/>
  <c r="S135" i="4"/>
  <c r="N136" i="4"/>
  <c r="O136" i="4"/>
  <c r="P136" i="4"/>
  <c r="Q136" i="4"/>
  <c r="R136" i="4"/>
  <c r="S136" i="4"/>
  <c r="N137" i="4"/>
  <c r="O137" i="4"/>
  <c r="P137" i="4"/>
  <c r="Q137" i="4"/>
  <c r="R137" i="4"/>
  <c r="S137" i="4"/>
  <c r="N138" i="4"/>
  <c r="O138" i="4"/>
  <c r="P138" i="4"/>
  <c r="Q138" i="4"/>
  <c r="R138" i="4"/>
  <c r="S138" i="4"/>
  <c r="N139" i="4"/>
  <c r="O139" i="4"/>
  <c r="P139" i="4"/>
  <c r="Q139" i="4"/>
  <c r="R139" i="4"/>
  <c r="S139" i="4"/>
  <c r="N140" i="4"/>
  <c r="O140" i="4"/>
  <c r="P140" i="4"/>
  <c r="Q140" i="4"/>
  <c r="R140" i="4"/>
  <c r="S140" i="4"/>
  <c r="N141" i="4"/>
  <c r="O141" i="4"/>
  <c r="P141" i="4"/>
  <c r="Q141" i="4"/>
  <c r="R141" i="4"/>
  <c r="S141" i="4"/>
  <c r="N142" i="4"/>
  <c r="O142" i="4"/>
  <c r="P142" i="4"/>
  <c r="Q142" i="4"/>
  <c r="R142" i="4"/>
  <c r="S142" i="4"/>
  <c r="N143" i="4"/>
  <c r="O143" i="4"/>
  <c r="P143" i="4"/>
  <c r="Q143" i="4"/>
  <c r="R143" i="4"/>
  <c r="S143" i="4"/>
  <c r="N144" i="4"/>
  <c r="O144" i="4"/>
  <c r="P144" i="4"/>
  <c r="Q144" i="4"/>
  <c r="R144" i="4"/>
  <c r="S144" i="4"/>
  <c r="N145" i="4"/>
  <c r="O145" i="4"/>
  <c r="P145" i="4"/>
  <c r="Q145" i="4"/>
  <c r="R145" i="4"/>
  <c r="S145" i="4"/>
  <c r="N146" i="4"/>
  <c r="O146" i="4"/>
  <c r="P146" i="4"/>
  <c r="Q146" i="4"/>
  <c r="R146" i="4"/>
  <c r="S146" i="4"/>
  <c r="N147" i="4"/>
  <c r="O147" i="4"/>
  <c r="P147" i="4"/>
  <c r="Q147" i="4"/>
  <c r="R147" i="4"/>
  <c r="S147" i="4"/>
  <c r="N148" i="4"/>
  <c r="O148" i="4"/>
  <c r="P148" i="4"/>
  <c r="Q148" i="4"/>
  <c r="R148" i="4"/>
  <c r="S148" i="4"/>
  <c r="N149" i="4"/>
  <c r="O149" i="4"/>
  <c r="P149" i="4"/>
  <c r="Q149" i="4"/>
  <c r="R149" i="4"/>
  <c r="S149" i="4"/>
  <c r="N150" i="4"/>
  <c r="O150" i="4"/>
  <c r="P150" i="4"/>
  <c r="Q150" i="4"/>
  <c r="R150" i="4"/>
  <c r="S150" i="4"/>
  <c r="N151" i="4"/>
  <c r="O151" i="4"/>
  <c r="P151" i="4"/>
  <c r="Q151" i="4"/>
  <c r="R151" i="4"/>
  <c r="S151" i="4"/>
  <c r="N152" i="4"/>
  <c r="O152" i="4"/>
  <c r="P152" i="4"/>
  <c r="Q152" i="4"/>
  <c r="R152" i="4"/>
  <c r="S152" i="4"/>
  <c r="N153" i="4"/>
  <c r="O153" i="4"/>
  <c r="P153" i="4"/>
  <c r="Q153" i="4"/>
  <c r="R153" i="4"/>
  <c r="S153" i="4"/>
  <c r="N154" i="4"/>
  <c r="O154" i="4"/>
  <c r="P154" i="4"/>
  <c r="Q154" i="4"/>
  <c r="R154" i="4"/>
  <c r="S154" i="4"/>
  <c r="N155" i="4"/>
  <c r="O155" i="4"/>
  <c r="P155" i="4"/>
  <c r="Q155" i="4"/>
  <c r="R155" i="4"/>
  <c r="S155" i="4"/>
  <c r="N156" i="4"/>
  <c r="O156" i="4"/>
  <c r="P156" i="4"/>
  <c r="Q156" i="4"/>
  <c r="R156" i="4"/>
  <c r="S156" i="4"/>
  <c r="N157" i="4"/>
  <c r="O157" i="4"/>
  <c r="P157" i="4"/>
  <c r="Q157" i="4"/>
  <c r="R157" i="4"/>
  <c r="S157" i="4"/>
  <c r="N158" i="4"/>
  <c r="O158" i="4"/>
  <c r="P158" i="4"/>
  <c r="Q158" i="4"/>
  <c r="R158" i="4"/>
  <c r="S158" i="4"/>
  <c r="N159" i="4"/>
  <c r="O159" i="4"/>
  <c r="P159" i="4"/>
  <c r="Q159" i="4"/>
  <c r="R159" i="4"/>
  <c r="S159" i="4"/>
  <c r="N160" i="4"/>
  <c r="O160" i="4"/>
  <c r="P160" i="4"/>
  <c r="Q160" i="4"/>
  <c r="R160" i="4"/>
  <c r="S160" i="4"/>
  <c r="N161" i="4"/>
  <c r="O161" i="4"/>
  <c r="P161" i="4"/>
  <c r="Q161" i="4"/>
  <c r="R161" i="4"/>
  <c r="S161" i="4"/>
  <c r="N162" i="4"/>
  <c r="O162" i="4"/>
  <c r="P162" i="4"/>
  <c r="Q162" i="4"/>
  <c r="R162" i="4"/>
  <c r="S162" i="4"/>
  <c r="N163" i="4"/>
  <c r="O163" i="4"/>
  <c r="P163" i="4"/>
  <c r="Q163" i="4"/>
  <c r="R163" i="4"/>
  <c r="S163" i="4"/>
  <c r="N164" i="4"/>
  <c r="O164" i="4"/>
  <c r="P164" i="4"/>
  <c r="Q164" i="4"/>
  <c r="R164" i="4"/>
  <c r="S164" i="4"/>
  <c r="N165" i="4"/>
  <c r="O165" i="4"/>
  <c r="P165" i="4"/>
  <c r="Q165" i="4"/>
  <c r="R165" i="4"/>
  <c r="S165" i="4"/>
  <c r="N166" i="4"/>
  <c r="O166" i="4"/>
  <c r="P166" i="4"/>
  <c r="Q166" i="4"/>
  <c r="R166" i="4"/>
  <c r="S166" i="4"/>
  <c r="N167" i="4"/>
  <c r="O167" i="4"/>
  <c r="P167" i="4"/>
  <c r="Q167" i="4"/>
  <c r="R167" i="4"/>
  <c r="S167" i="4"/>
  <c r="N168" i="4"/>
  <c r="O168" i="4"/>
  <c r="P168" i="4"/>
  <c r="Q168" i="4"/>
  <c r="R168" i="4"/>
  <c r="S168" i="4"/>
  <c r="N169" i="4"/>
  <c r="O169" i="4"/>
  <c r="P169" i="4"/>
  <c r="Q169" i="4"/>
  <c r="R169" i="4"/>
  <c r="S169" i="4"/>
  <c r="N170" i="4"/>
  <c r="O170" i="4"/>
  <c r="P170" i="4"/>
  <c r="Q170" i="4"/>
  <c r="R170" i="4"/>
  <c r="S170" i="4"/>
  <c r="N171" i="4"/>
  <c r="O171" i="4"/>
  <c r="P171" i="4"/>
  <c r="Q171" i="4"/>
  <c r="R171" i="4"/>
  <c r="S171" i="4"/>
  <c r="N172" i="4"/>
  <c r="O172" i="4"/>
  <c r="P172" i="4"/>
  <c r="Q172" i="4"/>
  <c r="R172" i="4"/>
  <c r="S172" i="4"/>
  <c r="N173" i="4"/>
  <c r="O173" i="4"/>
  <c r="P173" i="4"/>
  <c r="Q173" i="4"/>
  <c r="R173" i="4"/>
  <c r="S173" i="4"/>
  <c r="N174" i="4"/>
  <c r="O174" i="4"/>
  <c r="P174" i="4"/>
  <c r="Q174" i="4"/>
  <c r="R174" i="4"/>
  <c r="S174" i="4"/>
  <c r="N175" i="4"/>
  <c r="O175" i="4"/>
  <c r="P175" i="4"/>
  <c r="Q175" i="4"/>
  <c r="R175" i="4"/>
  <c r="S175" i="4"/>
  <c r="N176" i="4"/>
  <c r="O176" i="4"/>
  <c r="P176" i="4"/>
  <c r="Q176" i="4"/>
  <c r="R176" i="4"/>
  <c r="S176" i="4"/>
  <c r="N177" i="4"/>
  <c r="O177" i="4"/>
  <c r="P177" i="4"/>
  <c r="Q177" i="4"/>
  <c r="R177" i="4"/>
  <c r="S177" i="4"/>
  <c r="N178" i="4"/>
  <c r="O178" i="4"/>
  <c r="P178" i="4"/>
  <c r="Q178" i="4"/>
  <c r="R178" i="4"/>
  <c r="S178" i="4"/>
  <c r="N179" i="4"/>
  <c r="O179" i="4"/>
  <c r="P179" i="4"/>
  <c r="Q179" i="4"/>
  <c r="R179" i="4"/>
  <c r="S179" i="4"/>
  <c r="N180" i="4"/>
  <c r="O180" i="4"/>
  <c r="P180" i="4"/>
  <c r="Q180" i="4"/>
  <c r="R180" i="4"/>
  <c r="S180" i="4"/>
  <c r="N181" i="4"/>
  <c r="O181" i="4"/>
  <c r="P181" i="4"/>
  <c r="Q181" i="4"/>
  <c r="R181" i="4"/>
  <c r="S181" i="4"/>
  <c r="N182" i="4"/>
  <c r="O182" i="4"/>
  <c r="P182" i="4"/>
  <c r="Q182" i="4"/>
  <c r="R182" i="4"/>
  <c r="S182" i="4"/>
  <c r="N183" i="4"/>
  <c r="O183" i="4"/>
  <c r="P183" i="4"/>
  <c r="Q183" i="4"/>
  <c r="R183" i="4"/>
  <c r="S183" i="4"/>
  <c r="N184" i="4"/>
  <c r="O184" i="4"/>
  <c r="P184" i="4"/>
  <c r="Q184" i="4"/>
  <c r="R184" i="4"/>
  <c r="S184" i="4"/>
  <c r="N185" i="4"/>
  <c r="O185" i="4"/>
  <c r="P185" i="4"/>
  <c r="Q185" i="4"/>
  <c r="R185" i="4"/>
  <c r="S185" i="4"/>
  <c r="N186" i="4"/>
  <c r="O186" i="4"/>
  <c r="P186" i="4"/>
  <c r="Q186" i="4"/>
  <c r="R186" i="4"/>
  <c r="S186" i="4"/>
  <c r="N187" i="4"/>
  <c r="O187" i="4"/>
  <c r="P187" i="4"/>
  <c r="Q187" i="4"/>
  <c r="R187" i="4"/>
  <c r="S187" i="4"/>
  <c r="N188" i="4"/>
  <c r="O188" i="4"/>
  <c r="P188" i="4"/>
  <c r="Q188" i="4"/>
  <c r="R188" i="4"/>
  <c r="S188" i="4"/>
  <c r="N189" i="4"/>
  <c r="O189" i="4"/>
  <c r="P189" i="4"/>
  <c r="Q189" i="4"/>
  <c r="R189" i="4"/>
  <c r="S189" i="4"/>
  <c r="N190" i="4"/>
  <c r="O190" i="4"/>
  <c r="P190" i="4"/>
  <c r="Q190" i="4"/>
  <c r="R190" i="4"/>
  <c r="S190" i="4"/>
  <c r="N191" i="4"/>
  <c r="O191" i="4"/>
  <c r="P191" i="4"/>
  <c r="Q191" i="4"/>
  <c r="R191" i="4"/>
  <c r="S191" i="4"/>
  <c r="N192" i="4"/>
  <c r="O192" i="4"/>
  <c r="P192" i="4"/>
  <c r="Q192" i="4"/>
  <c r="R192" i="4"/>
  <c r="S192" i="4"/>
  <c r="N193" i="4"/>
  <c r="O193" i="4"/>
  <c r="P193" i="4"/>
  <c r="Q193" i="4"/>
  <c r="R193" i="4"/>
  <c r="S193" i="4"/>
  <c r="N194" i="4"/>
  <c r="O194" i="4"/>
  <c r="P194" i="4"/>
  <c r="Q194" i="4"/>
  <c r="R194" i="4"/>
  <c r="S194" i="4"/>
  <c r="N195" i="4"/>
  <c r="O195" i="4"/>
  <c r="P195" i="4"/>
  <c r="Q195" i="4"/>
  <c r="R195" i="4"/>
  <c r="S195" i="4"/>
  <c r="N196" i="4"/>
  <c r="O196" i="4"/>
  <c r="P196" i="4"/>
  <c r="Q196" i="4"/>
  <c r="R196" i="4"/>
  <c r="S196" i="4"/>
  <c r="N197" i="4"/>
  <c r="O197" i="4"/>
  <c r="P197" i="4"/>
  <c r="Q197" i="4"/>
  <c r="R197" i="4"/>
  <c r="S197" i="4"/>
  <c r="N198" i="4"/>
  <c r="O198" i="4"/>
  <c r="P198" i="4"/>
  <c r="Q198" i="4"/>
  <c r="R198" i="4"/>
  <c r="S198" i="4"/>
  <c r="N199" i="4"/>
  <c r="O199" i="4"/>
  <c r="P199" i="4"/>
  <c r="Q199" i="4"/>
  <c r="R199" i="4"/>
  <c r="S199" i="4"/>
  <c r="N200" i="4"/>
  <c r="O200" i="4"/>
  <c r="P200" i="4"/>
  <c r="Q200" i="4"/>
  <c r="R200" i="4"/>
  <c r="S200" i="4"/>
  <c r="N201" i="4"/>
  <c r="O201" i="4"/>
  <c r="P201" i="4"/>
  <c r="Q201" i="4"/>
  <c r="R201" i="4"/>
  <c r="S201" i="4"/>
  <c r="N202" i="4"/>
  <c r="O202" i="4"/>
  <c r="P202" i="4"/>
  <c r="Q202" i="4"/>
  <c r="R202" i="4"/>
  <c r="S202" i="4"/>
  <c r="N203" i="4"/>
  <c r="O203" i="4"/>
  <c r="P203" i="4"/>
  <c r="Q203" i="4"/>
  <c r="R203" i="4"/>
  <c r="S203" i="4"/>
  <c r="N204" i="4"/>
  <c r="O204" i="4"/>
  <c r="P204" i="4"/>
  <c r="Q204" i="4"/>
  <c r="R204" i="4"/>
  <c r="S204" i="4"/>
  <c r="N205" i="4"/>
  <c r="O205" i="4"/>
  <c r="P205" i="4"/>
  <c r="Q205" i="4"/>
  <c r="R205" i="4"/>
  <c r="S205" i="4"/>
  <c r="N206" i="4"/>
  <c r="O206" i="4"/>
  <c r="P206" i="4"/>
  <c r="Q206" i="4"/>
  <c r="R206" i="4"/>
  <c r="S206" i="4"/>
  <c r="N207" i="4"/>
  <c r="O207" i="4"/>
  <c r="P207" i="4"/>
  <c r="Q207" i="4"/>
  <c r="R207" i="4"/>
  <c r="S207" i="4"/>
  <c r="N208" i="4"/>
  <c r="O208" i="4"/>
  <c r="P208" i="4"/>
  <c r="Q208" i="4"/>
  <c r="R208" i="4"/>
  <c r="S208" i="4"/>
  <c r="N209" i="4"/>
  <c r="O209" i="4"/>
  <c r="P209" i="4"/>
  <c r="Q209" i="4"/>
  <c r="R209" i="4"/>
  <c r="S209" i="4"/>
  <c r="N210" i="4"/>
  <c r="O210" i="4"/>
  <c r="P210" i="4"/>
  <c r="Q210" i="4"/>
  <c r="R210" i="4"/>
  <c r="S210" i="4"/>
  <c r="N211" i="4"/>
  <c r="O211" i="4"/>
  <c r="P211" i="4"/>
  <c r="Q211" i="4"/>
  <c r="R211" i="4"/>
  <c r="S211" i="4"/>
  <c r="N212" i="4"/>
  <c r="O212" i="4"/>
  <c r="P212" i="4"/>
  <c r="Q212" i="4"/>
  <c r="R212" i="4"/>
  <c r="S212" i="4"/>
  <c r="N213" i="4"/>
  <c r="O213" i="4"/>
  <c r="P213" i="4"/>
  <c r="Q213" i="4"/>
  <c r="R213" i="4"/>
  <c r="S213" i="4"/>
  <c r="N214" i="4"/>
  <c r="O214" i="4"/>
  <c r="P214" i="4"/>
  <c r="Q214" i="4"/>
  <c r="R214" i="4"/>
  <c r="S214" i="4"/>
  <c r="N215" i="4"/>
  <c r="O215" i="4"/>
  <c r="P215" i="4"/>
  <c r="Q215" i="4"/>
  <c r="R215" i="4"/>
  <c r="S215" i="4"/>
  <c r="N216" i="4"/>
  <c r="O216" i="4"/>
  <c r="P216" i="4"/>
  <c r="Q216" i="4"/>
  <c r="R216" i="4"/>
  <c r="S216" i="4"/>
  <c r="N217" i="4"/>
  <c r="O217" i="4"/>
  <c r="P217" i="4"/>
  <c r="Q217" i="4"/>
  <c r="R217" i="4"/>
  <c r="S217" i="4"/>
  <c r="N218" i="4"/>
  <c r="O218" i="4"/>
  <c r="P218" i="4"/>
  <c r="Q218" i="4"/>
  <c r="R218" i="4"/>
  <c r="S218" i="4"/>
  <c r="N219" i="4"/>
  <c r="O219" i="4"/>
  <c r="P219" i="4"/>
  <c r="Q219" i="4"/>
  <c r="R219" i="4"/>
  <c r="S219" i="4"/>
  <c r="N220" i="4"/>
  <c r="O220" i="4"/>
  <c r="P220" i="4"/>
  <c r="Q220" i="4"/>
  <c r="R220" i="4"/>
  <c r="S220" i="4"/>
  <c r="N221" i="4"/>
  <c r="O221" i="4"/>
  <c r="P221" i="4"/>
  <c r="Q221" i="4"/>
  <c r="R221" i="4"/>
  <c r="S221" i="4"/>
  <c r="N222" i="4"/>
  <c r="O222" i="4"/>
  <c r="P222" i="4"/>
  <c r="Q222" i="4"/>
  <c r="R222" i="4"/>
  <c r="S222" i="4"/>
  <c r="N223" i="4"/>
  <c r="O223" i="4"/>
  <c r="P223" i="4"/>
  <c r="Q223" i="4"/>
  <c r="R223" i="4"/>
  <c r="S223" i="4"/>
  <c r="N224" i="4"/>
  <c r="O224" i="4"/>
  <c r="P224" i="4"/>
  <c r="Q224" i="4"/>
  <c r="R224" i="4"/>
  <c r="S224" i="4"/>
  <c r="N225" i="4"/>
  <c r="O225" i="4"/>
  <c r="P225" i="4"/>
  <c r="Q225" i="4"/>
  <c r="R225" i="4"/>
  <c r="S225" i="4"/>
  <c r="N226" i="4"/>
  <c r="O226" i="4"/>
  <c r="P226" i="4"/>
  <c r="Q226" i="4"/>
  <c r="R226" i="4"/>
  <c r="S226" i="4"/>
  <c r="N227" i="4"/>
  <c r="O227" i="4"/>
  <c r="P227" i="4"/>
  <c r="Q227" i="4"/>
  <c r="R227" i="4"/>
  <c r="S227" i="4"/>
  <c r="N228" i="4"/>
  <c r="O228" i="4"/>
  <c r="P228" i="4"/>
  <c r="Q228" i="4"/>
  <c r="R228" i="4"/>
  <c r="S228" i="4"/>
  <c r="N229" i="4"/>
  <c r="O229" i="4"/>
  <c r="P229" i="4"/>
  <c r="Q229" i="4"/>
  <c r="R229" i="4"/>
  <c r="S229" i="4"/>
  <c r="N230" i="4"/>
  <c r="O230" i="4"/>
  <c r="P230" i="4"/>
  <c r="Q230" i="4"/>
  <c r="R230" i="4"/>
  <c r="S230" i="4"/>
  <c r="N231" i="4"/>
  <c r="O231" i="4"/>
  <c r="P231" i="4"/>
  <c r="Q231" i="4"/>
  <c r="R231" i="4"/>
  <c r="S231" i="4"/>
  <c r="N232" i="4"/>
  <c r="O232" i="4"/>
  <c r="P232" i="4"/>
  <c r="Q232" i="4"/>
  <c r="R232" i="4"/>
  <c r="S232" i="4"/>
  <c r="N233" i="4"/>
  <c r="O233" i="4"/>
  <c r="P233" i="4"/>
  <c r="Q233" i="4"/>
  <c r="R233" i="4"/>
  <c r="S233" i="4"/>
  <c r="N234" i="4"/>
  <c r="O234" i="4"/>
  <c r="P234" i="4"/>
  <c r="Q234" i="4"/>
  <c r="R234" i="4"/>
  <c r="S234" i="4"/>
  <c r="N235" i="4"/>
  <c r="O235" i="4"/>
  <c r="P235" i="4"/>
  <c r="Q235" i="4"/>
  <c r="R235" i="4"/>
  <c r="S235" i="4"/>
  <c r="N236" i="4"/>
  <c r="O236" i="4"/>
  <c r="P236" i="4"/>
  <c r="Q236" i="4"/>
  <c r="R236" i="4"/>
  <c r="S236" i="4"/>
  <c r="N237" i="4"/>
  <c r="O237" i="4"/>
  <c r="P237" i="4"/>
  <c r="Q237" i="4"/>
  <c r="R237" i="4"/>
  <c r="S237" i="4"/>
  <c r="N238" i="4"/>
  <c r="O238" i="4"/>
  <c r="P238" i="4"/>
  <c r="Q238" i="4"/>
  <c r="R238" i="4"/>
  <c r="S238" i="4"/>
  <c r="N239" i="4"/>
  <c r="O239" i="4"/>
  <c r="P239" i="4"/>
  <c r="Q239" i="4"/>
  <c r="R239" i="4"/>
  <c r="S239" i="4"/>
  <c r="N240" i="4"/>
  <c r="O240" i="4"/>
  <c r="P240" i="4"/>
  <c r="Q240" i="4"/>
  <c r="R240" i="4"/>
  <c r="S240" i="4"/>
  <c r="N241" i="4"/>
  <c r="O241" i="4"/>
  <c r="P241" i="4"/>
  <c r="Q241" i="4"/>
  <c r="R241" i="4"/>
  <c r="S241" i="4"/>
  <c r="N242" i="4"/>
  <c r="O242" i="4"/>
  <c r="P242" i="4"/>
  <c r="Q242" i="4"/>
  <c r="R242" i="4"/>
  <c r="S242" i="4"/>
  <c r="N243" i="4"/>
  <c r="O243" i="4"/>
  <c r="P243" i="4"/>
  <c r="Q243" i="4"/>
  <c r="R243" i="4"/>
  <c r="S243" i="4"/>
  <c r="N244" i="4"/>
  <c r="O244" i="4"/>
  <c r="P244" i="4"/>
  <c r="Q244" i="4"/>
  <c r="R244" i="4"/>
  <c r="S244" i="4"/>
  <c r="N245" i="4"/>
  <c r="O245" i="4"/>
  <c r="P245" i="4"/>
  <c r="Q245" i="4"/>
  <c r="R245" i="4"/>
  <c r="S245" i="4"/>
  <c r="N246" i="4"/>
  <c r="O246" i="4"/>
  <c r="P246" i="4"/>
  <c r="Q246" i="4"/>
  <c r="R246" i="4"/>
  <c r="S246" i="4"/>
  <c r="N247" i="4"/>
  <c r="O247" i="4"/>
  <c r="P247" i="4"/>
  <c r="Q247" i="4"/>
  <c r="R247" i="4"/>
  <c r="S247" i="4"/>
  <c r="N248" i="4"/>
  <c r="O248" i="4"/>
  <c r="P248" i="4"/>
  <c r="Q248" i="4"/>
  <c r="R248" i="4"/>
  <c r="S248" i="4"/>
  <c r="N249" i="4"/>
  <c r="O249" i="4"/>
  <c r="P249" i="4"/>
  <c r="Q249" i="4"/>
  <c r="R249" i="4"/>
  <c r="S249" i="4"/>
  <c r="N250" i="4"/>
  <c r="O250" i="4"/>
  <c r="P250" i="4"/>
  <c r="Q250" i="4"/>
  <c r="R250" i="4"/>
  <c r="S250" i="4"/>
  <c r="N251" i="4"/>
  <c r="O251" i="4"/>
  <c r="P251" i="4"/>
  <c r="Q251" i="4"/>
  <c r="R251" i="4"/>
  <c r="S251" i="4"/>
  <c r="N252" i="4"/>
  <c r="O252" i="4"/>
  <c r="P252" i="4"/>
  <c r="Q252" i="4"/>
  <c r="R252" i="4"/>
  <c r="S252" i="4"/>
  <c r="N253" i="4"/>
  <c r="O253" i="4"/>
  <c r="P253" i="4"/>
  <c r="Q253" i="4"/>
  <c r="R253" i="4"/>
  <c r="S253" i="4"/>
  <c r="N254" i="4"/>
  <c r="O254" i="4"/>
  <c r="P254" i="4"/>
  <c r="Q254" i="4"/>
  <c r="R254" i="4"/>
  <c r="S254" i="4"/>
  <c r="N255" i="4"/>
  <c r="O255" i="4"/>
  <c r="P255" i="4"/>
  <c r="Q255" i="4"/>
  <c r="R255" i="4"/>
  <c r="S255" i="4"/>
  <c r="N256" i="4"/>
  <c r="O256" i="4"/>
  <c r="P256" i="4"/>
  <c r="Q256" i="4"/>
  <c r="R256" i="4"/>
  <c r="S256" i="4"/>
  <c r="N257" i="4"/>
  <c r="O257" i="4"/>
  <c r="P257" i="4"/>
  <c r="Q257" i="4"/>
  <c r="R257" i="4"/>
  <c r="S257" i="4"/>
  <c r="N258" i="4"/>
  <c r="O258" i="4"/>
  <c r="P258" i="4"/>
  <c r="Q258" i="4"/>
  <c r="R258" i="4"/>
  <c r="S258" i="4"/>
  <c r="N259" i="4"/>
  <c r="O259" i="4"/>
  <c r="P259" i="4"/>
  <c r="Q259" i="4"/>
  <c r="R259" i="4"/>
  <c r="S259" i="4"/>
  <c r="N260" i="4"/>
  <c r="O260" i="4"/>
  <c r="P260" i="4"/>
  <c r="Q260" i="4"/>
  <c r="R260" i="4"/>
  <c r="S260" i="4"/>
  <c r="N261" i="4"/>
  <c r="O261" i="4"/>
  <c r="P261" i="4"/>
  <c r="Q261" i="4"/>
  <c r="R261" i="4"/>
  <c r="S261" i="4"/>
  <c r="N262" i="4"/>
  <c r="O262" i="4"/>
  <c r="P262" i="4"/>
  <c r="Q262" i="4"/>
  <c r="R262" i="4"/>
  <c r="S262" i="4"/>
  <c r="N263" i="4"/>
  <c r="O263" i="4"/>
  <c r="P263" i="4"/>
  <c r="Q263" i="4"/>
  <c r="R263" i="4"/>
  <c r="S263" i="4"/>
  <c r="N264" i="4"/>
  <c r="O264" i="4"/>
  <c r="P264" i="4"/>
  <c r="Q264" i="4"/>
  <c r="R264" i="4"/>
  <c r="S264" i="4"/>
  <c r="N265" i="4"/>
  <c r="O265" i="4"/>
  <c r="P265" i="4"/>
  <c r="Q265" i="4"/>
  <c r="R265" i="4"/>
  <c r="S265" i="4"/>
  <c r="N266" i="4"/>
  <c r="O266" i="4"/>
  <c r="P266" i="4"/>
  <c r="Q266" i="4"/>
  <c r="R266" i="4"/>
  <c r="S266" i="4"/>
  <c r="N267" i="4"/>
  <c r="O267" i="4"/>
  <c r="P267" i="4"/>
  <c r="Q267" i="4"/>
  <c r="R267" i="4"/>
  <c r="S267" i="4"/>
  <c r="N268" i="4"/>
  <c r="O268" i="4"/>
  <c r="P268" i="4"/>
  <c r="Q268" i="4"/>
  <c r="R268" i="4"/>
  <c r="S268" i="4"/>
  <c r="N269" i="4"/>
  <c r="O269" i="4"/>
  <c r="P269" i="4"/>
  <c r="Q269" i="4"/>
  <c r="R269" i="4"/>
  <c r="S269" i="4"/>
  <c r="N270" i="4"/>
  <c r="O270" i="4"/>
  <c r="P270" i="4"/>
  <c r="Q270" i="4"/>
  <c r="R270" i="4"/>
  <c r="S270" i="4"/>
  <c r="N271" i="4"/>
  <c r="O271" i="4"/>
  <c r="P271" i="4"/>
  <c r="Q271" i="4"/>
  <c r="R271" i="4"/>
  <c r="S271" i="4"/>
  <c r="N272" i="4"/>
  <c r="O272" i="4"/>
  <c r="P272" i="4"/>
  <c r="Q272" i="4"/>
  <c r="R272" i="4"/>
  <c r="S272" i="4"/>
  <c r="N273" i="4"/>
  <c r="O273" i="4"/>
  <c r="P273" i="4"/>
  <c r="Q273" i="4"/>
  <c r="R273" i="4"/>
  <c r="S273" i="4"/>
  <c r="N274" i="4"/>
  <c r="O274" i="4"/>
  <c r="P274" i="4"/>
  <c r="Q274" i="4"/>
  <c r="R274" i="4"/>
  <c r="S274" i="4"/>
  <c r="N275" i="4"/>
  <c r="O275" i="4"/>
  <c r="P275" i="4"/>
  <c r="Q275" i="4"/>
  <c r="R275" i="4"/>
  <c r="S275" i="4"/>
  <c r="N276" i="4"/>
  <c r="O276" i="4"/>
  <c r="P276" i="4"/>
  <c r="Q276" i="4"/>
  <c r="R276" i="4"/>
  <c r="S276" i="4"/>
  <c r="N277" i="4"/>
  <c r="O277" i="4"/>
  <c r="P277" i="4"/>
  <c r="Q277" i="4"/>
  <c r="R277" i="4"/>
  <c r="S277" i="4"/>
  <c r="N278" i="4"/>
  <c r="O278" i="4"/>
  <c r="P278" i="4"/>
  <c r="Q278" i="4"/>
  <c r="R278" i="4"/>
  <c r="S278" i="4"/>
  <c r="N279" i="4"/>
  <c r="O279" i="4"/>
  <c r="P279" i="4"/>
  <c r="Q279" i="4"/>
  <c r="R279" i="4"/>
  <c r="S279" i="4"/>
  <c r="N280" i="4"/>
  <c r="O280" i="4"/>
  <c r="P280" i="4"/>
  <c r="Q280" i="4"/>
  <c r="R280" i="4"/>
  <c r="S280" i="4"/>
  <c r="N281" i="4"/>
  <c r="O281" i="4"/>
  <c r="P281" i="4"/>
  <c r="Q281" i="4"/>
  <c r="R281" i="4"/>
  <c r="S281" i="4"/>
  <c r="N282" i="4"/>
  <c r="O282" i="4"/>
  <c r="P282" i="4"/>
  <c r="Q282" i="4"/>
  <c r="R282" i="4"/>
  <c r="S282" i="4"/>
  <c r="N283" i="4"/>
  <c r="O283" i="4"/>
  <c r="P283" i="4"/>
  <c r="Q283" i="4"/>
  <c r="R283" i="4"/>
  <c r="S283" i="4"/>
  <c r="N284" i="4"/>
  <c r="O284" i="4"/>
  <c r="P284" i="4"/>
  <c r="Q284" i="4"/>
  <c r="R284" i="4"/>
  <c r="S284" i="4"/>
  <c r="N285" i="4"/>
  <c r="O285" i="4"/>
  <c r="P285" i="4"/>
  <c r="Q285" i="4"/>
  <c r="R285" i="4"/>
  <c r="S285" i="4"/>
  <c r="N286" i="4"/>
  <c r="O286" i="4"/>
  <c r="P286" i="4"/>
  <c r="Q286" i="4"/>
  <c r="R286" i="4"/>
  <c r="S286" i="4"/>
  <c r="N287" i="4"/>
  <c r="O287" i="4"/>
  <c r="P287" i="4"/>
  <c r="Q287" i="4"/>
  <c r="R287" i="4"/>
  <c r="S287" i="4"/>
  <c r="N288" i="4"/>
  <c r="O288" i="4"/>
  <c r="P288" i="4"/>
  <c r="Q288" i="4"/>
  <c r="R288" i="4"/>
  <c r="S288" i="4"/>
  <c r="N289" i="4"/>
  <c r="O289" i="4"/>
  <c r="P289" i="4"/>
  <c r="Q289" i="4"/>
  <c r="R289" i="4"/>
  <c r="S289" i="4"/>
  <c r="N290" i="4"/>
  <c r="O290" i="4"/>
  <c r="P290" i="4"/>
  <c r="Q290" i="4"/>
  <c r="R290" i="4"/>
  <c r="S290" i="4"/>
  <c r="N291" i="4"/>
  <c r="O291" i="4"/>
  <c r="P291" i="4"/>
  <c r="Q291" i="4"/>
  <c r="R291" i="4"/>
  <c r="S291" i="4"/>
  <c r="N292" i="4"/>
  <c r="O292" i="4"/>
  <c r="P292" i="4"/>
  <c r="Q292" i="4"/>
  <c r="R292" i="4"/>
  <c r="S292" i="4"/>
  <c r="N293" i="4"/>
  <c r="O293" i="4"/>
  <c r="P293" i="4"/>
  <c r="Q293" i="4"/>
  <c r="R293" i="4"/>
  <c r="S293" i="4"/>
  <c r="N294" i="4"/>
  <c r="O294" i="4"/>
  <c r="P294" i="4"/>
  <c r="Q294" i="4"/>
  <c r="R294" i="4"/>
  <c r="S294" i="4"/>
  <c r="N295" i="4"/>
  <c r="O295" i="4"/>
  <c r="P295" i="4"/>
  <c r="Q295" i="4"/>
  <c r="R295" i="4"/>
  <c r="S295" i="4"/>
  <c r="N296" i="4"/>
  <c r="O296" i="4"/>
  <c r="P296" i="4"/>
  <c r="Q296" i="4"/>
  <c r="R296" i="4"/>
  <c r="S296" i="4"/>
  <c r="N297" i="4"/>
  <c r="O297" i="4"/>
  <c r="P297" i="4"/>
  <c r="Q297" i="4"/>
  <c r="R297" i="4"/>
  <c r="S297" i="4"/>
  <c r="N298" i="4"/>
  <c r="O298" i="4"/>
  <c r="P298" i="4"/>
  <c r="Q298" i="4"/>
  <c r="R298" i="4"/>
  <c r="S298" i="4"/>
  <c r="N299" i="4"/>
  <c r="O299" i="4"/>
  <c r="P299" i="4"/>
  <c r="Q299" i="4"/>
  <c r="R299" i="4"/>
  <c r="S299" i="4"/>
  <c r="N300" i="4"/>
  <c r="O300" i="4"/>
  <c r="P300" i="4"/>
  <c r="Q300" i="4"/>
  <c r="R300" i="4"/>
  <c r="S300" i="4"/>
  <c r="N301" i="4"/>
  <c r="O301" i="4"/>
  <c r="P301" i="4"/>
  <c r="Q301" i="4"/>
  <c r="R301" i="4"/>
  <c r="S301" i="4"/>
  <c r="N302" i="4"/>
  <c r="O302" i="4"/>
  <c r="P302" i="4"/>
  <c r="Q302" i="4"/>
  <c r="R302" i="4"/>
  <c r="S302" i="4"/>
  <c r="N303" i="4"/>
  <c r="O303" i="4"/>
  <c r="P303" i="4"/>
  <c r="Q303" i="4"/>
  <c r="R303" i="4"/>
  <c r="S303" i="4"/>
  <c r="N304" i="4"/>
  <c r="O304" i="4"/>
  <c r="P304" i="4"/>
  <c r="Q304" i="4"/>
  <c r="R304" i="4"/>
  <c r="S304" i="4"/>
  <c r="N305" i="4"/>
  <c r="O305" i="4"/>
  <c r="P305" i="4"/>
  <c r="Q305" i="4"/>
  <c r="R305" i="4"/>
  <c r="S305" i="4"/>
  <c r="N306" i="4"/>
  <c r="O306" i="4"/>
  <c r="P306" i="4"/>
  <c r="Q306" i="4"/>
  <c r="R306" i="4"/>
  <c r="S306" i="4"/>
  <c r="N307" i="4"/>
  <c r="O307" i="4"/>
  <c r="P307" i="4"/>
  <c r="Q307" i="4"/>
  <c r="R307" i="4"/>
  <c r="S307" i="4"/>
  <c r="N308" i="4"/>
  <c r="O308" i="4"/>
  <c r="P308" i="4"/>
  <c r="Q308" i="4"/>
  <c r="R308" i="4"/>
  <c r="S308" i="4"/>
  <c r="N309" i="4"/>
  <c r="O309" i="4"/>
  <c r="P309" i="4"/>
  <c r="Q309" i="4"/>
  <c r="R309" i="4"/>
  <c r="S309" i="4"/>
  <c r="N310" i="4"/>
  <c r="O310" i="4"/>
  <c r="P310" i="4"/>
  <c r="Q310" i="4"/>
  <c r="R310" i="4"/>
  <c r="S310" i="4"/>
  <c r="N311" i="4"/>
  <c r="O311" i="4"/>
  <c r="P311" i="4"/>
  <c r="Q311" i="4"/>
  <c r="R311" i="4"/>
  <c r="S311" i="4"/>
  <c r="N312" i="4"/>
  <c r="O312" i="4"/>
  <c r="P312" i="4"/>
  <c r="Q312" i="4"/>
  <c r="R312" i="4"/>
  <c r="S312" i="4"/>
  <c r="N313" i="4"/>
  <c r="O313" i="4"/>
  <c r="P313" i="4"/>
  <c r="Q313" i="4"/>
  <c r="R313" i="4"/>
  <c r="S313" i="4"/>
  <c r="N314" i="4"/>
  <c r="O314" i="4"/>
  <c r="P314" i="4"/>
  <c r="Q314" i="4"/>
  <c r="R314" i="4"/>
  <c r="S314" i="4"/>
  <c r="N315" i="4"/>
  <c r="O315" i="4"/>
  <c r="P315" i="4"/>
  <c r="Q315" i="4"/>
  <c r="R315" i="4"/>
  <c r="S315" i="4"/>
  <c r="N316" i="4"/>
  <c r="O316" i="4"/>
  <c r="P316" i="4"/>
  <c r="Q316" i="4"/>
  <c r="R316" i="4"/>
  <c r="S316" i="4"/>
  <c r="N317" i="4"/>
  <c r="O317" i="4"/>
  <c r="P317" i="4"/>
  <c r="Q317" i="4"/>
  <c r="R317" i="4"/>
  <c r="S317" i="4"/>
  <c r="N318" i="4"/>
  <c r="O318" i="4"/>
  <c r="P318" i="4"/>
  <c r="Q318" i="4"/>
  <c r="R318" i="4"/>
  <c r="S318" i="4"/>
  <c r="N319" i="4"/>
  <c r="O319" i="4"/>
  <c r="P319" i="4"/>
  <c r="Q319" i="4"/>
  <c r="R319" i="4"/>
  <c r="S319" i="4"/>
  <c r="N320" i="4"/>
  <c r="O320" i="4"/>
  <c r="P320" i="4"/>
  <c r="Q320" i="4"/>
  <c r="R320" i="4"/>
  <c r="S320" i="4"/>
  <c r="N321" i="4"/>
  <c r="O321" i="4"/>
  <c r="P321" i="4"/>
  <c r="Q321" i="4"/>
  <c r="R321" i="4"/>
  <c r="S321" i="4"/>
  <c r="N322" i="4"/>
  <c r="O322" i="4"/>
  <c r="P322" i="4"/>
  <c r="Q322" i="4"/>
  <c r="R322" i="4"/>
  <c r="S322" i="4"/>
  <c r="N323" i="4"/>
  <c r="O323" i="4"/>
  <c r="P323" i="4"/>
  <c r="Q323" i="4"/>
  <c r="R323" i="4"/>
  <c r="S323" i="4"/>
  <c r="N324" i="4"/>
  <c r="O324" i="4"/>
  <c r="P324" i="4"/>
  <c r="Q324" i="4"/>
  <c r="R324" i="4"/>
  <c r="S324" i="4"/>
  <c r="N325" i="4"/>
  <c r="O325" i="4"/>
  <c r="P325" i="4"/>
  <c r="Q325" i="4"/>
  <c r="R325" i="4"/>
  <c r="S325" i="4"/>
  <c r="N326" i="4"/>
  <c r="O326" i="4"/>
  <c r="P326" i="4"/>
  <c r="Q326" i="4"/>
  <c r="R326" i="4"/>
  <c r="S326" i="4"/>
  <c r="N327" i="4"/>
  <c r="O327" i="4"/>
  <c r="P327" i="4"/>
  <c r="Q327" i="4"/>
  <c r="R327" i="4"/>
  <c r="S327" i="4"/>
  <c r="N328" i="4"/>
  <c r="O328" i="4"/>
  <c r="P328" i="4"/>
  <c r="Q328" i="4"/>
  <c r="R328" i="4"/>
  <c r="S328" i="4"/>
  <c r="N329" i="4"/>
  <c r="O329" i="4"/>
  <c r="P329" i="4"/>
  <c r="Q329" i="4"/>
  <c r="R329" i="4"/>
  <c r="S329" i="4"/>
  <c r="N330" i="4"/>
  <c r="O330" i="4"/>
  <c r="P330" i="4"/>
  <c r="Q330" i="4"/>
  <c r="R330" i="4"/>
  <c r="S330" i="4"/>
  <c r="N331" i="4"/>
  <c r="O331" i="4"/>
  <c r="P331" i="4"/>
  <c r="Q331" i="4"/>
  <c r="R331" i="4"/>
  <c r="S331" i="4"/>
  <c r="N332" i="4"/>
  <c r="O332" i="4"/>
  <c r="P332" i="4"/>
  <c r="Q332" i="4"/>
  <c r="R332" i="4"/>
  <c r="S332" i="4"/>
  <c r="N333" i="4"/>
  <c r="O333" i="4"/>
  <c r="P333" i="4"/>
  <c r="Q333" i="4"/>
  <c r="R333" i="4"/>
  <c r="S333" i="4"/>
  <c r="N334" i="4"/>
  <c r="O334" i="4"/>
  <c r="P334" i="4"/>
  <c r="Q334" i="4"/>
  <c r="R334" i="4"/>
  <c r="S334" i="4"/>
  <c r="N335" i="4"/>
  <c r="O335" i="4"/>
  <c r="P335" i="4"/>
  <c r="Q335" i="4"/>
  <c r="R335" i="4"/>
  <c r="S335" i="4"/>
  <c r="N336" i="4"/>
  <c r="O336" i="4"/>
  <c r="P336" i="4"/>
  <c r="Q336" i="4"/>
  <c r="R336" i="4"/>
  <c r="S336" i="4"/>
  <c r="N337" i="4"/>
  <c r="O337" i="4"/>
  <c r="P337" i="4"/>
  <c r="Q337" i="4"/>
  <c r="R337" i="4"/>
  <c r="S337" i="4"/>
  <c r="N338" i="4"/>
  <c r="O338" i="4"/>
  <c r="P338" i="4"/>
  <c r="Q338" i="4"/>
  <c r="R338" i="4"/>
  <c r="S338" i="4"/>
  <c r="N339" i="4"/>
  <c r="O339" i="4"/>
  <c r="P339" i="4"/>
  <c r="Q339" i="4"/>
  <c r="R339" i="4"/>
  <c r="S339" i="4"/>
  <c r="N340" i="4"/>
  <c r="O340" i="4"/>
  <c r="P340" i="4"/>
  <c r="Q340" i="4"/>
  <c r="R340" i="4"/>
  <c r="S340" i="4"/>
  <c r="N341" i="4"/>
  <c r="O341" i="4"/>
  <c r="P341" i="4"/>
  <c r="Q341" i="4"/>
  <c r="R341" i="4"/>
  <c r="S341" i="4"/>
  <c r="N342" i="4"/>
  <c r="O342" i="4"/>
  <c r="P342" i="4"/>
  <c r="Q342" i="4"/>
  <c r="R342" i="4"/>
  <c r="S342" i="4"/>
  <c r="N343" i="4"/>
  <c r="O343" i="4"/>
  <c r="P343" i="4"/>
  <c r="Q343" i="4"/>
  <c r="R343" i="4"/>
  <c r="S343" i="4"/>
  <c r="N344" i="4"/>
  <c r="O344" i="4"/>
  <c r="P344" i="4"/>
  <c r="Q344" i="4"/>
  <c r="R344" i="4"/>
  <c r="S344" i="4"/>
  <c r="N345" i="4"/>
  <c r="O345" i="4"/>
  <c r="P345" i="4"/>
  <c r="Q345" i="4"/>
  <c r="R345" i="4"/>
  <c r="S345" i="4"/>
  <c r="N346" i="4"/>
  <c r="O346" i="4"/>
  <c r="P346" i="4"/>
  <c r="Q346" i="4"/>
  <c r="R346" i="4"/>
  <c r="S346" i="4"/>
  <c r="N347" i="4"/>
  <c r="O347" i="4"/>
  <c r="P347" i="4"/>
  <c r="Q347" i="4"/>
  <c r="R347" i="4"/>
  <c r="S347" i="4"/>
  <c r="N348" i="4"/>
  <c r="O348" i="4"/>
  <c r="P348" i="4"/>
  <c r="Q348" i="4"/>
  <c r="R348" i="4"/>
  <c r="S348" i="4"/>
  <c r="N349" i="4"/>
  <c r="O349" i="4"/>
  <c r="P349" i="4"/>
  <c r="Q349" i="4"/>
  <c r="R349" i="4"/>
  <c r="S349" i="4"/>
  <c r="N350" i="4"/>
  <c r="O350" i="4"/>
  <c r="P350" i="4"/>
  <c r="Q350" i="4"/>
  <c r="R350" i="4"/>
  <c r="S350" i="4"/>
  <c r="N351" i="4"/>
  <c r="O351" i="4"/>
  <c r="P351" i="4"/>
  <c r="Q351" i="4"/>
  <c r="R351" i="4"/>
  <c r="S351" i="4"/>
  <c r="N352" i="4"/>
  <c r="O352" i="4"/>
  <c r="P352" i="4"/>
  <c r="Q352" i="4"/>
  <c r="R352" i="4"/>
  <c r="S352" i="4"/>
  <c r="N353" i="4"/>
  <c r="O353" i="4"/>
  <c r="P353" i="4"/>
  <c r="Q353" i="4"/>
  <c r="R353" i="4"/>
  <c r="S353" i="4"/>
  <c r="N354" i="4"/>
  <c r="O354" i="4"/>
  <c r="P354" i="4"/>
  <c r="Q354" i="4"/>
  <c r="R354" i="4"/>
  <c r="S354" i="4"/>
  <c r="N355" i="4"/>
  <c r="O355" i="4"/>
  <c r="P355" i="4"/>
  <c r="Q355" i="4"/>
  <c r="R355" i="4"/>
  <c r="S355" i="4"/>
  <c r="N356" i="4"/>
  <c r="O356" i="4"/>
  <c r="P356" i="4"/>
  <c r="Q356" i="4"/>
  <c r="R356" i="4"/>
  <c r="S356" i="4"/>
  <c r="N357" i="4"/>
  <c r="O357" i="4"/>
  <c r="P357" i="4"/>
  <c r="Q357" i="4"/>
  <c r="R357" i="4"/>
  <c r="S357" i="4"/>
  <c r="N358" i="4"/>
  <c r="O358" i="4"/>
  <c r="P358" i="4"/>
  <c r="Q358" i="4"/>
  <c r="R358" i="4"/>
  <c r="S358" i="4"/>
  <c r="N359" i="4"/>
  <c r="O359" i="4"/>
  <c r="P359" i="4"/>
  <c r="Q359" i="4"/>
  <c r="R359" i="4"/>
  <c r="S359" i="4"/>
  <c r="N360" i="4"/>
  <c r="O360" i="4"/>
  <c r="P360" i="4"/>
  <c r="Q360" i="4"/>
  <c r="R360" i="4"/>
  <c r="S360" i="4"/>
  <c r="N361" i="4"/>
  <c r="O361" i="4"/>
  <c r="P361" i="4"/>
  <c r="Q361" i="4"/>
  <c r="R361" i="4"/>
  <c r="S361" i="4"/>
  <c r="N362" i="4"/>
  <c r="O362" i="4"/>
  <c r="P362" i="4"/>
  <c r="Q362" i="4"/>
  <c r="R362" i="4"/>
  <c r="S362" i="4"/>
  <c r="N363" i="4"/>
  <c r="O363" i="4"/>
  <c r="P363" i="4"/>
  <c r="Q363" i="4"/>
  <c r="R363" i="4"/>
  <c r="S363" i="4"/>
  <c r="N364" i="4"/>
  <c r="O364" i="4"/>
  <c r="P364" i="4"/>
  <c r="Q364" i="4"/>
  <c r="R364" i="4"/>
  <c r="S364" i="4"/>
  <c r="N365" i="4"/>
  <c r="O365" i="4"/>
  <c r="P365" i="4"/>
  <c r="Q365" i="4"/>
  <c r="R365" i="4"/>
  <c r="S365" i="4"/>
  <c r="N366" i="4"/>
  <c r="O366" i="4"/>
  <c r="P366" i="4"/>
  <c r="Q366" i="4"/>
  <c r="R366" i="4"/>
  <c r="S366" i="4"/>
  <c r="N367" i="4"/>
  <c r="O367" i="4"/>
  <c r="P367" i="4"/>
  <c r="Q367" i="4"/>
  <c r="R367" i="4"/>
  <c r="S367" i="4"/>
  <c r="N368" i="4"/>
  <c r="O368" i="4"/>
  <c r="P368" i="4"/>
  <c r="Q368" i="4"/>
  <c r="R368" i="4"/>
  <c r="S368" i="4"/>
  <c r="N369" i="4"/>
  <c r="O369" i="4"/>
  <c r="P369" i="4"/>
  <c r="Q369" i="4"/>
  <c r="R369" i="4"/>
  <c r="S369" i="4"/>
  <c r="N370" i="4"/>
  <c r="O370" i="4"/>
  <c r="P370" i="4"/>
  <c r="Q370" i="4"/>
  <c r="R370" i="4"/>
  <c r="S370" i="4"/>
  <c r="N371" i="4"/>
  <c r="O371" i="4"/>
  <c r="P371" i="4"/>
  <c r="Q371" i="4"/>
  <c r="R371" i="4"/>
  <c r="S371" i="4"/>
  <c r="N372" i="4"/>
  <c r="O372" i="4"/>
  <c r="P372" i="4"/>
  <c r="Q372" i="4"/>
  <c r="R372" i="4"/>
  <c r="S372" i="4"/>
  <c r="N373" i="4"/>
  <c r="O373" i="4"/>
  <c r="P373" i="4"/>
  <c r="Q373" i="4"/>
  <c r="R373" i="4"/>
  <c r="S373" i="4"/>
  <c r="N374" i="4"/>
  <c r="O374" i="4"/>
  <c r="P374" i="4"/>
  <c r="Q374" i="4"/>
  <c r="R374" i="4"/>
  <c r="S374" i="4"/>
  <c r="N375" i="4"/>
  <c r="O375" i="4"/>
  <c r="P375" i="4"/>
  <c r="Q375" i="4"/>
  <c r="R375" i="4"/>
  <c r="S375" i="4"/>
  <c r="N376" i="4"/>
  <c r="O376" i="4"/>
  <c r="P376" i="4"/>
  <c r="Q376" i="4"/>
  <c r="R376" i="4"/>
  <c r="S376" i="4"/>
  <c r="N377" i="4"/>
  <c r="O377" i="4"/>
  <c r="P377" i="4"/>
  <c r="Q377" i="4"/>
  <c r="R377" i="4"/>
  <c r="S377" i="4"/>
  <c r="N378" i="4"/>
  <c r="O378" i="4"/>
  <c r="P378" i="4"/>
  <c r="Q378" i="4"/>
  <c r="R378" i="4"/>
  <c r="S378" i="4"/>
  <c r="N379" i="4"/>
  <c r="O379" i="4"/>
  <c r="P379" i="4"/>
  <c r="Q379" i="4"/>
  <c r="R379" i="4"/>
  <c r="S379" i="4"/>
  <c r="N380" i="4"/>
  <c r="O380" i="4"/>
  <c r="P380" i="4"/>
  <c r="Q380" i="4"/>
  <c r="R380" i="4"/>
  <c r="S380" i="4"/>
  <c r="N381" i="4"/>
  <c r="O381" i="4"/>
  <c r="P381" i="4"/>
  <c r="Q381" i="4"/>
  <c r="R381" i="4"/>
  <c r="S381" i="4"/>
  <c r="N382" i="4"/>
  <c r="O382" i="4"/>
  <c r="P382" i="4"/>
  <c r="Q382" i="4"/>
  <c r="R382" i="4"/>
  <c r="S382" i="4"/>
  <c r="N383" i="4"/>
  <c r="O383" i="4"/>
  <c r="P383" i="4"/>
  <c r="Q383" i="4"/>
  <c r="R383" i="4"/>
  <c r="S383" i="4"/>
  <c r="N384" i="4"/>
  <c r="O384" i="4"/>
  <c r="P384" i="4"/>
  <c r="Q384" i="4"/>
  <c r="R384" i="4"/>
  <c r="S384" i="4"/>
  <c r="N385" i="4"/>
  <c r="O385" i="4"/>
  <c r="P385" i="4"/>
  <c r="Q385" i="4"/>
  <c r="R385" i="4"/>
  <c r="S385" i="4"/>
  <c r="N386" i="4"/>
  <c r="O386" i="4"/>
  <c r="P386" i="4"/>
  <c r="Q386" i="4"/>
  <c r="R386" i="4"/>
  <c r="S386" i="4"/>
  <c r="N387" i="4"/>
  <c r="O387" i="4"/>
  <c r="P387" i="4"/>
  <c r="Q387" i="4"/>
  <c r="R387" i="4"/>
  <c r="S387" i="4"/>
  <c r="N388" i="4"/>
  <c r="O388" i="4"/>
  <c r="P388" i="4"/>
  <c r="Q388" i="4"/>
  <c r="R388" i="4"/>
  <c r="S388" i="4"/>
  <c r="N389" i="4"/>
  <c r="O389" i="4"/>
  <c r="P389" i="4"/>
  <c r="Q389" i="4"/>
  <c r="R389" i="4"/>
  <c r="S389" i="4"/>
  <c r="N390" i="4"/>
  <c r="O390" i="4"/>
  <c r="P390" i="4"/>
  <c r="Q390" i="4"/>
  <c r="R390" i="4"/>
  <c r="S390" i="4"/>
  <c r="N391" i="4"/>
  <c r="O391" i="4"/>
  <c r="P391" i="4"/>
  <c r="Q391" i="4"/>
  <c r="R391" i="4"/>
  <c r="S391" i="4"/>
  <c r="N392" i="4"/>
  <c r="O392" i="4"/>
  <c r="P392" i="4"/>
  <c r="Q392" i="4"/>
  <c r="R392" i="4"/>
  <c r="S392" i="4"/>
  <c r="N393" i="4"/>
  <c r="O393" i="4"/>
  <c r="P393" i="4"/>
  <c r="Q393" i="4"/>
  <c r="R393" i="4"/>
  <c r="S393" i="4"/>
  <c r="N394" i="4"/>
  <c r="O394" i="4"/>
  <c r="P394" i="4"/>
  <c r="Q394" i="4"/>
  <c r="R394" i="4"/>
  <c r="S394" i="4"/>
  <c r="N395" i="4"/>
  <c r="O395" i="4"/>
  <c r="P395" i="4"/>
  <c r="Q395" i="4"/>
  <c r="R395" i="4"/>
  <c r="S395" i="4"/>
  <c r="N396" i="4"/>
  <c r="O396" i="4"/>
  <c r="P396" i="4"/>
  <c r="Q396" i="4"/>
  <c r="R396" i="4"/>
  <c r="S396" i="4"/>
  <c r="N397" i="4"/>
  <c r="O397" i="4"/>
  <c r="P397" i="4"/>
  <c r="Q397" i="4"/>
  <c r="R397" i="4"/>
  <c r="S397" i="4"/>
  <c r="N398" i="4"/>
  <c r="O398" i="4"/>
  <c r="P398" i="4"/>
  <c r="Q398" i="4"/>
  <c r="R398" i="4"/>
  <c r="S398" i="4"/>
  <c r="N399" i="4"/>
  <c r="O399" i="4"/>
  <c r="P399" i="4"/>
  <c r="Q399" i="4"/>
  <c r="R399" i="4"/>
  <c r="S399" i="4"/>
  <c r="N400" i="4"/>
  <c r="O400" i="4"/>
  <c r="P400" i="4"/>
  <c r="Q400" i="4"/>
  <c r="R400" i="4"/>
  <c r="S400" i="4"/>
  <c r="N401" i="4"/>
  <c r="O401" i="4"/>
  <c r="P401" i="4"/>
  <c r="Q401" i="4"/>
  <c r="R401" i="4"/>
  <c r="S401" i="4"/>
  <c r="N402" i="4"/>
  <c r="O402" i="4"/>
  <c r="P402" i="4"/>
  <c r="Q402" i="4"/>
  <c r="R402" i="4"/>
  <c r="S402" i="4"/>
  <c r="N403" i="4"/>
  <c r="O403" i="4"/>
  <c r="P403" i="4"/>
  <c r="Q403" i="4"/>
  <c r="R403" i="4"/>
  <c r="S403" i="4"/>
  <c r="N404" i="4"/>
  <c r="O404" i="4"/>
  <c r="P404" i="4"/>
  <c r="Q404" i="4"/>
  <c r="R404" i="4"/>
  <c r="S404" i="4"/>
  <c r="N405" i="4"/>
  <c r="O405" i="4"/>
  <c r="P405" i="4"/>
  <c r="Q405" i="4"/>
  <c r="R405" i="4"/>
  <c r="S405" i="4"/>
  <c r="N406" i="4"/>
  <c r="O406" i="4"/>
  <c r="P406" i="4"/>
  <c r="Q406" i="4"/>
  <c r="R406" i="4"/>
  <c r="S406" i="4"/>
  <c r="N407" i="4"/>
  <c r="O407" i="4"/>
  <c r="P407" i="4"/>
  <c r="Q407" i="4"/>
  <c r="R407" i="4"/>
  <c r="S407" i="4"/>
  <c r="N408" i="4"/>
  <c r="O408" i="4"/>
  <c r="P408" i="4"/>
  <c r="Q408" i="4"/>
  <c r="R408" i="4"/>
  <c r="S408" i="4"/>
  <c r="N409" i="4"/>
  <c r="O409" i="4"/>
  <c r="P409" i="4"/>
  <c r="Q409" i="4"/>
  <c r="R409" i="4"/>
  <c r="S409" i="4"/>
  <c r="N410" i="4"/>
  <c r="O410" i="4"/>
  <c r="P410" i="4"/>
  <c r="Q410" i="4"/>
  <c r="R410" i="4"/>
  <c r="S410" i="4"/>
  <c r="N411" i="4"/>
  <c r="O411" i="4"/>
  <c r="P411" i="4"/>
  <c r="Q411" i="4"/>
  <c r="R411" i="4"/>
  <c r="S411" i="4"/>
  <c r="N412" i="4"/>
  <c r="O412" i="4"/>
  <c r="P412" i="4"/>
  <c r="Q412" i="4"/>
  <c r="R412" i="4"/>
  <c r="S412" i="4"/>
  <c r="N413" i="4"/>
  <c r="O413" i="4"/>
  <c r="P413" i="4"/>
  <c r="Q413" i="4"/>
  <c r="R413" i="4"/>
  <c r="S413" i="4"/>
  <c r="N414" i="4"/>
  <c r="O414" i="4"/>
  <c r="P414" i="4"/>
  <c r="Q414" i="4"/>
  <c r="R414" i="4"/>
  <c r="S414" i="4"/>
  <c r="N415" i="4"/>
  <c r="O415" i="4"/>
  <c r="P415" i="4"/>
  <c r="Q415" i="4"/>
  <c r="R415" i="4"/>
  <c r="S415" i="4"/>
  <c r="N416" i="4"/>
  <c r="O416" i="4"/>
  <c r="P416" i="4"/>
  <c r="Q416" i="4"/>
  <c r="R416" i="4"/>
  <c r="S416" i="4"/>
  <c r="N417" i="4"/>
  <c r="O417" i="4"/>
  <c r="P417" i="4"/>
  <c r="Q417" i="4"/>
  <c r="R417" i="4"/>
  <c r="S417" i="4"/>
  <c r="N418" i="4"/>
  <c r="O418" i="4"/>
  <c r="P418" i="4"/>
  <c r="Q418" i="4"/>
  <c r="R418" i="4"/>
  <c r="S418" i="4"/>
  <c r="N419" i="4"/>
  <c r="O419" i="4"/>
  <c r="P419" i="4"/>
  <c r="Q419" i="4"/>
  <c r="R419" i="4"/>
  <c r="S419" i="4"/>
  <c r="N420" i="4"/>
  <c r="O420" i="4"/>
  <c r="P420" i="4"/>
  <c r="Q420" i="4"/>
  <c r="R420" i="4"/>
  <c r="S420" i="4"/>
  <c r="N421" i="4"/>
  <c r="O421" i="4"/>
  <c r="P421" i="4"/>
  <c r="Q421" i="4"/>
  <c r="R421" i="4"/>
  <c r="S421" i="4"/>
  <c r="N422" i="4"/>
  <c r="O422" i="4"/>
  <c r="P422" i="4"/>
  <c r="Q422" i="4"/>
  <c r="R422" i="4"/>
  <c r="S422" i="4"/>
  <c r="N423" i="4"/>
  <c r="O423" i="4"/>
  <c r="P423" i="4"/>
  <c r="Q423" i="4"/>
  <c r="R423" i="4"/>
  <c r="S423" i="4"/>
  <c r="N424" i="4"/>
  <c r="O424" i="4"/>
  <c r="P424" i="4"/>
  <c r="Q424" i="4"/>
  <c r="R424" i="4"/>
  <c r="S424" i="4"/>
  <c r="N425" i="4"/>
  <c r="O425" i="4"/>
  <c r="P425" i="4"/>
  <c r="Q425" i="4"/>
  <c r="R425" i="4"/>
  <c r="S425" i="4"/>
  <c r="N426" i="4"/>
  <c r="O426" i="4"/>
  <c r="P426" i="4"/>
  <c r="Q426" i="4"/>
  <c r="R426" i="4"/>
  <c r="S426" i="4"/>
  <c r="N427" i="4"/>
  <c r="O427" i="4"/>
  <c r="P427" i="4"/>
  <c r="Q427" i="4"/>
  <c r="R427" i="4"/>
  <c r="S427" i="4"/>
  <c r="N428" i="4"/>
  <c r="O428" i="4"/>
  <c r="P428" i="4"/>
  <c r="Q428" i="4"/>
  <c r="R428" i="4"/>
  <c r="S428" i="4"/>
  <c r="N429" i="4"/>
  <c r="O429" i="4"/>
  <c r="P429" i="4"/>
  <c r="Q429" i="4"/>
  <c r="R429" i="4"/>
  <c r="S429" i="4"/>
  <c r="N430" i="4"/>
  <c r="O430" i="4"/>
  <c r="P430" i="4"/>
  <c r="Q430" i="4"/>
  <c r="R430" i="4"/>
  <c r="S430" i="4"/>
  <c r="N431" i="4"/>
  <c r="O431" i="4"/>
  <c r="P431" i="4"/>
  <c r="Q431" i="4"/>
  <c r="R431" i="4"/>
  <c r="S431" i="4"/>
  <c r="N432" i="4"/>
  <c r="O432" i="4"/>
  <c r="P432" i="4"/>
  <c r="Q432" i="4"/>
  <c r="R432" i="4"/>
  <c r="S432" i="4"/>
  <c r="N433" i="4"/>
  <c r="O433" i="4"/>
  <c r="P433" i="4"/>
  <c r="Q433" i="4"/>
  <c r="R433" i="4"/>
  <c r="S433" i="4"/>
  <c r="N434" i="4"/>
  <c r="O434" i="4"/>
  <c r="P434" i="4"/>
  <c r="Q434" i="4"/>
  <c r="R434" i="4"/>
  <c r="S434" i="4"/>
  <c r="N435" i="4"/>
  <c r="O435" i="4"/>
  <c r="P435" i="4"/>
  <c r="Q435" i="4"/>
  <c r="R435" i="4"/>
  <c r="S435" i="4"/>
  <c r="N436" i="4"/>
  <c r="O436" i="4"/>
  <c r="P436" i="4"/>
  <c r="Q436" i="4"/>
  <c r="R436" i="4"/>
  <c r="S436" i="4"/>
  <c r="N437" i="4"/>
  <c r="O437" i="4"/>
  <c r="P437" i="4"/>
  <c r="Q437" i="4"/>
  <c r="R437" i="4"/>
  <c r="S437" i="4"/>
  <c r="N438" i="4"/>
  <c r="O438" i="4"/>
  <c r="P438" i="4"/>
  <c r="Q438" i="4"/>
  <c r="R438" i="4"/>
  <c r="S438" i="4"/>
  <c r="N439" i="4"/>
  <c r="O439" i="4"/>
  <c r="P439" i="4"/>
  <c r="Q439" i="4"/>
  <c r="R439" i="4"/>
  <c r="S439" i="4"/>
  <c r="N440" i="4"/>
  <c r="O440" i="4"/>
  <c r="P440" i="4"/>
  <c r="Q440" i="4"/>
  <c r="R440" i="4"/>
  <c r="S440" i="4"/>
  <c r="N441" i="4"/>
  <c r="O441" i="4"/>
  <c r="P441" i="4"/>
  <c r="Q441" i="4"/>
  <c r="R441" i="4"/>
  <c r="S441" i="4"/>
  <c r="N442" i="4"/>
  <c r="O442" i="4"/>
  <c r="P442" i="4"/>
  <c r="Q442" i="4"/>
  <c r="R442" i="4"/>
  <c r="S442" i="4"/>
  <c r="N443" i="4"/>
  <c r="O443" i="4"/>
  <c r="P443" i="4"/>
  <c r="Q443" i="4"/>
  <c r="R443" i="4"/>
  <c r="S443" i="4"/>
  <c r="N444" i="4"/>
  <c r="O444" i="4"/>
  <c r="P444" i="4"/>
  <c r="Q444" i="4"/>
  <c r="R444" i="4"/>
  <c r="S444" i="4"/>
  <c r="N445" i="4"/>
  <c r="O445" i="4"/>
  <c r="P445" i="4"/>
  <c r="Q445" i="4"/>
  <c r="R445" i="4"/>
  <c r="S445" i="4"/>
  <c r="N446" i="4"/>
  <c r="O446" i="4"/>
  <c r="P446" i="4"/>
  <c r="Q446" i="4"/>
  <c r="R446" i="4"/>
  <c r="S446" i="4"/>
  <c r="N447" i="4"/>
  <c r="O447" i="4"/>
  <c r="P447" i="4"/>
  <c r="Q447" i="4"/>
  <c r="R447" i="4"/>
  <c r="S447" i="4"/>
  <c r="N448" i="4"/>
  <c r="O448" i="4"/>
  <c r="P448" i="4"/>
  <c r="Q448" i="4"/>
  <c r="R448" i="4"/>
  <c r="S448" i="4"/>
  <c r="N449" i="4"/>
  <c r="O449" i="4"/>
  <c r="P449" i="4"/>
  <c r="Q449" i="4"/>
  <c r="R449" i="4"/>
  <c r="S449" i="4"/>
  <c r="N450" i="4"/>
  <c r="O450" i="4"/>
  <c r="P450" i="4"/>
  <c r="Q450" i="4"/>
  <c r="R450" i="4"/>
  <c r="S450" i="4"/>
  <c r="N451" i="4"/>
  <c r="O451" i="4"/>
  <c r="P451" i="4"/>
  <c r="Q451" i="4"/>
  <c r="R451" i="4"/>
  <c r="S451" i="4"/>
  <c r="N452" i="4"/>
  <c r="O452" i="4"/>
  <c r="P452" i="4"/>
  <c r="Q452" i="4"/>
  <c r="R452" i="4"/>
  <c r="S452" i="4"/>
  <c r="N453" i="4"/>
  <c r="O453" i="4"/>
  <c r="P453" i="4"/>
  <c r="Q453" i="4"/>
  <c r="R453" i="4"/>
  <c r="S453" i="4"/>
  <c r="N454" i="4"/>
  <c r="O454" i="4"/>
  <c r="P454" i="4"/>
  <c r="Q454" i="4"/>
  <c r="R454" i="4"/>
  <c r="S454" i="4"/>
  <c r="N455" i="4"/>
  <c r="O455" i="4"/>
  <c r="P455" i="4"/>
  <c r="Q455" i="4"/>
  <c r="R455" i="4"/>
  <c r="S455" i="4"/>
  <c r="N456" i="4"/>
  <c r="O456" i="4"/>
  <c r="P456" i="4"/>
  <c r="Q456" i="4"/>
  <c r="R456" i="4"/>
  <c r="S456" i="4"/>
  <c r="N457" i="4"/>
  <c r="O457" i="4"/>
  <c r="P457" i="4"/>
  <c r="Q457" i="4"/>
  <c r="R457" i="4"/>
  <c r="S457" i="4"/>
  <c r="N458" i="4"/>
  <c r="O458" i="4"/>
  <c r="P458" i="4"/>
  <c r="Q458" i="4"/>
  <c r="R458" i="4"/>
  <c r="S458" i="4"/>
  <c r="N459" i="4"/>
  <c r="O459" i="4"/>
  <c r="P459" i="4"/>
  <c r="Q459" i="4"/>
  <c r="R459" i="4"/>
  <c r="S459" i="4"/>
  <c r="N460" i="4"/>
  <c r="O460" i="4"/>
  <c r="P460" i="4"/>
  <c r="Q460" i="4"/>
  <c r="R460" i="4"/>
  <c r="S460" i="4"/>
  <c r="N461" i="4"/>
  <c r="O461" i="4"/>
  <c r="P461" i="4"/>
  <c r="Q461" i="4"/>
  <c r="R461" i="4"/>
  <c r="S461" i="4"/>
  <c r="N462" i="4"/>
  <c r="O462" i="4"/>
  <c r="P462" i="4"/>
  <c r="Q462" i="4"/>
  <c r="R462" i="4"/>
  <c r="S462" i="4"/>
  <c r="N463" i="4"/>
  <c r="O463" i="4"/>
  <c r="P463" i="4"/>
  <c r="Q463" i="4"/>
  <c r="R463" i="4"/>
  <c r="S463" i="4"/>
  <c r="N464" i="4"/>
  <c r="O464" i="4"/>
  <c r="P464" i="4"/>
  <c r="Q464" i="4"/>
  <c r="R464" i="4"/>
  <c r="S464" i="4"/>
  <c r="N465" i="4"/>
  <c r="O465" i="4"/>
  <c r="P465" i="4"/>
  <c r="Q465" i="4"/>
  <c r="R465" i="4"/>
  <c r="S465" i="4"/>
  <c r="N466" i="4"/>
  <c r="O466" i="4"/>
  <c r="P466" i="4"/>
  <c r="Q466" i="4"/>
  <c r="R466" i="4"/>
  <c r="S466" i="4"/>
  <c r="N467" i="4"/>
  <c r="O467" i="4"/>
  <c r="P467" i="4"/>
  <c r="Q467" i="4"/>
  <c r="R467" i="4"/>
  <c r="S467" i="4"/>
  <c r="N468" i="4"/>
  <c r="O468" i="4"/>
  <c r="P468" i="4"/>
  <c r="Q468" i="4"/>
  <c r="R468" i="4"/>
  <c r="S468" i="4"/>
  <c r="N469" i="4"/>
  <c r="O469" i="4"/>
  <c r="P469" i="4"/>
  <c r="Q469" i="4"/>
  <c r="R469" i="4"/>
  <c r="S469" i="4"/>
  <c r="N470" i="4"/>
  <c r="O470" i="4"/>
  <c r="P470" i="4"/>
  <c r="Q470" i="4"/>
  <c r="R470" i="4"/>
  <c r="S470" i="4"/>
  <c r="N471" i="4"/>
  <c r="O471" i="4"/>
  <c r="P471" i="4"/>
  <c r="Q471" i="4"/>
  <c r="R471" i="4"/>
  <c r="S471" i="4"/>
  <c r="N472" i="4"/>
  <c r="O472" i="4"/>
  <c r="P472" i="4"/>
  <c r="Q472" i="4"/>
  <c r="R472" i="4"/>
  <c r="S472" i="4"/>
  <c r="N473" i="4"/>
  <c r="O473" i="4"/>
  <c r="P473" i="4"/>
  <c r="Q473" i="4"/>
  <c r="R473" i="4"/>
  <c r="S473" i="4"/>
  <c r="N474" i="4"/>
  <c r="O474" i="4"/>
  <c r="P474" i="4"/>
  <c r="Q474" i="4"/>
  <c r="R474" i="4"/>
  <c r="S474" i="4"/>
  <c r="N475" i="4"/>
  <c r="O475" i="4"/>
  <c r="P475" i="4"/>
  <c r="Q475" i="4"/>
  <c r="R475" i="4"/>
  <c r="S475" i="4"/>
  <c r="N476" i="4"/>
  <c r="O476" i="4"/>
  <c r="P476" i="4"/>
  <c r="Q476" i="4"/>
  <c r="R476" i="4"/>
  <c r="S476" i="4"/>
  <c r="N477" i="4"/>
  <c r="O477" i="4"/>
  <c r="P477" i="4"/>
  <c r="Q477" i="4"/>
  <c r="R477" i="4"/>
  <c r="S477" i="4"/>
  <c r="N478" i="4"/>
  <c r="O478" i="4"/>
  <c r="P478" i="4"/>
  <c r="Q478" i="4"/>
  <c r="R478" i="4"/>
  <c r="S478" i="4"/>
  <c r="N479" i="4"/>
  <c r="O479" i="4"/>
  <c r="P479" i="4"/>
  <c r="Q479" i="4"/>
  <c r="R479" i="4"/>
  <c r="S479" i="4"/>
  <c r="N480" i="4"/>
  <c r="O480" i="4"/>
  <c r="P480" i="4"/>
  <c r="Q480" i="4"/>
  <c r="R480" i="4"/>
  <c r="S480" i="4"/>
  <c r="N481" i="4"/>
  <c r="O481" i="4"/>
  <c r="P481" i="4"/>
  <c r="Q481" i="4"/>
  <c r="R481" i="4"/>
  <c r="S481" i="4"/>
  <c r="N482" i="4"/>
  <c r="O482" i="4"/>
  <c r="P482" i="4"/>
  <c r="Q482" i="4"/>
  <c r="R482" i="4"/>
  <c r="S482" i="4"/>
  <c r="N483" i="4"/>
  <c r="O483" i="4"/>
  <c r="P483" i="4"/>
  <c r="Q483" i="4"/>
  <c r="R483" i="4"/>
  <c r="S483" i="4"/>
  <c r="N484" i="4"/>
  <c r="O484" i="4"/>
  <c r="P484" i="4"/>
  <c r="Q484" i="4"/>
  <c r="R484" i="4"/>
  <c r="S484" i="4"/>
  <c r="N485" i="4"/>
  <c r="O485" i="4"/>
  <c r="P485" i="4"/>
  <c r="Q485" i="4"/>
  <c r="R485" i="4"/>
  <c r="S485" i="4"/>
  <c r="N486" i="4"/>
  <c r="O486" i="4"/>
  <c r="P486" i="4"/>
  <c r="Q486" i="4"/>
  <c r="R486" i="4"/>
  <c r="S486" i="4"/>
  <c r="N487" i="4"/>
  <c r="O487" i="4"/>
  <c r="P487" i="4"/>
  <c r="Q487" i="4"/>
  <c r="R487" i="4"/>
  <c r="S487" i="4"/>
  <c r="N488" i="4"/>
  <c r="O488" i="4"/>
  <c r="P488" i="4"/>
  <c r="Q488" i="4"/>
  <c r="R488" i="4"/>
  <c r="S488" i="4"/>
  <c r="N489" i="4"/>
  <c r="O489" i="4"/>
  <c r="P489" i="4"/>
  <c r="Q489" i="4"/>
  <c r="R489" i="4"/>
  <c r="S489" i="4"/>
  <c r="N490" i="4"/>
  <c r="O490" i="4"/>
  <c r="P490" i="4"/>
  <c r="Q490" i="4"/>
  <c r="R490" i="4"/>
  <c r="S490" i="4"/>
  <c r="N491" i="4"/>
  <c r="O491" i="4"/>
  <c r="P491" i="4"/>
  <c r="Q491" i="4"/>
  <c r="R491" i="4"/>
  <c r="S491" i="4"/>
  <c r="N492" i="4"/>
  <c r="O492" i="4"/>
  <c r="P492" i="4"/>
  <c r="Q492" i="4"/>
  <c r="R492" i="4"/>
  <c r="S492" i="4"/>
  <c r="N493" i="4"/>
  <c r="O493" i="4"/>
  <c r="P493" i="4"/>
  <c r="Q493" i="4"/>
  <c r="R493" i="4"/>
  <c r="S493" i="4"/>
  <c r="N494" i="4"/>
  <c r="O494" i="4"/>
  <c r="P494" i="4"/>
  <c r="Q494" i="4"/>
  <c r="R494" i="4"/>
  <c r="S494" i="4"/>
  <c r="N495" i="4"/>
  <c r="O495" i="4"/>
  <c r="P495" i="4"/>
  <c r="Q495" i="4"/>
  <c r="R495" i="4"/>
  <c r="S495" i="4"/>
  <c r="N496" i="4"/>
  <c r="O496" i="4"/>
  <c r="P496" i="4"/>
  <c r="Q496" i="4"/>
  <c r="R496" i="4"/>
  <c r="S496" i="4"/>
  <c r="N497" i="4"/>
  <c r="O497" i="4"/>
  <c r="P497" i="4"/>
  <c r="Q497" i="4"/>
  <c r="R497" i="4"/>
  <c r="S497" i="4"/>
  <c r="N498" i="4"/>
  <c r="O498" i="4"/>
  <c r="P498" i="4"/>
  <c r="Q498" i="4"/>
  <c r="R498" i="4"/>
  <c r="S498" i="4"/>
  <c r="N499" i="4"/>
  <c r="O499" i="4"/>
  <c r="P499" i="4"/>
  <c r="Q499" i="4"/>
  <c r="R499" i="4"/>
  <c r="S499" i="4"/>
  <c r="N500" i="4"/>
  <c r="O500" i="4"/>
  <c r="P500" i="4"/>
  <c r="Q500" i="4"/>
  <c r="R500" i="4"/>
  <c r="S500" i="4"/>
  <c r="N501" i="4"/>
  <c r="O501" i="4"/>
  <c r="P501" i="4"/>
  <c r="Q501" i="4"/>
  <c r="R501" i="4"/>
  <c r="S501" i="4"/>
  <c r="N502" i="4"/>
  <c r="O502" i="4"/>
  <c r="P502" i="4"/>
  <c r="Q502" i="4"/>
  <c r="R502" i="4"/>
  <c r="S502" i="4"/>
  <c r="N503" i="4"/>
  <c r="O503" i="4"/>
  <c r="P503" i="4"/>
  <c r="Q503" i="4"/>
  <c r="R503" i="4"/>
  <c r="S503" i="4"/>
  <c r="N504" i="4"/>
  <c r="O504" i="4"/>
  <c r="P504" i="4"/>
  <c r="Q504" i="4"/>
  <c r="R504" i="4"/>
  <c r="S504" i="4"/>
  <c r="N505" i="4"/>
  <c r="O505" i="4"/>
  <c r="P505" i="4"/>
  <c r="Q505" i="4"/>
  <c r="R505" i="4"/>
  <c r="S505" i="4"/>
  <c r="N506" i="4"/>
  <c r="O506" i="4"/>
  <c r="P506" i="4"/>
  <c r="Q506" i="4"/>
  <c r="R506" i="4"/>
  <c r="S506" i="4"/>
  <c r="N507" i="4"/>
  <c r="O507" i="4"/>
  <c r="P507" i="4"/>
  <c r="Q507" i="4"/>
  <c r="R507" i="4"/>
  <c r="S507" i="4"/>
  <c r="N508" i="4"/>
  <c r="O508" i="4"/>
  <c r="P508" i="4"/>
  <c r="Q508" i="4"/>
  <c r="R508" i="4"/>
  <c r="S508" i="4"/>
  <c r="N509" i="4"/>
  <c r="O509" i="4"/>
  <c r="P509" i="4"/>
  <c r="Q509" i="4"/>
  <c r="R509" i="4"/>
  <c r="S509" i="4"/>
  <c r="N510" i="4"/>
  <c r="O510" i="4"/>
  <c r="P510" i="4"/>
  <c r="Q510" i="4"/>
  <c r="R510" i="4"/>
  <c r="S510" i="4"/>
  <c r="N511" i="4"/>
  <c r="O511" i="4"/>
  <c r="P511" i="4"/>
  <c r="Q511" i="4"/>
  <c r="R511" i="4"/>
  <c r="S511" i="4"/>
  <c r="N512" i="4"/>
  <c r="O512" i="4"/>
  <c r="P512" i="4"/>
  <c r="Q512" i="4"/>
  <c r="R512" i="4"/>
  <c r="S512" i="4"/>
  <c r="N513" i="4"/>
  <c r="O513" i="4"/>
  <c r="P513" i="4"/>
  <c r="Q513" i="4"/>
  <c r="R513" i="4"/>
  <c r="S513" i="4"/>
  <c r="N514" i="4"/>
  <c r="O514" i="4"/>
  <c r="P514" i="4"/>
  <c r="Q514" i="4"/>
  <c r="R514" i="4"/>
  <c r="S514" i="4"/>
  <c r="N515" i="4"/>
  <c r="O515" i="4"/>
  <c r="P515" i="4"/>
  <c r="Q515" i="4"/>
  <c r="R515" i="4"/>
  <c r="S515" i="4"/>
  <c r="N516" i="4"/>
  <c r="O516" i="4"/>
  <c r="P516" i="4"/>
  <c r="Q516" i="4"/>
  <c r="R516" i="4"/>
  <c r="S516" i="4"/>
  <c r="N517" i="4"/>
  <c r="O517" i="4"/>
  <c r="P517" i="4"/>
  <c r="Q517" i="4"/>
  <c r="R517" i="4"/>
  <c r="S517" i="4"/>
  <c r="N518" i="4"/>
  <c r="O518" i="4"/>
  <c r="P518" i="4"/>
  <c r="Q518" i="4"/>
  <c r="R518" i="4"/>
  <c r="S518" i="4"/>
  <c r="N519" i="4"/>
  <c r="O519" i="4"/>
  <c r="P519" i="4"/>
  <c r="Q519" i="4"/>
  <c r="R519" i="4"/>
  <c r="S519" i="4"/>
  <c r="N520" i="4"/>
  <c r="O520" i="4"/>
  <c r="P520" i="4"/>
  <c r="Q520" i="4"/>
  <c r="R520" i="4"/>
  <c r="S520" i="4"/>
  <c r="N521" i="4"/>
  <c r="O521" i="4"/>
  <c r="P521" i="4"/>
  <c r="Q521" i="4"/>
  <c r="R521" i="4"/>
  <c r="S521" i="4"/>
  <c r="N522" i="4"/>
  <c r="O522" i="4"/>
  <c r="P522" i="4"/>
  <c r="Q522" i="4"/>
  <c r="R522" i="4"/>
  <c r="S522" i="4"/>
  <c r="N523" i="4"/>
  <c r="O523" i="4"/>
  <c r="P523" i="4"/>
  <c r="Q523" i="4"/>
  <c r="R523" i="4"/>
  <c r="S523" i="4"/>
  <c r="N524" i="4"/>
  <c r="O524" i="4"/>
  <c r="P524" i="4"/>
  <c r="Q524" i="4"/>
  <c r="R524" i="4"/>
  <c r="S524" i="4"/>
  <c r="N525" i="4"/>
  <c r="O525" i="4"/>
  <c r="P525" i="4"/>
  <c r="Q525" i="4"/>
  <c r="R525" i="4"/>
  <c r="S525" i="4"/>
  <c r="N526" i="4"/>
  <c r="O526" i="4"/>
  <c r="P526" i="4"/>
  <c r="Q526" i="4"/>
  <c r="R526" i="4"/>
  <c r="S526" i="4"/>
  <c r="N527" i="4"/>
  <c r="O527" i="4"/>
  <c r="P527" i="4"/>
  <c r="Q527" i="4"/>
  <c r="R527" i="4"/>
  <c r="S527" i="4"/>
  <c r="N528" i="4"/>
  <c r="O528" i="4"/>
  <c r="P528" i="4"/>
  <c r="Q528" i="4"/>
  <c r="R528" i="4"/>
  <c r="S528" i="4"/>
  <c r="N529" i="4"/>
  <c r="O529" i="4"/>
  <c r="P529" i="4"/>
  <c r="Q529" i="4"/>
  <c r="R529" i="4"/>
  <c r="S529" i="4"/>
  <c r="N530" i="4"/>
  <c r="O530" i="4"/>
  <c r="P530" i="4"/>
  <c r="Q530" i="4"/>
  <c r="R530" i="4"/>
  <c r="S530" i="4"/>
  <c r="N531" i="4"/>
  <c r="O531" i="4"/>
  <c r="P531" i="4"/>
  <c r="Q531" i="4"/>
  <c r="R531" i="4"/>
  <c r="S531" i="4"/>
  <c r="N532" i="4"/>
  <c r="O532" i="4"/>
  <c r="P532" i="4"/>
  <c r="Q532" i="4"/>
  <c r="R532" i="4"/>
  <c r="S532" i="4"/>
  <c r="N533" i="4"/>
  <c r="O533" i="4"/>
  <c r="P533" i="4"/>
  <c r="Q533" i="4"/>
  <c r="R533" i="4"/>
  <c r="S533" i="4"/>
  <c r="N534" i="4"/>
  <c r="O534" i="4"/>
  <c r="P534" i="4"/>
  <c r="Q534" i="4"/>
  <c r="R534" i="4"/>
  <c r="S534" i="4"/>
  <c r="N535" i="4"/>
  <c r="O535" i="4"/>
  <c r="P535" i="4"/>
  <c r="Q535" i="4"/>
  <c r="R535" i="4"/>
  <c r="S535" i="4"/>
  <c r="N536" i="4"/>
  <c r="O536" i="4"/>
  <c r="P536" i="4"/>
  <c r="Q536" i="4"/>
  <c r="R536" i="4"/>
  <c r="S536" i="4"/>
  <c r="N537" i="4"/>
  <c r="O537" i="4"/>
  <c r="P537" i="4"/>
  <c r="Q537" i="4"/>
  <c r="R537" i="4"/>
  <c r="S537" i="4"/>
  <c r="N538" i="4"/>
  <c r="O538" i="4"/>
  <c r="P538" i="4"/>
  <c r="Q538" i="4"/>
  <c r="R538" i="4"/>
  <c r="S538" i="4"/>
  <c r="N539" i="4"/>
  <c r="O539" i="4"/>
  <c r="P539" i="4"/>
  <c r="Q539" i="4"/>
  <c r="R539" i="4"/>
  <c r="S539" i="4"/>
  <c r="N540" i="4"/>
  <c r="O540" i="4"/>
  <c r="P540" i="4"/>
  <c r="Q540" i="4"/>
  <c r="R540" i="4"/>
  <c r="S540" i="4"/>
  <c r="N541" i="4"/>
  <c r="O541" i="4"/>
  <c r="P541" i="4"/>
  <c r="Q541" i="4"/>
  <c r="R541" i="4"/>
  <c r="S541" i="4"/>
  <c r="N542" i="4"/>
  <c r="O542" i="4"/>
  <c r="P542" i="4"/>
  <c r="Q542" i="4"/>
  <c r="R542" i="4"/>
  <c r="S542" i="4"/>
  <c r="N543" i="4"/>
  <c r="O543" i="4"/>
  <c r="P543" i="4"/>
  <c r="Q543" i="4"/>
  <c r="R543" i="4"/>
  <c r="S543" i="4"/>
  <c r="N544" i="4"/>
  <c r="O544" i="4"/>
  <c r="P544" i="4"/>
  <c r="Q544" i="4"/>
  <c r="R544" i="4"/>
  <c r="S544" i="4"/>
  <c r="N545" i="4"/>
  <c r="O545" i="4"/>
  <c r="P545" i="4"/>
  <c r="Q545" i="4"/>
  <c r="R545" i="4"/>
  <c r="S545" i="4"/>
  <c r="N546" i="4"/>
  <c r="O546" i="4"/>
  <c r="P546" i="4"/>
  <c r="Q546" i="4"/>
  <c r="R546" i="4"/>
  <c r="S546" i="4"/>
  <c r="N547" i="4"/>
  <c r="O547" i="4"/>
  <c r="P547" i="4"/>
  <c r="Q547" i="4"/>
  <c r="R547" i="4"/>
  <c r="S547" i="4"/>
  <c r="N548" i="4"/>
  <c r="O548" i="4"/>
  <c r="P548" i="4"/>
  <c r="Q548" i="4"/>
  <c r="R548" i="4"/>
  <c r="S548" i="4"/>
  <c r="N549" i="4"/>
  <c r="O549" i="4"/>
  <c r="P549" i="4"/>
  <c r="Q549" i="4"/>
  <c r="R549" i="4"/>
  <c r="S549" i="4"/>
  <c r="N550" i="4"/>
  <c r="O550" i="4"/>
  <c r="P550" i="4"/>
  <c r="Q550" i="4"/>
  <c r="R550" i="4"/>
  <c r="S550" i="4"/>
  <c r="N551" i="4"/>
  <c r="O551" i="4"/>
  <c r="P551" i="4"/>
  <c r="Q551" i="4"/>
  <c r="R551" i="4"/>
  <c r="S551" i="4"/>
  <c r="N552" i="4"/>
  <c r="O552" i="4"/>
  <c r="P552" i="4"/>
  <c r="Q552" i="4"/>
  <c r="R552" i="4"/>
  <c r="S552" i="4"/>
  <c r="N553" i="4"/>
  <c r="O553" i="4"/>
  <c r="P553" i="4"/>
  <c r="Q553" i="4"/>
  <c r="R553" i="4"/>
  <c r="S553" i="4"/>
  <c r="N554" i="4"/>
  <c r="O554" i="4"/>
  <c r="P554" i="4"/>
  <c r="Q554" i="4"/>
  <c r="R554" i="4"/>
  <c r="S554" i="4"/>
  <c r="N555" i="4"/>
  <c r="O555" i="4"/>
  <c r="P555" i="4"/>
  <c r="Q555" i="4"/>
  <c r="R555" i="4"/>
  <c r="S555" i="4"/>
  <c r="N556" i="4"/>
  <c r="O556" i="4"/>
  <c r="P556" i="4"/>
  <c r="Q556" i="4"/>
  <c r="R556" i="4"/>
  <c r="S556" i="4"/>
  <c r="N557" i="4"/>
  <c r="O557" i="4"/>
  <c r="P557" i="4"/>
  <c r="Q557" i="4"/>
  <c r="R557" i="4"/>
  <c r="S557" i="4"/>
  <c r="N558" i="4"/>
  <c r="O558" i="4"/>
  <c r="P558" i="4"/>
  <c r="Q558" i="4"/>
  <c r="R558" i="4"/>
  <c r="S558" i="4"/>
  <c r="N559" i="4"/>
  <c r="O559" i="4"/>
  <c r="P559" i="4"/>
  <c r="Q559" i="4"/>
  <c r="R559" i="4"/>
  <c r="S559" i="4"/>
  <c r="N560" i="4"/>
  <c r="O560" i="4"/>
  <c r="P560" i="4"/>
  <c r="Q560" i="4"/>
  <c r="R560" i="4"/>
  <c r="S560" i="4"/>
  <c r="N561" i="4"/>
  <c r="O561" i="4"/>
  <c r="P561" i="4"/>
  <c r="Q561" i="4"/>
  <c r="R561" i="4"/>
  <c r="S561" i="4"/>
  <c r="N562" i="4"/>
  <c r="O562" i="4"/>
  <c r="P562" i="4"/>
  <c r="Q562" i="4"/>
  <c r="R562" i="4"/>
  <c r="S562" i="4"/>
  <c r="N563" i="4"/>
  <c r="O563" i="4"/>
  <c r="P563" i="4"/>
  <c r="Q563" i="4"/>
  <c r="R563" i="4"/>
  <c r="S563" i="4"/>
  <c r="N564" i="4"/>
  <c r="O564" i="4"/>
  <c r="P564" i="4"/>
  <c r="Q564" i="4"/>
  <c r="R564" i="4"/>
  <c r="S564" i="4"/>
  <c r="N565" i="4"/>
  <c r="O565" i="4"/>
  <c r="P565" i="4"/>
  <c r="Q565" i="4"/>
  <c r="R565" i="4"/>
  <c r="S565" i="4"/>
  <c r="N566" i="4"/>
  <c r="O566" i="4"/>
  <c r="P566" i="4"/>
  <c r="Q566" i="4"/>
  <c r="R566" i="4"/>
  <c r="S566" i="4"/>
  <c r="N567" i="4"/>
  <c r="O567" i="4"/>
  <c r="P567" i="4"/>
  <c r="Q567" i="4"/>
  <c r="R567" i="4"/>
  <c r="S567" i="4"/>
  <c r="N568" i="4"/>
  <c r="O568" i="4"/>
  <c r="P568" i="4"/>
  <c r="Q568" i="4"/>
  <c r="R568" i="4"/>
  <c r="S568" i="4"/>
  <c r="N569" i="4"/>
  <c r="O569" i="4"/>
  <c r="P569" i="4"/>
  <c r="Q569" i="4"/>
  <c r="R569" i="4"/>
  <c r="S569" i="4"/>
  <c r="N570" i="4"/>
  <c r="O570" i="4"/>
  <c r="P570" i="4"/>
  <c r="Q570" i="4"/>
  <c r="R570" i="4"/>
  <c r="S570" i="4"/>
  <c r="N571" i="4"/>
  <c r="O571" i="4"/>
  <c r="P571" i="4"/>
  <c r="Q571" i="4"/>
  <c r="R571" i="4"/>
  <c r="S571" i="4"/>
  <c r="N572" i="4"/>
  <c r="O572" i="4"/>
  <c r="P572" i="4"/>
  <c r="Q572" i="4"/>
  <c r="R572" i="4"/>
  <c r="S572" i="4"/>
  <c r="N573" i="4"/>
  <c r="O573" i="4"/>
  <c r="P573" i="4"/>
  <c r="Q573" i="4"/>
  <c r="R573" i="4"/>
  <c r="S573" i="4"/>
  <c r="N574" i="4"/>
  <c r="O574" i="4"/>
  <c r="P574" i="4"/>
  <c r="Q574" i="4"/>
  <c r="R574" i="4"/>
  <c r="S574" i="4"/>
  <c r="N575" i="4"/>
  <c r="O575" i="4"/>
  <c r="P575" i="4"/>
  <c r="Q575" i="4"/>
  <c r="R575" i="4"/>
  <c r="S575" i="4"/>
  <c r="N576" i="4"/>
  <c r="O576" i="4"/>
  <c r="P576" i="4"/>
  <c r="Q576" i="4"/>
  <c r="R576" i="4"/>
  <c r="S576" i="4"/>
  <c r="N577" i="4"/>
  <c r="O577" i="4"/>
  <c r="P577" i="4"/>
  <c r="Q577" i="4"/>
  <c r="R577" i="4"/>
  <c r="S577" i="4"/>
  <c r="N578" i="4"/>
  <c r="O578" i="4"/>
  <c r="P578" i="4"/>
  <c r="Q578" i="4"/>
  <c r="R578" i="4"/>
  <c r="S578" i="4"/>
  <c r="N579" i="4"/>
  <c r="O579" i="4"/>
  <c r="P579" i="4"/>
  <c r="Q579" i="4"/>
  <c r="R579" i="4"/>
  <c r="S579" i="4"/>
  <c r="N580" i="4"/>
  <c r="O580" i="4"/>
  <c r="P580" i="4"/>
  <c r="Q580" i="4"/>
  <c r="R580" i="4"/>
  <c r="S580" i="4"/>
  <c r="N581" i="4"/>
  <c r="O581" i="4"/>
  <c r="P581" i="4"/>
  <c r="Q581" i="4"/>
  <c r="R581" i="4"/>
  <c r="S581" i="4"/>
  <c r="N582" i="4"/>
  <c r="O582" i="4"/>
  <c r="P582" i="4"/>
  <c r="Q582" i="4"/>
  <c r="R582" i="4"/>
  <c r="S582" i="4"/>
  <c r="N583" i="4"/>
  <c r="O583" i="4"/>
  <c r="P583" i="4"/>
  <c r="Q583" i="4"/>
  <c r="R583" i="4"/>
  <c r="S583" i="4"/>
  <c r="N584" i="4"/>
  <c r="O584" i="4"/>
  <c r="P584" i="4"/>
  <c r="Q584" i="4"/>
  <c r="R584" i="4"/>
  <c r="S584" i="4"/>
  <c r="N585" i="4"/>
  <c r="O585" i="4"/>
  <c r="P585" i="4"/>
  <c r="Q585" i="4"/>
  <c r="R585" i="4"/>
  <c r="S585" i="4"/>
  <c r="N586" i="4"/>
  <c r="O586" i="4"/>
  <c r="P586" i="4"/>
  <c r="Q586" i="4"/>
  <c r="R586" i="4"/>
  <c r="S586" i="4"/>
  <c r="N587" i="4"/>
  <c r="O587" i="4"/>
  <c r="P587" i="4"/>
  <c r="Q587" i="4"/>
  <c r="R587" i="4"/>
  <c r="S587" i="4"/>
  <c r="N588" i="4"/>
  <c r="O588" i="4"/>
  <c r="P588" i="4"/>
  <c r="Q588" i="4"/>
  <c r="R588" i="4"/>
  <c r="S588" i="4"/>
  <c r="N589" i="4"/>
  <c r="O589" i="4"/>
  <c r="P589" i="4"/>
  <c r="Q589" i="4"/>
  <c r="R589" i="4"/>
  <c r="S589" i="4"/>
  <c r="N590" i="4"/>
  <c r="O590" i="4"/>
  <c r="P590" i="4"/>
  <c r="Q590" i="4"/>
  <c r="R590" i="4"/>
  <c r="S590" i="4"/>
  <c r="N591" i="4"/>
  <c r="O591" i="4"/>
  <c r="P591" i="4"/>
  <c r="Q591" i="4"/>
  <c r="R591" i="4"/>
  <c r="S591" i="4"/>
  <c r="N592" i="4"/>
  <c r="O592" i="4"/>
  <c r="P592" i="4"/>
  <c r="Q592" i="4"/>
  <c r="R592" i="4"/>
  <c r="S592" i="4"/>
  <c r="N593" i="4"/>
  <c r="O593" i="4"/>
  <c r="P593" i="4"/>
  <c r="Q593" i="4"/>
  <c r="R593" i="4"/>
  <c r="S593" i="4"/>
  <c r="N594" i="4"/>
  <c r="O594" i="4"/>
  <c r="P594" i="4"/>
  <c r="Q594" i="4"/>
  <c r="R594" i="4"/>
  <c r="S594" i="4"/>
  <c r="N595" i="4"/>
  <c r="O595" i="4"/>
  <c r="P595" i="4"/>
  <c r="Q595" i="4"/>
  <c r="R595" i="4"/>
  <c r="S595" i="4"/>
  <c r="N596" i="4"/>
  <c r="O596" i="4"/>
  <c r="P596" i="4"/>
  <c r="Q596" i="4"/>
  <c r="R596" i="4"/>
  <c r="S596" i="4"/>
  <c r="N597" i="4"/>
  <c r="O597" i="4"/>
  <c r="P597" i="4"/>
  <c r="Q597" i="4"/>
  <c r="R597" i="4"/>
  <c r="S597" i="4"/>
  <c r="N598" i="4"/>
  <c r="O598" i="4"/>
  <c r="P598" i="4"/>
  <c r="Q598" i="4"/>
  <c r="R598" i="4"/>
  <c r="S598" i="4"/>
  <c r="N599" i="4"/>
  <c r="O599" i="4"/>
  <c r="P599" i="4"/>
  <c r="Q599" i="4"/>
  <c r="R599" i="4"/>
  <c r="S599" i="4"/>
  <c r="N600" i="4"/>
  <c r="O600" i="4"/>
  <c r="P600" i="4"/>
  <c r="Q600" i="4"/>
  <c r="R600" i="4"/>
  <c r="S600" i="4"/>
  <c r="N601" i="4"/>
  <c r="O601" i="4"/>
  <c r="P601" i="4"/>
  <c r="Q601" i="4"/>
  <c r="R601" i="4"/>
  <c r="S601" i="4"/>
  <c r="N602" i="4"/>
  <c r="O602" i="4"/>
  <c r="P602" i="4"/>
  <c r="Q602" i="4"/>
  <c r="R602" i="4"/>
  <c r="S602" i="4"/>
  <c r="N603" i="4"/>
  <c r="O603" i="4"/>
  <c r="P603" i="4"/>
  <c r="Q603" i="4"/>
  <c r="R603" i="4"/>
  <c r="S603" i="4"/>
  <c r="N604" i="4"/>
  <c r="O604" i="4"/>
  <c r="P604" i="4"/>
  <c r="Q604" i="4"/>
  <c r="R604" i="4"/>
  <c r="S604" i="4"/>
  <c r="N605" i="4"/>
  <c r="O605" i="4"/>
  <c r="P605" i="4"/>
  <c r="Q605" i="4"/>
  <c r="R605" i="4"/>
  <c r="S605" i="4"/>
  <c r="N606" i="4"/>
  <c r="O606" i="4"/>
  <c r="P606" i="4"/>
  <c r="Q606" i="4"/>
  <c r="R606" i="4"/>
  <c r="S606" i="4"/>
  <c r="N607" i="4"/>
  <c r="O607" i="4"/>
  <c r="P607" i="4"/>
  <c r="Q607" i="4"/>
  <c r="R607" i="4"/>
  <c r="S607" i="4"/>
  <c r="N608" i="4"/>
  <c r="O608" i="4"/>
  <c r="P608" i="4"/>
  <c r="Q608" i="4"/>
  <c r="R608" i="4"/>
  <c r="S608" i="4"/>
  <c r="N609" i="4"/>
  <c r="O609" i="4"/>
  <c r="P609" i="4"/>
  <c r="Q609" i="4"/>
  <c r="R609" i="4"/>
  <c r="S609" i="4"/>
  <c r="N610" i="4"/>
  <c r="O610" i="4"/>
  <c r="P610" i="4"/>
  <c r="Q610" i="4"/>
  <c r="R610" i="4"/>
  <c r="S610" i="4"/>
  <c r="N611" i="4"/>
  <c r="O611" i="4"/>
  <c r="P611" i="4"/>
  <c r="Q611" i="4"/>
  <c r="R611" i="4"/>
  <c r="S611" i="4"/>
  <c r="N612" i="4"/>
  <c r="O612" i="4"/>
  <c r="P612" i="4"/>
  <c r="Q612" i="4"/>
  <c r="R612" i="4"/>
  <c r="S612" i="4"/>
  <c r="N613" i="4"/>
  <c r="O613" i="4"/>
  <c r="P613" i="4"/>
  <c r="Q613" i="4"/>
  <c r="R613" i="4"/>
  <c r="S613" i="4"/>
  <c r="S3" i="4"/>
  <c r="R3" i="4"/>
  <c r="Q3" i="4"/>
  <c r="P3" i="4"/>
  <c r="O3" i="4"/>
  <c r="N3" i="4"/>
  <c r="M607" i="4" l="1"/>
  <c r="L607" i="4" s="1"/>
  <c r="M603" i="4"/>
  <c r="L603" i="4" s="1"/>
  <c r="M599" i="4"/>
  <c r="L599" i="4" s="1"/>
  <c r="M590" i="4"/>
  <c r="L590" i="4" s="1"/>
  <c r="M588" i="4"/>
  <c r="L588" i="4" s="1"/>
  <c r="M579" i="4"/>
  <c r="L579" i="4" s="1"/>
  <c r="M577" i="4"/>
  <c r="L577" i="4" s="1"/>
  <c r="M575" i="4"/>
  <c r="L575" i="4" s="1"/>
  <c r="M570" i="4"/>
  <c r="L570" i="4" s="1"/>
  <c r="M566" i="4"/>
  <c r="L566" i="4" s="1"/>
  <c r="M562" i="4"/>
  <c r="L562" i="4" s="1"/>
  <c r="M560" i="4"/>
  <c r="L560" i="4" s="1"/>
  <c r="M558" i="4"/>
  <c r="L558" i="4" s="1"/>
  <c r="M552" i="4"/>
  <c r="L552" i="4" s="1"/>
  <c r="M550" i="4"/>
  <c r="L550" i="4" s="1"/>
  <c r="M546" i="4"/>
  <c r="L546" i="4" s="1"/>
  <c r="M542" i="4"/>
  <c r="L542" i="4" s="1"/>
  <c r="M536" i="4"/>
  <c r="L536" i="4" s="1"/>
  <c r="M534" i="4"/>
  <c r="L534" i="4" s="1"/>
  <c r="M528" i="4"/>
  <c r="L528" i="4" s="1"/>
  <c r="M487" i="4"/>
  <c r="L487" i="4" s="1"/>
  <c r="L3" i="3"/>
  <c r="K4" i="29" s="1"/>
  <c r="L604" i="3"/>
  <c r="K605" i="29" s="1"/>
  <c r="L600" i="3"/>
  <c r="K601" i="29" s="1"/>
  <c r="L592" i="3"/>
  <c r="K593" i="29" s="1"/>
  <c r="L590" i="3"/>
  <c r="K591" i="29" s="1"/>
  <c r="L588" i="3"/>
  <c r="K589" i="29" s="1"/>
  <c r="L586" i="3"/>
  <c r="K587" i="29" s="1"/>
  <c r="L584" i="3"/>
  <c r="K585" i="29" s="1"/>
  <c r="L582" i="3"/>
  <c r="K583" i="29" s="1"/>
  <c r="L580" i="3"/>
  <c r="K581" i="29" s="1"/>
  <c r="L578" i="3"/>
  <c r="K579" i="29" s="1"/>
  <c r="L576" i="3"/>
  <c r="K577" i="29" s="1"/>
  <c r="L574" i="3"/>
  <c r="K575" i="29" s="1"/>
  <c r="L572" i="3"/>
  <c r="K573" i="29" s="1"/>
  <c r="L570" i="3"/>
  <c r="K571" i="29" s="1"/>
  <c r="L568" i="3"/>
  <c r="K569" i="29" s="1"/>
  <c r="L566" i="3"/>
  <c r="K567" i="29" s="1"/>
  <c r="L564" i="3"/>
  <c r="K565" i="29" s="1"/>
  <c r="L562" i="3"/>
  <c r="K563" i="29" s="1"/>
  <c r="L560" i="3"/>
  <c r="K561" i="29" s="1"/>
  <c r="L558" i="3"/>
  <c r="K559" i="29" s="1"/>
  <c r="L556" i="3"/>
  <c r="K557" i="29" s="1"/>
  <c r="L554" i="3"/>
  <c r="K555" i="29" s="1"/>
  <c r="L552" i="3"/>
  <c r="K553" i="29" s="1"/>
  <c r="L550" i="3"/>
  <c r="K551" i="29" s="1"/>
  <c r="L548" i="3"/>
  <c r="K549" i="29" s="1"/>
  <c r="L546" i="3"/>
  <c r="K547" i="29" s="1"/>
  <c r="L544" i="3"/>
  <c r="K545" i="29" s="1"/>
  <c r="L542" i="3"/>
  <c r="K543" i="29" s="1"/>
  <c r="L540" i="3"/>
  <c r="K541" i="29" s="1"/>
  <c r="L538" i="3"/>
  <c r="K539" i="29" s="1"/>
  <c r="L536" i="3"/>
  <c r="K537" i="29" s="1"/>
  <c r="L534" i="3"/>
  <c r="K535" i="29" s="1"/>
  <c r="L532" i="3"/>
  <c r="K533" i="29" s="1"/>
  <c r="L530" i="3"/>
  <c r="K531" i="29" s="1"/>
  <c r="L528" i="3"/>
  <c r="K529" i="29" s="1"/>
  <c r="L526" i="3"/>
  <c r="K527" i="29" s="1"/>
  <c r="L524" i="3"/>
  <c r="K525" i="29" s="1"/>
  <c r="L522" i="3"/>
  <c r="K523" i="29" s="1"/>
  <c r="L520" i="3"/>
  <c r="K521" i="29" s="1"/>
  <c r="L518" i="3"/>
  <c r="K519" i="29" s="1"/>
  <c r="L516" i="3"/>
  <c r="K517" i="29" s="1"/>
  <c r="L514" i="3"/>
  <c r="K515" i="29" s="1"/>
  <c r="L512" i="3"/>
  <c r="K513" i="29" s="1"/>
  <c r="L510" i="3"/>
  <c r="K511" i="29" s="1"/>
  <c r="L508" i="3"/>
  <c r="K509" i="29" s="1"/>
  <c r="L506" i="3"/>
  <c r="K507" i="29" s="1"/>
  <c r="L504" i="3"/>
  <c r="K505" i="29" s="1"/>
  <c r="L502" i="3"/>
  <c r="K503" i="29" s="1"/>
  <c r="L500" i="3"/>
  <c r="K501" i="29" s="1"/>
  <c r="L498" i="3"/>
  <c r="K499" i="29" s="1"/>
  <c r="L496" i="3"/>
  <c r="K497" i="29" s="1"/>
  <c r="L494" i="3"/>
  <c r="K495" i="29" s="1"/>
  <c r="L492" i="3"/>
  <c r="K493" i="29" s="1"/>
  <c r="L490" i="3"/>
  <c r="K491" i="29" s="1"/>
  <c r="L488" i="3"/>
  <c r="K489" i="29" s="1"/>
  <c r="L484" i="3"/>
  <c r="K485" i="29" s="1"/>
  <c r="L480" i="3"/>
  <c r="K481" i="29" s="1"/>
  <c r="L476" i="3"/>
  <c r="K477" i="29" s="1"/>
  <c r="L472" i="3"/>
  <c r="K473" i="29" s="1"/>
  <c r="L468" i="3"/>
  <c r="K469" i="29" s="1"/>
  <c r="L462" i="3"/>
  <c r="K463" i="29" s="1"/>
  <c r="L458" i="3"/>
  <c r="K459" i="29" s="1"/>
  <c r="L454" i="3"/>
  <c r="K455" i="29" s="1"/>
  <c r="L450" i="3"/>
  <c r="K451" i="29" s="1"/>
  <c r="L446" i="3"/>
  <c r="K447" i="29" s="1"/>
  <c r="L442" i="3"/>
  <c r="K443" i="29" s="1"/>
  <c r="L438" i="3"/>
  <c r="K439" i="29" s="1"/>
  <c r="L434" i="3"/>
  <c r="K435" i="29" s="1"/>
  <c r="L430" i="3"/>
  <c r="K431" i="29" s="1"/>
  <c r="L426" i="3"/>
  <c r="K427" i="29" s="1"/>
  <c r="L422" i="3"/>
  <c r="K423" i="29" s="1"/>
  <c r="L418" i="3"/>
  <c r="K419" i="29" s="1"/>
  <c r="L414" i="3"/>
  <c r="K415" i="29" s="1"/>
  <c r="L72" i="3"/>
  <c r="L70" i="3"/>
  <c r="L68" i="3"/>
  <c r="L66" i="3"/>
  <c r="L64" i="3"/>
  <c r="L62" i="3"/>
  <c r="L60" i="3"/>
  <c r="L58" i="3"/>
  <c r="L56" i="3"/>
  <c r="L54" i="3"/>
  <c r="L52" i="3"/>
  <c r="L50" i="3"/>
  <c r="L48" i="3"/>
  <c r="L46" i="3"/>
  <c r="L44" i="3"/>
  <c r="L42" i="3"/>
  <c r="L40" i="3"/>
  <c r="L38" i="3"/>
  <c r="L36" i="3"/>
  <c r="L34" i="3"/>
  <c r="L32" i="3"/>
  <c r="L30" i="3"/>
  <c r="L28" i="3"/>
  <c r="L26" i="3"/>
  <c r="L24" i="3"/>
  <c r="L22" i="3"/>
  <c r="L20" i="3"/>
  <c r="L18" i="3"/>
  <c r="L16" i="3"/>
  <c r="L14" i="3"/>
  <c r="L12" i="3"/>
  <c r="L10" i="3"/>
  <c r="L8" i="3"/>
  <c r="L6" i="3"/>
  <c r="L4" i="3"/>
  <c r="M572" i="4"/>
  <c r="L572" i="4" s="1"/>
  <c r="M564" i="4"/>
  <c r="L564" i="4" s="1"/>
  <c r="M556" i="4"/>
  <c r="L556" i="4" s="1"/>
  <c r="M554" i="4"/>
  <c r="L554" i="4" s="1"/>
  <c r="M548" i="4"/>
  <c r="L548" i="4" s="1"/>
  <c r="M540" i="4"/>
  <c r="L540" i="4" s="1"/>
  <c r="M538" i="4"/>
  <c r="L538" i="4" s="1"/>
  <c r="M3" i="4"/>
  <c r="L3" i="4" s="1"/>
  <c r="K3" i="28" s="1"/>
  <c r="M613" i="4"/>
  <c r="L613" i="4" s="1"/>
  <c r="M609" i="4"/>
  <c r="L609" i="4" s="1"/>
  <c r="M608" i="4"/>
  <c r="L608" i="4" s="1"/>
  <c r="M602" i="4"/>
  <c r="L602" i="4" s="1"/>
  <c r="M593" i="4"/>
  <c r="L593" i="4" s="1"/>
  <c r="M587" i="4"/>
  <c r="L587" i="4" s="1"/>
  <c r="M581" i="4"/>
  <c r="L581" i="4" s="1"/>
  <c r="M573" i="4"/>
  <c r="L573" i="4" s="1"/>
  <c r="M592" i="4"/>
  <c r="L592" i="4" s="1"/>
  <c r="M568" i="4"/>
  <c r="L568" i="4" s="1"/>
  <c r="M544" i="4"/>
  <c r="L544" i="4" s="1"/>
  <c r="M532" i="4"/>
  <c r="L532" i="4" s="1"/>
  <c r="M530" i="4"/>
  <c r="L530" i="4" s="1"/>
  <c r="M481" i="4"/>
  <c r="L481" i="4" s="1"/>
  <c r="M479" i="4"/>
  <c r="L479" i="4" s="1"/>
  <c r="M473" i="4"/>
  <c r="L473" i="4" s="1"/>
  <c r="M471" i="4"/>
  <c r="L471" i="4" s="1"/>
  <c r="M463" i="4"/>
  <c r="L463" i="4" s="1"/>
  <c r="M457" i="4"/>
  <c r="L457" i="4" s="1"/>
  <c r="M455" i="4"/>
  <c r="L455" i="4" s="1"/>
  <c r="M449" i="4"/>
  <c r="L449" i="4" s="1"/>
  <c r="M447" i="4"/>
  <c r="L447" i="4" s="1"/>
  <c r="M441" i="4"/>
  <c r="L441" i="4" s="1"/>
  <c r="M439" i="4"/>
  <c r="L439" i="4" s="1"/>
  <c r="M433" i="4"/>
  <c r="L433" i="4" s="1"/>
  <c r="M429" i="4"/>
  <c r="L429" i="4" s="1"/>
  <c r="M428" i="4"/>
  <c r="L428" i="4" s="1"/>
  <c r="M424" i="4"/>
  <c r="L424" i="4" s="1"/>
  <c r="M423" i="4"/>
  <c r="L423" i="4" s="1"/>
  <c r="M420" i="4"/>
  <c r="L420" i="4" s="1"/>
  <c r="M416" i="4"/>
  <c r="L416" i="4" s="1"/>
  <c r="M415" i="4"/>
  <c r="L415" i="4" s="1"/>
  <c r="M412" i="4"/>
  <c r="L412" i="4" s="1"/>
  <c r="M409" i="4"/>
  <c r="L409" i="4" s="1"/>
  <c r="M408" i="4"/>
  <c r="L408" i="4" s="1"/>
  <c r="M407" i="4"/>
  <c r="L407" i="4" s="1"/>
  <c r="M404" i="4"/>
  <c r="L404" i="4" s="1"/>
  <c r="M400" i="4"/>
  <c r="L400" i="4" s="1"/>
  <c r="M399" i="4"/>
  <c r="L399" i="4" s="1"/>
  <c r="M396" i="4"/>
  <c r="L396" i="4" s="1"/>
  <c r="M393" i="4"/>
  <c r="L393" i="4" s="1"/>
  <c r="M392" i="4"/>
  <c r="L392" i="4" s="1"/>
  <c r="M389" i="4"/>
  <c r="L389" i="4" s="1"/>
  <c r="M388" i="4"/>
  <c r="L388" i="4" s="1"/>
  <c r="M384" i="4"/>
  <c r="L384" i="4" s="1"/>
  <c r="M383" i="4"/>
  <c r="L383" i="4" s="1"/>
  <c r="M380" i="4"/>
  <c r="L380" i="4" s="1"/>
  <c r="M376" i="4"/>
  <c r="L376" i="4" s="1"/>
  <c r="M375" i="4"/>
  <c r="L375" i="4" s="1"/>
  <c r="M372" i="4"/>
  <c r="L372" i="4" s="1"/>
  <c r="M369" i="4"/>
  <c r="L369" i="4" s="1"/>
  <c r="M368" i="4"/>
  <c r="L368" i="4" s="1"/>
  <c r="M367" i="4"/>
  <c r="L367" i="4" s="1"/>
  <c r="M364" i="4"/>
  <c r="L364" i="4" s="1"/>
  <c r="M360" i="4"/>
  <c r="L360" i="4" s="1"/>
  <c r="M359" i="4"/>
  <c r="L359" i="4" s="1"/>
  <c r="M356" i="4"/>
  <c r="L356" i="4" s="1"/>
  <c r="M353" i="4"/>
  <c r="L353" i="4" s="1"/>
  <c r="M352" i="4"/>
  <c r="L352" i="4" s="1"/>
  <c r="M351" i="4"/>
  <c r="L351" i="4" s="1"/>
  <c r="M348" i="4"/>
  <c r="L348" i="4" s="1"/>
  <c r="M344" i="4"/>
  <c r="L344" i="4" s="1"/>
  <c r="M343" i="4"/>
  <c r="L343" i="4" s="1"/>
  <c r="M340" i="4"/>
  <c r="L340" i="4" s="1"/>
  <c r="M338" i="4"/>
  <c r="L338" i="4" s="1"/>
  <c r="M336" i="4"/>
  <c r="L336" i="4" s="1"/>
  <c r="M334" i="4"/>
  <c r="L334" i="4" s="1"/>
  <c r="M332" i="4"/>
  <c r="L332" i="4" s="1"/>
  <c r="M330" i="4"/>
  <c r="L330" i="4" s="1"/>
  <c r="M328" i="4"/>
  <c r="L328" i="4" s="1"/>
  <c r="M326" i="4"/>
  <c r="L326" i="4" s="1"/>
  <c r="M324" i="4"/>
  <c r="L324" i="4" s="1"/>
  <c r="M322" i="4"/>
  <c r="L322" i="4" s="1"/>
  <c r="M320" i="4"/>
  <c r="L320" i="4" s="1"/>
  <c r="M318" i="4"/>
  <c r="L318" i="4" s="1"/>
  <c r="M316" i="4"/>
  <c r="L316" i="4" s="1"/>
  <c r="M314" i="4"/>
  <c r="L314" i="4" s="1"/>
  <c r="M312" i="4"/>
  <c r="L312" i="4" s="1"/>
  <c r="M310" i="4"/>
  <c r="L310" i="4" s="1"/>
  <c r="M308" i="4"/>
  <c r="L308" i="4" s="1"/>
  <c r="M306" i="4"/>
  <c r="L306" i="4" s="1"/>
  <c r="M304" i="4"/>
  <c r="L304" i="4" s="1"/>
  <c r="M302" i="4"/>
  <c r="L302" i="4" s="1"/>
  <c r="M300" i="4"/>
  <c r="L300" i="4" s="1"/>
  <c r="M298" i="4"/>
  <c r="L298" i="4" s="1"/>
  <c r="M296" i="4"/>
  <c r="L296" i="4" s="1"/>
  <c r="M294" i="4"/>
  <c r="L294" i="4" s="1"/>
  <c r="M292" i="4"/>
  <c r="L292" i="4" s="1"/>
  <c r="M290" i="4"/>
  <c r="L290" i="4" s="1"/>
  <c r="M288" i="4"/>
  <c r="L288" i="4" s="1"/>
  <c r="M286" i="4"/>
  <c r="L286" i="4" s="1"/>
  <c r="M284" i="4"/>
  <c r="L284" i="4" s="1"/>
  <c r="M282" i="4"/>
  <c r="L282" i="4" s="1"/>
  <c r="M280" i="4"/>
  <c r="L280" i="4" s="1"/>
  <c r="M278" i="4"/>
  <c r="L278" i="4" s="1"/>
  <c r="M276" i="4"/>
  <c r="L276" i="4" s="1"/>
  <c r="M274" i="4"/>
  <c r="L274" i="4" s="1"/>
  <c r="M272" i="4"/>
  <c r="L272" i="4" s="1"/>
  <c r="M270" i="4"/>
  <c r="L270" i="4" s="1"/>
  <c r="M268" i="4"/>
  <c r="L268" i="4" s="1"/>
  <c r="M266" i="4"/>
  <c r="L266" i="4" s="1"/>
  <c r="M264" i="4"/>
  <c r="L264" i="4" s="1"/>
  <c r="M262" i="4"/>
  <c r="L262" i="4" s="1"/>
  <c r="M260" i="4"/>
  <c r="L260" i="4" s="1"/>
  <c r="M258" i="4"/>
  <c r="L258" i="4" s="1"/>
  <c r="M256" i="4"/>
  <c r="L256" i="4" s="1"/>
  <c r="M254" i="4"/>
  <c r="L254" i="4" s="1"/>
  <c r="M252" i="4"/>
  <c r="L252" i="4" s="1"/>
  <c r="M250" i="4"/>
  <c r="L250" i="4" s="1"/>
  <c r="M248" i="4"/>
  <c r="L248" i="4" s="1"/>
  <c r="M245" i="4"/>
  <c r="L245" i="4" s="1"/>
  <c r="M241" i="4"/>
  <c r="L241" i="4" s="1"/>
  <c r="M237" i="4"/>
  <c r="L237" i="4" s="1"/>
  <c r="M233" i="4"/>
  <c r="L233" i="4" s="1"/>
  <c r="M230" i="4"/>
  <c r="L230" i="4" s="1"/>
  <c r="M229" i="4"/>
  <c r="L229" i="4" s="1"/>
  <c r="M226" i="4"/>
  <c r="L226" i="4" s="1"/>
  <c r="M225" i="4"/>
  <c r="L225" i="4" s="1"/>
  <c r="M222" i="4"/>
  <c r="L222" i="4" s="1"/>
  <c r="M221" i="4"/>
  <c r="L221" i="4" s="1"/>
  <c r="M218" i="4"/>
  <c r="L218" i="4" s="1"/>
  <c r="M217" i="4"/>
  <c r="L217" i="4" s="1"/>
  <c r="M214" i="4"/>
  <c r="L214" i="4" s="1"/>
  <c r="M213" i="4"/>
  <c r="L213" i="4" s="1"/>
  <c r="M210" i="4"/>
  <c r="L210" i="4" s="1"/>
  <c r="M209" i="4"/>
  <c r="L209" i="4" s="1"/>
  <c r="M206" i="4"/>
  <c r="L206" i="4" s="1"/>
  <c r="M205" i="4"/>
  <c r="L205" i="4" s="1"/>
  <c r="M202" i="4"/>
  <c r="L202" i="4" s="1"/>
  <c r="M198" i="4"/>
  <c r="L198" i="4" s="1"/>
  <c r="M197" i="4"/>
  <c r="L197" i="4" s="1"/>
  <c r="M194" i="4"/>
  <c r="L194" i="4" s="1"/>
  <c r="M193" i="4"/>
  <c r="L193" i="4" s="1"/>
  <c r="M190" i="4"/>
  <c r="L190" i="4" s="1"/>
  <c r="M186" i="4"/>
  <c r="L186" i="4" s="1"/>
  <c r="M185" i="4"/>
  <c r="L185" i="4" s="1"/>
  <c r="M182" i="4"/>
  <c r="L182" i="4" s="1"/>
  <c r="M181" i="4"/>
  <c r="L181" i="4" s="1"/>
  <c r="M178" i="4"/>
  <c r="L178" i="4" s="1"/>
  <c r="M174" i="4"/>
  <c r="L174" i="4" s="1"/>
  <c r="M173" i="4"/>
  <c r="L173" i="4" s="1"/>
  <c r="M170" i="4"/>
  <c r="L170" i="4" s="1"/>
  <c r="M169" i="4"/>
  <c r="L169" i="4" s="1"/>
  <c r="M166" i="4"/>
  <c r="L166" i="4" s="1"/>
  <c r="M162" i="4"/>
  <c r="L162" i="4" s="1"/>
  <c r="M161" i="4"/>
  <c r="L161" i="4" s="1"/>
  <c r="M158" i="4"/>
  <c r="L158" i="4" s="1"/>
  <c r="M157" i="4"/>
  <c r="L157" i="4" s="1"/>
  <c r="M154" i="4"/>
  <c r="L154" i="4" s="1"/>
  <c r="M150" i="4"/>
  <c r="L150" i="4" s="1"/>
  <c r="M148" i="4"/>
  <c r="L148" i="4" s="1"/>
  <c r="M146" i="4"/>
  <c r="L146" i="4" s="1"/>
  <c r="M144" i="4"/>
  <c r="L144" i="4" s="1"/>
  <c r="M142" i="4"/>
  <c r="L142" i="4" s="1"/>
  <c r="M140" i="4"/>
  <c r="L140" i="4" s="1"/>
  <c r="M138" i="4"/>
  <c r="L138" i="4" s="1"/>
  <c r="M136" i="4"/>
  <c r="L136" i="4" s="1"/>
  <c r="M134" i="4"/>
  <c r="L134" i="4" s="1"/>
  <c r="M132" i="4"/>
  <c r="L132" i="4" s="1"/>
  <c r="M130" i="4"/>
  <c r="L130" i="4" s="1"/>
  <c r="M128" i="4"/>
  <c r="L128" i="4" s="1"/>
  <c r="M126" i="4"/>
  <c r="L126" i="4" s="1"/>
  <c r="M124" i="4"/>
  <c r="L124" i="4" s="1"/>
  <c r="M122" i="4"/>
  <c r="L122" i="4" s="1"/>
  <c r="M120" i="4"/>
  <c r="L120" i="4" s="1"/>
  <c r="M118" i="4"/>
  <c r="L118" i="4" s="1"/>
  <c r="M116" i="4"/>
  <c r="L116" i="4" s="1"/>
  <c r="M114" i="4"/>
  <c r="L114" i="4" s="1"/>
  <c r="M112" i="4"/>
  <c r="L112" i="4" s="1"/>
  <c r="M110" i="4"/>
  <c r="L110" i="4" s="1"/>
  <c r="M108" i="4"/>
  <c r="L108" i="4" s="1"/>
  <c r="M106" i="4"/>
  <c r="L106" i="4" s="1"/>
  <c r="M104" i="4"/>
  <c r="L104" i="4" s="1"/>
  <c r="M102" i="4"/>
  <c r="L102" i="4" s="1"/>
  <c r="M100" i="4"/>
  <c r="L100" i="4" s="1"/>
  <c r="M98" i="4"/>
  <c r="L98" i="4" s="1"/>
  <c r="M96" i="4"/>
  <c r="L96" i="4" s="1"/>
  <c r="M94" i="4"/>
  <c r="L94" i="4" s="1"/>
  <c r="M92" i="4"/>
  <c r="L92" i="4" s="1"/>
  <c r="M90" i="4"/>
  <c r="L90" i="4" s="1"/>
  <c r="M83" i="4"/>
  <c r="L83" i="4" s="1"/>
  <c r="K83" i="28" s="1"/>
  <c r="M81" i="4"/>
  <c r="L81" i="4" s="1"/>
  <c r="K81" i="28" s="1"/>
  <c r="M77" i="4"/>
  <c r="L77" i="4" s="1"/>
  <c r="K77" i="28" s="1"/>
  <c r="M75" i="4"/>
  <c r="L75" i="4" s="1"/>
  <c r="K75" i="28" s="1"/>
  <c r="M73" i="4"/>
  <c r="L73" i="4" s="1"/>
  <c r="K73" i="28" s="1"/>
  <c r="M70" i="4"/>
  <c r="L70" i="4" s="1"/>
  <c r="K70" i="28" s="1"/>
  <c r="M68" i="4"/>
  <c r="L68" i="4" s="1"/>
  <c r="K68" i="28" s="1"/>
  <c r="M66" i="4"/>
  <c r="L66" i="4" s="1"/>
  <c r="K66" i="28" s="1"/>
  <c r="M64" i="4"/>
  <c r="L64" i="4" s="1"/>
  <c r="K64" i="28" s="1"/>
  <c r="M62" i="4"/>
  <c r="L62" i="4" s="1"/>
  <c r="K62" i="28" s="1"/>
  <c r="M60" i="4"/>
  <c r="L60" i="4" s="1"/>
  <c r="K60" i="28" s="1"/>
  <c r="M58" i="4"/>
  <c r="L58" i="4" s="1"/>
  <c r="K58" i="28" s="1"/>
  <c r="M56" i="4"/>
  <c r="L56" i="4" s="1"/>
  <c r="K56" i="28" s="1"/>
  <c r="M54" i="4"/>
  <c r="L54" i="4" s="1"/>
  <c r="K54" i="28" s="1"/>
  <c r="M52" i="4"/>
  <c r="L52" i="4" s="1"/>
  <c r="K52" i="28" s="1"/>
  <c r="M50" i="4"/>
  <c r="L50" i="4" s="1"/>
  <c r="K50" i="28" s="1"/>
  <c r="M48" i="4"/>
  <c r="L48" i="4" s="1"/>
  <c r="K48" i="28" s="1"/>
  <c r="M46" i="4"/>
  <c r="L46" i="4" s="1"/>
  <c r="K46" i="28" s="1"/>
  <c r="M44" i="4"/>
  <c r="L44" i="4" s="1"/>
  <c r="K44" i="28" s="1"/>
  <c r="M42" i="4"/>
  <c r="L42" i="4" s="1"/>
  <c r="K42" i="28" s="1"/>
  <c r="M40" i="4"/>
  <c r="L40" i="4" s="1"/>
  <c r="K40" i="28" s="1"/>
  <c r="M38" i="4"/>
  <c r="L38" i="4" s="1"/>
  <c r="K38" i="28" s="1"/>
  <c r="M36" i="4"/>
  <c r="L36" i="4" s="1"/>
  <c r="K36" i="28" s="1"/>
  <c r="M34" i="4"/>
  <c r="L34" i="4" s="1"/>
  <c r="K34" i="28" s="1"/>
  <c r="M32" i="4"/>
  <c r="L32" i="4" s="1"/>
  <c r="K32" i="28" s="1"/>
  <c r="M30" i="4"/>
  <c r="L30" i="4" s="1"/>
  <c r="K30" i="28" s="1"/>
  <c r="M28" i="4"/>
  <c r="L28" i="4" s="1"/>
  <c r="K28" i="28" s="1"/>
  <c r="M26" i="4"/>
  <c r="L26" i="4" s="1"/>
  <c r="K26" i="28" s="1"/>
  <c r="M24" i="4"/>
  <c r="L24" i="4" s="1"/>
  <c r="K24" i="28" s="1"/>
  <c r="M22" i="4"/>
  <c r="L22" i="4" s="1"/>
  <c r="K22" i="28" s="1"/>
  <c r="M20" i="4"/>
  <c r="L20" i="4" s="1"/>
  <c r="K20" i="28" s="1"/>
  <c r="M18" i="4"/>
  <c r="L18" i="4" s="1"/>
  <c r="K18" i="28" s="1"/>
  <c r="M16" i="4"/>
  <c r="L16" i="4" s="1"/>
  <c r="K16" i="28" s="1"/>
  <c r="M14" i="4"/>
  <c r="L14" i="4" s="1"/>
  <c r="K14" i="28" s="1"/>
  <c r="M12" i="4"/>
  <c r="L12" i="4" s="1"/>
  <c r="K12" i="28" s="1"/>
  <c r="M10" i="4"/>
  <c r="L10" i="4" s="1"/>
  <c r="K10" i="28" s="1"/>
  <c r="M8" i="4"/>
  <c r="L8" i="4" s="1"/>
  <c r="K8" i="28" s="1"/>
  <c r="M6" i="4"/>
  <c r="L6" i="4" s="1"/>
  <c r="K6" i="28" s="1"/>
  <c r="M4" i="4"/>
  <c r="L4" i="4" s="1"/>
  <c r="K4" i="28" s="1"/>
  <c r="L612" i="3"/>
  <c r="K613" i="29" s="1"/>
  <c r="L609" i="3"/>
  <c r="K610" i="29" s="1"/>
  <c r="L595" i="3"/>
  <c r="K596" i="29" s="1"/>
  <c r="L610" i="3"/>
  <c r="K611" i="29" s="1"/>
  <c r="L608" i="3"/>
  <c r="K609" i="29" s="1"/>
  <c r="L606" i="3"/>
  <c r="K607" i="29" s="1"/>
  <c r="L465" i="3"/>
  <c r="K466" i="29" s="1"/>
  <c r="L449" i="3"/>
  <c r="K450" i="29" s="1"/>
  <c r="L437" i="3"/>
  <c r="K438" i="29" s="1"/>
  <c r="L429" i="3"/>
  <c r="K430" i="29" s="1"/>
  <c r="L599" i="3"/>
  <c r="K600" i="29" s="1"/>
  <c r="L593" i="3"/>
  <c r="K594" i="29" s="1"/>
  <c r="L613" i="3"/>
  <c r="K614" i="29" s="1"/>
  <c r="L605" i="3"/>
  <c r="K606" i="29" s="1"/>
  <c r="L598" i="3"/>
  <c r="K599" i="29" s="1"/>
  <c r="L596" i="3"/>
  <c r="K597" i="29" s="1"/>
  <c r="L591" i="3"/>
  <c r="K592" i="29" s="1"/>
  <c r="L589" i="3"/>
  <c r="K590" i="29" s="1"/>
  <c r="L587" i="3"/>
  <c r="K588" i="29" s="1"/>
  <c r="L585" i="3"/>
  <c r="K586" i="29" s="1"/>
  <c r="L583" i="3"/>
  <c r="K584" i="29" s="1"/>
  <c r="L581" i="3"/>
  <c r="K582" i="29" s="1"/>
  <c r="L579" i="3"/>
  <c r="K580" i="29" s="1"/>
  <c r="L577" i="3"/>
  <c r="K578" i="29" s="1"/>
  <c r="L575" i="3"/>
  <c r="K576" i="29" s="1"/>
  <c r="L573" i="3"/>
  <c r="K574" i="29" s="1"/>
  <c r="L571" i="3"/>
  <c r="K572" i="29" s="1"/>
  <c r="L569" i="3"/>
  <c r="K570" i="29" s="1"/>
  <c r="L567" i="3"/>
  <c r="K568" i="29" s="1"/>
  <c r="L565" i="3"/>
  <c r="K566" i="29" s="1"/>
  <c r="L563" i="3"/>
  <c r="K564" i="29" s="1"/>
  <c r="L561" i="3"/>
  <c r="K562" i="29" s="1"/>
  <c r="L559" i="3"/>
  <c r="K560" i="29" s="1"/>
  <c r="L557" i="3"/>
  <c r="K558" i="29" s="1"/>
  <c r="L555" i="3"/>
  <c r="K556" i="29" s="1"/>
  <c r="L553" i="3"/>
  <c r="K554" i="29" s="1"/>
  <c r="L551" i="3"/>
  <c r="K552" i="29" s="1"/>
  <c r="L549" i="3"/>
  <c r="K550" i="29" s="1"/>
  <c r="L547" i="3"/>
  <c r="K548" i="29" s="1"/>
  <c r="L545" i="3"/>
  <c r="K546" i="29" s="1"/>
  <c r="L543" i="3"/>
  <c r="K544" i="29" s="1"/>
  <c r="L541" i="3"/>
  <c r="K542" i="29" s="1"/>
  <c r="L539" i="3"/>
  <c r="K540" i="29" s="1"/>
  <c r="L537" i="3"/>
  <c r="K538" i="29" s="1"/>
  <c r="L535" i="3"/>
  <c r="K536" i="29" s="1"/>
  <c r="L533" i="3"/>
  <c r="K534" i="29" s="1"/>
  <c r="L531" i="3"/>
  <c r="K532" i="29" s="1"/>
  <c r="L529" i="3"/>
  <c r="K530" i="29" s="1"/>
  <c r="L527" i="3"/>
  <c r="K528" i="29" s="1"/>
  <c r="L525" i="3"/>
  <c r="K526" i="29" s="1"/>
  <c r="L523" i="3"/>
  <c r="K524" i="29" s="1"/>
  <c r="L521" i="3"/>
  <c r="K522" i="29" s="1"/>
  <c r="L519" i="3"/>
  <c r="K520" i="29" s="1"/>
  <c r="L517" i="3"/>
  <c r="K518" i="29" s="1"/>
  <c r="L515" i="3"/>
  <c r="K516" i="29" s="1"/>
  <c r="L513" i="3"/>
  <c r="K514" i="29" s="1"/>
  <c r="L511" i="3"/>
  <c r="K512" i="29" s="1"/>
  <c r="L509" i="3"/>
  <c r="K510" i="29" s="1"/>
  <c r="L507" i="3"/>
  <c r="K508" i="29" s="1"/>
  <c r="L505" i="3"/>
  <c r="K506" i="29" s="1"/>
  <c r="L503" i="3"/>
  <c r="K504" i="29" s="1"/>
  <c r="L501" i="3"/>
  <c r="K502" i="29" s="1"/>
  <c r="L499" i="3"/>
  <c r="K500" i="29" s="1"/>
  <c r="L469" i="3"/>
  <c r="K470" i="29" s="1"/>
  <c r="L457" i="3"/>
  <c r="K458" i="29" s="1"/>
  <c r="L445" i="3"/>
  <c r="K446" i="29" s="1"/>
  <c r="L441" i="3"/>
  <c r="K442" i="29" s="1"/>
  <c r="L433" i="3"/>
  <c r="K434" i="29" s="1"/>
  <c r="L611" i="3"/>
  <c r="K612" i="29" s="1"/>
  <c r="L603" i="3"/>
  <c r="K604" i="29" s="1"/>
  <c r="L601" i="3"/>
  <c r="K602" i="29" s="1"/>
  <c r="L597" i="3"/>
  <c r="K598" i="29" s="1"/>
  <c r="L602" i="3"/>
  <c r="K603" i="29" s="1"/>
  <c r="L425" i="3"/>
  <c r="K426" i="29" s="1"/>
  <c r="L421" i="3"/>
  <c r="K422" i="29" s="1"/>
  <c r="L417" i="3"/>
  <c r="K418" i="29" s="1"/>
  <c r="L461" i="3"/>
  <c r="K462" i="29" s="1"/>
  <c r="L453" i="3"/>
  <c r="K454" i="29" s="1"/>
  <c r="L607" i="3"/>
  <c r="K608" i="29" s="1"/>
  <c r="L487" i="3"/>
  <c r="K488" i="29" s="1"/>
  <c r="L485" i="3"/>
  <c r="K486" i="29" s="1"/>
  <c r="L483" i="3"/>
  <c r="K484" i="29" s="1"/>
  <c r="L481" i="3"/>
  <c r="K482" i="29" s="1"/>
  <c r="L479" i="3"/>
  <c r="K480" i="29" s="1"/>
  <c r="L477" i="3"/>
  <c r="K478" i="29" s="1"/>
  <c r="L475" i="3"/>
  <c r="K476" i="29" s="1"/>
  <c r="L473" i="3"/>
  <c r="K474" i="29" s="1"/>
  <c r="L594" i="3"/>
  <c r="K595" i="29" s="1"/>
  <c r="L300" i="3"/>
  <c r="K301" i="29" s="1"/>
  <c r="L298" i="3"/>
  <c r="K299" i="29" s="1"/>
  <c r="L296" i="3"/>
  <c r="K297" i="29" s="1"/>
  <c r="L294" i="3"/>
  <c r="K295" i="29" s="1"/>
  <c r="L292" i="3"/>
  <c r="K293" i="29" s="1"/>
  <c r="L290" i="3"/>
  <c r="K291" i="29" s="1"/>
  <c r="L288" i="3"/>
  <c r="K289" i="29" s="1"/>
  <c r="L286" i="3"/>
  <c r="K287" i="29" s="1"/>
  <c r="L284" i="3"/>
  <c r="K285" i="29" s="1"/>
  <c r="L282" i="3"/>
  <c r="K283" i="29" s="1"/>
  <c r="L280" i="3"/>
  <c r="K281" i="29" s="1"/>
  <c r="L278" i="3"/>
  <c r="K279" i="29" s="1"/>
  <c r="L413" i="3"/>
  <c r="K414" i="29" s="1"/>
  <c r="L410" i="3"/>
  <c r="K411" i="29" s="1"/>
  <c r="L409" i="3"/>
  <c r="K410" i="29" s="1"/>
  <c r="L406" i="3"/>
  <c r="K407" i="29" s="1"/>
  <c r="L405" i="3"/>
  <c r="K406" i="29" s="1"/>
  <c r="L402" i="3"/>
  <c r="K403" i="29" s="1"/>
  <c r="L401" i="3"/>
  <c r="K402" i="29" s="1"/>
  <c r="L398" i="3"/>
  <c r="K399" i="29" s="1"/>
  <c r="L397" i="3"/>
  <c r="K398" i="29" s="1"/>
  <c r="L396" i="3"/>
  <c r="K397" i="29" s="1"/>
  <c r="L394" i="3"/>
  <c r="K395" i="29" s="1"/>
  <c r="L392" i="3"/>
  <c r="K393" i="29" s="1"/>
  <c r="L390" i="3"/>
  <c r="K391" i="29" s="1"/>
  <c r="L388" i="3"/>
  <c r="K389" i="29" s="1"/>
  <c r="L386" i="3"/>
  <c r="K387" i="29" s="1"/>
  <c r="L384" i="3"/>
  <c r="K385" i="29" s="1"/>
  <c r="L382" i="3"/>
  <c r="K383" i="29" s="1"/>
  <c r="L380" i="3"/>
  <c r="K381" i="29" s="1"/>
  <c r="L378" i="3"/>
  <c r="K379" i="29" s="1"/>
  <c r="L376" i="3"/>
  <c r="K377" i="29" s="1"/>
  <c r="L374" i="3"/>
  <c r="K375" i="29" s="1"/>
  <c r="L372" i="3"/>
  <c r="K373" i="29" s="1"/>
  <c r="L370" i="3"/>
  <c r="K371" i="29" s="1"/>
  <c r="L368" i="3"/>
  <c r="K369" i="29" s="1"/>
  <c r="L366" i="3"/>
  <c r="K367" i="29" s="1"/>
  <c r="L364" i="3"/>
  <c r="K365" i="29" s="1"/>
  <c r="L362" i="3"/>
  <c r="K363" i="29" s="1"/>
  <c r="L360" i="3"/>
  <c r="K361" i="29" s="1"/>
  <c r="L358" i="3"/>
  <c r="K359" i="29" s="1"/>
  <c r="L356" i="3"/>
  <c r="K357" i="29" s="1"/>
  <c r="L354" i="3"/>
  <c r="K355" i="29" s="1"/>
  <c r="L352" i="3"/>
  <c r="K353" i="29" s="1"/>
  <c r="L350" i="3"/>
  <c r="K351" i="29" s="1"/>
  <c r="L348" i="3"/>
  <c r="K349" i="29" s="1"/>
  <c r="L346" i="3"/>
  <c r="K347" i="29" s="1"/>
  <c r="L344" i="3"/>
  <c r="K345" i="29" s="1"/>
  <c r="L342" i="3"/>
  <c r="K343" i="29" s="1"/>
  <c r="L340" i="3"/>
  <c r="K341" i="29" s="1"/>
  <c r="L338" i="3"/>
  <c r="K339" i="29" s="1"/>
  <c r="L336" i="3"/>
  <c r="K337" i="29" s="1"/>
  <c r="L334" i="3"/>
  <c r="K335" i="29" s="1"/>
  <c r="L332" i="3"/>
  <c r="K333" i="29" s="1"/>
  <c r="L330" i="3"/>
  <c r="K331" i="29" s="1"/>
  <c r="L328" i="3"/>
  <c r="K329" i="29" s="1"/>
  <c r="L326" i="3"/>
  <c r="K327" i="29" s="1"/>
  <c r="L324" i="3"/>
  <c r="K325" i="29" s="1"/>
  <c r="L322" i="3"/>
  <c r="K323" i="29" s="1"/>
  <c r="L202" i="3"/>
  <c r="K203" i="29" s="1"/>
  <c r="L200" i="3"/>
  <c r="K201" i="29" s="1"/>
  <c r="L198" i="3"/>
  <c r="K199" i="29" s="1"/>
  <c r="L196" i="3"/>
  <c r="K197" i="29" s="1"/>
  <c r="L194" i="3"/>
  <c r="K195" i="29" s="1"/>
  <c r="L192" i="3"/>
  <c r="K193" i="29" s="1"/>
  <c r="L190" i="3"/>
  <c r="K191" i="29" s="1"/>
  <c r="L188" i="3"/>
  <c r="K189" i="29" s="1"/>
  <c r="L186" i="3"/>
  <c r="K187" i="29" s="1"/>
  <c r="L184" i="3"/>
  <c r="K185" i="29" s="1"/>
  <c r="L182" i="3"/>
  <c r="K183" i="29" s="1"/>
  <c r="L180" i="3"/>
  <c r="K181" i="29" s="1"/>
  <c r="L150" i="3"/>
  <c r="K151" i="29" s="1"/>
  <c r="L148" i="3"/>
  <c r="K149" i="29" s="1"/>
  <c r="L146" i="3"/>
  <c r="K147" i="29" s="1"/>
  <c r="L144" i="3"/>
  <c r="K145" i="29" s="1"/>
  <c r="L142" i="3"/>
  <c r="K143" i="29" s="1"/>
  <c r="L140" i="3"/>
  <c r="K141" i="29" s="1"/>
  <c r="L138" i="3"/>
  <c r="K139" i="29" s="1"/>
  <c r="L136" i="3"/>
  <c r="K137" i="29" s="1"/>
  <c r="L134" i="3"/>
  <c r="K135" i="29" s="1"/>
  <c r="L132" i="3"/>
  <c r="K133" i="29" s="1"/>
  <c r="L130" i="3"/>
  <c r="K131" i="29" s="1"/>
  <c r="L128" i="3"/>
  <c r="K129" i="29" s="1"/>
  <c r="L126" i="3"/>
  <c r="K127" i="29" s="1"/>
  <c r="L124" i="3"/>
  <c r="K125" i="29" s="1"/>
  <c r="L122" i="3"/>
  <c r="K123" i="29" s="1"/>
  <c r="L120" i="3"/>
  <c r="K121" i="29" s="1"/>
  <c r="L118" i="3"/>
  <c r="K119" i="29" s="1"/>
  <c r="L116" i="3"/>
  <c r="K117" i="29" s="1"/>
  <c r="L114" i="3"/>
  <c r="K115" i="29" s="1"/>
  <c r="L112" i="3"/>
  <c r="K113" i="29" s="1"/>
  <c r="L110" i="3"/>
  <c r="K111" i="29" s="1"/>
  <c r="L108" i="3"/>
  <c r="K109" i="29" s="1"/>
  <c r="L106" i="3"/>
  <c r="K107" i="29" s="1"/>
  <c r="L104" i="3"/>
  <c r="K105" i="29" s="1"/>
  <c r="L102" i="3"/>
  <c r="K103" i="29" s="1"/>
  <c r="L100" i="3"/>
  <c r="K101" i="29" s="1"/>
  <c r="L98" i="3"/>
  <c r="K99" i="29" s="1"/>
  <c r="L96" i="3"/>
  <c r="K97" i="29" s="1"/>
  <c r="L94" i="3"/>
  <c r="L92" i="3"/>
  <c r="L299" i="3"/>
  <c r="K300" i="29" s="1"/>
  <c r="L297" i="3"/>
  <c r="K298" i="29" s="1"/>
  <c r="L295" i="3"/>
  <c r="K296" i="29" s="1"/>
  <c r="L293" i="3"/>
  <c r="K294" i="29" s="1"/>
  <c r="L291" i="3"/>
  <c r="K292" i="29" s="1"/>
  <c r="L289" i="3"/>
  <c r="K290" i="29" s="1"/>
  <c r="L287" i="3"/>
  <c r="K288" i="29" s="1"/>
  <c r="L285" i="3"/>
  <c r="K286" i="29" s="1"/>
  <c r="L283" i="3"/>
  <c r="K284" i="29" s="1"/>
  <c r="L281" i="3"/>
  <c r="K282" i="29" s="1"/>
  <c r="L279" i="3"/>
  <c r="K280" i="29" s="1"/>
  <c r="L277" i="3"/>
  <c r="K278" i="29" s="1"/>
  <c r="L275" i="3"/>
  <c r="K276" i="29" s="1"/>
  <c r="L273" i="3"/>
  <c r="K274" i="29" s="1"/>
  <c r="L271" i="3"/>
  <c r="K272" i="29" s="1"/>
  <c r="L269" i="3"/>
  <c r="K270" i="29" s="1"/>
  <c r="L267" i="3"/>
  <c r="K268" i="29" s="1"/>
  <c r="L265" i="3"/>
  <c r="K266" i="29" s="1"/>
  <c r="L263" i="3"/>
  <c r="K264" i="29" s="1"/>
  <c r="L261" i="3"/>
  <c r="K262" i="29" s="1"/>
  <c r="L259" i="3"/>
  <c r="K260" i="29" s="1"/>
  <c r="L257" i="3"/>
  <c r="K258" i="29" s="1"/>
  <c r="L211" i="3"/>
  <c r="K212" i="29" s="1"/>
  <c r="L207" i="3"/>
  <c r="K208" i="29" s="1"/>
  <c r="L497" i="3"/>
  <c r="K498" i="29" s="1"/>
  <c r="L495" i="3"/>
  <c r="K496" i="29" s="1"/>
  <c r="L493" i="3"/>
  <c r="K494" i="29" s="1"/>
  <c r="L491" i="3"/>
  <c r="K492" i="29" s="1"/>
  <c r="L489" i="3"/>
  <c r="K490" i="29" s="1"/>
  <c r="L486" i="3"/>
  <c r="K487" i="29" s="1"/>
  <c r="L482" i="3"/>
  <c r="K483" i="29" s="1"/>
  <c r="L478" i="3"/>
  <c r="K479" i="29" s="1"/>
  <c r="L474" i="3"/>
  <c r="K475" i="29" s="1"/>
  <c r="L471" i="3"/>
  <c r="K472" i="29" s="1"/>
  <c r="L470" i="3"/>
  <c r="K471" i="29" s="1"/>
  <c r="L467" i="3"/>
  <c r="K468" i="29" s="1"/>
  <c r="L466" i="3"/>
  <c r="K467" i="29" s="1"/>
  <c r="L464" i="3"/>
  <c r="K465" i="29" s="1"/>
  <c r="L463" i="3"/>
  <c r="K464" i="29" s="1"/>
  <c r="L460" i="3"/>
  <c r="K461" i="29" s="1"/>
  <c r="L459" i="3"/>
  <c r="K460" i="29" s="1"/>
  <c r="L456" i="3"/>
  <c r="K457" i="29" s="1"/>
  <c r="L455" i="3"/>
  <c r="K456" i="29" s="1"/>
  <c r="L452" i="3"/>
  <c r="K453" i="29" s="1"/>
  <c r="L451" i="3"/>
  <c r="K452" i="29" s="1"/>
  <c r="L448" i="3"/>
  <c r="K449" i="29" s="1"/>
  <c r="L447" i="3"/>
  <c r="K448" i="29" s="1"/>
  <c r="L444" i="3"/>
  <c r="K445" i="29" s="1"/>
  <c r="L443" i="3"/>
  <c r="K444" i="29" s="1"/>
  <c r="L440" i="3"/>
  <c r="K441" i="29" s="1"/>
  <c r="L439" i="3"/>
  <c r="K440" i="29" s="1"/>
  <c r="L436" i="3"/>
  <c r="K437" i="29" s="1"/>
  <c r="L435" i="3"/>
  <c r="K436" i="29" s="1"/>
  <c r="L432" i="3"/>
  <c r="K433" i="29" s="1"/>
  <c r="L431" i="3"/>
  <c r="K432" i="29" s="1"/>
  <c r="L428" i="3"/>
  <c r="K429" i="29" s="1"/>
  <c r="L427" i="3"/>
  <c r="K428" i="29" s="1"/>
  <c r="L424" i="3"/>
  <c r="K425" i="29" s="1"/>
  <c r="L423" i="3"/>
  <c r="K424" i="29" s="1"/>
  <c r="L420" i="3"/>
  <c r="K421" i="29" s="1"/>
  <c r="L419" i="3"/>
  <c r="K420" i="29" s="1"/>
  <c r="L416" i="3"/>
  <c r="K417" i="29" s="1"/>
  <c r="L415" i="3"/>
  <c r="K416" i="29" s="1"/>
  <c r="L412" i="3"/>
  <c r="K413" i="29" s="1"/>
  <c r="L411" i="3"/>
  <c r="K412" i="29" s="1"/>
  <c r="L408" i="3"/>
  <c r="K409" i="29" s="1"/>
  <c r="L407" i="3"/>
  <c r="K408" i="29" s="1"/>
  <c r="L404" i="3"/>
  <c r="K405" i="29" s="1"/>
  <c r="L403" i="3"/>
  <c r="K404" i="29" s="1"/>
  <c r="L400" i="3"/>
  <c r="K401" i="29" s="1"/>
  <c r="L399" i="3"/>
  <c r="K400" i="29" s="1"/>
  <c r="L395" i="3"/>
  <c r="K396" i="29" s="1"/>
  <c r="L393" i="3"/>
  <c r="K394" i="29" s="1"/>
  <c r="L391" i="3"/>
  <c r="K392" i="29" s="1"/>
  <c r="L389" i="3"/>
  <c r="K390" i="29" s="1"/>
  <c r="L387" i="3"/>
  <c r="K388" i="29" s="1"/>
  <c r="L385" i="3"/>
  <c r="K386" i="29" s="1"/>
  <c r="L383" i="3"/>
  <c r="K384" i="29" s="1"/>
  <c r="L381" i="3"/>
  <c r="K382" i="29" s="1"/>
  <c r="L379" i="3"/>
  <c r="K380" i="29" s="1"/>
  <c r="L377" i="3"/>
  <c r="K378" i="29" s="1"/>
  <c r="L375" i="3"/>
  <c r="K376" i="29" s="1"/>
  <c r="L373" i="3"/>
  <c r="K374" i="29" s="1"/>
  <c r="L371" i="3"/>
  <c r="K372" i="29" s="1"/>
  <c r="L369" i="3"/>
  <c r="K370" i="29" s="1"/>
  <c r="L367" i="3"/>
  <c r="K368" i="29" s="1"/>
  <c r="L365" i="3"/>
  <c r="K366" i="29" s="1"/>
  <c r="L363" i="3"/>
  <c r="K364" i="29" s="1"/>
  <c r="L361" i="3"/>
  <c r="K362" i="29" s="1"/>
  <c r="L359" i="3"/>
  <c r="K360" i="29" s="1"/>
  <c r="L357" i="3"/>
  <c r="K358" i="29" s="1"/>
  <c r="L355" i="3"/>
  <c r="K356" i="29" s="1"/>
  <c r="L353" i="3"/>
  <c r="K354" i="29" s="1"/>
  <c r="L351" i="3"/>
  <c r="K352" i="29" s="1"/>
  <c r="L349" i="3"/>
  <c r="K350" i="29" s="1"/>
  <c r="L347" i="3"/>
  <c r="K348" i="29" s="1"/>
  <c r="L345" i="3"/>
  <c r="K346" i="29" s="1"/>
  <c r="L343" i="3"/>
  <c r="K344" i="29" s="1"/>
  <c r="L341" i="3"/>
  <c r="K342" i="29" s="1"/>
  <c r="L339" i="3"/>
  <c r="K340" i="29" s="1"/>
  <c r="L337" i="3"/>
  <c r="K338" i="29" s="1"/>
  <c r="L335" i="3"/>
  <c r="K336" i="29" s="1"/>
  <c r="L333" i="3"/>
  <c r="K334" i="29" s="1"/>
  <c r="L331" i="3"/>
  <c r="K332" i="29" s="1"/>
  <c r="L329" i="3"/>
  <c r="K330" i="29" s="1"/>
  <c r="L327" i="3"/>
  <c r="K328" i="29" s="1"/>
  <c r="L325" i="3"/>
  <c r="K326" i="29" s="1"/>
  <c r="L323" i="3"/>
  <c r="K324" i="29" s="1"/>
  <c r="L321" i="3"/>
  <c r="K322" i="29" s="1"/>
  <c r="L276" i="3"/>
  <c r="K277" i="29" s="1"/>
  <c r="L274" i="3"/>
  <c r="K275" i="29" s="1"/>
  <c r="L272" i="3"/>
  <c r="K273" i="29" s="1"/>
  <c r="L270" i="3"/>
  <c r="K271" i="29" s="1"/>
  <c r="L268" i="3"/>
  <c r="K269" i="29" s="1"/>
  <c r="L266" i="3"/>
  <c r="K267" i="29" s="1"/>
  <c r="L264" i="3"/>
  <c r="K265" i="29" s="1"/>
  <c r="L262" i="3"/>
  <c r="K263" i="29" s="1"/>
  <c r="L260" i="3"/>
  <c r="K261" i="29" s="1"/>
  <c r="L258" i="3"/>
  <c r="K259" i="29" s="1"/>
  <c r="L256" i="3"/>
  <c r="K257" i="29" s="1"/>
  <c r="L206" i="3"/>
  <c r="K207" i="29" s="1"/>
  <c r="L203" i="3"/>
  <c r="K204" i="29" s="1"/>
  <c r="L201" i="3"/>
  <c r="K202" i="29" s="1"/>
  <c r="L199" i="3"/>
  <c r="K200" i="29" s="1"/>
  <c r="L197" i="3"/>
  <c r="K198" i="29" s="1"/>
  <c r="L195" i="3"/>
  <c r="K196" i="29" s="1"/>
  <c r="L193" i="3"/>
  <c r="K194" i="29" s="1"/>
  <c r="L191" i="3"/>
  <c r="K192" i="29" s="1"/>
  <c r="L189" i="3"/>
  <c r="K190" i="29" s="1"/>
  <c r="L187" i="3"/>
  <c r="K188" i="29" s="1"/>
  <c r="L185" i="3"/>
  <c r="K186" i="29" s="1"/>
  <c r="L183" i="3"/>
  <c r="K184" i="29" s="1"/>
  <c r="L181" i="3"/>
  <c r="K182" i="29" s="1"/>
  <c r="L179" i="3"/>
  <c r="K180" i="29" s="1"/>
  <c r="L149" i="3"/>
  <c r="K150" i="29" s="1"/>
  <c r="L147" i="3"/>
  <c r="K148" i="29" s="1"/>
  <c r="L145" i="3"/>
  <c r="K146" i="29" s="1"/>
  <c r="L143" i="3"/>
  <c r="K144" i="29" s="1"/>
  <c r="L141" i="3"/>
  <c r="K142" i="29" s="1"/>
  <c r="L139" i="3"/>
  <c r="K140" i="29" s="1"/>
  <c r="L137" i="3"/>
  <c r="K138" i="29" s="1"/>
  <c r="L135" i="3"/>
  <c r="K136" i="29" s="1"/>
  <c r="L133" i="3"/>
  <c r="K134" i="29" s="1"/>
  <c r="L131" i="3"/>
  <c r="K132" i="29" s="1"/>
  <c r="L129" i="3"/>
  <c r="K130" i="29" s="1"/>
  <c r="L127" i="3"/>
  <c r="K128" i="29" s="1"/>
  <c r="L125" i="3"/>
  <c r="K126" i="29" s="1"/>
  <c r="L123" i="3"/>
  <c r="K124" i="29" s="1"/>
  <c r="L121" i="3"/>
  <c r="K122" i="29" s="1"/>
  <c r="L119" i="3"/>
  <c r="K120" i="29" s="1"/>
  <c r="L117" i="3"/>
  <c r="K118" i="29" s="1"/>
  <c r="L115" i="3"/>
  <c r="K116" i="29" s="1"/>
  <c r="L113" i="3"/>
  <c r="K114" i="29" s="1"/>
  <c r="L111" i="3"/>
  <c r="K112" i="29" s="1"/>
  <c r="L109" i="3"/>
  <c r="K110" i="29" s="1"/>
  <c r="L107" i="3"/>
  <c r="K108" i="29" s="1"/>
  <c r="L105" i="3"/>
  <c r="K106" i="29" s="1"/>
  <c r="L103" i="3"/>
  <c r="K104" i="29" s="1"/>
  <c r="L101" i="3"/>
  <c r="K102" i="29" s="1"/>
  <c r="L99" i="3"/>
  <c r="K100" i="29" s="1"/>
  <c r="L97" i="3"/>
  <c r="K98" i="29" s="1"/>
  <c r="L95" i="3"/>
  <c r="L93" i="3"/>
  <c r="L91" i="3"/>
  <c r="L204" i="3"/>
  <c r="K205" i="29" s="1"/>
  <c r="L86" i="3"/>
  <c r="L84" i="3"/>
  <c r="L82" i="3"/>
  <c r="L80" i="3"/>
  <c r="L78" i="3"/>
  <c r="L76" i="3"/>
  <c r="L74" i="3"/>
  <c r="L73" i="3"/>
  <c r="L71" i="3"/>
  <c r="L89" i="3"/>
  <c r="L87" i="3"/>
  <c r="L85" i="3"/>
  <c r="L83" i="3"/>
  <c r="L81" i="3"/>
  <c r="L79" i="3"/>
  <c r="L77" i="3"/>
  <c r="L75" i="3"/>
  <c r="L69" i="3"/>
  <c r="L67" i="3"/>
  <c r="L65" i="3"/>
  <c r="L63" i="3"/>
  <c r="L61" i="3"/>
  <c r="L59" i="3"/>
  <c r="L57" i="3"/>
  <c r="L55" i="3"/>
  <c r="L53" i="3"/>
  <c r="L51" i="3"/>
  <c r="L49" i="3"/>
  <c r="L47" i="3"/>
  <c r="L45" i="3"/>
  <c r="L43" i="3"/>
  <c r="L41" i="3"/>
  <c r="L39" i="3"/>
  <c r="L37" i="3"/>
  <c r="L35" i="3"/>
  <c r="L33" i="3"/>
  <c r="L31" i="3"/>
  <c r="L29" i="3"/>
  <c r="L27" i="3"/>
  <c r="L25" i="3"/>
  <c r="L23" i="3"/>
  <c r="L21" i="3"/>
  <c r="L19" i="3"/>
  <c r="L17" i="3"/>
  <c r="L15" i="3"/>
  <c r="L13" i="3"/>
  <c r="L11" i="3"/>
  <c r="L9" i="3"/>
  <c r="L7" i="3"/>
  <c r="L90" i="3"/>
  <c r="L88" i="3"/>
  <c r="M431" i="4"/>
  <c r="L431" i="4" s="1"/>
  <c r="M417" i="4"/>
  <c r="L417" i="4" s="1"/>
  <c r="M361" i="4"/>
  <c r="L361" i="4" s="1"/>
  <c r="M345" i="4"/>
  <c r="L345" i="4" s="1"/>
  <c r="M189" i="4"/>
  <c r="L189" i="4" s="1"/>
  <c r="M177" i="4"/>
  <c r="L177" i="4" s="1"/>
  <c r="M165" i="4"/>
  <c r="L165" i="4" s="1"/>
  <c r="M87" i="4"/>
  <c r="L87" i="4" s="1"/>
  <c r="K87" i="28" s="1"/>
  <c r="M85" i="4"/>
  <c r="L85" i="4" s="1"/>
  <c r="K85" i="28" s="1"/>
  <c r="M79" i="4"/>
  <c r="L79" i="4" s="1"/>
  <c r="K79" i="28" s="1"/>
  <c r="M595" i="4"/>
  <c r="L595" i="4" s="1"/>
  <c r="M582" i="4"/>
  <c r="L582" i="4" s="1"/>
  <c r="M465" i="4"/>
  <c r="L465" i="4" s="1"/>
  <c r="M391" i="4"/>
  <c r="L391" i="4" s="1"/>
  <c r="M377" i="4"/>
  <c r="L377" i="4" s="1"/>
  <c r="M201" i="4"/>
  <c r="L201" i="4" s="1"/>
  <c r="M604" i="4"/>
  <c r="L604" i="4" s="1"/>
  <c r="M594" i="4"/>
  <c r="L594" i="4" s="1"/>
  <c r="M586" i="4"/>
  <c r="L586" i="4" s="1"/>
  <c r="M611" i="4"/>
  <c r="L611" i="4" s="1"/>
  <c r="M601" i="4"/>
  <c r="L601" i="4" s="1"/>
  <c r="M580" i="4"/>
  <c r="L580" i="4" s="1"/>
  <c r="M576" i="4"/>
  <c r="L576" i="4" s="1"/>
  <c r="M569" i="4"/>
  <c r="L569" i="4" s="1"/>
  <c r="M567" i="4"/>
  <c r="L567" i="4" s="1"/>
  <c r="M561" i="4"/>
  <c r="L561" i="4" s="1"/>
  <c r="M559" i="4"/>
  <c r="L559" i="4" s="1"/>
  <c r="M553" i="4"/>
  <c r="L553" i="4" s="1"/>
  <c r="M551" i="4"/>
  <c r="L551" i="4" s="1"/>
  <c r="M545" i="4"/>
  <c r="L545" i="4" s="1"/>
  <c r="M543" i="4"/>
  <c r="L543" i="4" s="1"/>
  <c r="M539" i="4"/>
  <c r="L539" i="4" s="1"/>
  <c r="M531" i="4"/>
  <c r="L531" i="4" s="1"/>
  <c r="M527" i="4"/>
  <c r="L527" i="4" s="1"/>
  <c r="M485" i="4"/>
  <c r="L485" i="4" s="1"/>
  <c r="M483" i="4"/>
  <c r="L483" i="4" s="1"/>
  <c r="M477" i="4"/>
  <c r="L477" i="4" s="1"/>
  <c r="M475" i="4"/>
  <c r="L475" i="4" s="1"/>
  <c r="M469" i="4"/>
  <c r="L469" i="4" s="1"/>
  <c r="M467" i="4"/>
  <c r="L467" i="4" s="1"/>
  <c r="M461" i="4"/>
  <c r="L461" i="4" s="1"/>
  <c r="M459" i="4"/>
  <c r="L459" i="4" s="1"/>
  <c r="M453" i="4"/>
  <c r="L453" i="4" s="1"/>
  <c r="M451" i="4"/>
  <c r="L451" i="4" s="1"/>
  <c r="M445" i="4"/>
  <c r="L445" i="4" s="1"/>
  <c r="M443" i="4"/>
  <c r="L443" i="4" s="1"/>
  <c r="M437" i="4"/>
  <c r="L437" i="4" s="1"/>
  <c r="M435" i="4"/>
  <c r="L435" i="4" s="1"/>
  <c r="M430" i="4"/>
  <c r="L430" i="4" s="1"/>
  <c r="M427" i="4"/>
  <c r="L427" i="4" s="1"/>
  <c r="M426" i="4"/>
  <c r="L426" i="4" s="1"/>
  <c r="M422" i="4"/>
  <c r="L422" i="4" s="1"/>
  <c r="M421" i="4"/>
  <c r="L421" i="4" s="1"/>
  <c r="M419" i="4"/>
  <c r="L419" i="4" s="1"/>
  <c r="M418" i="4"/>
  <c r="L418" i="4" s="1"/>
  <c r="M414" i="4"/>
  <c r="L414" i="4" s="1"/>
  <c r="M413" i="4"/>
  <c r="L413" i="4" s="1"/>
  <c r="M411" i="4"/>
  <c r="L411" i="4" s="1"/>
  <c r="M410" i="4"/>
  <c r="L410" i="4" s="1"/>
  <c r="M406" i="4"/>
  <c r="L406" i="4" s="1"/>
  <c r="M405" i="4"/>
  <c r="L405" i="4" s="1"/>
  <c r="M403" i="4"/>
  <c r="L403" i="4" s="1"/>
  <c r="M402" i="4"/>
  <c r="L402" i="4" s="1"/>
  <c r="M398" i="4"/>
  <c r="L398" i="4" s="1"/>
  <c r="M395" i="4"/>
  <c r="L395" i="4" s="1"/>
  <c r="M394" i="4"/>
  <c r="L394" i="4" s="1"/>
  <c r="M390" i="4"/>
  <c r="L390" i="4" s="1"/>
  <c r="M387" i="4"/>
  <c r="L387" i="4" s="1"/>
  <c r="M386" i="4"/>
  <c r="L386" i="4" s="1"/>
  <c r="M382" i="4"/>
  <c r="L382" i="4" s="1"/>
  <c r="M381" i="4"/>
  <c r="L381" i="4" s="1"/>
  <c r="M379" i="4"/>
  <c r="L379" i="4" s="1"/>
  <c r="M378" i="4"/>
  <c r="L378" i="4" s="1"/>
  <c r="M374" i="4"/>
  <c r="L374" i="4" s="1"/>
  <c r="M373" i="4"/>
  <c r="L373" i="4" s="1"/>
  <c r="M371" i="4"/>
  <c r="L371" i="4" s="1"/>
  <c r="M370" i="4"/>
  <c r="L370" i="4" s="1"/>
  <c r="M366" i="4"/>
  <c r="L366" i="4" s="1"/>
  <c r="M365" i="4"/>
  <c r="L365" i="4" s="1"/>
  <c r="M363" i="4"/>
  <c r="L363" i="4" s="1"/>
  <c r="M362" i="4"/>
  <c r="L362" i="4" s="1"/>
  <c r="M358" i="4"/>
  <c r="L358" i="4" s="1"/>
  <c r="M357" i="4"/>
  <c r="L357" i="4" s="1"/>
  <c r="M355" i="4"/>
  <c r="L355" i="4" s="1"/>
  <c r="M354" i="4"/>
  <c r="L354" i="4" s="1"/>
  <c r="M350" i="4"/>
  <c r="L350" i="4" s="1"/>
  <c r="M349" i="4"/>
  <c r="L349" i="4" s="1"/>
  <c r="M347" i="4"/>
  <c r="L347" i="4" s="1"/>
  <c r="M346" i="4"/>
  <c r="L346" i="4" s="1"/>
  <c r="M342" i="4"/>
  <c r="L342" i="4" s="1"/>
  <c r="M341" i="4"/>
  <c r="L341" i="4" s="1"/>
  <c r="M339" i="4"/>
  <c r="L339" i="4" s="1"/>
  <c r="M337" i="4"/>
  <c r="L337" i="4" s="1"/>
  <c r="M335" i="4"/>
  <c r="L335" i="4" s="1"/>
  <c r="M333" i="4"/>
  <c r="L333" i="4" s="1"/>
  <c r="M331" i="4"/>
  <c r="L331" i="4" s="1"/>
  <c r="M329" i="4"/>
  <c r="L329" i="4" s="1"/>
  <c r="M327" i="4"/>
  <c r="L327" i="4" s="1"/>
  <c r="M325" i="4"/>
  <c r="L325" i="4" s="1"/>
  <c r="M323" i="4"/>
  <c r="L323" i="4" s="1"/>
  <c r="M321" i="4"/>
  <c r="L321" i="4" s="1"/>
  <c r="M319" i="4"/>
  <c r="L319" i="4" s="1"/>
  <c r="M317" i="4"/>
  <c r="L317" i="4" s="1"/>
  <c r="M315" i="4"/>
  <c r="L315" i="4" s="1"/>
  <c r="M313" i="4"/>
  <c r="L313" i="4" s="1"/>
  <c r="M311" i="4"/>
  <c r="L311" i="4" s="1"/>
  <c r="M309" i="4"/>
  <c r="L309" i="4" s="1"/>
  <c r="M307" i="4"/>
  <c r="L307" i="4" s="1"/>
  <c r="M305" i="4"/>
  <c r="L305" i="4" s="1"/>
  <c r="M303" i="4"/>
  <c r="L303" i="4" s="1"/>
  <c r="M301" i="4"/>
  <c r="L301" i="4" s="1"/>
  <c r="M299" i="4"/>
  <c r="L299" i="4" s="1"/>
  <c r="M297" i="4"/>
  <c r="L297" i="4" s="1"/>
  <c r="M295" i="4"/>
  <c r="L295" i="4" s="1"/>
  <c r="M293" i="4"/>
  <c r="L293" i="4" s="1"/>
  <c r="M291" i="4"/>
  <c r="L291" i="4" s="1"/>
  <c r="M289" i="4"/>
  <c r="L289" i="4" s="1"/>
  <c r="M287" i="4"/>
  <c r="L287" i="4" s="1"/>
  <c r="M285" i="4"/>
  <c r="L285" i="4" s="1"/>
  <c r="M283" i="4"/>
  <c r="L283" i="4" s="1"/>
  <c r="M281" i="4"/>
  <c r="L281" i="4" s="1"/>
  <c r="M279" i="4"/>
  <c r="L279" i="4" s="1"/>
  <c r="M277" i="4"/>
  <c r="L277" i="4" s="1"/>
  <c r="M275" i="4"/>
  <c r="L275" i="4" s="1"/>
  <c r="M273" i="4"/>
  <c r="L273" i="4" s="1"/>
  <c r="M271" i="4"/>
  <c r="L271" i="4" s="1"/>
  <c r="M269" i="4"/>
  <c r="L269" i="4" s="1"/>
  <c r="M267" i="4"/>
  <c r="L267" i="4" s="1"/>
  <c r="M265" i="4"/>
  <c r="L265" i="4" s="1"/>
  <c r="M263" i="4"/>
  <c r="L263" i="4" s="1"/>
  <c r="M261" i="4"/>
  <c r="L261" i="4" s="1"/>
  <c r="M259" i="4"/>
  <c r="L259" i="4" s="1"/>
  <c r="M257" i="4"/>
  <c r="L257" i="4" s="1"/>
  <c r="M255" i="4"/>
  <c r="L255" i="4" s="1"/>
  <c r="M253" i="4"/>
  <c r="L253" i="4" s="1"/>
  <c r="M251" i="4"/>
  <c r="L251" i="4" s="1"/>
  <c r="M249" i="4"/>
  <c r="L249" i="4" s="1"/>
  <c r="M247" i="4"/>
  <c r="L247" i="4" s="1"/>
  <c r="M243" i="4"/>
  <c r="L243" i="4" s="1"/>
  <c r="M239" i="4"/>
  <c r="L239" i="4" s="1"/>
  <c r="M235" i="4"/>
  <c r="L235" i="4" s="1"/>
  <c r="M232" i="4"/>
  <c r="L232" i="4" s="1"/>
  <c r="M231" i="4"/>
  <c r="L231" i="4" s="1"/>
  <c r="M228" i="4"/>
  <c r="L228" i="4" s="1"/>
  <c r="M227" i="4"/>
  <c r="L227" i="4" s="1"/>
  <c r="M224" i="4"/>
  <c r="L224" i="4" s="1"/>
  <c r="M223" i="4"/>
  <c r="L223" i="4" s="1"/>
  <c r="M220" i="4"/>
  <c r="L220" i="4" s="1"/>
  <c r="M219" i="4"/>
  <c r="L219" i="4" s="1"/>
  <c r="M216" i="4"/>
  <c r="L216" i="4" s="1"/>
  <c r="M215" i="4"/>
  <c r="L215" i="4" s="1"/>
  <c r="M212" i="4"/>
  <c r="L212" i="4" s="1"/>
  <c r="M211" i="4"/>
  <c r="L211" i="4" s="1"/>
  <c r="M208" i="4"/>
  <c r="L208" i="4" s="1"/>
  <c r="M207" i="4"/>
  <c r="L207" i="4" s="1"/>
  <c r="M204" i="4"/>
  <c r="L204" i="4" s="1"/>
  <c r="M203" i="4"/>
  <c r="L203" i="4" s="1"/>
  <c r="M200" i="4"/>
  <c r="L200" i="4" s="1"/>
  <c r="M199" i="4"/>
  <c r="L199" i="4" s="1"/>
  <c r="M196" i="4"/>
  <c r="L196" i="4" s="1"/>
  <c r="M195" i="4"/>
  <c r="L195" i="4" s="1"/>
  <c r="M192" i="4"/>
  <c r="L192" i="4" s="1"/>
  <c r="M191" i="4"/>
  <c r="L191" i="4" s="1"/>
  <c r="M188" i="4"/>
  <c r="L188" i="4" s="1"/>
  <c r="M187" i="4"/>
  <c r="L187" i="4" s="1"/>
  <c r="M425" i="4"/>
  <c r="L425" i="4" s="1"/>
  <c r="M401" i="4"/>
  <c r="L401" i="4" s="1"/>
  <c r="M397" i="4"/>
  <c r="L397" i="4" s="1"/>
  <c r="M385" i="4"/>
  <c r="L385" i="4" s="1"/>
  <c r="M153" i="4"/>
  <c r="L153" i="4" s="1"/>
  <c r="M605" i="4"/>
  <c r="L605" i="4" s="1"/>
  <c r="M598" i="4"/>
  <c r="L598" i="4" s="1"/>
  <c r="M584" i="4"/>
  <c r="L584" i="4" s="1"/>
  <c r="M600" i="4"/>
  <c r="L600" i="4" s="1"/>
  <c r="M591" i="4"/>
  <c r="L591" i="4" s="1"/>
  <c r="M589" i="4"/>
  <c r="L589" i="4" s="1"/>
  <c r="M578" i="4"/>
  <c r="L578" i="4" s="1"/>
  <c r="M571" i="4"/>
  <c r="L571" i="4" s="1"/>
  <c r="M565" i="4"/>
  <c r="L565" i="4" s="1"/>
  <c r="M563" i="4"/>
  <c r="L563" i="4" s="1"/>
  <c r="M557" i="4"/>
  <c r="L557" i="4" s="1"/>
  <c r="M555" i="4"/>
  <c r="L555" i="4" s="1"/>
  <c r="M549" i="4"/>
  <c r="L549" i="4" s="1"/>
  <c r="M547" i="4"/>
  <c r="L547" i="4" s="1"/>
  <c r="M541" i="4"/>
  <c r="L541" i="4" s="1"/>
  <c r="M537" i="4"/>
  <c r="L537" i="4" s="1"/>
  <c r="M535" i="4"/>
  <c r="L535" i="4" s="1"/>
  <c r="M533" i="4"/>
  <c r="L533" i="4" s="1"/>
  <c r="M529" i="4"/>
  <c r="L529" i="4" s="1"/>
  <c r="M612" i="4"/>
  <c r="L612" i="4" s="1"/>
  <c r="M610" i="4"/>
  <c r="L610" i="4" s="1"/>
  <c r="M606" i="4"/>
  <c r="L606" i="4" s="1"/>
  <c r="M597" i="4"/>
  <c r="L597" i="4" s="1"/>
  <c r="M596" i="4"/>
  <c r="L596" i="4" s="1"/>
  <c r="M585" i="4"/>
  <c r="L585" i="4" s="1"/>
  <c r="M583" i="4"/>
  <c r="L583" i="4" s="1"/>
  <c r="M574" i="4"/>
  <c r="L574" i="4" s="1"/>
  <c r="M246" i="4"/>
  <c r="L246" i="4" s="1"/>
  <c r="M244" i="4"/>
  <c r="L244" i="4" s="1"/>
  <c r="M242" i="4"/>
  <c r="L242" i="4" s="1"/>
  <c r="M240" i="4"/>
  <c r="L240" i="4" s="1"/>
  <c r="M238" i="4"/>
  <c r="L238" i="4" s="1"/>
  <c r="M236" i="4"/>
  <c r="L236" i="4" s="1"/>
  <c r="M184" i="4"/>
  <c r="L184" i="4" s="1"/>
  <c r="M183" i="4"/>
  <c r="L183" i="4" s="1"/>
  <c r="M180" i="4"/>
  <c r="L180" i="4" s="1"/>
  <c r="M179" i="4"/>
  <c r="L179" i="4" s="1"/>
  <c r="M176" i="4"/>
  <c r="L176" i="4" s="1"/>
  <c r="M175" i="4"/>
  <c r="L175" i="4" s="1"/>
  <c r="M172" i="4"/>
  <c r="L172" i="4" s="1"/>
  <c r="M171" i="4"/>
  <c r="L171" i="4" s="1"/>
  <c r="M168" i="4"/>
  <c r="L168" i="4" s="1"/>
  <c r="M167" i="4"/>
  <c r="L167" i="4" s="1"/>
  <c r="M164" i="4"/>
  <c r="L164" i="4" s="1"/>
  <c r="M163" i="4"/>
  <c r="L163" i="4" s="1"/>
  <c r="M160" i="4"/>
  <c r="L160" i="4" s="1"/>
  <c r="M159" i="4"/>
  <c r="L159" i="4" s="1"/>
  <c r="M156" i="4"/>
  <c r="L156" i="4" s="1"/>
  <c r="M155" i="4"/>
  <c r="L155" i="4" s="1"/>
  <c r="M152" i="4"/>
  <c r="L152" i="4" s="1"/>
  <c r="M151" i="4"/>
  <c r="L151" i="4" s="1"/>
  <c r="M149" i="4"/>
  <c r="L149" i="4" s="1"/>
  <c r="M147" i="4"/>
  <c r="L147" i="4" s="1"/>
  <c r="M145" i="4"/>
  <c r="L145" i="4" s="1"/>
  <c r="M143" i="4"/>
  <c r="L143" i="4" s="1"/>
  <c r="M141" i="4"/>
  <c r="L141" i="4" s="1"/>
  <c r="M139" i="4"/>
  <c r="L139" i="4" s="1"/>
  <c r="M137" i="4"/>
  <c r="L137" i="4" s="1"/>
  <c r="M135" i="4"/>
  <c r="L135" i="4" s="1"/>
  <c r="M133" i="4"/>
  <c r="L133" i="4" s="1"/>
  <c r="M131" i="4"/>
  <c r="L131" i="4" s="1"/>
  <c r="M129" i="4"/>
  <c r="L129" i="4" s="1"/>
  <c r="M127" i="4"/>
  <c r="L127" i="4" s="1"/>
  <c r="M125" i="4"/>
  <c r="L125" i="4" s="1"/>
  <c r="M123" i="4"/>
  <c r="L123" i="4" s="1"/>
  <c r="M121" i="4"/>
  <c r="L121" i="4" s="1"/>
  <c r="M119" i="4"/>
  <c r="L119" i="4" s="1"/>
  <c r="M117" i="4"/>
  <c r="L117" i="4" s="1"/>
  <c r="M115" i="4"/>
  <c r="L115" i="4" s="1"/>
  <c r="M113" i="4"/>
  <c r="L113" i="4" s="1"/>
  <c r="M111" i="4"/>
  <c r="L111" i="4" s="1"/>
  <c r="M109" i="4"/>
  <c r="L109" i="4" s="1"/>
  <c r="M107" i="4"/>
  <c r="L107" i="4" s="1"/>
  <c r="M105" i="4"/>
  <c r="L105" i="4" s="1"/>
  <c r="M103" i="4"/>
  <c r="L103" i="4" s="1"/>
  <c r="M101" i="4"/>
  <c r="L101" i="4" s="1"/>
  <c r="M99" i="4"/>
  <c r="L99" i="4" s="1"/>
  <c r="M97" i="4"/>
  <c r="L97" i="4" s="1"/>
  <c r="M95" i="4"/>
  <c r="L95" i="4" s="1"/>
  <c r="M93" i="4"/>
  <c r="L93" i="4" s="1"/>
  <c r="M91" i="4"/>
  <c r="L91" i="4" s="1"/>
  <c r="M89" i="4"/>
  <c r="L89" i="4" s="1"/>
  <c r="K89" i="28" s="1"/>
  <c r="M88" i="4"/>
  <c r="L88" i="4" s="1"/>
  <c r="K88" i="28" s="1"/>
  <c r="M71" i="4"/>
  <c r="L71" i="4" s="1"/>
  <c r="K71" i="28" s="1"/>
  <c r="M69" i="4"/>
  <c r="L69" i="4" s="1"/>
  <c r="K69" i="28" s="1"/>
  <c r="M67" i="4"/>
  <c r="L67" i="4" s="1"/>
  <c r="K67" i="28" s="1"/>
  <c r="M65" i="4"/>
  <c r="L65" i="4" s="1"/>
  <c r="K65" i="28" s="1"/>
  <c r="M63" i="4"/>
  <c r="L63" i="4" s="1"/>
  <c r="K63" i="28" s="1"/>
  <c r="M61" i="4"/>
  <c r="L61" i="4" s="1"/>
  <c r="K61" i="28" s="1"/>
  <c r="M59" i="4"/>
  <c r="L59" i="4" s="1"/>
  <c r="K59" i="28" s="1"/>
  <c r="M57" i="4"/>
  <c r="L57" i="4" s="1"/>
  <c r="K57" i="28" s="1"/>
  <c r="M55" i="4"/>
  <c r="L55" i="4" s="1"/>
  <c r="K55" i="28" s="1"/>
  <c r="M53" i="4"/>
  <c r="L53" i="4" s="1"/>
  <c r="K53" i="28" s="1"/>
  <c r="M51" i="4"/>
  <c r="L51" i="4" s="1"/>
  <c r="K51" i="28" s="1"/>
  <c r="M49" i="4"/>
  <c r="L49" i="4" s="1"/>
  <c r="K49" i="28" s="1"/>
  <c r="M47" i="4"/>
  <c r="L47" i="4" s="1"/>
  <c r="K47" i="28" s="1"/>
  <c r="M45" i="4"/>
  <c r="L45" i="4" s="1"/>
  <c r="K45" i="28" s="1"/>
  <c r="M43" i="4"/>
  <c r="L43" i="4" s="1"/>
  <c r="K43" i="28" s="1"/>
  <c r="M41" i="4"/>
  <c r="L41" i="4" s="1"/>
  <c r="K41" i="28" s="1"/>
  <c r="M39" i="4"/>
  <c r="L39" i="4" s="1"/>
  <c r="K39" i="28" s="1"/>
  <c r="M37" i="4"/>
  <c r="L37" i="4" s="1"/>
  <c r="K37" i="28" s="1"/>
  <c r="M35" i="4"/>
  <c r="L35" i="4" s="1"/>
  <c r="K35" i="28" s="1"/>
  <c r="M33" i="4"/>
  <c r="L33" i="4" s="1"/>
  <c r="K33" i="28" s="1"/>
  <c r="M31" i="4"/>
  <c r="L31" i="4" s="1"/>
  <c r="K31" i="28" s="1"/>
  <c r="M29" i="4"/>
  <c r="L29" i="4" s="1"/>
  <c r="K29" i="28" s="1"/>
  <c r="M27" i="4"/>
  <c r="L27" i="4" s="1"/>
  <c r="K27" i="28" s="1"/>
  <c r="M25" i="4"/>
  <c r="L25" i="4" s="1"/>
  <c r="K25" i="28" s="1"/>
  <c r="M23" i="4"/>
  <c r="L23" i="4" s="1"/>
  <c r="K23" i="28" s="1"/>
  <c r="M21" i="4"/>
  <c r="L21" i="4" s="1"/>
  <c r="K21" i="28" s="1"/>
  <c r="M19" i="4"/>
  <c r="L19" i="4" s="1"/>
  <c r="K19" i="28" s="1"/>
  <c r="M17" i="4"/>
  <c r="L17" i="4" s="1"/>
  <c r="K17" i="28" s="1"/>
  <c r="M15" i="4"/>
  <c r="L15" i="4" s="1"/>
  <c r="K15" i="28" s="1"/>
  <c r="M13" i="4"/>
  <c r="L13" i="4" s="1"/>
  <c r="K13" i="28" s="1"/>
  <c r="M11" i="4"/>
  <c r="L11" i="4" s="1"/>
  <c r="K11" i="28" s="1"/>
  <c r="M9" i="4"/>
  <c r="L9" i="4" s="1"/>
  <c r="K9" i="28" s="1"/>
  <c r="M7" i="4"/>
  <c r="L7" i="4" s="1"/>
  <c r="K7" i="28" s="1"/>
  <c r="M5" i="4"/>
  <c r="L5" i="4" s="1"/>
  <c r="K5" i="28" s="1"/>
  <c r="M234" i="4"/>
  <c r="L234" i="4" s="1"/>
  <c r="M86" i="4"/>
  <c r="L86" i="4" s="1"/>
  <c r="K86" i="28" s="1"/>
  <c r="M84" i="4"/>
  <c r="L84" i="4" s="1"/>
  <c r="K84" i="28" s="1"/>
  <c r="M82" i="4"/>
  <c r="L82" i="4" s="1"/>
  <c r="K82" i="28" s="1"/>
  <c r="M80" i="4"/>
  <c r="L80" i="4" s="1"/>
  <c r="K80" i="28" s="1"/>
  <c r="M78" i="4"/>
  <c r="L78" i="4" s="1"/>
  <c r="K78" i="28" s="1"/>
  <c r="M76" i="4"/>
  <c r="L76" i="4" s="1"/>
  <c r="K76" i="28" s="1"/>
  <c r="M74" i="4"/>
  <c r="L74" i="4" s="1"/>
  <c r="K74" i="28" s="1"/>
  <c r="M72" i="4"/>
  <c r="L72" i="4" s="1"/>
  <c r="K72" i="28" s="1"/>
  <c r="L318" i="3"/>
  <c r="K319" i="29" s="1"/>
  <c r="L319" i="3"/>
  <c r="K320" i="29" s="1"/>
  <c r="L315" i="3"/>
  <c r="K316" i="29" s="1"/>
  <c r="L313" i="3"/>
  <c r="K314" i="29" s="1"/>
  <c r="L311" i="3"/>
  <c r="K312" i="29" s="1"/>
  <c r="L309" i="3"/>
  <c r="K310" i="29" s="1"/>
  <c r="L307" i="3"/>
  <c r="K308" i="29" s="1"/>
  <c r="L305" i="3"/>
  <c r="K306" i="29" s="1"/>
  <c r="L303" i="3"/>
  <c r="K304" i="29" s="1"/>
  <c r="L301" i="3"/>
  <c r="K302" i="29" s="1"/>
  <c r="L320" i="3"/>
  <c r="K321" i="29" s="1"/>
  <c r="L316" i="3"/>
  <c r="K317" i="29" s="1"/>
  <c r="L317" i="3"/>
  <c r="K318" i="29" s="1"/>
  <c r="L314" i="3"/>
  <c r="K315" i="29" s="1"/>
  <c r="L312" i="3"/>
  <c r="K313" i="29" s="1"/>
  <c r="L310" i="3"/>
  <c r="K311" i="29" s="1"/>
  <c r="L308" i="3"/>
  <c r="K309" i="29" s="1"/>
  <c r="L306" i="3"/>
  <c r="K307" i="29" s="1"/>
  <c r="L304" i="3"/>
  <c r="K305" i="29" s="1"/>
  <c r="L302" i="3"/>
  <c r="K303" i="29" s="1"/>
  <c r="L252" i="3"/>
  <c r="K253" i="29" s="1"/>
  <c r="L248" i="3"/>
  <c r="K249" i="29" s="1"/>
  <c r="L244" i="3"/>
  <c r="K245" i="29" s="1"/>
  <c r="L240" i="3"/>
  <c r="K241" i="29" s="1"/>
  <c r="L236" i="3"/>
  <c r="K237" i="29" s="1"/>
  <c r="L232" i="3"/>
  <c r="K233" i="29" s="1"/>
  <c r="L228" i="3"/>
  <c r="K229" i="29" s="1"/>
  <c r="L224" i="3"/>
  <c r="K225" i="29" s="1"/>
  <c r="L220" i="3"/>
  <c r="K221" i="29" s="1"/>
  <c r="L216" i="3"/>
  <c r="K217" i="29" s="1"/>
  <c r="L212" i="3"/>
  <c r="K213" i="29" s="1"/>
  <c r="L208" i="3"/>
  <c r="K209" i="29" s="1"/>
  <c r="L253" i="3"/>
  <c r="K254" i="29" s="1"/>
  <c r="L249" i="3"/>
  <c r="K250" i="29" s="1"/>
  <c r="L245" i="3"/>
  <c r="K246" i="29" s="1"/>
  <c r="L241" i="3"/>
  <c r="K242" i="29" s="1"/>
  <c r="L237" i="3"/>
  <c r="K238" i="29" s="1"/>
  <c r="L233" i="3"/>
  <c r="K234" i="29" s="1"/>
  <c r="L229" i="3"/>
  <c r="K230" i="29" s="1"/>
  <c r="L225" i="3"/>
  <c r="K226" i="29" s="1"/>
  <c r="L221" i="3"/>
  <c r="K222" i="29" s="1"/>
  <c r="L217" i="3"/>
  <c r="K218" i="29" s="1"/>
  <c r="L213" i="3"/>
  <c r="K214" i="29" s="1"/>
  <c r="L209" i="3"/>
  <c r="K210" i="29" s="1"/>
  <c r="L205" i="3"/>
  <c r="K206" i="29" s="1"/>
  <c r="L254" i="3"/>
  <c r="K255" i="29" s="1"/>
  <c r="L250" i="3"/>
  <c r="K251" i="29" s="1"/>
  <c r="L246" i="3"/>
  <c r="K247" i="29" s="1"/>
  <c r="L242" i="3"/>
  <c r="K243" i="29" s="1"/>
  <c r="L238" i="3"/>
  <c r="K239" i="29" s="1"/>
  <c r="L234" i="3"/>
  <c r="K235" i="29" s="1"/>
  <c r="L230" i="3"/>
  <c r="K231" i="29" s="1"/>
  <c r="L226" i="3"/>
  <c r="K227" i="29" s="1"/>
  <c r="L222" i="3"/>
  <c r="K223" i="29" s="1"/>
  <c r="L218" i="3"/>
  <c r="K219" i="29" s="1"/>
  <c r="L214" i="3"/>
  <c r="K215" i="29" s="1"/>
  <c r="L210" i="3"/>
  <c r="K211" i="29" s="1"/>
  <c r="L255" i="3"/>
  <c r="K256" i="29" s="1"/>
  <c r="L251" i="3"/>
  <c r="K252" i="29" s="1"/>
  <c r="L247" i="3"/>
  <c r="K248" i="29" s="1"/>
  <c r="L243" i="3"/>
  <c r="K244" i="29" s="1"/>
  <c r="L239" i="3"/>
  <c r="K240" i="29" s="1"/>
  <c r="L235" i="3"/>
  <c r="K236" i="29" s="1"/>
  <c r="L231" i="3"/>
  <c r="K232" i="29" s="1"/>
  <c r="L227" i="3"/>
  <c r="K228" i="29" s="1"/>
  <c r="L223" i="3"/>
  <c r="K224" i="29" s="1"/>
  <c r="L219" i="3"/>
  <c r="K220" i="29" s="1"/>
  <c r="L215" i="3"/>
  <c r="K216" i="29" s="1"/>
  <c r="L177" i="3"/>
  <c r="K178" i="29" s="1"/>
  <c r="L173" i="3"/>
  <c r="K174" i="29" s="1"/>
  <c r="L169" i="3"/>
  <c r="K170" i="29" s="1"/>
  <c r="L165" i="3"/>
  <c r="K166" i="29" s="1"/>
  <c r="L178" i="3"/>
  <c r="K179" i="29" s="1"/>
  <c r="L174" i="3"/>
  <c r="K175" i="29" s="1"/>
  <c r="L170" i="3"/>
  <c r="K171" i="29" s="1"/>
  <c r="L166" i="3"/>
  <c r="K167" i="29" s="1"/>
  <c r="L162" i="3"/>
  <c r="K163" i="29" s="1"/>
  <c r="L160" i="3"/>
  <c r="K161" i="29" s="1"/>
  <c r="L158" i="3"/>
  <c r="K159" i="29" s="1"/>
  <c r="L156" i="3"/>
  <c r="K157" i="29" s="1"/>
  <c r="L154" i="3"/>
  <c r="K155" i="29" s="1"/>
  <c r="L152" i="3"/>
  <c r="K153" i="29" s="1"/>
  <c r="L175" i="3"/>
  <c r="K176" i="29" s="1"/>
  <c r="L171" i="3"/>
  <c r="K172" i="29" s="1"/>
  <c r="L167" i="3"/>
  <c r="K168" i="29" s="1"/>
  <c r="L163" i="3"/>
  <c r="K164" i="29" s="1"/>
  <c r="L176" i="3"/>
  <c r="K177" i="29" s="1"/>
  <c r="L172" i="3"/>
  <c r="K173" i="29" s="1"/>
  <c r="L168" i="3"/>
  <c r="K169" i="29" s="1"/>
  <c r="L164" i="3"/>
  <c r="K165" i="29" s="1"/>
  <c r="L161" i="3"/>
  <c r="K162" i="29" s="1"/>
  <c r="L159" i="3"/>
  <c r="K160" i="29" s="1"/>
  <c r="L157" i="3"/>
  <c r="K158" i="29" s="1"/>
  <c r="L155" i="3"/>
  <c r="K156" i="29" s="1"/>
  <c r="L153" i="3"/>
  <c r="K154" i="29" s="1"/>
  <c r="L151" i="3"/>
  <c r="K152" i="29" s="1"/>
  <c r="M523" i="4"/>
  <c r="L523" i="4" s="1"/>
  <c r="M519" i="4"/>
  <c r="L519" i="4" s="1"/>
  <c r="M515" i="4"/>
  <c r="L515" i="4" s="1"/>
  <c r="M511" i="4"/>
  <c r="L511" i="4" s="1"/>
  <c r="M507" i="4"/>
  <c r="L507" i="4" s="1"/>
  <c r="M503" i="4"/>
  <c r="L503" i="4" s="1"/>
  <c r="M499" i="4"/>
  <c r="L499" i="4" s="1"/>
  <c r="M495" i="4"/>
  <c r="L495" i="4" s="1"/>
  <c r="M491" i="4"/>
  <c r="L491" i="4" s="1"/>
  <c r="M482" i="4"/>
  <c r="L482" i="4" s="1"/>
  <c r="M474" i="4"/>
  <c r="L474" i="4" s="1"/>
  <c r="M466" i="4"/>
  <c r="L466" i="4" s="1"/>
  <c r="M458" i="4"/>
  <c r="L458" i="4" s="1"/>
  <c r="M450" i="4"/>
  <c r="L450" i="4" s="1"/>
  <c r="M442" i="4"/>
  <c r="L442" i="4" s="1"/>
  <c r="M434" i="4"/>
  <c r="L434" i="4" s="1"/>
  <c r="M524" i="4"/>
  <c r="L524" i="4" s="1"/>
  <c r="M520" i="4"/>
  <c r="L520" i="4" s="1"/>
  <c r="M516" i="4"/>
  <c r="L516" i="4" s="1"/>
  <c r="M512" i="4"/>
  <c r="L512" i="4" s="1"/>
  <c r="M508" i="4"/>
  <c r="L508" i="4" s="1"/>
  <c r="M504" i="4"/>
  <c r="L504" i="4" s="1"/>
  <c r="M500" i="4"/>
  <c r="L500" i="4" s="1"/>
  <c r="M496" i="4"/>
  <c r="L496" i="4" s="1"/>
  <c r="M492" i="4"/>
  <c r="L492" i="4" s="1"/>
  <c r="M488" i="4"/>
  <c r="L488" i="4" s="1"/>
  <c r="M480" i="4"/>
  <c r="L480" i="4" s="1"/>
  <c r="M472" i="4"/>
  <c r="L472" i="4" s="1"/>
  <c r="M464" i="4"/>
  <c r="L464" i="4" s="1"/>
  <c r="M456" i="4"/>
  <c r="L456" i="4" s="1"/>
  <c r="M448" i="4"/>
  <c r="L448" i="4" s="1"/>
  <c r="M440" i="4"/>
  <c r="L440" i="4" s="1"/>
  <c r="M432" i="4"/>
  <c r="L432" i="4" s="1"/>
  <c r="M525" i="4"/>
  <c r="L525" i="4" s="1"/>
  <c r="M521" i="4"/>
  <c r="L521" i="4" s="1"/>
  <c r="M517" i="4"/>
  <c r="L517" i="4" s="1"/>
  <c r="M513" i="4"/>
  <c r="L513" i="4" s="1"/>
  <c r="M509" i="4"/>
  <c r="L509" i="4" s="1"/>
  <c r="M505" i="4"/>
  <c r="L505" i="4" s="1"/>
  <c r="M501" i="4"/>
  <c r="L501" i="4" s="1"/>
  <c r="M497" i="4"/>
  <c r="L497" i="4" s="1"/>
  <c r="M493" i="4"/>
  <c r="L493" i="4" s="1"/>
  <c r="M489" i="4"/>
  <c r="L489" i="4" s="1"/>
  <c r="M486" i="4"/>
  <c r="L486" i="4" s="1"/>
  <c r="M478" i="4"/>
  <c r="L478" i="4" s="1"/>
  <c r="M470" i="4"/>
  <c r="L470" i="4" s="1"/>
  <c r="M462" i="4"/>
  <c r="L462" i="4" s="1"/>
  <c r="M454" i="4"/>
  <c r="L454" i="4" s="1"/>
  <c r="M446" i="4"/>
  <c r="L446" i="4" s="1"/>
  <c r="M438" i="4"/>
  <c r="L438" i="4" s="1"/>
  <c r="M526" i="4"/>
  <c r="L526" i="4" s="1"/>
  <c r="M522" i="4"/>
  <c r="L522" i="4" s="1"/>
  <c r="M518" i="4"/>
  <c r="L518" i="4" s="1"/>
  <c r="M514" i="4"/>
  <c r="L514" i="4" s="1"/>
  <c r="M510" i="4"/>
  <c r="L510" i="4" s="1"/>
  <c r="M506" i="4"/>
  <c r="L506" i="4" s="1"/>
  <c r="M502" i="4"/>
  <c r="L502" i="4" s="1"/>
  <c r="M498" i="4"/>
  <c r="L498" i="4" s="1"/>
  <c r="M494" i="4"/>
  <c r="L494" i="4" s="1"/>
  <c r="M490" i="4"/>
  <c r="L490" i="4" s="1"/>
  <c r="M484" i="4"/>
  <c r="L484" i="4" s="1"/>
  <c r="M476" i="4"/>
  <c r="L476" i="4" s="1"/>
  <c r="M468" i="4"/>
  <c r="L468" i="4" s="1"/>
  <c r="M460" i="4"/>
  <c r="L460" i="4" s="1"/>
  <c r="M452" i="4"/>
  <c r="L452" i="4" s="1"/>
  <c r="M444" i="4"/>
  <c r="L444" i="4" s="1"/>
  <c r="M436" i="4"/>
  <c r="L436" i="4" s="1"/>
  <c r="K91" i="29" l="1"/>
  <c r="K90" i="5"/>
  <c r="K13" i="5"/>
  <c r="K14" i="29"/>
  <c r="K21" i="5"/>
  <c r="K22" i="29"/>
  <c r="K29" i="5"/>
  <c r="K30" i="29"/>
  <c r="K37" i="5"/>
  <c r="K38" i="29"/>
  <c r="K46" i="29"/>
  <c r="K45" i="5"/>
  <c r="K54" i="29"/>
  <c r="K53" i="5"/>
  <c r="K62" i="29"/>
  <c r="K61" i="5"/>
  <c r="K70" i="29"/>
  <c r="K69" i="5"/>
  <c r="K82" i="29"/>
  <c r="K81" i="5"/>
  <c r="K90" i="29"/>
  <c r="K89" i="5"/>
  <c r="K77" i="29"/>
  <c r="K76" i="5"/>
  <c r="K85" i="29"/>
  <c r="K84" i="5"/>
  <c r="K94" i="29"/>
  <c r="K93" i="5"/>
  <c r="K95" i="29"/>
  <c r="K94" i="5"/>
  <c r="K6" i="5"/>
  <c r="K7" i="29"/>
  <c r="K14" i="5"/>
  <c r="K15" i="29"/>
  <c r="K22" i="5"/>
  <c r="K23" i="29"/>
  <c r="K30" i="5"/>
  <c r="K31" i="29"/>
  <c r="K39" i="29"/>
  <c r="K38" i="5"/>
  <c r="K47" i="29"/>
  <c r="K46" i="5"/>
  <c r="K55" i="29"/>
  <c r="K54" i="5"/>
  <c r="K63" i="29"/>
  <c r="K62" i="5"/>
  <c r="K71" i="29"/>
  <c r="K70" i="5"/>
  <c r="K89" i="29"/>
  <c r="K88" i="5"/>
  <c r="K12" i="29"/>
  <c r="K11" i="5"/>
  <c r="K19" i="5"/>
  <c r="K20" i="29"/>
  <c r="K28" i="29"/>
  <c r="K27" i="5"/>
  <c r="K36" i="29"/>
  <c r="K35" i="5"/>
  <c r="K44" i="29"/>
  <c r="K43" i="5"/>
  <c r="K52" i="29"/>
  <c r="K51" i="5"/>
  <c r="K60" i="29"/>
  <c r="K59" i="5"/>
  <c r="K68" i="29"/>
  <c r="K67" i="5"/>
  <c r="K80" i="29"/>
  <c r="K79" i="5"/>
  <c r="K88" i="29"/>
  <c r="K87" i="5"/>
  <c r="K75" i="29"/>
  <c r="K74" i="5"/>
  <c r="K83" i="29"/>
  <c r="K82" i="5"/>
  <c r="K92" i="29"/>
  <c r="K91" i="5"/>
  <c r="K93" i="29"/>
  <c r="K92" i="5"/>
  <c r="K5" i="29"/>
  <c r="K4" i="5"/>
  <c r="K13" i="29"/>
  <c r="K12" i="5"/>
  <c r="K21" i="29"/>
  <c r="K20" i="5"/>
  <c r="K29" i="29"/>
  <c r="K28" i="5"/>
  <c r="K37" i="29"/>
  <c r="K36" i="5"/>
  <c r="K45" i="29"/>
  <c r="K44" i="5"/>
  <c r="K53" i="29"/>
  <c r="K52" i="5"/>
  <c r="K61" i="29"/>
  <c r="K60" i="5"/>
  <c r="K69" i="29"/>
  <c r="K68" i="5"/>
  <c r="K9" i="5"/>
  <c r="K10" i="29"/>
  <c r="K17" i="5"/>
  <c r="K18" i="29"/>
  <c r="K25" i="5"/>
  <c r="K26" i="29"/>
  <c r="K33" i="5"/>
  <c r="K34" i="29"/>
  <c r="K42" i="29"/>
  <c r="K41" i="5"/>
  <c r="K50" i="29"/>
  <c r="K49" i="5"/>
  <c r="K58" i="29"/>
  <c r="K57" i="5"/>
  <c r="K66" i="29"/>
  <c r="K65" i="5"/>
  <c r="K78" i="29"/>
  <c r="K77" i="5"/>
  <c r="K86" i="29"/>
  <c r="K85" i="5"/>
  <c r="K74" i="29"/>
  <c r="K73" i="5"/>
  <c r="K81" i="29"/>
  <c r="K80" i="5"/>
  <c r="K10" i="5"/>
  <c r="K11" i="29"/>
  <c r="K18" i="5"/>
  <c r="K19" i="29"/>
  <c r="K26" i="5"/>
  <c r="K27" i="29"/>
  <c r="K35" i="29"/>
  <c r="K34" i="5"/>
  <c r="K43" i="29"/>
  <c r="K42" i="5"/>
  <c r="K51" i="29"/>
  <c r="K50" i="5"/>
  <c r="K59" i="29"/>
  <c r="K58" i="5"/>
  <c r="K67" i="29"/>
  <c r="K66" i="5"/>
  <c r="K8" i="29"/>
  <c r="K7" i="5"/>
  <c r="K16" i="29"/>
  <c r="K15" i="5"/>
  <c r="K23" i="5"/>
  <c r="K24" i="29"/>
  <c r="K32" i="29"/>
  <c r="K31" i="5"/>
  <c r="K40" i="29"/>
  <c r="K39" i="5"/>
  <c r="K48" i="29"/>
  <c r="K47" i="5"/>
  <c r="K56" i="29"/>
  <c r="K55" i="5"/>
  <c r="K64" i="29"/>
  <c r="K63" i="5"/>
  <c r="K76" i="29"/>
  <c r="K75" i="5"/>
  <c r="K84" i="29"/>
  <c r="K83" i="5"/>
  <c r="K72" i="29"/>
  <c r="K71" i="5"/>
  <c r="K79" i="29"/>
  <c r="K78" i="5"/>
  <c r="K87" i="29"/>
  <c r="K86" i="5"/>
  <c r="K96" i="29"/>
  <c r="K95" i="5"/>
  <c r="K9" i="29"/>
  <c r="K8" i="5"/>
  <c r="K17" i="29"/>
  <c r="K16" i="5"/>
  <c r="K25" i="29"/>
  <c r="K24" i="5"/>
  <c r="K33" i="29"/>
  <c r="K32" i="5"/>
  <c r="K41" i="29"/>
  <c r="K40" i="5"/>
  <c r="K49" i="29"/>
  <c r="K48" i="5"/>
  <c r="K57" i="29"/>
  <c r="K56" i="5"/>
  <c r="K65" i="29"/>
  <c r="K64" i="5"/>
  <c r="K73" i="29"/>
  <c r="K72" i="5"/>
  <c r="K3" i="5"/>
  <c r="L5" i="3"/>
  <c r="K5" i="5" l="1"/>
  <c r="K6" i="29"/>
</calcChain>
</file>

<file path=xl/sharedStrings.xml><?xml version="1.0" encoding="utf-8"?>
<sst xmlns="http://schemas.openxmlformats.org/spreadsheetml/2006/main" count="6182" uniqueCount="1068">
  <si>
    <t>Архара</t>
  </si>
  <si>
    <t>Татакан</t>
  </si>
  <si>
    <t>Богучан</t>
  </si>
  <si>
    <t>Рачи</t>
  </si>
  <si>
    <t>Урил</t>
  </si>
  <si>
    <t>Тарманчукан</t>
  </si>
  <si>
    <t>Тоннельный</t>
  </si>
  <si>
    <t>Кундур-Хабаровский</t>
  </si>
  <si>
    <t>Казачий</t>
  </si>
  <si>
    <t>Ядрин</t>
  </si>
  <si>
    <t>Облучье</t>
  </si>
  <si>
    <t>Ударный</t>
  </si>
  <si>
    <t>Лагар-Аул</t>
  </si>
  <si>
    <t>Кимкан</t>
  </si>
  <si>
    <t>Известковая</t>
  </si>
  <si>
    <t>км нач</t>
  </si>
  <si>
    <t>км кон</t>
  </si>
  <si>
    <t>ПЧ</t>
  </si>
  <si>
    <t>Хани</t>
  </si>
  <si>
    <t>Усколь</t>
  </si>
  <si>
    <t>Вельбеткан</t>
  </si>
  <si>
    <t>Олекма</t>
  </si>
  <si>
    <t>Разъезд 1945 км</t>
  </si>
  <si>
    <t>Имангракан</t>
  </si>
  <si>
    <t>Тас-Юрях</t>
  </si>
  <si>
    <t>Юктали</t>
  </si>
  <si>
    <t>Талума</t>
  </si>
  <si>
    <t>Дюгабуль</t>
  </si>
  <si>
    <t>Ункур</t>
  </si>
  <si>
    <t>Разъезд 2017 км</t>
  </si>
  <si>
    <t>Чильчи</t>
  </si>
  <si>
    <t>Марихта</t>
  </si>
  <si>
    <t>Лопча</t>
  </si>
  <si>
    <t>Эльгакан</t>
  </si>
  <si>
    <t>Заячий</t>
  </si>
  <si>
    <t>Ларба</t>
  </si>
  <si>
    <t>Лумбир</t>
  </si>
  <si>
    <t>Глухаринный</t>
  </si>
  <si>
    <t>Хорогочи</t>
  </si>
  <si>
    <t>Моховой</t>
  </si>
  <si>
    <t>Кутыкан</t>
  </si>
  <si>
    <t>Кувыкта</t>
  </si>
  <si>
    <t>Курьян</t>
  </si>
  <si>
    <t>Тында</t>
  </si>
  <si>
    <t>Шахтаум</t>
  </si>
  <si>
    <t>Бестужево</t>
  </si>
  <si>
    <t>Горелый</t>
  </si>
  <si>
    <t>Штурм</t>
  </si>
  <si>
    <t>Мохортов</t>
  </si>
  <si>
    <t>Муртыгит</t>
  </si>
  <si>
    <t>Пурикан</t>
  </si>
  <si>
    <t>Аносовская</t>
  </si>
  <si>
    <t>Силип</t>
  </si>
  <si>
    <t>Заболотное</t>
  </si>
  <si>
    <t>Беленькая</t>
  </si>
  <si>
    <t>Федосеев</t>
  </si>
  <si>
    <t>Сети</t>
  </si>
  <si>
    <t>Побожий</t>
  </si>
  <si>
    <t>Первопроходцы</t>
  </si>
  <si>
    <t>Им.Генерала Милько</t>
  </si>
  <si>
    <t>Мульмуга</t>
  </si>
  <si>
    <t>Мульмугакан</t>
  </si>
  <si>
    <t>Улак</t>
  </si>
  <si>
    <t>Верхнезейск</t>
  </si>
  <si>
    <t>Апетенок</t>
  </si>
  <si>
    <t>Ижак</t>
  </si>
  <si>
    <t>Ульяновский стр.</t>
  </si>
  <si>
    <t>Огорон</t>
  </si>
  <si>
    <t>Молдавский</t>
  </si>
  <si>
    <t>Улагир</t>
  </si>
  <si>
    <t>Мирошниченко</t>
  </si>
  <si>
    <t>Тунгала</t>
  </si>
  <si>
    <t>Исакан</t>
  </si>
  <si>
    <t>Иса</t>
  </si>
  <si>
    <t>Гвоздевский</t>
  </si>
  <si>
    <t>Мустах</t>
  </si>
  <si>
    <t>Ульма</t>
  </si>
  <si>
    <t>Этыркэн</t>
  </si>
  <si>
    <t>Амган</t>
  </si>
  <si>
    <t>Шугара</t>
  </si>
  <si>
    <t>Туюн</t>
  </si>
  <si>
    <t>Стланик</t>
  </si>
  <si>
    <t>Алонка</t>
  </si>
  <si>
    <t>Кычыранкы</t>
  </si>
  <si>
    <t>Чебангда</t>
  </si>
  <si>
    <t>Буреинск</t>
  </si>
  <si>
    <t>Нальды</t>
  </si>
  <si>
    <t>Дуссе-Алинь</t>
  </si>
  <si>
    <t>Сулук</t>
  </si>
  <si>
    <t>Могды</t>
  </si>
  <si>
    <t>Орокот</t>
  </si>
  <si>
    <t>Герби</t>
  </si>
  <si>
    <t>Талиджак</t>
  </si>
  <si>
    <t>Уркальту</t>
  </si>
  <si>
    <t>Баджал</t>
  </si>
  <si>
    <t>Джамку</t>
  </si>
  <si>
    <t>Сектали</t>
  </si>
  <si>
    <t>Эанга</t>
  </si>
  <si>
    <t>Амгунь</t>
  </si>
  <si>
    <t>Сонах</t>
  </si>
  <si>
    <t>Эбгунь</t>
  </si>
  <si>
    <t>Постышево</t>
  </si>
  <si>
    <t>Дуки</t>
  </si>
  <si>
    <t>Болен</t>
  </si>
  <si>
    <t>Мони</t>
  </si>
  <si>
    <t>Эворон</t>
  </si>
  <si>
    <t>Катама</t>
  </si>
  <si>
    <t>Харпичан</t>
  </si>
  <si>
    <t>Горин</t>
  </si>
  <si>
    <t>Пиль</t>
  </si>
  <si>
    <t>Мавринский</t>
  </si>
  <si>
    <t>Хурмули</t>
  </si>
  <si>
    <t>Холони</t>
  </si>
  <si>
    <t>Лиан</t>
  </si>
  <si>
    <t>Хальгасо</t>
  </si>
  <si>
    <t>Силинка</t>
  </si>
  <si>
    <t>Код направления</t>
  </si>
  <si>
    <t>Начало станция</t>
  </si>
  <si>
    <t>Конец станция</t>
  </si>
  <si>
    <t>Гилюй</t>
  </si>
  <si>
    <t>Могот</t>
  </si>
  <si>
    <t>Рихард Зорге</t>
  </si>
  <si>
    <t>Якутский</t>
  </si>
  <si>
    <t>Нагорная-Якутская</t>
  </si>
  <si>
    <t>Аям</t>
  </si>
  <si>
    <t>Золотинка</t>
  </si>
  <si>
    <t>Окурдан</t>
  </si>
  <si>
    <t>Беркакит</t>
  </si>
  <si>
    <t>Нерюнгри-Пассажирская</t>
  </si>
  <si>
    <t>Нерюнгри-Грузовая</t>
  </si>
  <si>
    <t>Угольная</t>
  </si>
  <si>
    <t>Джелингра</t>
  </si>
  <si>
    <t>Амут</t>
  </si>
  <si>
    <t>Маревая</t>
  </si>
  <si>
    <t>Змейка</t>
  </si>
  <si>
    <t>Кудули</t>
  </si>
  <si>
    <t>Унаха</t>
  </si>
  <si>
    <t>Дипкун</t>
  </si>
  <si>
    <t>Десс</t>
  </si>
  <si>
    <t>Москоский Комсомолец</t>
  </si>
  <si>
    <t>Учугей</t>
  </si>
  <si>
    <t>Тутаул</t>
  </si>
  <si>
    <t>Клепиково</t>
  </si>
  <si>
    <t>Камнега</t>
  </si>
  <si>
    <t>Тангомен</t>
  </si>
  <si>
    <t>Дугда</t>
  </si>
  <si>
    <t>Нора</t>
  </si>
  <si>
    <t>Меун</t>
  </si>
  <si>
    <t>Дрогошевск</t>
  </si>
  <si>
    <t>Скалистый</t>
  </si>
  <si>
    <t>Червинка</t>
  </si>
  <si>
    <t>Феральск</t>
  </si>
  <si>
    <t>Звонкое</t>
  </si>
  <si>
    <t>Демченко</t>
  </si>
  <si>
    <t>Новый Ургал</t>
  </si>
  <si>
    <t>Дубликан</t>
  </si>
  <si>
    <t>Корчагин</t>
  </si>
  <si>
    <t>Ягдынья</t>
  </si>
  <si>
    <t>Долина</t>
  </si>
  <si>
    <t>Эльга</t>
  </si>
  <si>
    <t>Адникан</t>
  </si>
  <si>
    <t>Чегдомын</t>
  </si>
  <si>
    <t>Ургал I</t>
  </si>
  <si>
    <t>Разъезд 349 км</t>
  </si>
  <si>
    <t>Чемчуко</t>
  </si>
  <si>
    <t>Мугуле</t>
  </si>
  <si>
    <t>Мукунга</t>
  </si>
  <si>
    <t>Солони</t>
  </si>
  <si>
    <t>Кун</t>
  </si>
  <si>
    <t>Хумма</t>
  </si>
  <si>
    <t>Гурское</t>
  </si>
  <si>
    <t>Почепта</t>
  </si>
  <si>
    <t>Сагджему</t>
  </si>
  <si>
    <t>Уктур</t>
  </si>
  <si>
    <t>Аксака</t>
  </si>
  <si>
    <t>Галицкий</t>
  </si>
  <si>
    <t>Кенай</t>
  </si>
  <si>
    <t>Удоми</t>
  </si>
  <si>
    <t>Косграмбо</t>
  </si>
  <si>
    <t>Оунэ</t>
  </si>
  <si>
    <t>Откосная</t>
  </si>
  <si>
    <t>Кузнецовский</t>
  </si>
  <si>
    <t>Соллу</t>
  </si>
  <si>
    <t>Высокогорная</t>
  </si>
  <si>
    <t>Дакка</t>
  </si>
  <si>
    <t>Датта</t>
  </si>
  <si>
    <t>Хокайти</t>
  </si>
  <si>
    <t>Кенада</t>
  </si>
  <si>
    <t>Джигдаси</t>
  </si>
  <si>
    <t>Кото</t>
  </si>
  <si>
    <t>Инау</t>
  </si>
  <si>
    <t>Тулучи</t>
  </si>
  <si>
    <t>Разъезд 323 км</t>
  </si>
  <si>
    <t>Акур</t>
  </si>
  <si>
    <t>Людю</t>
  </si>
  <si>
    <t>Тумнин</t>
  </si>
  <si>
    <t>Дайчи</t>
  </si>
  <si>
    <t>Хуту</t>
  </si>
  <si>
    <t>Имбо</t>
  </si>
  <si>
    <t>Усть-Орочи</t>
  </si>
  <si>
    <t>Чепсары</t>
  </si>
  <si>
    <t>Монгохто</t>
  </si>
  <si>
    <t>Ландыши</t>
  </si>
  <si>
    <t>Брусничный</t>
  </si>
  <si>
    <t>Дюанка</t>
  </si>
  <si>
    <t>Токи</t>
  </si>
  <si>
    <t>Ванино-Порт</t>
  </si>
  <si>
    <t>Ванино Новый Район</t>
  </si>
  <si>
    <t>Советская гавань-Сорт.</t>
  </si>
  <si>
    <t>Десна</t>
  </si>
  <si>
    <t>Мыс Мария</t>
  </si>
  <si>
    <t>Советская гавань-город</t>
  </si>
  <si>
    <t>Комсомольск-на-Амуре II</t>
  </si>
  <si>
    <t>ск</t>
  </si>
  <si>
    <t xml:space="preserve">Комсомольск-на-Амуре </t>
  </si>
  <si>
    <t>Тунгусский</t>
  </si>
  <si>
    <t>Волочаевка II</t>
  </si>
  <si>
    <t>одн</t>
  </si>
  <si>
    <t>Дежневка</t>
  </si>
  <si>
    <t>Утиный</t>
  </si>
  <si>
    <t>Джармен</t>
  </si>
  <si>
    <t>Партизанские сопки</t>
  </si>
  <si>
    <t>Джелюмкен</t>
  </si>
  <si>
    <t>Вандан</t>
  </si>
  <si>
    <t>Форель</t>
  </si>
  <si>
    <t>Дальневосточный</t>
  </si>
  <si>
    <t>Литовко</t>
  </si>
  <si>
    <t>Санболи</t>
  </si>
  <si>
    <t>Нусхи</t>
  </si>
  <si>
    <t>Сельгон</t>
  </si>
  <si>
    <t>Хевчен</t>
  </si>
  <si>
    <t>Разъезд № 21</t>
  </si>
  <si>
    <t>Болонь</t>
  </si>
  <si>
    <t>Менгон</t>
  </si>
  <si>
    <t>Тейсон</t>
  </si>
  <si>
    <t>Эльбан</t>
  </si>
  <si>
    <t>Подали</t>
  </si>
  <si>
    <t>Разъезд 303 км</t>
  </si>
  <si>
    <t>Мылки</t>
  </si>
  <si>
    <t>н</t>
  </si>
  <si>
    <t>Ушман</t>
  </si>
  <si>
    <t>Брусит</t>
  </si>
  <si>
    <t>Кульдур</t>
  </si>
  <si>
    <t>Перевальный</t>
  </si>
  <si>
    <t>Таланжа</t>
  </si>
  <si>
    <t>Зимовье</t>
  </si>
  <si>
    <t>Эхилкан</t>
  </si>
  <si>
    <t>Таракелок</t>
  </si>
  <si>
    <t>Аланап</t>
  </si>
  <si>
    <t>Тырма</t>
  </si>
  <si>
    <t>Малинник</t>
  </si>
  <si>
    <t>Мошка</t>
  </si>
  <si>
    <t>Согда</t>
  </si>
  <si>
    <t>Смоляниново</t>
  </si>
  <si>
    <t>Новонежино</t>
  </si>
  <si>
    <t>Анисимовка</t>
  </si>
  <si>
    <t>Тигровый</t>
  </si>
  <si>
    <t>Фридман</t>
  </si>
  <si>
    <t>Красноармейский</t>
  </si>
  <si>
    <t>Партизанск</t>
  </si>
  <si>
    <t>Сергеевка</t>
  </si>
  <si>
    <t>Лозовый</t>
  </si>
  <si>
    <t>Кузнецово</t>
  </si>
  <si>
    <t>Находка</t>
  </si>
  <si>
    <t>Бархатная</t>
  </si>
  <si>
    <t>Тихоокеанская</t>
  </si>
  <si>
    <t>1</t>
  </si>
  <si>
    <t>Рыбники</t>
  </si>
  <si>
    <t>Крабовая</t>
  </si>
  <si>
    <t>Мыс Астафьева</t>
  </si>
  <si>
    <t>Хмыловский</t>
  </si>
  <si>
    <t>Находка-Восточная</t>
  </si>
  <si>
    <t>Находка-Восточная 3й парк</t>
  </si>
  <si>
    <t>2</t>
  </si>
  <si>
    <t>Барановский</t>
  </si>
  <si>
    <t>Оленевод</t>
  </si>
  <si>
    <t>Виневитино</t>
  </si>
  <si>
    <t>Провалово</t>
  </si>
  <si>
    <t>Барсовый</t>
  </si>
  <si>
    <t>Приморская</t>
  </si>
  <si>
    <t>Кедровый</t>
  </si>
  <si>
    <t>Пожарский</t>
  </si>
  <si>
    <t>Бамбурово</t>
  </si>
  <si>
    <t>Блюхер</t>
  </si>
  <si>
    <t>Рязановка</t>
  </si>
  <si>
    <t>Сухановка</t>
  </si>
  <si>
    <t>Гвоздево</t>
  </si>
  <si>
    <t>Посьет</t>
  </si>
  <si>
    <t>Махалино</t>
  </si>
  <si>
    <t>Камышовая</t>
  </si>
  <si>
    <t>Хасан</t>
  </si>
  <si>
    <t>Сосновый</t>
  </si>
  <si>
    <t>Красицкий</t>
  </si>
  <si>
    <t>Вяземская</t>
  </si>
  <si>
    <t>Аван</t>
  </si>
  <si>
    <t>Котиково</t>
  </si>
  <si>
    <t>Гедике</t>
  </si>
  <si>
    <t>Каменушка</t>
  </si>
  <si>
    <t>Розенгартовка</t>
  </si>
  <si>
    <t>Бойцово</t>
  </si>
  <si>
    <t>Бикин</t>
  </si>
  <si>
    <t>Звеньевой</t>
  </si>
  <si>
    <t>Бурлит-Волочаевский</t>
  </si>
  <si>
    <t>Лучегорск</t>
  </si>
  <si>
    <t>Ласточка</t>
  </si>
  <si>
    <t>Губерово</t>
  </si>
  <si>
    <t>Эбергард</t>
  </si>
  <si>
    <t>Блокпост 1560 км</t>
  </si>
  <si>
    <t>Дальнереченск I</t>
  </si>
  <si>
    <t>Блокпост 1571 км</t>
  </si>
  <si>
    <t>Лазо</t>
  </si>
  <si>
    <t>Грушевое</t>
  </si>
  <si>
    <t>Прохаско</t>
  </si>
  <si>
    <t>Филаретовка</t>
  </si>
  <si>
    <t>Ружино</t>
  </si>
  <si>
    <t>Лесозаводск I</t>
  </si>
  <si>
    <t>Блокпост 1634 км</t>
  </si>
  <si>
    <t>Дальнереченск II</t>
  </si>
  <si>
    <t>Лесозаводск II</t>
  </si>
  <si>
    <t>Кабарга</t>
  </si>
  <si>
    <t>Шмаковка</t>
  </si>
  <si>
    <t>Сунгач</t>
  </si>
  <si>
    <t>Свиягино</t>
  </si>
  <si>
    <t>Спасск-Дальний</t>
  </si>
  <si>
    <t>Старый Ключ</t>
  </si>
  <si>
    <t>Кнорринг</t>
  </si>
  <si>
    <t>Мучная</t>
  </si>
  <si>
    <t>Сибирцево</t>
  </si>
  <si>
    <t>Вассиановка</t>
  </si>
  <si>
    <t>Ретиховка</t>
  </si>
  <si>
    <t>Буянки</t>
  </si>
  <si>
    <t>Тихоречное</t>
  </si>
  <si>
    <t>Чернышевка</t>
  </si>
  <si>
    <t>Арсеньев</t>
  </si>
  <si>
    <t>Сысоевка</t>
  </si>
  <si>
    <t>Варфоломеевка</t>
  </si>
  <si>
    <t>Лимонник</t>
  </si>
  <si>
    <t>Новочугуевка</t>
  </si>
  <si>
    <t>Лучки</t>
  </si>
  <si>
    <t>Ярославка-Приморская</t>
  </si>
  <si>
    <t>Хорольск</t>
  </si>
  <si>
    <t>Камень-Рыболов</t>
  </si>
  <si>
    <t>Троицкий</t>
  </si>
  <si>
    <t>Ильинка</t>
  </si>
  <si>
    <t>Новокачалинск</t>
  </si>
  <si>
    <t>Орехово-Приморское</t>
  </si>
  <si>
    <t>Перелетный</t>
  </si>
  <si>
    <t>Ипполитовка</t>
  </si>
  <si>
    <t>Озурная Падь</t>
  </si>
  <si>
    <t>Новошахтинская</t>
  </si>
  <si>
    <t>Дубининский</t>
  </si>
  <si>
    <t>Уссурийск</t>
  </si>
  <si>
    <t>Блокпост 1875 км</t>
  </si>
  <si>
    <t>Баневурово</t>
  </si>
  <si>
    <t>Уссурийск II</t>
  </si>
  <si>
    <t>Воздвиженский</t>
  </si>
  <si>
    <t>Голенки</t>
  </si>
  <si>
    <t>Липовцы</t>
  </si>
  <si>
    <t>Пржевальская</t>
  </si>
  <si>
    <t>Гродеково</t>
  </si>
  <si>
    <t>Гродеково II</t>
  </si>
  <si>
    <t>Сосновая падь</t>
  </si>
  <si>
    <t>Рассыпная падь</t>
  </si>
  <si>
    <t>Биробиджан I</t>
  </si>
  <si>
    <t>Икура</t>
  </si>
  <si>
    <t>Аур</t>
  </si>
  <si>
    <t>Ин</t>
  </si>
  <si>
    <t>Ольгохта</t>
  </si>
  <si>
    <t>Волочаевка I</t>
  </si>
  <si>
    <t>Николаевка</t>
  </si>
  <si>
    <t>Приамурская</t>
  </si>
  <si>
    <t>Пост-Покровский</t>
  </si>
  <si>
    <t>Амур</t>
  </si>
  <si>
    <t>Хабаровск I</t>
  </si>
  <si>
    <t>Пристань</t>
  </si>
  <si>
    <t>ТЭЦ</t>
  </si>
  <si>
    <t>Хабаровск II</t>
  </si>
  <si>
    <t>Красная Речка</t>
  </si>
  <si>
    <t>Корфовская</t>
  </si>
  <si>
    <t>Кругликово</t>
  </si>
  <si>
    <t>Верино</t>
  </si>
  <si>
    <t>Хор</t>
  </si>
  <si>
    <t>Хака</t>
  </si>
  <si>
    <t>Дормидонтовка</t>
  </si>
  <si>
    <t>Биракан</t>
  </si>
  <si>
    <t>Теплое озеро</t>
  </si>
  <si>
    <t>Известковый завод</t>
  </si>
  <si>
    <t>Лондоко</t>
  </si>
  <si>
    <t>Будукан</t>
  </si>
  <si>
    <t>Бира</t>
  </si>
  <si>
    <t>Семисточный</t>
  </si>
  <si>
    <t>Кирга</t>
  </si>
  <si>
    <t>Биробиджан II</t>
  </si>
  <si>
    <t>Бирофельд</t>
  </si>
  <si>
    <t>Унгун</t>
  </si>
  <si>
    <t>Ленинск</t>
  </si>
  <si>
    <t>Лен</t>
  </si>
  <si>
    <t>Новый Ургал (Рзд 3 км)</t>
  </si>
  <si>
    <t>Комсомольск (349 км)</t>
  </si>
  <si>
    <t>ч</t>
  </si>
  <si>
    <t>Комсомольск-сорт.</t>
  </si>
  <si>
    <t>Комсомольск-на-Амуре</t>
  </si>
  <si>
    <t>д</t>
  </si>
  <si>
    <t>Дземги</t>
  </si>
  <si>
    <t>пс</t>
  </si>
  <si>
    <t>Амурский</t>
  </si>
  <si>
    <t>Пивань</t>
  </si>
  <si>
    <t>Блокпост 9 км</t>
  </si>
  <si>
    <t>Кумтэ</t>
  </si>
  <si>
    <t>Гайтер</t>
  </si>
  <si>
    <t>Картель</t>
  </si>
  <si>
    <t>Селихин</t>
  </si>
  <si>
    <t>Эльдиган</t>
  </si>
  <si>
    <t>Тудур</t>
  </si>
  <si>
    <t>Пони</t>
  </si>
  <si>
    <t>Новый Кузнецовский</t>
  </si>
  <si>
    <t>Блокпост 197 км</t>
  </si>
  <si>
    <t>Мули</t>
  </si>
  <si>
    <t>3</t>
  </si>
  <si>
    <t>Ванино-Грузовой</t>
  </si>
  <si>
    <t>Граница напр.</t>
  </si>
  <si>
    <t>Одн</t>
  </si>
  <si>
    <t>неч</t>
  </si>
  <si>
    <t>он</t>
  </si>
  <si>
    <t>оч</t>
  </si>
  <si>
    <t>чт</t>
  </si>
  <si>
    <t>Раздольное</t>
  </si>
  <si>
    <t>Пост 132 км</t>
  </si>
  <si>
    <t>Кипарисово</t>
  </si>
  <si>
    <t>Надеждинская</t>
  </si>
  <si>
    <t>Амурский Залив</t>
  </si>
  <si>
    <t>Океанская</t>
  </si>
  <si>
    <t>Вторая Речка</t>
  </si>
  <si>
    <t>Первая Речка</t>
  </si>
  <si>
    <t>Владивосток</t>
  </si>
  <si>
    <t>Гайдамак</t>
  </si>
  <si>
    <t>2.</t>
  </si>
  <si>
    <t>Баневур</t>
  </si>
  <si>
    <t>Мыс Чуркин</t>
  </si>
  <si>
    <t>3г</t>
  </si>
  <si>
    <t>6г</t>
  </si>
  <si>
    <t>Угловая</t>
  </si>
  <si>
    <t>Артем-Приморский I</t>
  </si>
  <si>
    <t>Артем-Приморский II</t>
  </si>
  <si>
    <t>Артем-Приморский III</t>
  </si>
  <si>
    <t>Шкотово</t>
  </si>
  <si>
    <t>2а</t>
  </si>
  <si>
    <t>Петровка</t>
  </si>
  <si>
    <t>Стрелковая</t>
  </si>
  <si>
    <t>Дунай</t>
  </si>
  <si>
    <t>Б.Камень</t>
  </si>
  <si>
    <t>Путь</t>
  </si>
  <si>
    <t>обв</t>
  </si>
  <si>
    <t>ч-т</t>
  </si>
  <si>
    <t>Участок</t>
  </si>
  <si>
    <t>Километры</t>
  </si>
  <si>
    <t>ОТЛ</t>
  </si>
  <si>
    <t>ХОР</t>
  </si>
  <si>
    <t>УД</t>
  </si>
  <si>
    <t>НЕУД</t>
  </si>
  <si>
    <t>Балл</t>
  </si>
  <si>
    <t>Рихтовка</t>
  </si>
  <si>
    <t>Уширение</t>
  </si>
  <si>
    <t>Сужение</t>
  </si>
  <si>
    <t>Уровень</t>
  </si>
  <si>
    <t>Перекос</t>
  </si>
  <si>
    <t>2ст.</t>
  </si>
  <si>
    <t>3ст.</t>
  </si>
  <si>
    <t>4ст.</t>
  </si>
  <si>
    <t>Просадка</t>
  </si>
  <si>
    <t>Всего</t>
  </si>
  <si>
    <t>Укл.</t>
  </si>
  <si>
    <t>Др.</t>
  </si>
  <si>
    <t>Код</t>
  </si>
  <si>
    <t>ст. Архара</t>
  </si>
  <si>
    <t>Архара - Татакан</t>
  </si>
  <si>
    <t>Татакан - Богучан</t>
  </si>
  <si>
    <t>Богучан - Рачи</t>
  </si>
  <si>
    <t>Рачи - Урил</t>
  </si>
  <si>
    <t>Урил - Тарманчукан</t>
  </si>
  <si>
    <t>Тарманчукан - Тоннельный</t>
  </si>
  <si>
    <t>Тоннельный - Кундур-Хабаровский</t>
  </si>
  <si>
    <t>Кундур-Хабаровский - Казачий</t>
  </si>
  <si>
    <t>Казачий - Ядрин</t>
  </si>
  <si>
    <t>Ядрин - Облучье</t>
  </si>
  <si>
    <t>ст. Облучье</t>
  </si>
  <si>
    <t>Облучье - Ударный</t>
  </si>
  <si>
    <t>Ударный - Лагар-Аул</t>
  </si>
  <si>
    <t>Лагар-Аул - Кимкан</t>
  </si>
  <si>
    <t>Кимкан - Известковая</t>
  </si>
  <si>
    <t>Известковая - Биракан</t>
  </si>
  <si>
    <t>Биракан - Теплое озеро</t>
  </si>
  <si>
    <t>Теплое озеро - Известковый завод</t>
  </si>
  <si>
    <t>Известковый завод - Лондоко</t>
  </si>
  <si>
    <t>Лондоко - Будукан</t>
  </si>
  <si>
    <t>Будукан - Бира</t>
  </si>
  <si>
    <t>ст. Бира</t>
  </si>
  <si>
    <t>Бира - Семисточный</t>
  </si>
  <si>
    <t>Семисточный - Кирга</t>
  </si>
  <si>
    <t>Кирга - Биробиджан I</t>
  </si>
  <si>
    <t>Известковая - Брусит</t>
  </si>
  <si>
    <t>Брусит - Кульдур</t>
  </si>
  <si>
    <t>Кульдур - Перевальный</t>
  </si>
  <si>
    <t>Перевальный - Таланжа</t>
  </si>
  <si>
    <t>Таланжа - Зимовье</t>
  </si>
  <si>
    <t>Зимовье - Эхилкан</t>
  </si>
  <si>
    <t>Эхилкан - Таракелок</t>
  </si>
  <si>
    <t>Таракелок - Аланап</t>
  </si>
  <si>
    <t>Аланап - Тырма</t>
  </si>
  <si>
    <t>Тырма - Малинник</t>
  </si>
  <si>
    <t>Малинник - Мошка</t>
  </si>
  <si>
    <t>Мошка - Согда</t>
  </si>
  <si>
    <t>Согда - Ушман</t>
  </si>
  <si>
    <t>Ушман - Корчагин</t>
  </si>
  <si>
    <t>Корчагин - Ягдынья</t>
  </si>
  <si>
    <t>Ягдынья - Долина</t>
  </si>
  <si>
    <t>Долина - Эльга</t>
  </si>
  <si>
    <t>Эльга - Адникан</t>
  </si>
  <si>
    <t>Адникан - Дубликан</t>
  </si>
  <si>
    <t>Дубликан - Новый Ургал (Рзд 3 км)</t>
  </si>
  <si>
    <t>Новый Ургал (Рзд 3 км) - Ургал I</t>
  </si>
  <si>
    <t>Ургал I - Разъезд 349 км</t>
  </si>
  <si>
    <t>Разъезд 349 км - Чегдомын</t>
  </si>
  <si>
    <t>ст. Хани</t>
  </si>
  <si>
    <t>Хани - Усколь</t>
  </si>
  <si>
    <t>Усколь - Вельбеткан</t>
  </si>
  <si>
    <t>Вельбеткан - Олекма</t>
  </si>
  <si>
    <t>Олекма - Разъезд 1945 км</t>
  </si>
  <si>
    <t>Разъезд 1945 км - Имангракан</t>
  </si>
  <si>
    <t>Имангракан - Тас-Юрях</t>
  </si>
  <si>
    <t>Тас-Юрях - Юктали</t>
  </si>
  <si>
    <t>Юктали - Талума</t>
  </si>
  <si>
    <t>Талума - Дюгабуль</t>
  </si>
  <si>
    <t>Дюгабуль - Ункур</t>
  </si>
  <si>
    <t>Ункур - Разъезд 2017 км</t>
  </si>
  <si>
    <t>Разъезд 2017 км - Чильчи</t>
  </si>
  <si>
    <t>Чильчи - Марихта</t>
  </si>
  <si>
    <t>Марихта - Лопча</t>
  </si>
  <si>
    <t>Эльгакан - Заячий</t>
  </si>
  <si>
    <t>Заячий - Ларба</t>
  </si>
  <si>
    <t>Ларба - Сосновый</t>
  </si>
  <si>
    <t>Сосновый - Лумбир</t>
  </si>
  <si>
    <t>Лумбир - Глухаринный</t>
  </si>
  <si>
    <t>Глухаринный - Хорогочи</t>
  </si>
  <si>
    <t>Хорогочи - Моховой</t>
  </si>
  <si>
    <t>Моховой - Кутыкан</t>
  </si>
  <si>
    <t>Кутыкан - Кувыкта</t>
  </si>
  <si>
    <t>Курьян - Тында</t>
  </si>
  <si>
    <t>Тында - Шахтаум</t>
  </si>
  <si>
    <t>Шахтаум - Бестужево</t>
  </si>
  <si>
    <t>Горелый - Штурм</t>
  </si>
  <si>
    <t>Штурм - Мохортов</t>
  </si>
  <si>
    <t>Мохортов - Муртыгит</t>
  </si>
  <si>
    <t>Муртыгит - Пурикан</t>
  </si>
  <si>
    <t>Пурикан - Аносовская</t>
  </si>
  <si>
    <t>Аносовская - Силип</t>
  </si>
  <si>
    <t>Силип - Заболотное</t>
  </si>
  <si>
    <t>Заболотное - Беленькая</t>
  </si>
  <si>
    <t>Беленькая - Федосеев</t>
  </si>
  <si>
    <t>Федосеев - Сети</t>
  </si>
  <si>
    <t>Сети - Побожий</t>
  </si>
  <si>
    <t>Побожий - Тында</t>
  </si>
  <si>
    <t>Бестужево - Джелингра</t>
  </si>
  <si>
    <t>Джелингра - Амут</t>
  </si>
  <si>
    <t>Амут - Маревая</t>
  </si>
  <si>
    <t>Маревая - Змейка</t>
  </si>
  <si>
    <t>Змейка - Кудули</t>
  </si>
  <si>
    <t>Кудули - Унаха</t>
  </si>
  <si>
    <t>Унаха - Дипкун</t>
  </si>
  <si>
    <t>Дипкун - Десс</t>
  </si>
  <si>
    <t>Десс - Москоский Комсомолец</t>
  </si>
  <si>
    <t>Москоский Комсомолец - Учугей</t>
  </si>
  <si>
    <t>Учугей - Тутаул</t>
  </si>
  <si>
    <t>Тутаул - Клепиково</t>
  </si>
  <si>
    <t>Клепиково - Первопроходцы</t>
  </si>
  <si>
    <t>Первопроходцы - Им.Генерала Милько</t>
  </si>
  <si>
    <t>Им.Генерала Милько - Мульмуга</t>
  </si>
  <si>
    <t>Мульмуга - Мульмугакан</t>
  </si>
  <si>
    <t>Мульмугакан - Улак</t>
  </si>
  <si>
    <t>Улак - Верхнезейск</t>
  </si>
  <si>
    <t>Верхнезейск - Апетенок</t>
  </si>
  <si>
    <t>Апетенок - Ижак</t>
  </si>
  <si>
    <t>Ижак - Ульяновский стр.</t>
  </si>
  <si>
    <t>Ульяновский стр. - Огорон</t>
  </si>
  <si>
    <t>Огорон - Молдавский</t>
  </si>
  <si>
    <t>Молдавский - Улагир</t>
  </si>
  <si>
    <t>Улагир - Мирошниченко</t>
  </si>
  <si>
    <t>Мирошниченко - Тунгала</t>
  </si>
  <si>
    <t>Тунгала - Камнега</t>
  </si>
  <si>
    <t>Камнега - Тангомен</t>
  </si>
  <si>
    <t>Тангомен - Дугда</t>
  </si>
  <si>
    <t>Дугда - Нора</t>
  </si>
  <si>
    <t>Нора - Меун</t>
  </si>
  <si>
    <t>Меун - Дрогошевск</t>
  </si>
  <si>
    <t>Дрогошевск - Скалистый</t>
  </si>
  <si>
    <t>Скалистый - Червинка</t>
  </si>
  <si>
    <t>Червинка - Феральск</t>
  </si>
  <si>
    <t>Феральск - Звонкое</t>
  </si>
  <si>
    <t>Звонкое - Демченко</t>
  </si>
  <si>
    <t>Демченко - Исакан</t>
  </si>
  <si>
    <t>Исакан - Иса</t>
  </si>
  <si>
    <t>Иса - Гвоздевский</t>
  </si>
  <si>
    <t>Гвоздевский - Мустах</t>
  </si>
  <si>
    <t>Мустах - Ульма</t>
  </si>
  <si>
    <t>Ульма - Этыркэн</t>
  </si>
  <si>
    <t>Этыркэн - Амган</t>
  </si>
  <si>
    <t>Амган - Шугара</t>
  </si>
  <si>
    <t>Шугара - Туюн</t>
  </si>
  <si>
    <t>Туюн - Стланик</t>
  </si>
  <si>
    <t>Стланик - Алонка</t>
  </si>
  <si>
    <t>Алонка - Кычыранкы</t>
  </si>
  <si>
    <t>Кычыранкы - Чебангда</t>
  </si>
  <si>
    <t>Чебангда - Буреинск</t>
  </si>
  <si>
    <t>Буреинск - Новый Ургал</t>
  </si>
  <si>
    <t>Новый Ургал - Ургал I</t>
  </si>
  <si>
    <t>Ургал I - Чемчуко</t>
  </si>
  <si>
    <t>Чемчуко - Мугуле</t>
  </si>
  <si>
    <t>Мугуле - Мукунга</t>
  </si>
  <si>
    <t>Мукунга - Солони</t>
  </si>
  <si>
    <t>Солони - Нальды</t>
  </si>
  <si>
    <t>Нальды - Дуссе-Алинь</t>
  </si>
  <si>
    <t>Дуссе-Алинь - Сулук</t>
  </si>
  <si>
    <t>Сулук - Могды</t>
  </si>
  <si>
    <t>Могды - Орокот</t>
  </si>
  <si>
    <t>Орокот - Герби</t>
  </si>
  <si>
    <t>Герби - Талиджак</t>
  </si>
  <si>
    <t>Талиджак - Уркальту</t>
  </si>
  <si>
    <t>Уркальту - Баджал</t>
  </si>
  <si>
    <t>Баджал - Джамку</t>
  </si>
  <si>
    <t>Джамку - Сектали</t>
  </si>
  <si>
    <t>Сектали - Эанга</t>
  </si>
  <si>
    <t>Эанга - Амгунь</t>
  </si>
  <si>
    <t>Амгунь - Сонах</t>
  </si>
  <si>
    <t>Сонах - Эбгунь</t>
  </si>
  <si>
    <t>Эбгунь - Постышево</t>
  </si>
  <si>
    <t>Постышево - Дуки</t>
  </si>
  <si>
    <t>Дуки - Болен</t>
  </si>
  <si>
    <t>Болен - Мони</t>
  </si>
  <si>
    <t>Мони - Эворон</t>
  </si>
  <si>
    <t>Эворон - Катама</t>
  </si>
  <si>
    <t>Катама - Харпичан</t>
  </si>
  <si>
    <t>Харпичан - Горин</t>
  </si>
  <si>
    <t>Горин - Пиль</t>
  </si>
  <si>
    <t>Пиль - Мавринский</t>
  </si>
  <si>
    <t>Мавринский - Хурмули</t>
  </si>
  <si>
    <t>Хурмули - Холони</t>
  </si>
  <si>
    <t>Холони - Лиан</t>
  </si>
  <si>
    <t>Лиан - Хальгасо</t>
  </si>
  <si>
    <t>Хальгасо - Силинка</t>
  </si>
  <si>
    <t>Силинка - Комсомольск-на-Амуре II</t>
  </si>
  <si>
    <t>Комсомольск-на-Амуре II - Комсомольск (349 км)</t>
  </si>
  <si>
    <t xml:space="preserve">Комсомольск-на-Амуре II - Комсомольск-на-Амуре </t>
  </si>
  <si>
    <t>Дежневка - Волочаевка II</t>
  </si>
  <si>
    <t>Тунгусский - Волочаевка II</t>
  </si>
  <si>
    <t>Волочаевка II - Утиный</t>
  </si>
  <si>
    <t>Утиный - Джармен</t>
  </si>
  <si>
    <t>Джармен - Партизанские сопки</t>
  </si>
  <si>
    <t>Партизанские сопки - Джелюмкен</t>
  </si>
  <si>
    <t>Джелюмкен - Вандан</t>
  </si>
  <si>
    <t>Вандан - Форель</t>
  </si>
  <si>
    <t>Форель - Дальневосточный</t>
  </si>
  <si>
    <t>Дальневосточный - Литовко</t>
  </si>
  <si>
    <t>Литовко - Санболи</t>
  </si>
  <si>
    <t>Санболи - Нусхи</t>
  </si>
  <si>
    <t>Нусхи - Сельгон</t>
  </si>
  <si>
    <t>Хевчен - Разъезд № 21</t>
  </si>
  <si>
    <t>Разъезд № 21 - Болонь</t>
  </si>
  <si>
    <t>Болонь - Менгон</t>
  </si>
  <si>
    <t>Менгон - Тейсон</t>
  </si>
  <si>
    <t>Тейсон - Эльбан</t>
  </si>
  <si>
    <t>Эльбан - Подали</t>
  </si>
  <si>
    <t>Подали - Разъезд 303 км</t>
  </si>
  <si>
    <t>Разъезд 303 км - Мылки</t>
  </si>
  <si>
    <t>Мылки - Комсомольск-сорт.</t>
  </si>
  <si>
    <t>ст. Комсомольск-сорт.</t>
  </si>
  <si>
    <t>Комсомольск-сорт. - Комсомольск-на-Амуре</t>
  </si>
  <si>
    <t>ст. Комсомольск-на-Амуре</t>
  </si>
  <si>
    <t>Комсомольск-на-Амуре - Дземги</t>
  </si>
  <si>
    <t>ст. Дземги</t>
  </si>
  <si>
    <t>Комсомольск-сорт. - Амурский</t>
  </si>
  <si>
    <t>ст. Амурский</t>
  </si>
  <si>
    <t>Амурский - Пивань</t>
  </si>
  <si>
    <t>ст. Пивань</t>
  </si>
  <si>
    <t>Пивань - Блокпост 9 км</t>
  </si>
  <si>
    <t>Кумтэ - Гайтер</t>
  </si>
  <si>
    <t>Гайтер - Картель</t>
  </si>
  <si>
    <t>Картель - Селихин</t>
  </si>
  <si>
    <t>Селихин - Эльдиган</t>
  </si>
  <si>
    <t>Эльдиган - Тудур</t>
  </si>
  <si>
    <t>Тудур - Пони</t>
  </si>
  <si>
    <t>Пони - Кун</t>
  </si>
  <si>
    <t>Кун - Хумма</t>
  </si>
  <si>
    <t>Хумма - Гурское</t>
  </si>
  <si>
    <t>Гурское - Почепта</t>
  </si>
  <si>
    <t>Почепта - Сагджему</t>
  </si>
  <si>
    <t>Сагджему - Уктур</t>
  </si>
  <si>
    <t>Уктур - Аксака</t>
  </si>
  <si>
    <t>Аксака - Галицкий</t>
  </si>
  <si>
    <t>Галицкий - Кенай</t>
  </si>
  <si>
    <t>Кенай - Удоми</t>
  </si>
  <si>
    <t>Удоми - Оунэ</t>
  </si>
  <si>
    <t>Оунэ - Косграмбо</t>
  </si>
  <si>
    <t>Косграмбо - Откосная</t>
  </si>
  <si>
    <t>Откосная - Кузнецовский</t>
  </si>
  <si>
    <t>Кузнецовский - Соллу</t>
  </si>
  <si>
    <t>Соллу - Высокогорная</t>
  </si>
  <si>
    <t>ст. Высокогорная</t>
  </si>
  <si>
    <t>Высокогорная - Дакка</t>
  </si>
  <si>
    <t>Дакка - Датта</t>
  </si>
  <si>
    <t>Датта - Хокайти</t>
  </si>
  <si>
    <t>Хокайти - Кенада</t>
  </si>
  <si>
    <t>Кенада - Джигдаси</t>
  </si>
  <si>
    <t>Джигдаси - Кото</t>
  </si>
  <si>
    <t>Кото - Инау</t>
  </si>
  <si>
    <t>Инау - Тулучи</t>
  </si>
  <si>
    <t>Тулучи - Акур</t>
  </si>
  <si>
    <t>Акур - Разъезд 323 км</t>
  </si>
  <si>
    <t>Разъезд 323 км - Людю</t>
  </si>
  <si>
    <t>Новый Кузнецовский - Блокпост 197 км</t>
  </si>
  <si>
    <t>Мули - Высокогорная</t>
  </si>
  <si>
    <t>Оунэ - Новый Кузнецовский</t>
  </si>
  <si>
    <t>Людю - Тумнин</t>
  </si>
  <si>
    <t>Тумнин - Дайчи</t>
  </si>
  <si>
    <t>Дайчи - Хуту</t>
  </si>
  <si>
    <t>Хуту - Имбо</t>
  </si>
  <si>
    <t>Имбо - Усть-Орочи</t>
  </si>
  <si>
    <t>Усть-Орочи - Чепсары</t>
  </si>
  <si>
    <t>Чепсары - Монгохто</t>
  </si>
  <si>
    <t>Монгохто - Ландыши</t>
  </si>
  <si>
    <t>Ландыши - Дюанка</t>
  </si>
  <si>
    <t>Дюанка - Токи</t>
  </si>
  <si>
    <t>Токи - Ванино-Порт</t>
  </si>
  <si>
    <t>Ванино-Порт - Ванино-Грузовой</t>
  </si>
  <si>
    <t>Ванино-Грузовой - Советская гавань-Сорт.</t>
  </si>
  <si>
    <t>Биробиджан I - Икура</t>
  </si>
  <si>
    <t>Икура - Аур</t>
  </si>
  <si>
    <t>Аур - Ин</t>
  </si>
  <si>
    <t>Ин - Ольгохта</t>
  </si>
  <si>
    <t>Ольгохта - Волочаевка I</t>
  </si>
  <si>
    <t>Волочаевка I - Тунгусский</t>
  </si>
  <si>
    <t>Тунгусский - Дежневка</t>
  </si>
  <si>
    <t>Дежневка - Николаевка</t>
  </si>
  <si>
    <t>Николаевка - Приамурская</t>
  </si>
  <si>
    <t>Приамурская - Пост-Покровский</t>
  </si>
  <si>
    <t>Пост-Покровский - Амур</t>
  </si>
  <si>
    <t>Амур - Хабаровск I</t>
  </si>
  <si>
    <t>Пост-Покровский - Хабаровск I</t>
  </si>
  <si>
    <t>Хабаровск I - Хабаровск II</t>
  </si>
  <si>
    <t>ст. Хабаровск II</t>
  </si>
  <si>
    <t>Хабаровск II - Красная Речка</t>
  </si>
  <si>
    <t>Красная Речка - Корфовская</t>
  </si>
  <si>
    <t>Корфовская - Кругликово</t>
  </si>
  <si>
    <t>Кругликово - Верино</t>
  </si>
  <si>
    <t>Верино - Хор</t>
  </si>
  <si>
    <t>Хор - Дормидонтовка</t>
  </si>
  <si>
    <t>Хор - Хака</t>
  </si>
  <si>
    <t>Хака - Дормидонтовка</t>
  </si>
  <si>
    <t>Дормидонтовка - Красицкий</t>
  </si>
  <si>
    <t>Красицкий - Вяземская</t>
  </si>
  <si>
    <t>ст. Вяземская</t>
  </si>
  <si>
    <t>Вяземская - Аван</t>
  </si>
  <si>
    <t>Аван - Котиково</t>
  </si>
  <si>
    <t>Котиково - Гедике</t>
  </si>
  <si>
    <t>Гедике - Каменушка</t>
  </si>
  <si>
    <t>Каменушка - Розенгартовка</t>
  </si>
  <si>
    <t>Розенгартовка - Бойцово</t>
  </si>
  <si>
    <t>Бойцово - Бикин</t>
  </si>
  <si>
    <t>ст. Бикин</t>
  </si>
  <si>
    <t>Бикин - Звеньевой</t>
  </si>
  <si>
    <t>Звеньевой - Бурлит-Волочаевский</t>
  </si>
  <si>
    <t>Бурлит-Волочаевский - Лучегорск</t>
  </si>
  <si>
    <t>Лучегорск - Ласточка</t>
  </si>
  <si>
    <t>Губерово - Эбергард</t>
  </si>
  <si>
    <t>Эбергард - Блокпост 1560 км</t>
  </si>
  <si>
    <t>Эбергард - Дальнереченск I</t>
  </si>
  <si>
    <t>Эбергард - Дальнереченск II</t>
  </si>
  <si>
    <t>Дальнереченск II - Блокпост 1571 км</t>
  </si>
  <si>
    <t>Дальнереченск I - Лазо</t>
  </si>
  <si>
    <t>Лазо - Грушевое</t>
  </si>
  <si>
    <t>Грушевое - Прохаско</t>
  </si>
  <si>
    <t>Прохаско - Филаретовка</t>
  </si>
  <si>
    <t>Филаретовка - Ружино</t>
  </si>
  <si>
    <t>ст. Ружино</t>
  </si>
  <si>
    <t>Ружино - Лесозаводск II</t>
  </si>
  <si>
    <t>Лесозаводск II - Блокпост 1634 км</t>
  </si>
  <si>
    <t>Ружино - Лесозаводск I</t>
  </si>
  <si>
    <t>Кабарга - Шмаковка</t>
  </si>
  <si>
    <t>Шмаковка - Сунгач</t>
  </si>
  <si>
    <t>Сунгач - Свиягино</t>
  </si>
  <si>
    <t>Свиягино - Спасск-Дальний</t>
  </si>
  <si>
    <t>ст. Спасск-Дальний</t>
  </si>
  <si>
    <t>Спасск-Дальний - Старый Ключ</t>
  </si>
  <si>
    <t>Старый Ключ - Кнорринг</t>
  </si>
  <si>
    <t>Кнорринг - Мучная</t>
  </si>
  <si>
    <t>Мучная - Сибирцево</t>
  </si>
  <si>
    <t>ст. Сибирцево</t>
  </si>
  <si>
    <t>Сибирцево - Вассиановка</t>
  </si>
  <si>
    <t>Вассиановка - Ретиховка</t>
  </si>
  <si>
    <t>Ретиховка - Буянки</t>
  </si>
  <si>
    <t>Буянки - Тихоречное</t>
  </si>
  <si>
    <t>Тихоречное - Чернышевка</t>
  </si>
  <si>
    <t>Чернышевка - Арсеньев</t>
  </si>
  <si>
    <t>Арсеньев - Сысоевка</t>
  </si>
  <si>
    <t>Сысоевка - Варфоломеевка</t>
  </si>
  <si>
    <t>Варфоломеевка - Лимонник</t>
  </si>
  <si>
    <t>Лимонник - Новочугуевка</t>
  </si>
  <si>
    <t>Сибирцево - Орехово-Приморское</t>
  </si>
  <si>
    <t>Орехово-Приморское - Перелетный</t>
  </si>
  <si>
    <t>Перелетный - Ипполитовка</t>
  </si>
  <si>
    <t>Ипполитовка - Озурная Падь</t>
  </si>
  <si>
    <t>Озурная Падь - Новошахтинская</t>
  </si>
  <si>
    <t>Новошахтинская - Дубининский</t>
  </si>
  <si>
    <t>Дубининский - Уссурийск</t>
  </si>
  <si>
    <t>ст. Уссурийск</t>
  </si>
  <si>
    <t>Уссурийск - Блокпост 1875 км</t>
  </si>
  <si>
    <t>Блокпост 1875 км - Баневурово</t>
  </si>
  <si>
    <t>Баневурово - Барановский</t>
  </si>
  <si>
    <t>Дубининский - Воздвиженский</t>
  </si>
  <si>
    <t>Уссурийск - Уссурийск II</t>
  </si>
  <si>
    <t>Уссурийск II - Воздвиженский</t>
  </si>
  <si>
    <t>Воздвиженский - Голенки</t>
  </si>
  <si>
    <t>Голенки - Липовцы</t>
  </si>
  <si>
    <t>Липовцы - Пржевальская</t>
  </si>
  <si>
    <t>Пржевальская - Гродеково II</t>
  </si>
  <si>
    <t>Гродеково II - Гродеково</t>
  </si>
  <si>
    <t>Гродеково - Сосновая падь</t>
  </si>
  <si>
    <t>Сосновая падь - Рассыпная падь</t>
  </si>
  <si>
    <t>Рассыпная падь - Граница напр.</t>
  </si>
  <si>
    <t>Барановский - Оленевод</t>
  </si>
  <si>
    <t>Оленевод - Виневитино</t>
  </si>
  <si>
    <t>Виневитино - Провалово</t>
  </si>
  <si>
    <t>Провалово - Барсовый</t>
  </si>
  <si>
    <t>Барсовый - Приморская</t>
  </si>
  <si>
    <t>Приморская - Кедровый</t>
  </si>
  <si>
    <t>Кедровый - Пожарский</t>
  </si>
  <si>
    <t>Пожарский - Бамбурово</t>
  </si>
  <si>
    <t>Бамбурово - Рязановка</t>
  </si>
  <si>
    <t>Рязановка - Сухановка</t>
  </si>
  <si>
    <t>Сухановка - Гвоздево</t>
  </si>
  <si>
    <t>Гвоздево - Махалино</t>
  </si>
  <si>
    <t>Махалино - Камышовая</t>
  </si>
  <si>
    <t>Камышовая - Хасан</t>
  </si>
  <si>
    <t>Барановский - Раздольное</t>
  </si>
  <si>
    <t>Раздольное - Кипарисово</t>
  </si>
  <si>
    <t>Кипарисово - Надеждинская</t>
  </si>
  <si>
    <t>Надеждинская - Амурский Залив</t>
  </si>
  <si>
    <t>Амурский Залив - Угольная</t>
  </si>
  <si>
    <t>Угольная - Океанская</t>
  </si>
  <si>
    <t>Океанская - Вторая Речка</t>
  </si>
  <si>
    <t>Вторая Речка - Первая Речка</t>
  </si>
  <si>
    <t>Первая Речка - Владивосток</t>
  </si>
  <si>
    <t>Вторая Речка - Баневур</t>
  </si>
  <si>
    <t>Баневур - Гайдамак</t>
  </si>
  <si>
    <t>Гайдамак - Мыс Чуркин</t>
  </si>
  <si>
    <t>Угольная - Угловая</t>
  </si>
  <si>
    <t>Амурский Залив - Угловая</t>
  </si>
  <si>
    <t>Угловая - Артем-Приморский I</t>
  </si>
  <si>
    <t>Артем-Приморский I - Артем-Приморский II</t>
  </si>
  <si>
    <t>Артем-Приморский II - Артем-Приморский III</t>
  </si>
  <si>
    <t>Артем-Приморский III - Шкотово</t>
  </si>
  <si>
    <t>Шкотово - Смоляниново</t>
  </si>
  <si>
    <t>Смоляниново - Новонежино</t>
  </si>
  <si>
    <t>Новонежино - Анисимовка</t>
  </si>
  <si>
    <t>Анисимовка - Тигровый</t>
  </si>
  <si>
    <t>Тигровый - Фридман</t>
  </si>
  <si>
    <t>Фридман - Красноармейский</t>
  </si>
  <si>
    <t>Красноармейский - Партизанск</t>
  </si>
  <si>
    <t>Партизанск - Лозовый</t>
  </si>
  <si>
    <t>Лозовый - Кузнецово</t>
  </si>
  <si>
    <t>Кузнецово - Находка</t>
  </si>
  <si>
    <t>ст. Находка</t>
  </si>
  <si>
    <t>Находка - Бархатная</t>
  </si>
  <si>
    <t>Бархатная - Тихоокеанская</t>
  </si>
  <si>
    <t>Тихоокеанская - Рыбники</t>
  </si>
  <si>
    <t>Рыбники - Крабовая</t>
  </si>
  <si>
    <t>Крабовая - Мыс Астафьева</t>
  </si>
  <si>
    <t>Находка - Хмыловский</t>
  </si>
  <si>
    <t>Хмыловский - Находка-Восточная</t>
  </si>
  <si>
    <t>Находка-Восточная - Находка-Восточная 3й парк</t>
  </si>
  <si>
    <t>ПД</t>
  </si>
  <si>
    <t>Длина, км</t>
  </si>
  <si>
    <t>1,2</t>
  </si>
  <si>
    <t>-</t>
  </si>
  <si>
    <t>2,3</t>
  </si>
  <si>
    <t>3,4</t>
  </si>
  <si>
    <t>4,5</t>
  </si>
  <si>
    <t>5,6</t>
  </si>
  <si>
    <t>6,7</t>
  </si>
  <si>
    <t>8,9</t>
  </si>
  <si>
    <t>9,10</t>
  </si>
  <si>
    <t>13,14</t>
  </si>
  <si>
    <t>7,8</t>
  </si>
  <si>
    <t>Биробиджан I - Биробиджан II</t>
  </si>
  <si>
    <t>Биробиджан II - Бирофельд</t>
  </si>
  <si>
    <t>Бирофельд - Унгун</t>
  </si>
  <si>
    <t>Унгун - Ленинск</t>
  </si>
  <si>
    <t>Бестужево - Гилюй</t>
  </si>
  <si>
    <t>Гилюй - Могот</t>
  </si>
  <si>
    <t>Могот - Рихард Зорге</t>
  </si>
  <si>
    <t>Рихард Зорге - Якутский</t>
  </si>
  <si>
    <t>Якутский - Нагорная-Якутская</t>
  </si>
  <si>
    <t>Нагорная-Якутская - Аям</t>
  </si>
  <si>
    <t>Аям - Золотинка</t>
  </si>
  <si>
    <t>Золотинка - Окурдан</t>
  </si>
  <si>
    <t>Беркакит - Нерюнгри-Пассажирская</t>
  </si>
  <si>
    <t>Нерюнгри-Пассажирская - Нерюнгри-Грузовая</t>
  </si>
  <si>
    <t>Нерюнгри-Грузовая - Угольная</t>
  </si>
  <si>
    <t>7,8,9</t>
  </si>
  <si>
    <t>5,6,7</t>
  </si>
  <si>
    <t>12,13</t>
  </si>
  <si>
    <t>14,15</t>
  </si>
  <si>
    <t>15,16</t>
  </si>
  <si>
    <t>7,9</t>
  </si>
  <si>
    <t>10,12</t>
  </si>
  <si>
    <t>4,13</t>
  </si>
  <si>
    <t>Ландыши - Брусничный</t>
  </si>
  <si>
    <t>Советская гавань-Сорт. - Десна</t>
  </si>
  <si>
    <t>Десна - Мыс Мария</t>
  </si>
  <si>
    <t>Мыс Мария - Советская гавань-город</t>
  </si>
  <si>
    <t>Советская гавань-город - Граница напр.</t>
  </si>
  <si>
    <t>Ванино-Грузовой - Ванино Новый Район</t>
  </si>
  <si>
    <t>Хабаровск I - Пристань</t>
  </si>
  <si>
    <t>Хабаровск I - ТЭЦ</t>
  </si>
  <si>
    <t>Сибирцево - Лучки</t>
  </si>
  <si>
    <t>Лучки - Ярославка-Приморская</t>
  </si>
  <si>
    <t>Лучки - Хорольск</t>
  </si>
  <si>
    <t>Хорольск - Камень-Рыболов</t>
  </si>
  <si>
    <t>Камень-Рыболов - Троицкий</t>
  </si>
  <si>
    <t>Троицкий - Ильинка</t>
  </si>
  <si>
    <t>Ильинка - Новокачалинск</t>
  </si>
  <si>
    <t>Бамбурово - Блюхер</t>
  </si>
  <si>
    <t>Гвоздево - Посьет</t>
  </si>
  <si>
    <t>Владивосток - Гайдамак</t>
  </si>
  <si>
    <t>Первая Речка - Гайдамак</t>
  </si>
  <si>
    <t>Первая Речка - Баневур</t>
  </si>
  <si>
    <t>Смоляниново - Петровка</t>
  </si>
  <si>
    <t>Петровка - Стрелковая</t>
  </si>
  <si>
    <t>Стрелковая - Дунай</t>
  </si>
  <si>
    <t>Петровка - Б.Камень</t>
  </si>
  <si>
    <t>Пост 132 км - Сергеевка</t>
  </si>
  <si>
    <t>Морошка</t>
  </si>
  <si>
    <t>Багульный</t>
  </si>
  <si>
    <t>Оборчо</t>
  </si>
  <si>
    <t>Разъезд № 18</t>
  </si>
  <si>
    <t>Гр.ХуньЧунь</t>
  </si>
  <si>
    <t>Лопча - Морошка</t>
  </si>
  <si>
    <t>Морошка - Эльгакан</t>
  </si>
  <si>
    <t>Кувыкта - Багульный</t>
  </si>
  <si>
    <t>Багульный - Курьян</t>
  </si>
  <si>
    <t>Окурдан - Оборчо</t>
  </si>
  <si>
    <t>Оборчо - Беркакит</t>
  </si>
  <si>
    <t>Сельгон - Разъезд № 18</t>
  </si>
  <si>
    <t>Разъезд № 18 - Хевчен</t>
  </si>
  <si>
    <t>Блокпост 9 км - Кумтэ</t>
  </si>
  <si>
    <t>13,6</t>
  </si>
  <si>
    <t>Блокпост 197 км - Мули</t>
  </si>
  <si>
    <t>Ласточка - Губерово</t>
  </si>
  <si>
    <t>Лесозаводск I - Блокпост 1634 км</t>
  </si>
  <si>
    <t>Блокпост 1634 км - Кабарга</t>
  </si>
  <si>
    <t>Камышовая - Гр.ХуньЧунь</t>
  </si>
  <si>
    <t>Преобладает</t>
  </si>
  <si>
    <t>6,9</t>
  </si>
  <si>
    <t>9,7</t>
  </si>
  <si>
    <t>Шахта</t>
  </si>
  <si>
    <t>Невельск</t>
  </si>
  <si>
    <t>Холмск</t>
  </si>
  <si>
    <t>Холмск-Северный</t>
  </si>
  <si>
    <t>Пионеры</t>
  </si>
  <si>
    <t>Чехов</t>
  </si>
  <si>
    <t>Новоселово</t>
  </si>
  <si>
    <t>Томари</t>
  </si>
  <si>
    <t>Пензенская</t>
  </si>
  <si>
    <t>Ильинск</t>
  </si>
  <si>
    <t>Арсентьевка</t>
  </si>
  <si>
    <t>Николайчук</t>
  </si>
  <si>
    <t>Южно-Сахалинск</t>
  </si>
  <si>
    <t>Новодеревенская</t>
  </si>
  <si>
    <t>Сокол</t>
  </si>
  <si>
    <t>Быков</t>
  </si>
  <si>
    <t>Вахрушев</t>
  </si>
  <si>
    <t>Вахрушев угольн.</t>
  </si>
  <si>
    <t>Корсаков</t>
  </si>
  <si>
    <t>Христофоровка</t>
  </si>
  <si>
    <t>Ново-Александровка</t>
  </si>
  <si>
    <t>Долинск</t>
  </si>
  <si>
    <t>Советское</t>
  </si>
  <si>
    <t>Взморье</t>
  </si>
  <si>
    <t>Тихая</t>
  </si>
  <si>
    <t>Пугачево</t>
  </si>
  <si>
    <t>Заозерное</t>
  </si>
  <si>
    <t>Макаров</t>
  </si>
  <si>
    <t>Туманово</t>
  </si>
  <si>
    <t>Марково</t>
  </si>
  <si>
    <t>Поронайск</t>
  </si>
  <si>
    <t>Олень</t>
  </si>
  <si>
    <t>Буюклы</t>
  </si>
  <si>
    <t>Смирных</t>
  </si>
  <si>
    <t>Победино</t>
  </si>
  <si>
    <t>Онор</t>
  </si>
  <si>
    <t>Палево</t>
  </si>
  <si>
    <t>Тымовск</t>
  </si>
  <si>
    <t>Альба</t>
  </si>
  <si>
    <t>Ныш</t>
  </si>
  <si>
    <t>Ноглики</t>
  </si>
  <si>
    <t>Шахта - Невельск</t>
  </si>
  <si>
    <t>ст. Невельск</t>
  </si>
  <si>
    <t>Невельск - Холмск</t>
  </si>
  <si>
    <t>ст. Холмск</t>
  </si>
  <si>
    <t>Холмск - Холмск-Северный</t>
  </si>
  <si>
    <t>Холмск-Северный - Пионеры</t>
  </si>
  <si>
    <t>Пионеры - Чехов</t>
  </si>
  <si>
    <t>ст. Чехов</t>
  </si>
  <si>
    <t>Чехов - Новоселово</t>
  </si>
  <si>
    <t>Новоселово - Томари</t>
  </si>
  <si>
    <t>Томари - Пензенская</t>
  </si>
  <si>
    <t>Пензенская - Ильинск</t>
  </si>
  <si>
    <t>ст. Ильинск</t>
  </si>
  <si>
    <t>Ильинск - Арсентьевка</t>
  </si>
  <si>
    <t>Холмск - Николайчук</t>
  </si>
  <si>
    <t>Южно-Сахалинск - Новодеревенская</t>
  </si>
  <si>
    <t>Сокол - Быков</t>
  </si>
  <si>
    <t>Вахрушев - Вахрушев угольн.</t>
  </si>
  <si>
    <t>Корсаков - Христофоровка</t>
  </si>
  <si>
    <t>ст. Христофоровка</t>
  </si>
  <si>
    <t>Христофоровка - Южно-Сахалинск</t>
  </si>
  <si>
    <t>ст. Южно-Сахалинск</t>
  </si>
  <si>
    <t>Южно-Сахалинск - Ново-Александровка</t>
  </si>
  <si>
    <t>ст. Ново-Александровка</t>
  </si>
  <si>
    <t>Ново-Александровка - Сокол</t>
  </si>
  <si>
    <t>ст. Сокол</t>
  </si>
  <si>
    <t>Сокол - Долинск</t>
  </si>
  <si>
    <t>Долинск - Советское</t>
  </si>
  <si>
    <t>ст. Советское</t>
  </si>
  <si>
    <t>Советское - Взморье</t>
  </si>
  <si>
    <t>ст. Взморье</t>
  </si>
  <si>
    <t>Взморье - Арсентьевка</t>
  </si>
  <si>
    <t>Арсентьевка - Тихая</t>
  </si>
  <si>
    <t>ст. Тихая</t>
  </si>
  <si>
    <t>Тихая - Пугачево</t>
  </si>
  <si>
    <t>ст. Пугачево</t>
  </si>
  <si>
    <t>Пугачево - Заозерное</t>
  </si>
  <si>
    <t>Заозерное - Макаров</t>
  </si>
  <si>
    <t>Макаров - Туманово</t>
  </si>
  <si>
    <t>Туманово - Марково</t>
  </si>
  <si>
    <t>Марково - Вахрушев</t>
  </si>
  <si>
    <t>Вахрушев - Поронайск</t>
  </si>
  <si>
    <t>ст. Поронайск</t>
  </si>
  <si>
    <t>Поронайск - Олень</t>
  </si>
  <si>
    <t>Олень - Буюклы</t>
  </si>
  <si>
    <t>ст. Буюклы</t>
  </si>
  <si>
    <t>Буюклы - Смирных</t>
  </si>
  <si>
    <t>ст. Смирных</t>
  </si>
  <si>
    <t>Смирных - Победино</t>
  </si>
  <si>
    <t>ст. Победино</t>
  </si>
  <si>
    <t>Победино - Онор</t>
  </si>
  <si>
    <t>ст. Онор</t>
  </si>
  <si>
    <t>Онор - Палево</t>
  </si>
  <si>
    <t>ст. Палево</t>
  </si>
  <si>
    <t>Палево - Тымовск</t>
  </si>
  <si>
    <t>ст. Тымовск</t>
  </si>
  <si>
    <t>Тымовск - Альба</t>
  </si>
  <si>
    <t>ст. Альба</t>
  </si>
  <si>
    <t>Альба - Ныш</t>
  </si>
  <si>
    <t>Ныш - Ноглики</t>
  </si>
  <si>
    <t>ст. Ноглики</t>
  </si>
  <si>
    <t>Март контрольный</t>
  </si>
  <si>
    <t>ВРС-ПС+ЦНИИ-4</t>
  </si>
  <si>
    <t>11,8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</si>
</sst>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charset val="204"/>
      <scheme val="minor"/>
    </font>
    <font>
      <sz val="11"/>
      <color theme="1"/>
      <name val="Times New Roman"/>
      <family val="1"/>
      <charset val="204"/>
    </font>
    <font>
      <b/>
      <sz val="11"/>
      <color theme="1"/>
      <name val="Times New Roman"/>
      <family val="1"/>
      <charset val="204"/>
    </font>
  </fonts>
  <fills count="4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51"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49" fontId="0" fillId="0" borderId="0" xfId="0" applyNumberFormat="1"/>
    <xf numFmtId="0" fontId="1" fillId="2" borderId="1" xfId="0" applyFont="1" applyFill="1" applyBorder="1" applyAlignment="1">
      <alignment horizontal="center" vertical="center"/>
    </xf>
    <xf numFmtId="49" fontId="1" fillId="2" borderId="1" xfId="0" applyNumberFormat="1" applyFont="1" applyFill="1" applyBorder="1" applyAlignment="1">
      <alignment horizontal="center" vertical="center"/>
    </xf>
    <xf numFmtId="49" fontId="1" fillId="0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2" fillId="0" borderId="1" xfId="0" applyFont="1" applyBorder="1" applyAlignment="1">
      <alignment horizontal="center" vertical="center"/>
    </xf>
    <xf numFmtId="0" fontId="0" fillId="0" borderId="0" xfId="0"/>
    <xf numFmtId="0" fontId="1" fillId="0" borderId="1" xfId="0" applyFont="1" applyBorder="1" applyAlignment="1">
      <alignment horizontal="center" vertical="center"/>
    </xf>
    <xf numFmtId="0" fontId="1" fillId="0" borderId="1" xfId="0" applyFont="1" applyFill="1" applyBorder="1" applyAlignment="1">
      <alignment horizontal="center" vertical="center"/>
    </xf>
    <xf numFmtId="0" fontId="1" fillId="0" borderId="1" xfId="0" applyNumberFormat="1" applyFont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0" xfId="0" applyFont="1"/>
    <xf numFmtId="0" fontId="1" fillId="0" borderId="4" xfId="0" applyFont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1" fillId="3" borderId="1" xfId="0" applyFont="1" applyFill="1" applyBorder="1" applyAlignment="1">
      <alignment horizontal="center" vertical="center"/>
    </xf>
    <xf numFmtId="49" fontId="1" fillId="3" borderId="1" xfId="0" applyNumberFormat="1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1" fillId="3" borderId="3" xfId="0" applyFont="1" applyFill="1" applyBorder="1" applyAlignment="1">
      <alignment horizontal="center" vertical="center"/>
    </xf>
    <xf numFmtId="0" fontId="0" fillId="3" borderId="2" xfId="0" applyFill="1" applyBorder="1" applyAlignment="1">
      <alignment horizontal="center" vertical="center" wrapText="1"/>
    </xf>
    <xf numFmtId="0" fontId="0" fillId="3" borderId="3" xfId="0" applyFill="1" applyBorder="1" applyAlignment="1">
      <alignment horizontal="center" vertical="center" wrapText="1"/>
    </xf>
    <xf numFmtId="0" fontId="1" fillId="0" borderId="1" xfId="0" applyFont="1" applyBorder="1" applyAlignment="1">
      <alignment horizontal="center" vertical="center"/>
    </xf>
    <xf numFmtId="49" fontId="1" fillId="0" borderId="1" xfId="0" applyNumberFormat="1" applyFont="1" applyBorder="1" applyAlignment="1">
      <alignment horizontal="center" vertical="center"/>
    </xf>
    <xf numFmtId="0" fontId="1" fillId="0" borderId="2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0" fillId="0" borderId="2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</cellXfs>
  <cellStyles count="1">
    <cellStyle name="Обычный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34</xdr:col>
          <xdr:colOff>123825</xdr:colOff>
          <xdr:row>0</xdr:row>
          <xdr:rowOff>38100</xdr:rowOff>
        </xdr:from>
        <xdr:to>
          <xdr:col>36</xdr:col>
          <xdr:colOff>342900</xdr:colOff>
          <xdr:row>1</xdr:row>
          <xdr:rowOff>123825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0</xdr:row>
          <xdr:rowOff>38100</xdr:rowOff>
        </xdr:from>
        <xdr:to>
          <xdr:col>44</xdr:col>
          <xdr:colOff>342900</xdr:colOff>
          <xdr:row>1</xdr:row>
          <xdr:rowOff>123825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42</xdr:col>
          <xdr:colOff>123825</xdr:colOff>
          <xdr:row>0</xdr:row>
          <xdr:rowOff>38100</xdr:rowOff>
        </xdr:from>
        <xdr:to>
          <xdr:col>44</xdr:col>
          <xdr:colOff>342900</xdr:colOff>
          <xdr:row>1</xdr:row>
          <xdr:rowOff>123825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AH688"/>
  <sheetViews>
    <sheetView zoomScale="85" zoomScaleNormal="85" workbookViewId="0">
      <selection activeCell="L3" sqref="L3:AH688"/>
    </sheetView>
  </sheetViews>
  <sheetFormatPr defaultRowHeight="15" x14ac:dyDescent="0.25"/>
  <cols>
    <col min="1" max="1" width="6" customWidth="1"/>
    <col min="2" max="2" width="10.85546875" customWidth="1"/>
    <col min="4" max="4" width="47.85546875" customWidth="1"/>
    <col min="5" max="5" width="8.5703125" customWidth="1"/>
    <col min="11" max="37" width="6.7109375" customWidth="1"/>
  </cols>
  <sheetData>
    <row r="1" spans="1:34" x14ac:dyDescent="0.25">
      <c r="A1" s="34" t="s">
        <v>17</v>
      </c>
      <c r="B1" s="34" t="s">
        <v>473</v>
      </c>
      <c r="C1" s="35" t="s">
        <v>451</v>
      </c>
      <c r="D1" s="34" t="s">
        <v>454</v>
      </c>
      <c r="E1" s="36" t="s">
        <v>879</v>
      </c>
      <c r="F1" s="33" t="s">
        <v>455</v>
      </c>
      <c r="G1" s="33"/>
      <c r="H1" s="33"/>
      <c r="I1" s="33"/>
      <c r="J1" s="38" t="s">
        <v>880</v>
      </c>
      <c r="K1" s="33" t="s">
        <v>460</v>
      </c>
      <c r="L1" s="32" t="s">
        <v>461</v>
      </c>
      <c r="M1" s="32"/>
      <c r="N1" s="32"/>
      <c r="O1" s="32" t="s">
        <v>462</v>
      </c>
      <c r="P1" s="32"/>
      <c r="Q1" s="32"/>
      <c r="R1" s="32" t="s">
        <v>463</v>
      </c>
      <c r="S1" s="32"/>
      <c r="T1" s="32"/>
      <c r="U1" s="32" t="s">
        <v>464</v>
      </c>
      <c r="V1" s="32"/>
      <c r="W1" s="32"/>
      <c r="X1" s="32" t="s">
        <v>465</v>
      </c>
      <c r="Y1" s="32"/>
      <c r="Z1" s="32"/>
      <c r="AA1" s="32" t="s">
        <v>469</v>
      </c>
      <c r="AB1" s="32"/>
      <c r="AC1" s="32"/>
      <c r="AD1" s="32" t="s">
        <v>470</v>
      </c>
      <c r="AE1" s="32"/>
      <c r="AF1" s="32"/>
      <c r="AG1" s="32" t="s">
        <v>471</v>
      </c>
      <c r="AH1" s="32" t="s">
        <v>472</v>
      </c>
    </row>
    <row r="2" spans="1:34" x14ac:dyDescent="0.25">
      <c r="A2" s="34"/>
      <c r="B2" s="34"/>
      <c r="C2" s="35"/>
      <c r="D2" s="34"/>
      <c r="E2" s="37"/>
      <c r="F2" s="21" t="s">
        <v>456</v>
      </c>
      <c r="G2" s="21" t="s">
        <v>457</v>
      </c>
      <c r="H2" s="21" t="s">
        <v>458</v>
      </c>
      <c r="I2" s="21" t="s">
        <v>459</v>
      </c>
      <c r="J2" s="39"/>
      <c r="K2" s="33"/>
      <c r="L2" s="8" t="s">
        <v>466</v>
      </c>
      <c r="M2" s="8" t="s">
        <v>467</v>
      </c>
      <c r="N2" s="8" t="s">
        <v>468</v>
      </c>
      <c r="O2" s="8" t="s">
        <v>466</v>
      </c>
      <c r="P2" s="8" t="s">
        <v>467</v>
      </c>
      <c r="Q2" s="8" t="s">
        <v>468</v>
      </c>
      <c r="R2" s="8" t="s">
        <v>466</v>
      </c>
      <c r="S2" s="8" t="s">
        <v>467</v>
      </c>
      <c r="T2" s="8" t="s">
        <v>468</v>
      </c>
      <c r="U2" s="8" t="s">
        <v>466</v>
      </c>
      <c r="V2" s="8" t="s">
        <v>467</v>
      </c>
      <c r="W2" s="8" t="s">
        <v>468</v>
      </c>
      <c r="X2" s="8" t="s">
        <v>466</v>
      </c>
      <c r="Y2" s="8" t="s">
        <v>467</v>
      </c>
      <c r="Z2" s="8" t="s">
        <v>468</v>
      </c>
      <c r="AA2" s="8" t="s">
        <v>466</v>
      </c>
      <c r="AB2" s="8" t="s">
        <v>467</v>
      </c>
      <c r="AC2" s="8" t="s">
        <v>468</v>
      </c>
      <c r="AD2" s="8" t="s">
        <v>466</v>
      </c>
      <c r="AE2" s="8" t="s">
        <v>467</v>
      </c>
      <c r="AF2" s="8" t="s">
        <v>468</v>
      </c>
      <c r="AG2" s="32"/>
      <c r="AH2" s="32"/>
    </row>
    <row r="3" spans="1:34" x14ac:dyDescent="0.25">
      <c r="A3" s="31">
        <v>1</v>
      </c>
      <c r="B3" s="31">
        <v>13808</v>
      </c>
      <c r="C3" s="31" t="s">
        <v>453</v>
      </c>
      <c r="D3" s="31" t="s">
        <v>474</v>
      </c>
      <c r="E3" s="31"/>
      <c r="F3" s="31">
        <v>0</v>
      </c>
      <c r="G3" s="31">
        <v>0</v>
      </c>
      <c r="H3" s="31">
        <v>0</v>
      </c>
      <c r="I3" s="31">
        <v>0</v>
      </c>
      <c r="J3" s="31">
        <v>0</v>
      </c>
      <c r="K3" s="31" t="s">
        <v>882</v>
      </c>
      <c r="L3" s="31">
        <v>0</v>
      </c>
      <c r="M3" s="31">
        <v>0</v>
      </c>
      <c r="N3" s="31">
        <v>0</v>
      </c>
      <c r="O3" s="31">
        <v>0</v>
      </c>
      <c r="P3" s="31">
        <v>0</v>
      </c>
      <c r="Q3" s="31">
        <v>0</v>
      </c>
      <c r="R3" s="31">
        <v>0</v>
      </c>
      <c r="S3" s="31">
        <v>0</v>
      </c>
      <c r="T3" s="31">
        <v>0</v>
      </c>
      <c r="U3" s="31">
        <v>0</v>
      </c>
      <c r="V3" s="31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  <c r="AD3" s="31">
        <v>0</v>
      </c>
      <c r="AE3" s="31">
        <v>0</v>
      </c>
      <c r="AF3" s="31">
        <v>0</v>
      </c>
      <c r="AG3" s="31">
        <v>0</v>
      </c>
      <c r="AH3" s="31">
        <v>0</v>
      </c>
    </row>
    <row r="4" spans="1:34" x14ac:dyDescent="0.25">
      <c r="A4" s="31">
        <v>1</v>
      </c>
      <c r="B4" s="31">
        <v>13808</v>
      </c>
      <c r="C4" s="31">
        <v>1</v>
      </c>
      <c r="D4" s="31" t="s">
        <v>475</v>
      </c>
      <c r="E4" s="31"/>
      <c r="F4" s="31">
        <v>0</v>
      </c>
      <c r="G4" s="31">
        <v>0</v>
      </c>
      <c r="H4" s="31">
        <v>0</v>
      </c>
      <c r="I4" s="31">
        <v>0</v>
      </c>
      <c r="J4" s="31">
        <v>0</v>
      </c>
      <c r="K4" s="31" t="s">
        <v>882</v>
      </c>
      <c r="L4" s="31">
        <v>0</v>
      </c>
      <c r="M4" s="31">
        <v>0</v>
      </c>
      <c r="N4" s="31">
        <v>0</v>
      </c>
      <c r="O4" s="31">
        <v>0</v>
      </c>
      <c r="P4" s="31">
        <v>0</v>
      </c>
      <c r="Q4" s="31">
        <v>0</v>
      </c>
      <c r="R4" s="31">
        <v>0</v>
      </c>
      <c r="S4" s="31">
        <v>0</v>
      </c>
      <c r="T4" s="31">
        <v>0</v>
      </c>
      <c r="U4" s="31">
        <v>0</v>
      </c>
      <c r="V4" s="31">
        <v>0</v>
      </c>
      <c r="W4" s="31">
        <v>0</v>
      </c>
      <c r="X4" s="31">
        <v>0</v>
      </c>
      <c r="Y4" s="31">
        <v>0</v>
      </c>
      <c r="Z4" s="31">
        <v>0</v>
      </c>
      <c r="AA4" s="31">
        <v>0</v>
      </c>
      <c r="AB4" s="31">
        <v>0</v>
      </c>
      <c r="AC4" s="31">
        <v>0</v>
      </c>
      <c r="AD4" s="31">
        <v>0</v>
      </c>
      <c r="AE4" s="31">
        <v>0</v>
      </c>
      <c r="AF4" s="31">
        <v>0</v>
      </c>
      <c r="AG4" s="31">
        <v>0</v>
      </c>
      <c r="AH4" s="31">
        <v>0</v>
      </c>
    </row>
    <row r="5" spans="1:34" x14ac:dyDescent="0.25">
      <c r="A5" s="31">
        <v>1</v>
      </c>
      <c r="B5" s="31">
        <v>13808</v>
      </c>
      <c r="C5" s="31">
        <v>1</v>
      </c>
      <c r="D5" s="31" t="s">
        <v>476</v>
      </c>
      <c r="E5" s="31"/>
      <c r="F5" s="31">
        <v>0</v>
      </c>
      <c r="G5" s="31">
        <v>0</v>
      </c>
      <c r="H5" s="31">
        <v>0</v>
      </c>
      <c r="I5" s="31">
        <v>0</v>
      </c>
      <c r="J5" s="31">
        <v>0</v>
      </c>
      <c r="K5" s="31" t="s">
        <v>882</v>
      </c>
      <c r="L5" s="31">
        <v>0</v>
      </c>
      <c r="M5" s="31">
        <v>0</v>
      </c>
      <c r="N5" s="31">
        <v>0</v>
      </c>
      <c r="O5" s="31">
        <v>0</v>
      </c>
      <c r="P5" s="31">
        <v>0</v>
      </c>
      <c r="Q5" s="31">
        <v>0</v>
      </c>
      <c r="R5" s="31">
        <v>0</v>
      </c>
      <c r="S5" s="31"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0</v>
      </c>
      <c r="AE5" s="31">
        <v>0</v>
      </c>
      <c r="AF5" s="31">
        <v>0</v>
      </c>
      <c r="AG5" s="31">
        <v>0</v>
      </c>
      <c r="AH5" s="31">
        <v>0</v>
      </c>
    </row>
    <row r="6" spans="1:34" x14ac:dyDescent="0.25">
      <c r="A6" s="31">
        <v>1</v>
      </c>
      <c r="B6" s="31">
        <v>13808</v>
      </c>
      <c r="C6" s="31">
        <v>1</v>
      </c>
      <c r="D6" s="31" t="s">
        <v>477</v>
      </c>
      <c r="E6" s="31"/>
      <c r="F6" s="31">
        <v>0</v>
      </c>
      <c r="G6" s="31">
        <v>0</v>
      </c>
      <c r="H6" s="31">
        <v>0</v>
      </c>
      <c r="I6" s="31">
        <v>0</v>
      </c>
      <c r="J6" s="31">
        <v>0</v>
      </c>
      <c r="K6" s="31" t="s">
        <v>882</v>
      </c>
      <c r="L6" s="31">
        <v>0</v>
      </c>
      <c r="M6" s="31">
        <v>0</v>
      </c>
      <c r="N6" s="31">
        <v>0</v>
      </c>
      <c r="O6" s="31">
        <v>0</v>
      </c>
      <c r="P6" s="31">
        <v>0</v>
      </c>
      <c r="Q6" s="31">
        <v>0</v>
      </c>
      <c r="R6" s="31">
        <v>0</v>
      </c>
      <c r="S6" s="31"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  <c r="AE6" s="31">
        <v>0</v>
      </c>
      <c r="AF6" s="31">
        <v>0</v>
      </c>
      <c r="AG6" s="31">
        <v>0</v>
      </c>
      <c r="AH6" s="31">
        <v>0</v>
      </c>
    </row>
    <row r="7" spans="1:34" x14ac:dyDescent="0.25">
      <c r="A7" s="31">
        <v>1</v>
      </c>
      <c r="B7" s="31">
        <v>13808</v>
      </c>
      <c r="C7" s="31">
        <v>1</v>
      </c>
      <c r="D7" s="31" t="s">
        <v>478</v>
      </c>
      <c r="E7" s="31"/>
      <c r="F7" s="31">
        <v>0</v>
      </c>
      <c r="G7" s="31">
        <v>0</v>
      </c>
      <c r="H7" s="31">
        <v>0</v>
      </c>
      <c r="I7" s="31">
        <v>0</v>
      </c>
      <c r="J7" s="31">
        <v>0</v>
      </c>
      <c r="K7" s="31" t="s">
        <v>882</v>
      </c>
      <c r="L7" s="31">
        <v>0</v>
      </c>
      <c r="M7" s="31">
        <v>0</v>
      </c>
      <c r="N7" s="31">
        <v>0</v>
      </c>
      <c r="O7" s="31">
        <v>0</v>
      </c>
      <c r="P7" s="31">
        <v>0</v>
      </c>
      <c r="Q7" s="31">
        <v>0</v>
      </c>
      <c r="R7" s="31">
        <v>0</v>
      </c>
      <c r="S7" s="31">
        <v>0</v>
      </c>
      <c r="T7" s="31">
        <v>0</v>
      </c>
      <c r="U7" s="31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0</v>
      </c>
      <c r="AH7" s="31">
        <v>0</v>
      </c>
    </row>
    <row r="8" spans="1:34" x14ac:dyDescent="0.25">
      <c r="A8" s="31">
        <v>1</v>
      </c>
      <c r="B8" s="31">
        <v>13808</v>
      </c>
      <c r="C8" s="31">
        <v>1</v>
      </c>
      <c r="D8" s="31" t="s">
        <v>479</v>
      </c>
      <c r="E8" s="31"/>
      <c r="F8" s="31">
        <v>0</v>
      </c>
      <c r="G8" s="31">
        <v>0</v>
      </c>
      <c r="H8" s="31">
        <v>0</v>
      </c>
      <c r="I8" s="31">
        <v>0</v>
      </c>
      <c r="J8" s="31">
        <v>0</v>
      </c>
      <c r="K8" s="31" t="s">
        <v>882</v>
      </c>
      <c r="L8" s="31">
        <v>0</v>
      </c>
      <c r="M8" s="31">
        <v>0</v>
      </c>
      <c r="N8" s="31">
        <v>0</v>
      </c>
      <c r="O8" s="31">
        <v>0</v>
      </c>
      <c r="P8" s="31">
        <v>0</v>
      </c>
      <c r="Q8" s="31">
        <v>0</v>
      </c>
      <c r="R8" s="31">
        <v>0</v>
      </c>
      <c r="S8" s="31">
        <v>0</v>
      </c>
      <c r="T8" s="31">
        <v>0</v>
      </c>
      <c r="U8" s="31">
        <v>0</v>
      </c>
      <c r="V8" s="31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  <c r="AE8" s="31">
        <v>0</v>
      </c>
      <c r="AF8" s="31">
        <v>0</v>
      </c>
      <c r="AG8" s="31">
        <v>0</v>
      </c>
      <c r="AH8" s="31">
        <v>0</v>
      </c>
    </row>
    <row r="9" spans="1:34" x14ac:dyDescent="0.25">
      <c r="A9" s="31">
        <v>1</v>
      </c>
      <c r="B9" s="31">
        <v>13808</v>
      </c>
      <c r="C9" s="31">
        <v>1</v>
      </c>
      <c r="D9" s="31" t="s">
        <v>480</v>
      </c>
      <c r="E9" s="31"/>
      <c r="F9" s="31">
        <v>0</v>
      </c>
      <c r="G9" s="31">
        <v>0</v>
      </c>
      <c r="H9" s="31">
        <v>0</v>
      </c>
      <c r="I9" s="31">
        <v>0</v>
      </c>
      <c r="J9" s="31">
        <v>0</v>
      </c>
      <c r="K9" s="31" t="s">
        <v>882</v>
      </c>
      <c r="L9" s="31">
        <v>0</v>
      </c>
      <c r="M9" s="31">
        <v>0</v>
      </c>
      <c r="N9" s="31">
        <v>0</v>
      </c>
      <c r="O9" s="31">
        <v>0</v>
      </c>
      <c r="P9" s="31">
        <v>0</v>
      </c>
      <c r="Q9" s="31">
        <v>0</v>
      </c>
      <c r="R9" s="31">
        <v>0</v>
      </c>
      <c r="S9" s="31"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  <c r="AG9" s="31">
        <v>0</v>
      </c>
      <c r="AH9" s="31">
        <v>0</v>
      </c>
    </row>
    <row r="10" spans="1:34" x14ac:dyDescent="0.25">
      <c r="A10" s="31">
        <v>1</v>
      </c>
      <c r="B10" s="31">
        <v>13808</v>
      </c>
      <c r="C10" s="31">
        <v>1</v>
      </c>
      <c r="D10" s="31" t="s">
        <v>481</v>
      </c>
      <c r="E10" s="31"/>
      <c r="F10" s="31">
        <v>0</v>
      </c>
      <c r="G10" s="31">
        <v>0</v>
      </c>
      <c r="H10" s="31">
        <v>0</v>
      </c>
      <c r="I10" s="31">
        <v>0</v>
      </c>
      <c r="J10" s="31">
        <v>0</v>
      </c>
      <c r="K10" s="31" t="s">
        <v>882</v>
      </c>
      <c r="L10" s="31">
        <v>0</v>
      </c>
      <c r="M10" s="31">
        <v>0</v>
      </c>
      <c r="N10" s="31">
        <v>0</v>
      </c>
      <c r="O10" s="31">
        <v>0</v>
      </c>
      <c r="P10" s="31">
        <v>0</v>
      </c>
      <c r="Q10" s="31">
        <v>0</v>
      </c>
      <c r="R10" s="31">
        <v>0</v>
      </c>
      <c r="S10" s="31"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  <c r="AE10" s="31">
        <v>0</v>
      </c>
      <c r="AF10" s="31">
        <v>0</v>
      </c>
      <c r="AG10" s="31">
        <v>0</v>
      </c>
      <c r="AH10" s="31">
        <v>0</v>
      </c>
    </row>
    <row r="11" spans="1:34" x14ac:dyDescent="0.25">
      <c r="A11" s="31">
        <v>1</v>
      </c>
      <c r="B11" s="31">
        <v>13808</v>
      </c>
      <c r="C11" s="31">
        <v>1</v>
      </c>
      <c r="D11" s="31" t="s">
        <v>482</v>
      </c>
      <c r="E11" s="31"/>
      <c r="F11" s="31">
        <v>0</v>
      </c>
      <c r="G11" s="31">
        <v>0</v>
      </c>
      <c r="H11" s="31">
        <v>0</v>
      </c>
      <c r="I11" s="31">
        <v>0</v>
      </c>
      <c r="J11" s="31">
        <v>0</v>
      </c>
      <c r="K11" s="31" t="s">
        <v>882</v>
      </c>
      <c r="L11" s="31">
        <v>0</v>
      </c>
      <c r="M11" s="31">
        <v>0</v>
      </c>
      <c r="N11" s="31">
        <v>0</v>
      </c>
      <c r="O11" s="31">
        <v>0</v>
      </c>
      <c r="P11" s="31">
        <v>0</v>
      </c>
      <c r="Q11" s="31">
        <v>0</v>
      </c>
      <c r="R11" s="31">
        <v>0</v>
      </c>
      <c r="S11" s="31"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0</v>
      </c>
      <c r="AE11" s="31">
        <v>0</v>
      </c>
      <c r="AF11" s="31">
        <v>0</v>
      </c>
      <c r="AG11" s="31">
        <v>0</v>
      </c>
      <c r="AH11" s="31">
        <v>0</v>
      </c>
    </row>
    <row r="12" spans="1:34" x14ac:dyDescent="0.25">
      <c r="A12" s="31">
        <v>1</v>
      </c>
      <c r="B12" s="31">
        <v>13808</v>
      </c>
      <c r="C12" s="31">
        <v>1</v>
      </c>
      <c r="D12" s="31" t="s">
        <v>483</v>
      </c>
      <c r="E12" s="31"/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 t="s">
        <v>882</v>
      </c>
      <c r="L12" s="31">
        <v>0</v>
      </c>
      <c r="M12" s="31">
        <v>0</v>
      </c>
      <c r="N12" s="31">
        <v>0</v>
      </c>
      <c r="O12" s="31">
        <v>0</v>
      </c>
      <c r="P12" s="31">
        <v>0</v>
      </c>
      <c r="Q12" s="31">
        <v>0</v>
      </c>
      <c r="R12" s="31">
        <v>0</v>
      </c>
      <c r="S12" s="31">
        <v>0</v>
      </c>
      <c r="T12" s="31">
        <v>0</v>
      </c>
      <c r="U12" s="31">
        <v>0</v>
      </c>
      <c r="V12" s="31">
        <v>0</v>
      </c>
      <c r="W12" s="31">
        <v>0</v>
      </c>
      <c r="X12" s="31">
        <v>0</v>
      </c>
      <c r="Y12" s="31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0</v>
      </c>
      <c r="AE12" s="31">
        <v>0</v>
      </c>
      <c r="AF12" s="31">
        <v>0</v>
      </c>
      <c r="AG12" s="31">
        <v>0</v>
      </c>
      <c r="AH12" s="31">
        <v>0</v>
      </c>
    </row>
    <row r="13" spans="1:34" x14ac:dyDescent="0.25">
      <c r="A13" s="31">
        <v>1</v>
      </c>
      <c r="B13" s="31">
        <v>13808</v>
      </c>
      <c r="C13" s="31">
        <v>1</v>
      </c>
      <c r="D13" s="31" t="s">
        <v>484</v>
      </c>
      <c r="E13" s="31"/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 t="s">
        <v>882</v>
      </c>
      <c r="L13" s="31">
        <v>0</v>
      </c>
      <c r="M13" s="31">
        <v>0</v>
      </c>
      <c r="N13" s="31">
        <v>0</v>
      </c>
      <c r="O13" s="31">
        <v>0</v>
      </c>
      <c r="P13" s="31">
        <v>0</v>
      </c>
      <c r="Q13" s="31">
        <v>0</v>
      </c>
      <c r="R13" s="31">
        <v>0</v>
      </c>
      <c r="S13" s="31"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0</v>
      </c>
      <c r="AE13" s="31">
        <v>0</v>
      </c>
      <c r="AF13" s="31">
        <v>0</v>
      </c>
      <c r="AG13" s="31">
        <v>0</v>
      </c>
      <c r="AH13" s="31">
        <v>0</v>
      </c>
    </row>
    <row r="14" spans="1:34" x14ac:dyDescent="0.25">
      <c r="A14" s="31">
        <v>1</v>
      </c>
      <c r="B14" s="31">
        <v>13810</v>
      </c>
      <c r="C14" s="31">
        <v>1</v>
      </c>
      <c r="D14" s="31" t="s">
        <v>485</v>
      </c>
      <c r="E14" s="31"/>
      <c r="F14" s="31">
        <v>0</v>
      </c>
      <c r="G14" s="31">
        <v>0</v>
      </c>
      <c r="H14" s="31">
        <v>0</v>
      </c>
      <c r="I14" s="31">
        <v>0</v>
      </c>
      <c r="J14" s="31">
        <v>0</v>
      </c>
      <c r="K14" s="31" t="s">
        <v>882</v>
      </c>
      <c r="L14" s="31">
        <v>0</v>
      </c>
      <c r="M14" s="31">
        <v>0</v>
      </c>
      <c r="N14" s="31">
        <v>0</v>
      </c>
      <c r="O14" s="31">
        <v>0</v>
      </c>
      <c r="P14" s="31">
        <v>0</v>
      </c>
      <c r="Q14" s="31">
        <v>0</v>
      </c>
      <c r="R14" s="31">
        <v>0</v>
      </c>
      <c r="S14" s="31">
        <v>0</v>
      </c>
      <c r="T14" s="31">
        <v>0</v>
      </c>
      <c r="U14" s="31">
        <v>0</v>
      </c>
      <c r="V14" s="31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  <c r="AE14" s="31">
        <v>0</v>
      </c>
      <c r="AF14" s="31">
        <v>0</v>
      </c>
      <c r="AG14" s="31">
        <v>0</v>
      </c>
      <c r="AH14" s="31">
        <v>0</v>
      </c>
    </row>
    <row r="15" spans="1:34" x14ac:dyDescent="0.25">
      <c r="A15" s="31">
        <v>1</v>
      </c>
      <c r="B15" s="31">
        <v>13808</v>
      </c>
      <c r="C15" s="31">
        <v>1</v>
      </c>
      <c r="D15" s="31" t="s">
        <v>486</v>
      </c>
      <c r="E15" s="31"/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 t="s">
        <v>882</v>
      </c>
      <c r="L15" s="31">
        <v>0</v>
      </c>
      <c r="M15" s="31">
        <v>0</v>
      </c>
      <c r="N15" s="31">
        <v>0</v>
      </c>
      <c r="O15" s="31">
        <v>0</v>
      </c>
      <c r="P15" s="31">
        <v>0</v>
      </c>
      <c r="Q15" s="31">
        <v>0</v>
      </c>
      <c r="R15" s="31">
        <v>0</v>
      </c>
      <c r="S15" s="31">
        <v>0</v>
      </c>
      <c r="T15" s="31">
        <v>0</v>
      </c>
      <c r="U15" s="31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0</v>
      </c>
      <c r="AE15" s="31">
        <v>0</v>
      </c>
      <c r="AF15" s="31">
        <v>0</v>
      </c>
      <c r="AG15" s="31">
        <v>0</v>
      </c>
      <c r="AH15" s="31">
        <v>0</v>
      </c>
    </row>
    <row r="16" spans="1:34" x14ac:dyDescent="0.25">
      <c r="A16" s="31">
        <v>1</v>
      </c>
      <c r="B16" s="31">
        <v>13808</v>
      </c>
      <c r="C16" s="31">
        <v>1</v>
      </c>
      <c r="D16" s="31" t="s">
        <v>487</v>
      </c>
      <c r="E16" s="31"/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 t="s">
        <v>882</v>
      </c>
      <c r="L16" s="31">
        <v>0</v>
      </c>
      <c r="M16" s="31">
        <v>0</v>
      </c>
      <c r="N16" s="31">
        <v>0</v>
      </c>
      <c r="O16" s="31">
        <v>0</v>
      </c>
      <c r="P16" s="31">
        <v>0</v>
      </c>
      <c r="Q16" s="31">
        <v>0</v>
      </c>
      <c r="R16" s="31">
        <v>0</v>
      </c>
      <c r="S16" s="31">
        <v>0</v>
      </c>
      <c r="T16" s="31">
        <v>0</v>
      </c>
      <c r="U16" s="31">
        <v>0</v>
      </c>
      <c r="V16" s="31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0</v>
      </c>
      <c r="AE16" s="31">
        <v>0</v>
      </c>
      <c r="AF16" s="31">
        <v>0</v>
      </c>
      <c r="AG16" s="31">
        <v>0</v>
      </c>
      <c r="AH16" s="31">
        <v>0</v>
      </c>
    </row>
    <row r="17" spans="1:34" x14ac:dyDescent="0.25">
      <c r="A17" s="31">
        <v>1</v>
      </c>
      <c r="B17" s="31">
        <v>13808</v>
      </c>
      <c r="C17" s="31">
        <v>1</v>
      </c>
      <c r="D17" s="31" t="s">
        <v>488</v>
      </c>
      <c r="E17" s="31"/>
      <c r="F17" s="31">
        <v>0</v>
      </c>
      <c r="G17" s="31">
        <v>0</v>
      </c>
      <c r="H17" s="31">
        <v>0</v>
      </c>
      <c r="I17" s="31">
        <v>0</v>
      </c>
      <c r="J17" s="31">
        <v>0</v>
      </c>
      <c r="K17" s="31" t="s">
        <v>882</v>
      </c>
      <c r="L17" s="31">
        <v>0</v>
      </c>
      <c r="M17" s="31">
        <v>0</v>
      </c>
      <c r="N17" s="31">
        <v>0</v>
      </c>
      <c r="O17" s="31">
        <v>0</v>
      </c>
      <c r="P17" s="31">
        <v>0</v>
      </c>
      <c r="Q17" s="31">
        <v>0</v>
      </c>
      <c r="R17" s="31">
        <v>0</v>
      </c>
      <c r="S17" s="31"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  <c r="AD17" s="31">
        <v>0</v>
      </c>
      <c r="AE17" s="31">
        <v>0</v>
      </c>
      <c r="AF17" s="31">
        <v>0</v>
      </c>
      <c r="AG17" s="31">
        <v>0</v>
      </c>
      <c r="AH17" s="31">
        <v>0</v>
      </c>
    </row>
    <row r="18" spans="1:34" x14ac:dyDescent="0.25">
      <c r="A18" s="31">
        <v>1</v>
      </c>
      <c r="B18" s="31">
        <v>13808</v>
      </c>
      <c r="C18" s="31">
        <v>1</v>
      </c>
      <c r="D18" s="31" t="s">
        <v>489</v>
      </c>
      <c r="E18" s="31"/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 t="s">
        <v>882</v>
      </c>
      <c r="L18" s="31">
        <v>0</v>
      </c>
      <c r="M18" s="31">
        <v>0</v>
      </c>
      <c r="N18" s="31">
        <v>0</v>
      </c>
      <c r="O18" s="31">
        <v>0</v>
      </c>
      <c r="P18" s="31">
        <v>0</v>
      </c>
      <c r="Q18" s="31">
        <v>0</v>
      </c>
      <c r="R18" s="31">
        <v>0</v>
      </c>
      <c r="S18" s="31">
        <v>0</v>
      </c>
      <c r="T18" s="31">
        <v>0</v>
      </c>
      <c r="U18" s="31">
        <v>0</v>
      </c>
      <c r="V18" s="31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0</v>
      </c>
      <c r="AE18" s="31">
        <v>0</v>
      </c>
      <c r="AF18" s="31">
        <v>0</v>
      </c>
      <c r="AG18" s="31">
        <v>0</v>
      </c>
      <c r="AH18" s="31">
        <v>0</v>
      </c>
    </row>
    <row r="19" spans="1:34" x14ac:dyDescent="0.25">
      <c r="A19" s="31">
        <v>1</v>
      </c>
      <c r="B19" s="31">
        <v>13808</v>
      </c>
      <c r="C19" s="31">
        <v>2</v>
      </c>
      <c r="D19" s="31" t="s">
        <v>475</v>
      </c>
      <c r="E19" s="31"/>
      <c r="F19" s="31">
        <v>0</v>
      </c>
      <c r="G19" s="31">
        <v>0</v>
      </c>
      <c r="H19" s="31">
        <v>0</v>
      </c>
      <c r="I19" s="31">
        <v>0</v>
      </c>
      <c r="J19" s="31">
        <v>0</v>
      </c>
      <c r="K19" s="31" t="s">
        <v>882</v>
      </c>
      <c r="L19" s="31">
        <v>0</v>
      </c>
      <c r="M19" s="31">
        <v>0</v>
      </c>
      <c r="N19" s="31">
        <v>0</v>
      </c>
      <c r="O19" s="31">
        <v>0</v>
      </c>
      <c r="P19" s="31">
        <v>0</v>
      </c>
      <c r="Q19" s="31">
        <v>0</v>
      </c>
      <c r="R19" s="31">
        <v>0</v>
      </c>
      <c r="S19" s="31">
        <v>0</v>
      </c>
      <c r="T19" s="31">
        <v>0</v>
      </c>
      <c r="U19" s="31">
        <v>0</v>
      </c>
      <c r="V19" s="31">
        <v>0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0</v>
      </c>
      <c r="AE19" s="31">
        <v>0</v>
      </c>
      <c r="AF19" s="31">
        <v>0</v>
      </c>
      <c r="AG19" s="31">
        <v>0</v>
      </c>
      <c r="AH19" s="31">
        <v>0</v>
      </c>
    </row>
    <row r="20" spans="1:34" x14ac:dyDescent="0.25">
      <c r="A20" s="31">
        <v>1</v>
      </c>
      <c r="B20" s="31">
        <v>13808</v>
      </c>
      <c r="C20" s="31">
        <v>2</v>
      </c>
      <c r="D20" s="31" t="s">
        <v>476</v>
      </c>
      <c r="E20" s="31"/>
      <c r="F20" s="31">
        <v>0</v>
      </c>
      <c r="G20" s="31">
        <v>0</v>
      </c>
      <c r="H20" s="31">
        <v>0</v>
      </c>
      <c r="I20" s="31">
        <v>0</v>
      </c>
      <c r="J20" s="31">
        <v>0</v>
      </c>
      <c r="K20" s="31" t="s">
        <v>882</v>
      </c>
      <c r="L20" s="31">
        <v>0</v>
      </c>
      <c r="M20" s="31">
        <v>0</v>
      </c>
      <c r="N20" s="31">
        <v>0</v>
      </c>
      <c r="O20" s="31">
        <v>0</v>
      </c>
      <c r="P20" s="31">
        <v>0</v>
      </c>
      <c r="Q20" s="31">
        <v>0</v>
      </c>
      <c r="R20" s="31">
        <v>0</v>
      </c>
      <c r="S20" s="31">
        <v>0</v>
      </c>
      <c r="T20" s="31">
        <v>0</v>
      </c>
      <c r="U20" s="31">
        <v>0</v>
      </c>
      <c r="V20" s="31">
        <v>0</v>
      </c>
      <c r="W20" s="31">
        <v>0</v>
      </c>
      <c r="X20" s="31">
        <v>0</v>
      </c>
      <c r="Y20" s="31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0</v>
      </c>
      <c r="AE20" s="31">
        <v>0</v>
      </c>
      <c r="AF20" s="31">
        <v>0</v>
      </c>
      <c r="AG20" s="31">
        <v>0</v>
      </c>
      <c r="AH20" s="31">
        <v>0</v>
      </c>
    </row>
    <row r="21" spans="1:34" x14ac:dyDescent="0.25">
      <c r="A21" s="31">
        <v>1</v>
      </c>
      <c r="B21" s="31">
        <v>13808</v>
      </c>
      <c r="C21" s="31">
        <v>2</v>
      </c>
      <c r="D21" s="31" t="s">
        <v>477</v>
      </c>
      <c r="E21" s="31"/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 t="s">
        <v>882</v>
      </c>
      <c r="L21" s="31">
        <v>0</v>
      </c>
      <c r="M21" s="31">
        <v>0</v>
      </c>
      <c r="N21" s="31">
        <v>0</v>
      </c>
      <c r="O21" s="31">
        <v>0</v>
      </c>
      <c r="P21" s="31">
        <v>0</v>
      </c>
      <c r="Q21" s="31">
        <v>0</v>
      </c>
      <c r="R21" s="31">
        <v>0</v>
      </c>
      <c r="S21" s="31">
        <v>0</v>
      </c>
      <c r="T21" s="31">
        <v>0</v>
      </c>
      <c r="U21" s="31">
        <v>0</v>
      </c>
      <c r="V21" s="31">
        <v>0</v>
      </c>
      <c r="W21" s="31">
        <v>0</v>
      </c>
      <c r="X21" s="31">
        <v>0</v>
      </c>
      <c r="Y21" s="31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0</v>
      </c>
      <c r="AE21" s="31">
        <v>0</v>
      </c>
      <c r="AF21" s="31">
        <v>0</v>
      </c>
      <c r="AG21" s="31">
        <v>0</v>
      </c>
      <c r="AH21" s="31">
        <v>0</v>
      </c>
    </row>
    <row r="22" spans="1:34" x14ac:dyDescent="0.25">
      <c r="A22" s="31">
        <v>1</v>
      </c>
      <c r="B22" s="31">
        <v>13808</v>
      </c>
      <c r="C22" s="31">
        <v>2</v>
      </c>
      <c r="D22" s="31" t="s">
        <v>478</v>
      </c>
      <c r="E22" s="31"/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 t="s">
        <v>882</v>
      </c>
      <c r="L22" s="31">
        <v>0</v>
      </c>
      <c r="M22" s="31">
        <v>0</v>
      </c>
      <c r="N22" s="31">
        <v>0</v>
      </c>
      <c r="O22" s="31">
        <v>0</v>
      </c>
      <c r="P22" s="31">
        <v>0</v>
      </c>
      <c r="Q22" s="31">
        <v>0</v>
      </c>
      <c r="R22" s="31">
        <v>0</v>
      </c>
      <c r="S22" s="31">
        <v>0</v>
      </c>
      <c r="T22" s="31">
        <v>0</v>
      </c>
      <c r="U22" s="31">
        <v>0</v>
      </c>
      <c r="V22" s="31">
        <v>0</v>
      </c>
      <c r="W22" s="31">
        <v>0</v>
      </c>
      <c r="X22" s="31">
        <v>0</v>
      </c>
      <c r="Y22" s="31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0</v>
      </c>
      <c r="AE22" s="31">
        <v>0</v>
      </c>
      <c r="AF22" s="31">
        <v>0</v>
      </c>
      <c r="AG22" s="31">
        <v>0</v>
      </c>
      <c r="AH22" s="31">
        <v>0</v>
      </c>
    </row>
    <row r="23" spans="1:34" x14ac:dyDescent="0.25">
      <c r="A23" s="31">
        <v>1</v>
      </c>
      <c r="B23" s="31">
        <v>13808</v>
      </c>
      <c r="C23" s="31">
        <v>2</v>
      </c>
      <c r="D23" s="31" t="s">
        <v>479</v>
      </c>
      <c r="E23" s="31"/>
      <c r="F23" s="31">
        <v>0</v>
      </c>
      <c r="G23" s="31">
        <v>0</v>
      </c>
      <c r="H23" s="31">
        <v>0</v>
      </c>
      <c r="I23" s="31">
        <v>0</v>
      </c>
      <c r="J23" s="31">
        <v>0</v>
      </c>
      <c r="K23" s="31" t="s">
        <v>882</v>
      </c>
      <c r="L23" s="31">
        <v>0</v>
      </c>
      <c r="M23" s="31">
        <v>0</v>
      </c>
      <c r="N23" s="31">
        <v>0</v>
      </c>
      <c r="O23" s="31">
        <v>0</v>
      </c>
      <c r="P23" s="31">
        <v>0</v>
      </c>
      <c r="Q23" s="31">
        <v>0</v>
      </c>
      <c r="R23" s="31">
        <v>0</v>
      </c>
      <c r="S23" s="31">
        <v>0</v>
      </c>
      <c r="T23" s="31">
        <v>0</v>
      </c>
      <c r="U23" s="31">
        <v>0</v>
      </c>
      <c r="V23" s="31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0</v>
      </c>
      <c r="AE23" s="31">
        <v>0</v>
      </c>
      <c r="AF23" s="31">
        <v>0</v>
      </c>
      <c r="AG23" s="31">
        <v>0</v>
      </c>
      <c r="AH23" s="31">
        <v>0</v>
      </c>
    </row>
    <row r="24" spans="1:34" x14ac:dyDescent="0.25">
      <c r="A24" s="31">
        <v>1</v>
      </c>
      <c r="B24" s="31">
        <v>13808</v>
      </c>
      <c r="C24" s="31">
        <v>2</v>
      </c>
      <c r="D24" s="31" t="s">
        <v>480</v>
      </c>
      <c r="E24" s="31"/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 t="s">
        <v>882</v>
      </c>
      <c r="L24" s="31">
        <v>0</v>
      </c>
      <c r="M24" s="31">
        <v>0</v>
      </c>
      <c r="N24" s="31">
        <v>0</v>
      </c>
      <c r="O24" s="31">
        <v>0</v>
      </c>
      <c r="P24" s="31">
        <v>0</v>
      </c>
      <c r="Q24" s="31">
        <v>0</v>
      </c>
      <c r="R24" s="31">
        <v>0</v>
      </c>
      <c r="S24" s="31"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31">
        <v>0</v>
      </c>
      <c r="AF24" s="31">
        <v>0</v>
      </c>
      <c r="AG24" s="31">
        <v>0</v>
      </c>
      <c r="AH24" s="31">
        <v>0</v>
      </c>
    </row>
    <row r="25" spans="1:34" x14ac:dyDescent="0.25">
      <c r="A25" s="31">
        <v>1</v>
      </c>
      <c r="B25" s="31">
        <v>13808</v>
      </c>
      <c r="C25" s="31">
        <v>2</v>
      </c>
      <c r="D25" s="31" t="s">
        <v>481</v>
      </c>
      <c r="E25" s="31"/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 t="s">
        <v>882</v>
      </c>
      <c r="L25" s="31">
        <v>0</v>
      </c>
      <c r="M25" s="31">
        <v>0</v>
      </c>
      <c r="N25" s="31">
        <v>0</v>
      </c>
      <c r="O25" s="31">
        <v>0</v>
      </c>
      <c r="P25" s="31">
        <v>0</v>
      </c>
      <c r="Q25" s="31">
        <v>0</v>
      </c>
      <c r="R25" s="31">
        <v>0</v>
      </c>
      <c r="S25" s="31"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</row>
    <row r="26" spans="1:34" x14ac:dyDescent="0.25">
      <c r="A26" s="31">
        <v>1</v>
      </c>
      <c r="B26" s="31">
        <v>13808</v>
      </c>
      <c r="C26" s="31">
        <v>2</v>
      </c>
      <c r="D26" s="31" t="s">
        <v>482</v>
      </c>
      <c r="E26" s="31"/>
      <c r="F26" s="31">
        <v>0</v>
      </c>
      <c r="G26" s="31">
        <v>0</v>
      </c>
      <c r="H26" s="31">
        <v>0</v>
      </c>
      <c r="I26" s="31">
        <v>0</v>
      </c>
      <c r="J26" s="31">
        <v>0</v>
      </c>
      <c r="K26" s="31" t="s">
        <v>882</v>
      </c>
      <c r="L26" s="31">
        <v>0</v>
      </c>
      <c r="M26" s="31">
        <v>0</v>
      </c>
      <c r="N26" s="31">
        <v>0</v>
      </c>
      <c r="O26" s="31">
        <v>0</v>
      </c>
      <c r="P26" s="31">
        <v>0</v>
      </c>
      <c r="Q26" s="31">
        <v>0</v>
      </c>
      <c r="R26" s="31">
        <v>0</v>
      </c>
      <c r="S26" s="31"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0</v>
      </c>
      <c r="AE26" s="31">
        <v>0</v>
      </c>
      <c r="AF26" s="31">
        <v>0</v>
      </c>
      <c r="AG26" s="31">
        <v>0</v>
      </c>
      <c r="AH26" s="31">
        <v>0</v>
      </c>
    </row>
    <row r="27" spans="1:34" x14ac:dyDescent="0.25">
      <c r="A27" s="31">
        <v>1</v>
      </c>
      <c r="B27" s="31">
        <v>13808</v>
      </c>
      <c r="C27" s="31">
        <v>2</v>
      </c>
      <c r="D27" s="31" t="s">
        <v>483</v>
      </c>
      <c r="E27" s="31"/>
      <c r="F27" s="31">
        <v>0</v>
      </c>
      <c r="G27" s="31">
        <v>0</v>
      </c>
      <c r="H27" s="31">
        <v>0</v>
      </c>
      <c r="I27" s="31">
        <v>0</v>
      </c>
      <c r="J27" s="31">
        <v>0</v>
      </c>
      <c r="K27" s="31" t="s">
        <v>882</v>
      </c>
      <c r="L27" s="31">
        <v>0</v>
      </c>
      <c r="M27" s="31">
        <v>0</v>
      </c>
      <c r="N27" s="31">
        <v>0</v>
      </c>
      <c r="O27" s="31">
        <v>0</v>
      </c>
      <c r="P27" s="31">
        <v>0</v>
      </c>
      <c r="Q27" s="31">
        <v>0</v>
      </c>
      <c r="R27" s="31">
        <v>0</v>
      </c>
      <c r="S27" s="31">
        <v>0</v>
      </c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0</v>
      </c>
      <c r="AE27" s="31">
        <v>0</v>
      </c>
      <c r="AF27" s="31">
        <v>0</v>
      </c>
      <c r="AG27" s="31">
        <v>0</v>
      </c>
      <c r="AH27" s="31">
        <v>0</v>
      </c>
    </row>
    <row r="28" spans="1:34" x14ac:dyDescent="0.25">
      <c r="A28" s="31">
        <v>1</v>
      </c>
      <c r="B28" s="31">
        <v>13808</v>
      </c>
      <c r="C28" s="31">
        <v>2</v>
      </c>
      <c r="D28" s="31" t="s">
        <v>484</v>
      </c>
      <c r="E28" s="31"/>
      <c r="F28" s="31">
        <v>0</v>
      </c>
      <c r="G28" s="31">
        <v>0</v>
      </c>
      <c r="H28" s="31">
        <v>0</v>
      </c>
      <c r="I28" s="31">
        <v>0</v>
      </c>
      <c r="J28" s="31">
        <v>0</v>
      </c>
      <c r="K28" s="31" t="s">
        <v>882</v>
      </c>
      <c r="L28" s="31">
        <v>0</v>
      </c>
      <c r="M28" s="31">
        <v>0</v>
      </c>
      <c r="N28" s="31">
        <v>0</v>
      </c>
      <c r="O28" s="31">
        <v>0</v>
      </c>
      <c r="P28" s="31">
        <v>0</v>
      </c>
      <c r="Q28" s="31">
        <v>0</v>
      </c>
      <c r="R28" s="31">
        <v>0</v>
      </c>
      <c r="S28" s="31">
        <v>0</v>
      </c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0</v>
      </c>
      <c r="AG28" s="31">
        <v>0</v>
      </c>
      <c r="AH28" s="31">
        <v>0</v>
      </c>
    </row>
    <row r="29" spans="1:34" x14ac:dyDescent="0.25">
      <c r="A29" s="31">
        <v>1</v>
      </c>
      <c r="B29" s="31">
        <v>13808</v>
      </c>
      <c r="C29" s="31">
        <v>2</v>
      </c>
      <c r="D29" s="31" t="s">
        <v>486</v>
      </c>
      <c r="E29" s="31"/>
      <c r="F29" s="31">
        <v>0</v>
      </c>
      <c r="G29" s="31">
        <v>0</v>
      </c>
      <c r="H29" s="31">
        <v>0</v>
      </c>
      <c r="I29" s="31">
        <v>0</v>
      </c>
      <c r="J29" s="31">
        <v>0</v>
      </c>
      <c r="K29" s="31" t="s">
        <v>882</v>
      </c>
      <c r="L29" s="31">
        <v>0</v>
      </c>
      <c r="M29" s="31">
        <v>0</v>
      </c>
      <c r="N29" s="31">
        <v>0</v>
      </c>
      <c r="O29" s="31">
        <v>0</v>
      </c>
      <c r="P29" s="31">
        <v>0</v>
      </c>
      <c r="Q29" s="31">
        <v>0</v>
      </c>
      <c r="R29" s="31">
        <v>0</v>
      </c>
      <c r="S29" s="31">
        <v>0</v>
      </c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0</v>
      </c>
      <c r="AE29" s="31">
        <v>0</v>
      </c>
      <c r="AF29" s="31">
        <v>0</v>
      </c>
      <c r="AG29" s="31">
        <v>0</v>
      </c>
      <c r="AH29" s="31">
        <v>0</v>
      </c>
    </row>
    <row r="30" spans="1:34" x14ac:dyDescent="0.25">
      <c r="A30" s="31">
        <v>1</v>
      </c>
      <c r="B30" s="31">
        <v>13808</v>
      </c>
      <c r="C30" s="31">
        <v>2</v>
      </c>
      <c r="D30" s="31" t="s">
        <v>487</v>
      </c>
      <c r="E30" s="31"/>
      <c r="F30" s="31">
        <v>0</v>
      </c>
      <c r="G30" s="31">
        <v>0</v>
      </c>
      <c r="H30" s="31">
        <v>0</v>
      </c>
      <c r="I30" s="31">
        <v>0</v>
      </c>
      <c r="J30" s="31">
        <v>0</v>
      </c>
      <c r="K30" s="31" t="s">
        <v>882</v>
      </c>
      <c r="L30" s="31">
        <v>0</v>
      </c>
      <c r="M30" s="31">
        <v>0</v>
      </c>
      <c r="N30" s="31">
        <v>0</v>
      </c>
      <c r="O30" s="31">
        <v>0</v>
      </c>
      <c r="P30" s="31">
        <v>0</v>
      </c>
      <c r="Q30" s="31">
        <v>0</v>
      </c>
      <c r="R30" s="31">
        <v>0</v>
      </c>
      <c r="S30" s="31">
        <v>0</v>
      </c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0</v>
      </c>
      <c r="AE30" s="31">
        <v>0</v>
      </c>
      <c r="AF30" s="31">
        <v>0</v>
      </c>
      <c r="AG30" s="31">
        <v>0</v>
      </c>
      <c r="AH30" s="31">
        <v>0</v>
      </c>
    </row>
    <row r="31" spans="1:34" x14ac:dyDescent="0.25">
      <c r="A31" s="31">
        <v>1</v>
      </c>
      <c r="B31" s="31">
        <v>13808</v>
      </c>
      <c r="C31" s="31">
        <v>2</v>
      </c>
      <c r="D31" s="31" t="s">
        <v>488</v>
      </c>
      <c r="E31" s="31"/>
      <c r="F31" s="31">
        <v>0</v>
      </c>
      <c r="G31" s="31">
        <v>0</v>
      </c>
      <c r="H31" s="31">
        <v>0</v>
      </c>
      <c r="I31" s="31">
        <v>0</v>
      </c>
      <c r="J31" s="31">
        <v>0</v>
      </c>
      <c r="K31" s="31" t="s">
        <v>882</v>
      </c>
      <c r="L31" s="31">
        <v>0</v>
      </c>
      <c r="M31" s="31">
        <v>0</v>
      </c>
      <c r="N31" s="31">
        <v>0</v>
      </c>
      <c r="O31" s="31">
        <v>0</v>
      </c>
      <c r="P31" s="31">
        <v>0</v>
      </c>
      <c r="Q31" s="31">
        <v>0</v>
      </c>
      <c r="R31" s="31">
        <v>0</v>
      </c>
      <c r="S31" s="31"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31">
        <v>0</v>
      </c>
      <c r="AF31" s="31">
        <v>0</v>
      </c>
      <c r="AG31" s="31">
        <v>0</v>
      </c>
      <c r="AH31" s="31">
        <v>0</v>
      </c>
    </row>
    <row r="32" spans="1:34" x14ac:dyDescent="0.25">
      <c r="A32" s="31">
        <v>1</v>
      </c>
      <c r="B32" s="31">
        <v>13808</v>
      </c>
      <c r="C32" s="31">
        <v>2</v>
      </c>
      <c r="D32" s="31" t="s">
        <v>489</v>
      </c>
      <c r="E32" s="31"/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 t="s">
        <v>882</v>
      </c>
      <c r="L32" s="31">
        <v>0</v>
      </c>
      <c r="M32" s="31">
        <v>0</v>
      </c>
      <c r="N32" s="31">
        <v>0</v>
      </c>
      <c r="O32" s="31">
        <v>0</v>
      </c>
      <c r="P32" s="31">
        <v>0</v>
      </c>
      <c r="Q32" s="31">
        <v>0</v>
      </c>
      <c r="R32" s="31">
        <v>0</v>
      </c>
      <c r="S32" s="31"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  <c r="AE32" s="31">
        <v>0</v>
      </c>
      <c r="AF32" s="31">
        <v>0</v>
      </c>
      <c r="AG32" s="31">
        <v>0</v>
      </c>
      <c r="AH32" s="31">
        <v>0</v>
      </c>
    </row>
    <row r="33" spans="1:34" x14ac:dyDescent="0.25">
      <c r="A33" s="31">
        <v>2</v>
      </c>
      <c r="B33" s="31">
        <v>13808</v>
      </c>
      <c r="C33" s="31">
        <v>1</v>
      </c>
      <c r="D33" s="31" t="s">
        <v>489</v>
      </c>
      <c r="E33" s="31"/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 t="s">
        <v>882</v>
      </c>
      <c r="L33" s="31">
        <v>0</v>
      </c>
      <c r="M33" s="31">
        <v>0</v>
      </c>
      <c r="N33" s="31">
        <v>0</v>
      </c>
      <c r="O33" s="31">
        <v>0</v>
      </c>
      <c r="P33" s="31">
        <v>0</v>
      </c>
      <c r="Q33" s="31">
        <v>0</v>
      </c>
      <c r="R33" s="31">
        <v>0</v>
      </c>
      <c r="S33" s="31"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0</v>
      </c>
      <c r="AE33" s="31">
        <v>0</v>
      </c>
      <c r="AF33" s="31">
        <v>0</v>
      </c>
      <c r="AG33" s="31">
        <v>0</v>
      </c>
      <c r="AH33" s="31">
        <v>0</v>
      </c>
    </row>
    <row r="34" spans="1:34" x14ac:dyDescent="0.25">
      <c r="A34" s="31">
        <v>2</v>
      </c>
      <c r="B34" s="31">
        <v>13808</v>
      </c>
      <c r="C34" s="31">
        <v>1</v>
      </c>
      <c r="D34" s="31" t="s">
        <v>490</v>
      </c>
      <c r="E34" s="31"/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 t="s">
        <v>882</v>
      </c>
      <c r="L34" s="31">
        <v>0</v>
      </c>
      <c r="M34" s="31">
        <v>0</v>
      </c>
      <c r="N34" s="31">
        <v>0</v>
      </c>
      <c r="O34" s="31">
        <v>0</v>
      </c>
      <c r="P34" s="31">
        <v>0</v>
      </c>
      <c r="Q34" s="31">
        <v>0</v>
      </c>
      <c r="R34" s="31">
        <v>0</v>
      </c>
      <c r="S34" s="31"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0</v>
      </c>
      <c r="AE34" s="31">
        <v>0</v>
      </c>
      <c r="AF34" s="31">
        <v>0</v>
      </c>
      <c r="AG34" s="31">
        <v>0</v>
      </c>
      <c r="AH34" s="31">
        <v>0</v>
      </c>
    </row>
    <row r="35" spans="1:34" x14ac:dyDescent="0.25">
      <c r="A35" s="31">
        <v>2</v>
      </c>
      <c r="B35" s="31">
        <v>13808</v>
      </c>
      <c r="C35" s="31">
        <v>1</v>
      </c>
      <c r="D35" s="31" t="s">
        <v>491</v>
      </c>
      <c r="E35" s="31"/>
      <c r="F35" s="31">
        <v>0</v>
      </c>
      <c r="G35" s="31">
        <v>0</v>
      </c>
      <c r="H35" s="31">
        <v>0</v>
      </c>
      <c r="I35" s="31">
        <v>0</v>
      </c>
      <c r="J35" s="31">
        <v>0</v>
      </c>
      <c r="K35" s="31" t="s">
        <v>882</v>
      </c>
      <c r="L35" s="31">
        <v>0</v>
      </c>
      <c r="M35" s="31">
        <v>0</v>
      </c>
      <c r="N35" s="31">
        <v>0</v>
      </c>
      <c r="O35" s="31">
        <v>0</v>
      </c>
      <c r="P35" s="31">
        <v>0</v>
      </c>
      <c r="Q35" s="31">
        <v>0</v>
      </c>
      <c r="R35" s="31">
        <v>0</v>
      </c>
      <c r="S35" s="31"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0</v>
      </c>
      <c r="AE35" s="31">
        <v>0</v>
      </c>
      <c r="AF35" s="31">
        <v>0</v>
      </c>
      <c r="AG35" s="31">
        <v>0</v>
      </c>
      <c r="AH35" s="31">
        <v>0</v>
      </c>
    </row>
    <row r="36" spans="1:34" x14ac:dyDescent="0.25">
      <c r="A36" s="31">
        <v>2</v>
      </c>
      <c r="B36" s="31">
        <v>13808</v>
      </c>
      <c r="C36" s="31">
        <v>1</v>
      </c>
      <c r="D36" s="31" t="s">
        <v>492</v>
      </c>
      <c r="E36" s="31"/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 t="s">
        <v>882</v>
      </c>
      <c r="L36" s="31">
        <v>0</v>
      </c>
      <c r="M36" s="31">
        <v>0</v>
      </c>
      <c r="N36" s="31">
        <v>0</v>
      </c>
      <c r="O36" s="31">
        <v>0</v>
      </c>
      <c r="P36" s="31">
        <v>0</v>
      </c>
      <c r="Q36" s="31">
        <v>0</v>
      </c>
      <c r="R36" s="31">
        <v>0</v>
      </c>
      <c r="S36" s="31"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0</v>
      </c>
      <c r="AE36" s="31">
        <v>0</v>
      </c>
      <c r="AF36" s="31">
        <v>0</v>
      </c>
      <c r="AG36" s="31">
        <v>0</v>
      </c>
      <c r="AH36" s="31">
        <v>0</v>
      </c>
    </row>
    <row r="37" spans="1:34" x14ac:dyDescent="0.25">
      <c r="A37" s="31">
        <v>2</v>
      </c>
      <c r="B37" s="31">
        <v>13808</v>
      </c>
      <c r="C37" s="31">
        <v>1</v>
      </c>
      <c r="D37" s="31" t="s">
        <v>493</v>
      </c>
      <c r="E37" s="31"/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 t="s">
        <v>882</v>
      </c>
      <c r="L37" s="31">
        <v>0</v>
      </c>
      <c r="M37" s="31">
        <v>0</v>
      </c>
      <c r="N37" s="31">
        <v>0</v>
      </c>
      <c r="O37" s="31">
        <v>0</v>
      </c>
      <c r="P37" s="31">
        <v>0</v>
      </c>
      <c r="Q37" s="31">
        <v>0</v>
      </c>
      <c r="R37" s="31">
        <v>0</v>
      </c>
      <c r="S37" s="31"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31">
        <v>0</v>
      </c>
      <c r="AF37" s="31">
        <v>0</v>
      </c>
      <c r="AG37" s="31">
        <v>0</v>
      </c>
      <c r="AH37" s="31">
        <v>0</v>
      </c>
    </row>
    <row r="38" spans="1:34" x14ac:dyDescent="0.25">
      <c r="A38" s="31">
        <v>2</v>
      </c>
      <c r="B38" s="31">
        <v>13808</v>
      </c>
      <c r="C38" s="31">
        <v>1</v>
      </c>
      <c r="D38" s="31" t="s">
        <v>494</v>
      </c>
      <c r="E38" s="31"/>
      <c r="F38" s="31">
        <v>0</v>
      </c>
      <c r="G38" s="31">
        <v>0</v>
      </c>
      <c r="H38" s="31">
        <v>0</v>
      </c>
      <c r="I38" s="31">
        <v>0</v>
      </c>
      <c r="J38" s="31">
        <v>0</v>
      </c>
      <c r="K38" s="31" t="s">
        <v>882</v>
      </c>
      <c r="L38" s="31">
        <v>0</v>
      </c>
      <c r="M38" s="31">
        <v>0</v>
      </c>
      <c r="N38" s="31">
        <v>0</v>
      </c>
      <c r="O38" s="31">
        <v>0</v>
      </c>
      <c r="P38" s="31">
        <v>0</v>
      </c>
      <c r="Q38" s="31">
        <v>0</v>
      </c>
      <c r="R38" s="31">
        <v>0</v>
      </c>
      <c r="S38" s="31">
        <v>0</v>
      </c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0</v>
      </c>
      <c r="AE38" s="31">
        <v>0</v>
      </c>
      <c r="AF38" s="31">
        <v>0</v>
      </c>
      <c r="AG38" s="31">
        <v>0</v>
      </c>
      <c r="AH38" s="31">
        <v>0</v>
      </c>
    </row>
    <row r="39" spans="1:34" x14ac:dyDescent="0.25">
      <c r="A39" s="31">
        <v>2</v>
      </c>
      <c r="B39" s="31">
        <v>13808</v>
      </c>
      <c r="C39" s="31">
        <v>1</v>
      </c>
      <c r="D39" s="31" t="s">
        <v>495</v>
      </c>
      <c r="E39" s="31"/>
      <c r="F39" s="31">
        <v>0</v>
      </c>
      <c r="G39" s="31">
        <v>0</v>
      </c>
      <c r="H39" s="31">
        <v>0</v>
      </c>
      <c r="I39" s="31">
        <v>0</v>
      </c>
      <c r="J39" s="31">
        <v>0</v>
      </c>
      <c r="K39" s="31" t="s">
        <v>882</v>
      </c>
      <c r="L39" s="31">
        <v>0</v>
      </c>
      <c r="M39" s="31">
        <v>0</v>
      </c>
      <c r="N39" s="31">
        <v>0</v>
      </c>
      <c r="O39" s="31">
        <v>0</v>
      </c>
      <c r="P39" s="31">
        <v>0</v>
      </c>
      <c r="Q39" s="31">
        <v>0</v>
      </c>
      <c r="R39" s="31">
        <v>0</v>
      </c>
      <c r="S39" s="31">
        <v>0</v>
      </c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0</v>
      </c>
      <c r="AB39" s="31">
        <v>0</v>
      </c>
      <c r="AC39" s="31">
        <v>0</v>
      </c>
      <c r="AD39" s="31">
        <v>0</v>
      </c>
      <c r="AE39" s="31">
        <v>0</v>
      </c>
      <c r="AF39" s="31">
        <v>0</v>
      </c>
      <c r="AG39" s="31">
        <v>0</v>
      </c>
      <c r="AH39" s="31">
        <v>0</v>
      </c>
    </row>
    <row r="40" spans="1:34" x14ac:dyDescent="0.25">
      <c r="A40" s="31">
        <v>2</v>
      </c>
      <c r="B40" s="31">
        <v>13808</v>
      </c>
      <c r="C40" s="31" t="s">
        <v>452</v>
      </c>
      <c r="D40" s="31" t="s">
        <v>496</v>
      </c>
      <c r="E40" s="31"/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 t="s">
        <v>882</v>
      </c>
      <c r="L40" s="31">
        <v>0</v>
      </c>
      <c r="M40" s="31">
        <v>0</v>
      </c>
      <c r="N40" s="31">
        <v>0</v>
      </c>
      <c r="O40" s="31">
        <v>0</v>
      </c>
      <c r="P40" s="31">
        <v>0</v>
      </c>
      <c r="Q40" s="31">
        <v>0</v>
      </c>
      <c r="R40" s="31">
        <v>0</v>
      </c>
      <c r="S40" s="31">
        <v>0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0</v>
      </c>
      <c r="AB40" s="31">
        <v>0</v>
      </c>
      <c r="AC40" s="31">
        <v>0</v>
      </c>
      <c r="AD40" s="31">
        <v>0</v>
      </c>
      <c r="AE40" s="31">
        <v>0</v>
      </c>
      <c r="AF40" s="31">
        <v>0</v>
      </c>
      <c r="AG40" s="31">
        <v>0</v>
      </c>
      <c r="AH40" s="31">
        <v>0</v>
      </c>
    </row>
    <row r="41" spans="1:34" x14ac:dyDescent="0.25">
      <c r="A41" s="31">
        <v>2</v>
      </c>
      <c r="B41" s="31">
        <v>13808</v>
      </c>
      <c r="C41" s="31">
        <v>1</v>
      </c>
      <c r="D41" s="31" t="s">
        <v>497</v>
      </c>
      <c r="E41" s="31"/>
      <c r="F41" s="31">
        <v>0</v>
      </c>
      <c r="G41" s="31">
        <v>0</v>
      </c>
      <c r="H41" s="31">
        <v>0</v>
      </c>
      <c r="I41" s="31">
        <v>0</v>
      </c>
      <c r="J41" s="31">
        <v>0</v>
      </c>
      <c r="K41" s="31" t="s">
        <v>882</v>
      </c>
      <c r="L41" s="31">
        <v>0</v>
      </c>
      <c r="M41" s="31">
        <v>0</v>
      </c>
      <c r="N41" s="31">
        <v>0</v>
      </c>
      <c r="O41" s="31">
        <v>0</v>
      </c>
      <c r="P41" s="31">
        <v>0</v>
      </c>
      <c r="Q41" s="31">
        <v>0</v>
      </c>
      <c r="R41" s="31">
        <v>0</v>
      </c>
      <c r="S41" s="31"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0</v>
      </c>
      <c r="AE41" s="31">
        <v>0</v>
      </c>
      <c r="AF41" s="31">
        <v>0</v>
      </c>
      <c r="AG41" s="31">
        <v>0</v>
      </c>
      <c r="AH41" s="31">
        <v>0</v>
      </c>
    </row>
    <row r="42" spans="1:34" x14ac:dyDescent="0.25">
      <c r="A42" s="31">
        <v>2</v>
      </c>
      <c r="B42" s="31">
        <v>13808</v>
      </c>
      <c r="C42" s="31">
        <v>1</v>
      </c>
      <c r="D42" s="31" t="s">
        <v>498</v>
      </c>
      <c r="E42" s="31"/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 t="s">
        <v>882</v>
      </c>
      <c r="L42" s="31">
        <v>0</v>
      </c>
      <c r="M42" s="31">
        <v>0</v>
      </c>
      <c r="N42" s="31">
        <v>0</v>
      </c>
      <c r="O42" s="31">
        <v>0</v>
      </c>
      <c r="P42" s="31">
        <v>0</v>
      </c>
      <c r="Q42" s="31">
        <v>0</v>
      </c>
      <c r="R42" s="31">
        <v>0</v>
      </c>
      <c r="S42" s="31"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</row>
    <row r="43" spans="1:34" x14ac:dyDescent="0.25">
      <c r="A43" s="31">
        <v>2</v>
      </c>
      <c r="B43" s="31">
        <v>13808</v>
      </c>
      <c r="C43" s="31">
        <v>1</v>
      </c>
      <c r="D43" s="31" t="s">
        <v>499</v>
      </c>
      <c r="E43" s="31"/>
      <c r="F43" s="31">
        <v>0</v>
      </c>
      <c r="G43" s="31">
        <v>0</v>
      </c>
      <c r="H43" s="31">
        <v>0</v>
      </c>
      <c r="I43" s="31">
        <v>0</v>
      </c>
      <c r="J43" s="31">
        <v>0</v>
      </c>
      <c r="K43" s="31" t="s">
        <v>882</v>
      </c>
      <c r="L43" s="31">
        <v>0</v>
      </c>
      <c r="M43" s="31">
        <v>0</v>
      </c>
      <c r="N43" s="31">
        <v>0</v>
      </c>
      <c r="O43" s="31">
        <v>0</v>
      </c>
      <c r="P43" s="31">
        <v>0</v>
      </c>
      <c r="Q43" s="31">
        <v>0</v>
      </c>
      <c r="R43" s="31">
        <v>0</v>
      </c>
      <c r="S43" s="31"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</row>
    <row r="44" spans="1:34" x14ac:dyDescent="0.25">
      <c r="A44" s="31">
        <v>2</v>
      </c>
      <c r="B44" s="31">
        <v>13808</v>
      </c>
      <c r="C44" s="31">
        <v>2</v>
      </c>
      <c r="D44" s="31" t="s">
        <v>489</v>
      </c>
      <c r="E44" s="31"/>
      <c r="F44" s="31">
        <v>0</v>
      </c>
      <c r="G44" s="31">
        <v>0</v>
      </c>
      <c r="H44" s="31">
        <v>0</v>
      </c>
      <c r="I44" s="31">
        <v>0</v>
      </c>
      <c r="J44" s="31">
        <v>0</v>
      </c>
      <c r="K44" s="31" t="s">
        <v>882</v>
      </c>
      <c r="L44" s="31">
        <v>0</v>
      </c>
      <c r="M44" s="31">
        <v>0</v>
      </c>
      <c r="N44" s="31">
        <v>0</v>
      </c>
      <c r="O44" s="31">
        <v>0</v>
      </c>
      <c r="P44" s="31">
        <v>0</v>
      </c>
      <c r="Q44" s="31">
        <v>0</v>
      </c>
      <c r="R44" s="31">
        <v>0</v>
      </c>
      <c r="S44" s="31"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31">
        <v>0</v>
      </c>
      <c r="AF44" s="31">
        <v>0</v>
      </c>
      <c r="AG44" s="31">
        <v>0</v>
      </c>
      <c r="AH44" s="31">
        <v>0</v>
      </c>
    </row>
    <row r="45" spans="1:34" x14ac:dyDescent="0.25">
      <c r="A45" s="31">
        <v>2</v>
      </c>
      <c r="B45" s="31">
        <v>13808</v>
      </c>
      <c r="C45" s="31">
        <v>2</v>
      </c>
      <c r="D45" s="31" t="s">
        <v>490</v>
      </c>
      <c r="E45" s="31"/>
      <c r="F45" s="31">
        <v>0</v>
      </c>
      <c r="G45" s="31">
        <v>0</v>
      </c>
      <c r="H45" s="31">
        <v>0</v>
      </c>
      <c r="I45" s="31">
        <v>0</v>
      </c>
      <c r="J45" s="31">
        <v>0</v>
      </c>
      <c r="K45" s="31" t="s">
        <v>882</v>
      </c>
      <c r="L45" s="31">
        <v>0</v>
      </c>
      <c r="M45" s="31">
        <v>0</v>
      </c>
      <c r="N45" s="31">
        <v>0</v>
      </c>
      <c r="O45" s="31">
        <v>0</v>
      </c>
      <c r="P45" s="31">
        <v>0</v>
      </c>
      <c r="Q45" s="31">
        <v>0</v>
      </c>
      <c r="R45" s="31">
        <v>0</v>
      </c>
      <c r="S45" s="31">
        <v>0</v>
      </c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0</v>
      </c>
      <c r="AE45" s="31">
        <v>0</v>
      </c>
      <c r="AF45" s="31">
        <v>0</v>
      </c>
      <c r="AG45" s="31">
        <v>0</v>
      </c>
      <c r="AH45" s="31">
        <v>0</v>
      </c>
    </row>
    <row r="46" spans="1:34" x14ac:dyDescent="0.25">
      <c r="A46" s="31">
        <v>2</v>
      </c>
      <c r="B46" s="31">
        <v>13808</v>
      </c>
      <c r="C46" s="31">
        <v>2</v>
      </c>
      <c r="D46" s="31" t="s">
        <v>491</v>
      </c>
      <c r="E46" s="31"/>
      <c r="F46" s="31">
        <v>0</v>
      </c>
      <c r="G46" s="31">
        <v>0</v>
      </c>
      <c r="H46" s="31">
        <v>0</v>
      </c>
      <c r="I46" s="31">
        <v>0</v>
      </c>
      <c r="J46" s="31">
        <v>0</v>
      </c>
      <c r="K46" s="31" t="s">
        <v>882</v>
      </c>
      <c r="L46" s="31">
        <v>0</v>
      </c>
      <c r="M46" s="31">
        <v>0</v>
      </c>
      <c r="N46" s="31">
        <v>0</v>
      </c>
      <c r="O46" s="31">
        <v>0</v>
      </c>
      <c r="P46" s="31">
        <v>0</v>
      </c>
      <c r="Q46" s="31">
        <v>0</v>
      </c>
      <c r="R46" s="31">
        <v>0</v>
      </c>
      <c r="S46" s="31">
        <v>0</v>
      </c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</row>
    <row r="47" spans="1:34" x14ac:dyDescent="0.25">
      <c r="A47" s="31">
        <v>2</v>
      </c>
      <c r="B47" s="31">
        <v>13808</v>
      </c>
      <c r="C47" s="31">
        <v>2</v>
      </c>
      <c r="D47" s="31" t="s">
        <v>492</v>
      </c>
      <c r="E47" s="31"/>
      <c r="F47" s="31">
        <v>0</v>
      </c>
      <c r="G47" s="31">
        <v>0</v>
      </c>
      <c r="H47" s="31">
        <v>0</v>
      </c>
      <c r="I47" s="31">
        <v>0</v>
      </c>
      <c r="J47" s="31">
        <v>0</v>
      </c>
      <c r="K47" s="31" t="s">
        <v>882</v>
      </c>
      <c r="L47" s="31">
        <v>0</v>
      </c>
      <c r="M47" s="31">
        <v>0</v>
      </c>
      <c r="N47" s="31">
        <v>0</v>
      </c>
      <c r="O47" s="31">
        <v>0</v>
      </c>
      <c r="P47" s="31">
        <v>0</v>
      </c>
      <c r="Q47" s="31">
        <v>0</v>
      </c>
      <c r="R47" s="31">
        <v>0</v>
      </c>
      <c r="S47" s="31">
        <v>0</v>
      </c>
      <c r="T47" s="31">
        <v>0</v>
      </c>
      <c r="U47" s="31">
        <v>0</v>
      </c>
      <c r="V47" s="31">
        <v>0</v>
      </c>
      <c r="W47" s="31">
        <v>0</v>
      </c>
      <c r="X47" s="31">
        <v>0</v>
      </c>
      <c r="Y47" s="31">
        <v>0</v>
      </c>
      <c r="Z47" s="31">
        <v>0</v>
      </c>
      <c r="AA47" s="31">
        <v>0</v>
      </c>
      <c r="AB47" s="31">
        <v>0</v>
      </c>
      <c r="AC47" s="31">
        <v>0</v>
      </c>
      <c r="AD47" s="31">
        <v>0</v>
      </c>
      <c r="AE47" s="31">
        <v>0</v>
      </c>
      <c r="AF47" s="31">
        <v>0</v>
      </c>
      <c r="AG47" s="31">
        <v>0</v>
      </c>
      <c r="AH47" s="31">
        <v>0</v>
      </c>
    </row>
    <row r="48" spans="1:34" x14ac:dyDescent="0.25">
      <c r="A48" s="31">
        <v>2</v>
      </c>
      <c r="B48" s="31">
        <v>13808</v>
      </c>
      <c r="C48" s="31">
        <v>2</v>
      </c>
      <c r="D48" s="31" t="s">
        <v>493</v>
      </c>
      <c r="E48" s="31"/>
      <c r="F48" s="31">
        <v>0</v>
      </c>
      <c r="G48" s="31">
        <v>0</v>
      </c>
      <c r="H48" s="31">
        <v>0</v>
      </c>
      <c r="I48" s="31">
        <v>0</v>
      </c>
      <c r="J48" s="31">
        <v>0</v>
      </c>
      <c r="K48" s="31" t="s">
        <v>882</v>
      </c>
      <c r="L48" s="31">
        <v>0</v>
      </c>
      <c r="M48" s="31">
        <v>0</v>
      </c>
      <c r="N48" s="31">
        <v>0</v>
      </c>
      <c r="O48" s="31">
        <v>0</v>
      </c>
      <c r="P48" s="31">
        <v>0</v>
      </c>
      <c r="Q48" s="31">
        <v>0</v>
      </c>
      <c r="R48" s="31">
        <v>0</v>
      </c>
      <c r="S48" s="31">
        <v>0</v>
      </c>
      <c r="T48" s="31">
        <v>0</v>
      </c>
      <c r="U48" s="31">
        <v>0</v>
      </c>
      <c r="V48" s="31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0</v>
      </c>
      <c r="AE48" s="31">
        <v>0</v>
      </c>
      <c r="AF48" s="31">
        <v>0</v>
      </c>
      <c r="AG48" s="31">
        <v>0</v>
      </c>
      <c r="AH48" s="31">
        <v>0</v>
      </c>
    </row>
    <row r="49" spans="1:34" x14ac:dyDescent="0.25">
      <c r="A49" s="31">
        <v>2</v>
      </c>
      <c r="B49" s="31">
        <v>13808</v>
      </c>
      <c r="C49" s="31">
        <v>2</v>
      </c>
      <c r="D49" s="31" t="s">
        <v>494</v>
      </c>
      <c r="E49" s="31"/>
      <c r="F49" s="31">
        <v>0</v>
      </c>
      <c r="G49" s="31">
        <v>0</v>
      </c>
      <c r="H49" s="31">
        <v>0</v>
      </c>
      <c r="I49" s="31">
        <v>0</v>
      </c>
      <c r="J49" s="31">
        <v>0</v>
      </c>
      <c r="K49" s="31" t="s">
        <v>882</v>
      </c>
      <c r="L49" s="31">
        <v>0</v>
      </c>
      <c r="M49" s="31">
        <v>0</v>
      </c>
      <c r="N49" s="31">
        <v>0</v>
      </c>
      <c r="O49" s="31">
        <v>0</v>
      </c>
      <c r="P49" s="31">
        <v>0</v>
      </c>
      <c r="Q49" s="31">
        <v>0</v>
      </c>
      <c r="R49" s="31">
        <v>0</v>
      </c>
      <c r="S49" s="31"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</row>
    <row r="50" spans="1:34" x14ac:dyDescent="0.25">
      <c r="A50" s="31">
        <v>2</v>
      </c>
      <c r="B50" s="31">
        <v>13808</v>
      </c>
      <c r="C50" s="31">
        <v>2</v>
      </c>
      <c r="D50" s="31" t="s">
        <v>495</v>
      </c>
      <c r="E50" s="31"/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 t="s">
        <v>882</v>
      </c>
      <c r="L50" s="31">
        <v>0</v>
      </c>
      <c r="M50" s="31">
        <v>0</v>
      </c>
      <c r="N50" s="31">
        <v>0</v>
      </c>
      <c r="O50" s="31">
        <v>0</v>
      </c>
      <c r="P50" s="31">
        <v>0</v>
      </c>
      <c r="Q50" s="31">
        <v>0</v>
      </c>
      <c r="R50" s="31">
        <v>0</v>
      </c>
      <c r="S50" s="31">
        <v>0</v>
      </c>
      <c r="T50" s="31">
        <v>0</v>
      </c>
      <c r="U50" s="31">
        <v>0</v>
      </c>
      <c r="V50" s="31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  <c r="AE50" s="31">
        <v>0</v>
      </c>
      <c r="AF50" s="31">
        <v>0</v>
      </c>
      <c r="AG50" s="31">
        <v>0</v>
      </c>
      <c r="AH50" s="31">
        <v>0</v>
      </c>
    </row>
    <row r="51" spans="1:34" x14ac:dyDescent="0.25">
      <c r="A51" s="31">
        <v>2</v>
      </c>
      <c r="B51" s="31">
        <v>13808</v>
      </c>
      <c r="C51" s="31">
        <v>2</v>
      </c>
      <c r="D51" s="31" t="s">
        <v>497</v>
      </c>
      <c r="E51" s="31"/>
      <c r="F51" s="31">
        <v>0</v>
      </c>
      <c r="G51" s="31">
        <v>0</v>
      </c>
      <c r="H51" s="31">
        <v>0</v>
      </c>
      <c r="I51" s="31">
        <v>0</v>
      </c>
      <c r="J51" s="31">
        <v>0</v>
      </c>
      <c r="K51" s="31" t="s">
        <v>882</v>
      </c>
      <c r="L51" s="31">
        <v>0</v>
      </c>
      <c r="M51" s="31">
        <v>0</v>
      </c>
      <c r="N51" s="31">
        <v>0</v>
      </c>
      <c r="O51" s="31">
        <v>0</v>
      </c>
      <c r="P51" s="31">
        <v>0</v>
      </c>
      <c r="Q51" s="31">
        <v>0</v>
      </c>
      <c r="R51" s="31">
        <v>0</v>
      </c>
      <c r="S51" s="31">
        <v>0</v>
      </c>
      <c r="T51" s="31">
        <v>0</v>
      </c>
      <c r="U51" s="31">
        <v>0</v>
      </c>
      <c r="V51" s="31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</row>
    <row r="52" spans="1:34" x14ac:dyDescent="0.25">
      <c r="A52" s="31">
        <v>2</v>
      </c>
      <c r="B52" s="31">
        <v>13808</v>
      </c>
      <c r="C52" s="31">
        <v>2</v>
      </c>
      <c r="D52" s="31" t="s">
        <v>498</v>
      </c>
      <c r="E52" s="31"/>
      <c r="F52" s="31">
        <v>0</v>
      </c>
      <c r="G52" s="31">
        <v>0</v>
      </c>
      <c r="H52" s="31">
        <v>0</v>
      </c>
      <c r="I52" s="31">
        <v>0</v>
      </c>
      <c r="J52" s="31">
        <v>0</v>
      </c>
      <c r="K52" s="31" t="s">
        <v>882</v>
      </c>
      <c r="L52" s="31">
        <v>0</v>
      </c>
      <c r="M52" s="31">
        <v>0</v>
      </c>
      <c r="N52" s="31">
        <v>0</v>
      </c>
      <c r="O52" s="31">
        <v>0</v>
      </c>
      <c r="P52" s="31">
        <v>0</v>
      </c>
      <c r="Q52" s="31">
        <v>0</v>
      </c>
      <c r="R52" s="31">
        <v>0</v>
      </c>
      <c r="S52" s="31"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</row>
    <row r="53" spans="1:34" x14ac:dyDescent="0.25">
      <c r="A53" s="31">
        <v>2</v>
      </c>
      <c r="B53" s="31">
        <v>13808</v>
      </c>
      <c r="C53" s="31">
        <v>2</v>
      </c>
      <c r="D53" s="31" t="s">
        <v>499</v>
      </c>
      <c r="E53" s="31"/>
      <c r="F53" s="31">
        <v>0</v>
      </c>
      <c r="G53" s="31">
        <v>0</v>
      </c>
      <c r="H53" s="31">
        <v>0</v>
      </c>
      <c r="I53" s="31">
        <v>0</v>
      </c>
      <c r="J53" s="31">
        <v>0</v>
      </c>
      <c r="K53" s="31" t="s">
        <v>882</v>
      </c>
      <c r="L53" s="31">
        <v>0</v>
      </c>
      <c r="M53" s="31">
        <v>0</v>
      </c>
      <c r="N53" s="31">
        <v>0</v>
      </c>
      <c r="O53" s="31">
        <v>0</v>
      </c>
      <c r="P53" s="31">
        <v>0</v>
      </c>
      <c r="Q53" s="31">
        <v>0</v>
      </c>
      <c r="R53" s="31">
        <v>0</v>
      </c>
      <c r="S53" s="31"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0</v>
      </c>
    </row>
    <row r="54" spans="1:34" x14ac:dyDescent="0.25">
      <c r="A54" s="31">
        <v>2</v>
      </c>
      <c r="B54" s="31">
        <v>13873</v>
      </c>
      <c r="C54" s="31" t="s">
        <v>396</v>
      </c>
      <c r="D54" s="31" t="s">
        <v>892</v>
      </c>
      <c r="E54" s="31"/>
      <c r="F54" s="31">
        <v>0</v>
      </c>
      <c r="G54" s="31">
        <v>0</v>
      </c>
      <c r="H54" s="31">
        <v>0</v>
      </c>
      <c r="I54" s="31">
        <v>0</v>
      </c>
      <c r="J54" s="31">
        <v>0</v>
      </c>
      <c r="K54" s="31" t="s">
        <v>882</v>
      </c>
      <c r="L54" s="31">
        <v>0</v>
      </c>
      <c r="M54" s="31">
        <v>0</v>
      </c>
      <c r="N54" s="31">
        <v>0</v>
      </c>
      <c r="O54" s="31">
        <v>0</v>
      </c>
      <c r="P54" s="31">
        <v>0</v>
      </c>
      <c r="Q54" s="31">
        <v>0</v>
      </c>
      <c r="R54" s="31">
        <v>0</v>
      </c>
      <c r="S54" s="31"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B54" s="31">
        <v>0</v>
      </c>
      <c r="AC54" s="31">
        <v>0</v>
      </c>
      <c r="AD54" s="31">
        <v>0</v>
      </c>
      <c r="AE54" s="31">
        <v>0</v>
      </c>
      <c r="AF54" s="31">
        <v>0</v>
      </c>
      <c r="AG54" s="31">
        <v>0</v>
      </c>
      <c r="AH54" s="31">
        <v>0</v>
      </c>
    </row>
    <row r="55" spans="1:34" x14ac:dyDescent="0.25">
      <c r="A55" s="31">
        <v>2</v>
      </c>
      <c r="B55" s="31">
        <v>13873</v>
      </c>
      <c r="C55" s="31" t="s">
        <v>396</v>
      </c>
      <c r="D55" s="31" t="s">
        <v>893</v>
      </c>
      <c r="E55" s="31"/>
      <c r="F55" s="31">
        <v>0</v>
      </c>
      <c r="G55" s="31">
        <v>0</v>
      </c>
      <c r="H55" s="31">
        <v>0</v>
      </c>
      <c r="I55" s="31">
        <v>0</v>
      </c>
      <c r="J55" s="31">
        <v>0</v>
      </c>
      <c r="K55" s="31" t="s">
        <v>882</v>
      </c>
      <c r="L55" s="31">
        <v>0</v>
      </c>
      <c r="M55" s="31">
        <v>0</v>
      </c>
      <c r="N55" s="31">
        <v>0</v>
      </c>
      <c r="O55" s="31">
        <v>0</v>
      </c>
      <c r="P55" s="31">
        <v>0</v>
      </c>
      <c r="Q55" s="31">
        <v>0</v>
      </c>
      <c r="R55" s="31">
        <v>0</v>
      </c>
      <c r="S55" s="31"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0</v>
      </c>
    </row>
    <row r="56" spans="1:34" x14ac:dyDescent="0.25">
      <c r="A56" s="31">
        <v>2</v>
      </c>
      <c r="B56" s="31">
        <v>13873</v>
      </c>
      <c r="C56" s="31" t="s">
        <v>396</v>
      </c>
      <c r="D56" s="31" t="s">
        <v>894</v>
      </c>
      <c r="E56" s="31"/>
      <c r="F56" s="31">
        <v>0</v>
      </c>
      <c r="G56" s="31">
        <v>0</v>
      </c>
      <c r="H56" s="31">
        <v>0</v>
      </c>
      <c r="I56" s="31">
        <v>0</v>
      </c>
      <c r="J56" s="31">
        <v>0</v>
      </c>
      <c r="K56" s="31" t="s">
        <v>882</v>
      </c>
      <c r="L56" s="31">
        <v>0</v>
      </c>
      <c r="M56" s="31">
        <v>0</v>
      </c>
      <c r="N56" s="31">
        <v>0</v>
      </c>
      <c r="O56" s="31">
        <v>0</v>
      </c>
      <c r="P56" s="31">
        <v>0</v>
      </c>
      <c r="Q56" s="31">
        <v>0</v>
      </c>
      <c r="R56" s="31">
        <v>0</v>
      </c>
      <c r="S56" s="31">
        <v>0</v>
      </c>
      <c r="T56" s="31">
        <v>0</v>
      </c>
      <c r="U56" s="31">
        <v>0</v>
      </c>
      <c r="V56" s="31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0</v>
      </c>
      <c r="AB56" s="31">
        <v>0</v>
      </c>
      <c r="AC56" s="31">
        <v>0</v>
      </c>
      <c r="AD56" s="31">
        <v>0</v>
      </c>
      <c r="AE56" s="31">
        <v>0</v>
      </c>
      <c r="AF56" s="31">
        <v>0</v>
      </c>
      <c r="AG56" s="31">
        <v>0</v>
      </c>
      <c r="AH56" s="31">
        <v>0</v>
      </c>
    </row>
    <row r="57" spans="1:34" x14ac:dyDescent="0.25">
      <c r="A57" s="31">
        <v>2</v>
      </c>
      <c r="B57" s="31">
        <v>13873</v>
      </c>
      <c r="C57" s="31" t="s">
        <v>396</v>
      </c>
      <c r="D57" s="31" t="s">
        <v>895</v>
      </c>
      <c r="E57" s="31"/>
      <c r="F57" s="31">
        <v>0</v>
      </c>
      <c r="G57" s="31">
        <v>0</v>
      </c>
      <c r="H57" s="31">
        <v>0</v>
      </c>
      <c r="I57" s="31">
        <v>0</v>
      </c>
      <c r="J57" s="31">
        <v>0</v>
      </c>
      <c r="K57" s="31" t="s">
        <v>882</v>
      </c>
      <c r="L57" s="31">
        <v>0</v>
      </c>
      <c r="M57" s="31">
        <v>0</v>
      </c>
      <c r="N57" s="31">
        <v>0</v>
      </c>
      <c r="O57" s="31">
        <v>0</v>
      </c>
      <c r="P57" s="31">
        <v>0</v>
      </c>
      <c r="Q57" s="31">
        <v>0</v>
      </c>
      <c r="R57" s="31">
        <v>0</v>
      </c>
      <c r="S57" s="31">
        <v>0</v>
      </c>
      <c r="T57" s="31">
        <v>0</v>
      </c>
      <c r="U57" s="31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0</v>
      </c>
      <c r="AB57" s="31">
        <v>0</v>
      </c>
      <c r="AC57" s="31">
        <v>0</v>
      </c>
      <c r="AD57" s="31">
        <v>0</v>
      </c>
      <c r="AE57" s="31">
        <v>0</v>
      </c>
      <c r="AF57" s="31">
        <v>0</v>
      </c>
      <c r="AG57" s="31">
        <v>0</v>
      </c>
      <c r="AH57" s="31">
        <v>0</v>
      </c>
    </row>
    <row r="58" spans="1:34" x14ac:dyDescent="0.25">
      <c r="A58" s="31">
        <v>2</v>
      </c>
      <c r="B58" s="31">
        <v>24901</v>
      </c>
      <c r="C58" s="31">
        <v>1</v>
      </c>
      <c r="D58" s="31" t="s">
        <v>500</v>
      </c>
      <c r="E58" s="31"/>
      <c r="F58" s="31">
        <v>0</v>
      </c>
      <c r="G58" s="31">
        <v>0</v>
      </c>
      <c r="H58" s="31">
        <v>0</v>
      </c>
      <c r="I58" s="31">
        <v>0</v>
      </c>
      <c r="J58" s="31">
        <v>0</v>
      </c>
      <c r="K58" s="31" t="s">
        <v>882</v>
      </c>
      <c r="L58" s="31">
        <v>0</v>
      </c>
      <c r="M58" s="31">
        <v>0</v>
      </c>
      <c r="N58" s="31">
        <v>0</v>
      </c>
      <c r="O58" s="31">
        <v>0</v>
      </c>
      <c r="P58" s="31">
        <v>0</v>
      </c>
      <c r="Q58" s="31">
        <v>0</v>
      </c>
      <c r="R58" s="31">
        <v>0</v>
      </c>
      <c r="S58" s="31">
        <v>0</v>
      </c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0</v>
      </c>
      <c r="AE58" s="31">
        <v>0</v>
      </c>
      <c r="AF58" s="31">
        <v>0</v>
      </c>
      <c r="AG58" s="31">
        <v>0</v>
      </c>
      <c r="AH58" s="31">
        <v>0</v>
      </c>
    </row>
    <row r="59" spans="1:34" x14ac:dyDescent="0.25">
      <c r="A59" s="31">
        <v>28</v>
      </c>
      <c r="B59" s="31">
        <v>24901</v>
      </c>
      <c r="C59" s="31">
        <v>1</v>
      </c>
      <c r="D59" s="31" t="s">
        <v>500</v>
      </c>
      <c r="E59" s="31"/>
      <c r="F59" s="31">
        <v>0</v>
      </c>
      <c r="G59" s="31">
        <v>0</v>
      </c>
      <c r="H59" s="31">
        <v>0</v>
      </c>
      <c r="I59" s="31">
        <v>0</v>
      </c>
      <c r="J59" s="31">
        <v>0</v>
      </c>
      <c r="K59" s="31" t="s">
        <v>882</v>
      </c>
      <c r="L59" s="31">
        <v>0</v>
      </c>
      <c r="M59" s="31">
        <v>0</v>
      </c>
      <c r="N59" s="31">
        <v>0</v>
      </c>
      <c r="O59" s="31">
        <v>0</v>
      </c>
      <c r="P59" s="31">
        <v>0</v>
      </c>
      <c r="Q59" s="31">
        <v>0</v>
      </c>
      <c r="R59" s="31">
        <v>0</v>
      </c>
      <c r="S59" s="31"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0</v>
      </c>
      <c r="AE59" s="31">
        <v>0</v>
      </c>
      <c r="AF59" s="31">
        <v>0</v>
      </c>
      <c r="AG59" s="31">
        <v>0</v>
      </c>
      <c r="AH59" s="31">
        <v>0</v>
      </c>
    </row>
    <row r="60" spans="1:34" x14ac:dyDescent="0.25">
      <c r="A60" s="31">
        <v>28</v>
      </c>
      <c r="B60" s="31">
        <v>24901</v>
      </c>
      <c r="C60" s="31">
        <v>1</v>
      </c>
      <c r="D60" s="31" t="s">
        <v>501</v>
      </c>
      <c r="E60" s="31"/>
      <c r="F60" s="31">
        <v>0</v>
      </c>
      <c r="G60" s="31">
        <v>0</v>
      </c>
      <c r="H60" s="31">
        <v>0</v>
      </c>
      <c r="I60" s="31">
        <v>0</v>
      </c>
      <c r="J60" s="31">
        <v>0</v>
      </c>
      <c r="K60" s="31" t="s">
        <v>882</v>
      </c>
      <c r="L60" s="31">
        <v>0</v>
      </c>
      <c r="M60" s="31">
        <v>0</v>
      </c>
      <c r="N60" s="31">
        <v>0</v>
      </c>
      <c r="O60" s="31">
        <v>0</v>
      </c>
      <c r="P60" s="31">
        <v>0</v>
      </c>
      <c r="Q60" s="31">
        <v>0</v>
      </c>
      <c r="R60" s="31">
        <v>0</v>
      </c>
      <c r="S60" s="31"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  <c r="AE60" s="31">
        <v>0</v>
      </c>
      <c r="AF60" s="31">
        <v>0</v>
      </c>
      <c r="AG60" s="31">
        <v>0</v>
      </c>
      <c r="AH60" s="31">
        <v>0</v>
      </c>
    </row>
    <row r="61" spans="1:34" x14ac:dyDescent="0.25">
      <c r="A61" s="31">
        <v>28</v>
      </c>
      <c r="B61" s="31">
        <v>24901</v>
      </c>
      <c r="C61" s="31">
        <v>1</v>
      </c>
      <c r="D61" s="31" t="s">
        <v>502</v>
      </c>
      <c r="E61" s="31"/>
      <c r="F61" s="31">
        <v>0</v>
      </c>
      <c r="G61" s="31">
        <v>0</v>
      </c>
      <c r="H61" s="31">
        <v>0</v>
      </c>
      <c r="I61" s="31">
        <v>0</v>
      </c>
      <c r="J61" s="31">
        <v>0</v>
      </c>
      <c r="K61" s="31" t="s">
        <v>882</v>
      </c>
      <c r="L61" s="31">
        <v>0</v>
      </c>
      <c r="M61" s="31">
        <v>0</v>
      </c>
      <c r="N61" s="31">
        <v>0</v>
      </c>
      <c r="O61" s="31">
        <v>0</v>
      </c>
      <c r="P61" s="31">
        <v>0</v>
      </c>
      <c r="Q61" s="31">
        <v>0</v>
      </c>
      <c r="R61" s="31">
        <v>0</v>
      </c>
      <c r="S61" s="31"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31">
        <v>0</v>
      </c>
      <c r="AF61" s="31">
        <v>0</v>
      </c>
      <c r="AG61" s="31">
        <v>0</v>
      </c>
      <c r="AH61" s="31">
        <v>0</v>
      </c>
    </row>
    <row r="62" spans="1:34" x14ac:dyDescent="0.25">
      <c r="A62" s="31">
        <v>28</v>
      </c>
      <c r="B62" s="31">
        <v>24901</v>
      </c>
      <c r="C62" s="31">
        <v>1</v>
      </c>
      <c r="D62" s="31" t="s">
        <v>503</v>
      </c>
      <c r="E62" s="31"/>
      <c r="F62" s="31">
        <v>0</v>
      </c>
      <c r="G62" s="31">
        <v>0</v>
      </c>
      <c r="H62" s="31">
        <v>0</v>
      </c>
      <c r="I62" s="31">
        <v>0</v>
      </c>
      <c r="J62" s="31">
        <v>0</v>
      </c>
      <c r="K62" s="31" t="s">
        <v>882</v>
      </c>
      <c r="L62" s="31">
        <v>0</v>
      </c>
      <c r="M62" s="31">
        <v>0</v>
      </c>
      <c r="N62" s="31">
        <v>0</v>
      </c>
      <c r="O62" s="31">
        <v>0</v>
      </c>
      <c r="P62" s="31">
        <v>0</v>
      </c>
      <c r="Q62" s="31">
        <v>0</v>
      </c>
      <c r="R62" s="31">
        <v>0</v>
      </c>
      <c r="S62" s="31"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  <c r="AE62" s="31">
        <v>0</v>
      </c>
      <c r="AF62" s="31">
        <v>0</v>
      </c>
      <c r="AG62" s="31">
        <v>0</v>
      </c>
      <c r="AH62" s="31">
        <v>0</v>
      </c>
    </row>
    <row r="63" spans="1:34" x14ac:dyDescent="0.25">
      <c r="A63" s="31">
        <v>28</v>
      </c>
      <c r="B63" s="31">
        <v>24901</v>
      </c>
      <c r="C63" s="31">
        <v>1</v>
      </c>
      <c r="D63" s="31" t="s">
        <v>504</v>
      </c>
      <c r="E63" s="31"/>
      <c r="F63" s="31">
        <v>0</v>
      </c>
      <c r="G63" s="31">
        <v>0</v>
      </c>
      <c r="H63" s="31">
        <v>0</v>
      </c>
      <c r="I63" s="31">
        <v>0</v>
      </c>
      <c r="J63" s="31">
        <v>0</v>
      </c>
      <c r="K63" s="31" t="s">
        <v>882</v>
      </c>
      <c r="L63" s="31">
        <v>0</v>
      </c>
      <c r="M63" s="31">
        <v>0</v>
      </c>
      <c r="N63" s="31">
        <v>0</v>
      </c>
      <c r="O63" s="31">
        <v>0</v>
      </c>
      <c r="P63" s="31">
        <v>0</v>
      </c>
      <c r="Q63" s="31">
        <v>0</v>
      </c>
      <c r="R63" s="31">
        <v>0</v>
      </c>
      <c r="S63" s="31">
        <v>0</v>
      </c>
      <c r="T63" s="31">
        <v>0</v>
      </c>
      <c r="U63" s="31">
        <v>0</v>
      </c>
      <c r="V63" s="31">
        <v>0</v>
      </c>
      <c r="W63" s="31">
        <v>0</v>
      </c>
      <c r="X63" s="31">
        <v>0</v>
      </c>
      <c r="Y63" s="31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0</v>
      </c>
      <c r="AE63" s="31">
        <v>0</v>
      </c>
      <c r="AF63" s="31">
        <v>0</v>
      </c>
      <c r="AG63" s="31">
        <v>0</v>
      </c>
      <c r="AH63" s="31">
        <v>0</v>
      </c>
    </row>
    <row r="64" spans="1:34" x14ac:dyDescent="0.25">
      <c r="A64" s="31">
        <v>28</v>
      </c>
      <c r="B64" s="31">
        <v>24901</v>
      </c>
      <c r="C64" s="31">
        <v>1</v>
      </c>
      <c r="D64" s="31" t="s">
        <v>505</v>
      </c>
      <c r="E64" s="31"/>
      <c r="F64" s="31">
        <v>0</v>
      </c>
      <c r="G64" s="31">
        <v>0</v>
      </c>
      <c r="H64" s="31">
        <v>0</v>
      </c>
      <c r="I64" s="31">
        <v>0</v>
      </c>
      <c r="J64" s="31">
        <v>0</v>
      </c>
      <c r="K64" s="31" t="s">
        <v>882</v>
      </c>
      <c r="L64" s="31">
        <v>0</v>
      </c>
      <c r="M64" s="31">
        <v>0</v>
      </c>
      <c r="N64" s="31">
        <v>0</v>
      </c>
      <c r="O64" s="31">
        <v>0</v>
      </c>
      <c r="P64" s="31">
        <v>0</v>
      </c>
      <c r="Q64" s="31">
        <v>0</v>
      </c>
      <c r="R64" s="31">
        <v>0</v>
      </c>
      <c r="S64" s="31">
        <v>0</v>
      </c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0</v>
      </c>
      <c r="AH64" s="31">
        <v>0</v>
      </c>
    </row>
    <row r="65" spans="1:34" x14ac:dyDescent="0.25">
      <c r="A65" s="31">
        <v>28</v>
      </c>
      <c r="B65" s="31">
        <v>24901</v>
      </c>
      <c r="C65" s="31">
        <v>1</v>
      </c>
      <c r="D65" s="31" t="s">
        <v>506</v>
      </c>
      <c r="E65" s="31"/>
      <c r="F65" s="31">
        <v>0</v>
      </c>
      <c r="G65" s="31">
        <v>0</v>
      </c>
      <c r="H65" s="31">
        <v>0</v>
      </c>
      <c r="I65" s="31">
        <v>0</v>
      </c>
      <c r="J65" s="31">
        <v>0</v>
      </c>
      <c r="K65" s="31" t="s">
        <v>882</v>
      </c>
      <c r="L65" s="31">
        <v>0</v>
      </c>
      <c r="M65" s="31">
        <v>0</v>
      </c>
      <c r="N65" s="31">
        <v>0</v>
      </c>
      <c r="O65" s="31">
        <v>0</v>
      </c>
      <c r="P65" s="31">
        <v>0</v>
      </c>
      <c r="Q65" s="31">
        <v>0</v>
      </c>
      <c r="R65" s="31">
        <v>0</v>
      </c>
      <c r="S65" s="31">
        <v>0</v>
      </c>
      <c r="T65" s="31">
        <v>0</v>
      </c>
      <c r="U65" s="31">
        <v>0</v>
      </c>
      <c r="V65" s="31">
        <v>0</v>
      </c>
      <c r="W65" s="31">
        <v>0</v>
      </c>
      <c r="X65" s="31">
        <v>0</v>
      </c>
      <c r="Y65" s="31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0</v>
      </c>
      <c r="AH65" s="31">
        <v>0</v>
      </c>
    </row>
    <row r="66" spans="1:34" x14ac:dyDescent="0.25">
      <c r="A66" s="31">
        <v>28</v>
      </c>
      <c r="B66" s="31">
        <v>24901</v>
      </c>
      <c r="C66" s="31">
        <v>1</v>
      </c>
      <c r="D66" s="31" t="s">
        <v>507</v>
      </c>
      <c r="E66" s="31"/>
      <c r="F66" s="31">
        <v>0</v>
      </c>
      <c r="G66" s="31">
        <v>0</v>
      </c>
      <c r="H66" s="31">
        <v>0</v>
      </c>
      <c r="I66" s="31">
        <v>0</v>
      </c>
      <c r="J66" s="31">
        <v>0</v>
      </c>
      <c r="K66" s="31" t="s">
        <v>882</v>
      </c>
      <c r="L66" s="31">
        <v>0</v>
      </c>
      <c r="M66" s="31">
        <v>0</v>
      </c>
      <c r="N66" s="31">
        <v>0</v>
      </c>
      <c r="O66" s="31">
        <v>0</v>
      </c>
      <c r="P66" s="31">
        <v>0</v>
      </c>
      <c r="Q66" s="31">
        <v>0</v>
      </c>
      <c r="R66" s="31">
        <v>0</v>
      </c>
      <c r="S66" s="31">
        <v>0</v>
      </c>
      <c r="T66" s="31">
        <v>0</v>
      </c>
      <c r="U66" s="31">
        <v>0</v>
      </c>
      <c r="V66" s="31">
        <v>0</v>
      </c>
      <c r="W66" s="31">
        <v>0</v>
      </c>
      <c r="X66" s="31">
        <v>0</v>
      </c>
      <c r="Y66" s="31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0</v>
      </c>
      <c r="AE66" s="31">
        <v>0</v>
      </c>
      <c r="AF66" s="31">
        <v>0</v>
      </c>
      <c r="AG66" s="31">
        <v>0</v>
      </c>
      <c r="AH66" s="31">
        <v>0</v>
      </c>
    </row>
    <row r="67" spans="1:34" x14ac:dyDescent="0.25">
      <c r="A67" s="31">
        <v>28</v>
      </c>
      <c r="B67" s="31">
        <v>24901</v>
      </c>
      <c r="C67" s="31">
        <v>1</v>
      </c>
      <c r="D67" s="31" t="s">
        <v>508</v>
      </c>
      <c r="E67" s="31"/>
      <c r="F67" s="31">
        <v>0</v>
      </c>
      <c r="G67" s="31">
        <v>0</v>
      </c>
      <c r="H67" s="31">
        <v>0</v>
      </c>
      <c r="I67" s="31">
        <v>0</v>
      </c>
      <c r="J67" s="31">
        <v>0</v>
      </c>
      <c r="K67" s="31" t="s">
        <v>882</v>
      </c>
      <c r="L67" s="31">
        <v>0</v>
      </c>
      <c r="M67" s="31">
        <v>0</v>
      </c>
      <c r="N67" s="31">
        <v>0</v>
      </c>
      <c r="O67" s="31">
        <v>0</v>
      </c>
      <c r="P67" s="31">
        <v>0</v>
      </c>
      <c r="Q67" s="31">
        <v>0</v>
      </c>
      <c r="R67" s="31">
        <v>0</v>
      </c>
      <c r="S67" s="31">
        <v>0</v>
      </c>
      <c r="T67" s="31">
        <v>0</v>
      </c>
      <c r="U67" s="31">
        <v>0</v>
      </c>
      <c r="V67" s="31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  <c r="AE67" s="31">
        <v>0</v>
      </c>
      <c r="AF67" s="31">
        <v>0</v>
      </c>
      <c r="AG67" s="31">
        <v>0</v>
      </c>
      <c r="AH67" s="31">
        <v>0</v>
      </c>
    </row>
    <row r="68" spans="1:34" x14ac:dyDescent="0.25">
      <c r="A68" s="31">
        <v>28</v>
      </c>
      <c r="B68" s="31">
        <v>24901</v>
      </c>
      <c r="C68" s="31">
        <v>1</v>
      </c>
      <c r="D68" s="31" t="s">
        <v>509</v>
      </c>
      <c r="E68" s="31"/>
      <c r="F68" s="31">
        <v>0</v>
      </c>
      <c r="G68" s="31">
        <v>0</v>
      </c>
      <c r="H68" s="31">
        <v>0</v>
      </c>
      <c r="I68" s="31">
        <v>0</v>
      </c>
      <c r="J68" s="31">
        <v>0</v>
      </c>
      <c r="K68" s="31" t="s">
        <v>882</v>
      </c>
      <c r="L68" s="31">
        <v>0</v>
      </c>
      <c r="M68" s="31">
        <v>0</v>
      </c>
      <c r="N68" s="31">
        <v>0</v>
      </c>
      <c r="O68" s="31">
        <v>0</v>
      </c>
      <c r="P68" s="31">
        <v>0</v>
      </c>
      <c r="Q68" s="31">
        <v>0</v>
      </c>
      <c r="R68" s="31">
        <v>0</v>
      </c>
      <c r="S68" s="31"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0</v>
      </c>
      <c r="AH68" s="31">
        <v>0</v>
      </c>
    </row>
    <row r="69" spans="1:34" x14ac:dyDescent="0.25">
      <c r="A69" s="31">
        <v>28</v>
      </c>
      <c r="B69" s="31">
        <v>24901</v>
      </c>
      <c r="C69" s="31">
        <v>1</v>
      </c>
      <c r="D69" s="31" t="s">
        <v>510</v>
      </c>
      <c r="E69" s="31"/>
      <c r="F69" s="31">
        <v>0</v>
      </c>
      <c r="G69" s="31">
        <v>0</v>
      </c>
      <c r="H69" s="31">
        <v>0</v>
      </c>
      <c r="I69" s="31">
        <v>0</v>
      </c>
      <c r="J69" s="31">
        <v>0</v>
      </c>
      <c r="K69" s="31" t="s">
        <v>882</v>
      </c>
      <c r="L69" s="31">
        <v>0</v>
      </c>
      <c r="M69" s="31">
        <v>0</v>
      </c>
      <c r="N69" s="31">
        <v>0</v>
      </c>
      <c r="O69" s="31">
        <v>0</v>
      </c>
      <c r="P69" s="31">
        <v>0</v>
      </c>
      <c r="Q69" s="31">
        <v>0</v>
      </c>
      <c r="R69" s="31">
        <v>0</v>
      </c>
      <c r="S69" s="31"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</row>
    <row r="70" spans="1:34" x14ac:dyDescent="0.25">
      <c r="A70" s="31">
        <v>28</v>
      </c>
      <c r="B70" s="31">
        <v>24901</v>
      </c>
      <c r="C70" s="31">
        <v>1</v>
      </c>
      <c r="D70" s="31" t="s">
        <v>511</v>
      </c>
      <c r="E70" s="31"/>
      <c r="F70" s="31">
        <v>0</v>
      </c>
      <c r="G70" s="31">
        <v>0</v>
      </c>
      <c r="H70" s="31">
        <v>0</v>
      </c>
      <c r="I70" s="31">
        <v>0</v>
      </c>
      <c r="J70" s="31">
        <v>0</v>
      </c>
      <c r="K70" s="31" t="s">
        <v>882</v>
      </c>
      <c r="L70" s="31">
        <v>0</v>
      </c>
      <c r="M70" s="31">
        <v>0</v>
      </c>
      <c r="N70" s="31">
        <v>0</v>
      </c>
      <c r="O70" s="31">
        <v>0</v>
      </c>
      <c r="P70" s="31">
        <v>0</v>
      </c>
      <c r="Q70" s="31">
        <v>0</v>
      </c>
      <c r="R70" s="31">
        <v>0</v>
      </c>
      <c r="S70" s="31"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0</v>
      </c>
      <c r="AH70" s="31">
        <v>0</v>
      </c>
    </row>
    <row r="71" spans="1:34" x14ac:dyDescent="0.25">
      <c r="A71" s="31">
        <v>28</v>
      </c>
      <c r="B71" s="31">
        <v>24901</v>
      </c>
      <c r="C71" s="31">
        <v>1</v>
      </c>
      <c r="D71" s="31" t="s">
        <v>512</v>
      </c>
      <c r="E71" s="31"/>
      <c r="F71" s="31">
        <v>0</v>
      </c>
      <c r="G71" s="31">
        <v>0</v>
      </c>
      <c r="H71" s="31">
        <v>0</v>
      </c>
      <c r="I71" s="31">
        <v>0</v>
      </c>
      <c r="J71" s="31">
        <v>0</v>
      </c>
      <c r="K71" s="31" t="s">
        <v>882</v>
      </c>
      <c r="L71" s="31">
        <v>0</v>
      </c>
      <c r="M71" s="31">
        <v>0</v>
      </c>
      <c r="N71" s="31">
        <v>0</v>
      </c>
      <c r="O71" s="31">
        <v>0</v>
      </c>
      <c r="P71" s="31">
        <v>0</v>
      </c>
      <c r="Q71" s="31">
        <v>0</v>
      </c>
      <c r="R71" s="31">
        <v>0</v>
      </c>
      <c r="S71" s="31">
        <v>0</v>
      </c>
      <c r="T71" s="31">
        <v>0</v>
      </c>
      <c r="U71" s="31">
        <v>0</v>
      </c>
      <c r="V71" s="31">
        <v>0</v>
      </c>
      <c r="W71" s="31">
        <v>0</v>
      </c>
      <c r="X71" s="31">
        <v>0</v>
      </c>
      <c r="Y71" s="31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  <c r="AG71" s="31">
        <v>0</v>
      </c>
      <c r="AH71" s="31">
        <v>0</v>
      </c>
    </row>
    <row r="72" spans="1:34" x14ac:dyDescent="0.25">
      <c r="A72" s="31">
        <v>28</v>
      </c>
      <c r="B72" s="31">
        <v>24901</v>
      </c>
      <c r="C72" s="31">
        <v>1</v>
      </c>
      <c r="D72" s="31" t="s">
        <v>513</v>
      </c>
      <c r="E72" s="31"/>
      <c r="F72" s="31">
        <v>0</v>
      </c>
      <c r="G72" s="31">
        <v>0</v>
      </c>
      <c r="H72" s="31">
        <v>0</v>
      </c>
      <c r="I72" s="31">
        <v>0</v>
      </c>
      <c r="J72" s="31">
        <v>0</v>
      </c>
      <c r="K72" s="31" t="s">
        <v>882</v>
      </c>
      <c r="L72" s="31">
        <v>0</v>
      </c>
      <c r="M72" s="31">
        <v>0</v>
      </c>
      <c r="N72" s="31">
        <v>0</v>
      </c>
      <c r="O72" s="31">
        <v>0</v>
      </c>
      <c r="P72" s="31">
        <v>0</v>
      </c>
      <c r="Q72" s="31">
        <v>0</v>
      </c>
      <c r="R72" s="31">
        <v>0</v>
      </c>
      <c r="S72" s="31">
        <v>0</v>
      </c>
      <c r="T72" s="31">
        <v>0</v>
      </c>
      <c r="U72" s="31">
        <v>0</v>
      </c>
      <c r="V72" s="31">
        <v>0</v>
      </c>
      <c r="W72" s="31">
        <v>0</v>
      </c>
      <c r="X72" s="31">
        <v>0</v>
      </c>
      <c r="Y72" s="31">
        <v>0</v>
      </c>
      <c r="Z72" s="31">
        <v>0</v>
      </c>
      <c r="AA72" s="31">
        <v>0</v>
      </c>
      <c r="AB72" s="31">
        <v>0</v>
      </c>
      <c r="AC72" s="31">
        <v>0</v>
      </c>
      <c r="AD72" s="31">
        <v>0</v>
      </c>
      <c r="AE72" s="31">
        <v>0</v>
      </c>
      <c r="AF72" s="31">
        <v>0</v>
      </c>
      <c r="AG72" s="31">
        <v>0</v>
      </c>
      <c r="AH72" s="31">
        <v>0</v>
      </c>
    </row>
    <row r="73" spans="1:34" x14ac:dyDescent="0.25">
      <c r="A73" s="31">
        <v>29</v>
      </c>
      <c r="B73" s="31">
        <v>24901</v>
      </c>
      <c r="C73" s="31">
        <v>1</v>
      </c>
      <c r="D73" s="31" t="s">
        <v>514</v>
      </c>
      <c r="E73" s="31"/>
      <c r="F73" s="31">
        <v>0</v>
      </c>
      <c r="G73" s="31">
        <v>0</v>
      </c>
      <c r="H73" s="31">
        <v>0</v>
      </c>
      <c r="I73" s="31">
        <v>0</v>
      </c>
      <c r="J73" s="31">
        <v>0</v>
      </c>
      <c r="K73" s="31" t="s">
        <v>882</v>
      </c>
      <c r="L73" s="31">
        <v>0</v>
      </c>
      <c r="M73" s="31">
        <v>0</v>
      </c>
      <c r="N73" s="31">
        <v>0</v>
      </c>
      <c r="O73" s="31">
        <v>0</v>
      </c>
      <c r="P73" s="31">
        <v>0</v>
      </c>
      <c r="Q73" s="31">
        <v>0</v>
      </c>
      <c r="R73" s="31">
        <v>0</v>
      </c>
      <c r="S73" s="31">
        <v>0</v>
      </c>
      <c r="T73" s="31">
        <v>0</v>
      </c>
      <c r="U73" s="31">
        <v>0</v>
      </c>
      <c r="V73" s="31">
        <v>0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0</v>
      </c>
      <c r="AE73" s="31">
        <v>0</v>
      </c>
      <c r="AF73" s="31">
        <v>0</v>
      </c>
      <c r="AG73" s="31">
        <v>0</v>
      </c>
      <c r="AH73" s="31">
        <v>0</v>
      </c>
    </row>
    <row r="74" spans="1:34" x14ac:dyDescent="0.25">
      <c r="A74" s="31">
        <v>29</v>
      </c>
      <c r="B74" s="31">
        <v>24901</v>
      </c>
      <c r="C74" s="31">
        <v>1</v>
      </c>
      <c r="D74" s="31" t="s">
        <v>515</v>
      </c>
      <c r="E74" s="31"/>
      <c r="F74" s="31">
        <v>0</v>
      </c>
      <c r="G74" s="31">
        <v>0</v>
      </c>
      <c r="H74" s="31">
        <v>0</v>
      </c>
      <c r="I74" s="31">
        <v>0</v>
      </c>
      <c r="J74" s="31">
        <v>0</v>
      </c>
      <c r="K74" s="31" t="s">
        <v>882</v>
      </c>
      <c r="L74" s="31">
        <v>0</v>
      </c>
      <c r="M74" s="31">
        <v>0</v>
      </c>
      <c r="N74" s="31">
        <v>0</v>
      </c>
      <c r="O74" s="31">
        <v>0</v>
      </c>
      <c r="P74" s="31">
        <v>0</v>
      </c>
      <c r="Q74" s="31">
        <v>0</v>
      </c>
      <c r="R74" s="31">
        <v>0</v>
      </c>
      <c r="S74" s="31">
        <v>0</v>
      </c>
      <c r="T74" s="31">
        <v>0</v>
      </c>
      <c r="U74" s="31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0</v>
      </c>
      <c r="AE74" s="31">
        <v>0</v>
      </c>
      <c r="AF74" s="31">
        <v>0</v>
      </c>
      <c r="AG74" s="31">
        <v>0</v>
      </c>
      <c r="AH74" s="31">
        <v>0</v>
      </c>
    </row>
    <row r="75" spans="1:34" x14ac:dyDescent="0.25">
      <c r="A75" s="31">
        <v>29</v>
      </c>
      <c r="B75" s="31">
        <v>24901</v>
      </c>
      <c r="C75" s="31">
        <v>1</v>
      </c>
      <c r="D75" s="31" t="s">
        <v>516</v>
      </c>
      <c r="E75" s="31"/>
      <c r="F75" s="31">
        <v>0</v>
      </c>
      <c r="G75" s="31">
        <v>0</v>
      </c>
      <c r="H75" s="31">
        <v>0</v>
      </c>
      <c r="I75" s="31">
        <v>0</v>
      </c>
      <c r="J75" s="31">
        <v>0</v>
      </c>
      <c r="K75" s="31" t="s">
        <v>882</v>
      </c>
      <c r="L75" s="31">
        <v>0</v>
      </c>
      <c r="M75" s="31">
        <v>0</v>
      </c>
      <c r="N75" s="31">
        <v>0</v>
      </c>
      <c r="O75" s="31">
        <v>0</v>
      </c>
      <c r="P75" s="31">
        <v>0</v>
      </c>
      <c r="Q75" s="31">
        <v>0</v>
      </c>
      <c r="R75" s="31">
        <v>0</v>
      </c>
      <c r="S75" s="31">
        <v>0</v>
      </c>
      <c r="T75" s="31">
        <v>0</v>
      </c>
      <c r="U75" s="31">
        <v>0</v>
      </c>
      <c r="V75" s="31">
        <v>0</v>
      </c>
      <c r="W75" s="31">
        <v>0</v>
      </c>
      <c r="X75" s="31">
        <v>0</v>
      </c>
      <c r="Y75" s="31">
        <v>0</v>
      </c>
      <c r="Z75" s="31">
        <v>0</v>
      </c>
      <c r="AA75" s="31">
        <v>0</v>
      </c>
      <c r="AB75" s="31">
        <v>0</v>
      </c>
      <c r="AC75" s="31">
        <v>0</v>
      </c>
      <c r="AD75" s="31">
        <v>0</v>
      </c>
      <c r="AE75" s="31">
        <v>0</v>
      </c>
      <c r="AF75" s="31">
        <v>0</v>
      </c>
      <c r="AG75" s="31">
        <v>0</v>
      </c>
      <c r="AH75" s="31">
        <v>0</v>
      </c>
    </row>
    <row r="76" spans="1:34" x14ac:dyDescent="0.25">
      <c r="A76" s="31">
        <v>29</v>
      </c>
      <c r="B76" s="31">
        <v>24901</v>
      </c>
      <c r="C76" s="31">
        <v>1</v>
      </c>
      <c r="D76" s="31" t="s">
        <v>517</v>
      </c>
      <c r="E76" s="31"/>
      <c r="F76" s="31">
        <v>0</v>
      </c>
      <c r="G76" s="31">
        <v>0</v>
      </c>
      <c r="H76" s="31">
        <v>0</v>
      </c>
      <c r="I76" s="31">
        <v>0</v>
      </c>
      <c r="J76" s="31">
        <v>0</v>
      </c>
      <c r="K76" s="31" t="s">
        <v>882</v>
      </c>
      <c r="L76" s="31">
        <v>0</v>
      </c>
      <c r="M76" s="31">
        <v>0</v>
      </c>
      <c r="N76" s="31">
        <v>0</v>
      </c>
      <c r="O76" s="31">
        <v>0</v>
      </c>
      <c r="P76" s="31">
        <v>0</v>
      </c>
      <c r="Q76" s="31">
        <v>0</v>
      </c>
      <c r="R76" s="31">
        <v>0</v>
      </c>
      <c r="S76" s="31">
        <v>0</v>
      </c>
      <c r="T76" s="31">
        <v>0</v>
      </c>
      <c r="U76" s="31">
        <v>0</v>
      </c>
      <c r="V76" s="31">
        <v>0</v>
      </c>
      <c r="W76" s="31">
        <v>0</v>
      </c>
      <c r="X76" s="31">
        <v>0</v>
      </c>
      <c r="Y76" s="31">
        <v>0</v>
      </c>
      <c r="Z76" s="31">
        <v>0</v>
      </c>
      <c r="AA76" s="31">
        <v>0</v>
      </c>
      <c r="AB76" s="31">
        <v>0</v>
      </c>
      <c r="AC76" s="31">
        <v>0</v>
      </c>
      <c r="AD76" s="31">
        <v>0</v>
      </c>
      <c r="AE76" s="31">
        <v>0</v>
      </c>
      <c r="AF76" s="31">
        <v>0</v>
      </c>
      <c r="AG76" s="31">
        <v>0</v>
      </c>
      <c r="AH76" s="31">
        <v>0</v>
      </c>
    </row>
    <row r="77" spans="1:34" x14ac:dyDescent="0.25">
      <c r="A77" s="31">
        <v>29</v>
      </c>
      <c r="B77" s="31">
        <v>24901</v>
      </c>
      <c r="C77" s="31">
        <v>1</v>
      </c>
      <c r="D77" s="31" t="s">
        <v>518</v>
      </c>
      <c r="E77" s="31"/>
      <c r="F77" s="31">
        <v>0</v>
      </c>
      <c r="G77" s="31">
        <v>0</v>
      </c>
      <c r="H77" s="31">
        <v>0</v>
      </c>
      <c r="I77" s="31">
        <v>0</v>
      </c>
      <c r="J77" s="31">
        <v>0</v>
      </c>
      <c r="K77" s="31" t="s">
        <v>882</v>
      </c>
      <c r="L77" s="31">
        <v>0</v>
      </c>
      <c r="M77" s="31">
        <v>0</v>
      </c>
      <c r="N77" s="31">
        <v>0</v>
      </c>
      <c r="O77" s="31">
        <v>0</v>
      </c>
      <c r="P77" s="31">
        <v>0</v>
      </c>
      <c r="Q77" s="31">
        <v>0</v>
      </c>
      <c r="R77" s="31">
        <v>0</v>
      </c>
      <c r="S77" s="31">
        <v>0</v>
      </c>
      <c r="T77" s="31">
        <v>0</v>
      </c>
      <c r="U77" s="31">
        <v>0</v>
      </c>
      <c r="V77" s="31">
        <v>0</v>
      </c>
      <c r="W77" s="31">
        <v>0</v>
      </c>
      <c r="X77" s="31">
        <v>0</v>
      </c>
      <c r="Y77" s="31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  <c r="AE77" s="31">
        <v>0</v>
      </c>
      <c r="AF77" s="31">
        <v>0</v>
      </c>
      <c r="AG77" s="31">
        <v>0</v>
      </c>
      <c r="AH77" s="31">
        <v>0</v>
      </c>
    </row>
    <row r="78" spans="1:34" x14ac:dyDescent="0.25">
      <c r="A78" s="31">
        <v>29</v>
      </c>
      <c r="B78" s="31">
        <v>24901</v>
      </c>
      <c r="C78" s="31">
        <v>1</v>
      </c>
      <c r="D78" s="31" t="s">
        <v>519</v>
      </c>
      <c r="E78" s="31"/>
      <c r="F78" s="31">
        <v>0</v>
      </c>
      <c r="G78" s="31">
        <v>0</v>
      </c>
      <c r="H78" s="31">
        <v>0</v>
      </c>
      <c r="I78" s="31">
        <v>0</v>
      </c>
      <c r="J78" s="31">
        <v>0</v>
      </c>
      <c r="K78" s="31" t="s">
        <v>882</v>
      </c>
      <c r="L78" s="31">
        <v>0</v>
      </c>
      <c r="M78" s="31">
        <v>0</v>
      </c>
      <c r="N78" s="31">
        <v>0</v>
      </c>
      <c r="O78" s="31">
        <v>0</v>
      </c>
      <c r="P78" s="31">
        <v>0</v>
      </c>
      <c r="Q78" s="31">
        <v>0</v>
      </c>
      <c r="R78" s="31">
        <v>0</v>
      </c>
      <c r="S78" s="31">
        <v>0</v>
      </c>
      <c r="T78" s="31">
        <v>0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  <c r="AF78" s="31">
        <v>0</v>
      </c>
      <c r="AG78" s="31">
        <v>0</v>
      </c>
      <c r="AH78" s="31">
        <v>0</v>
      </c>
    </row>
    <row r="79" spans="1:34" x14ac:dyDescent="0.25">
      <c r="A79" s="31">
        <v>29</v>
      </c>
      <c r="B79" s="31">
        <v>24901</v>
      </c>
      <c r="C79" s="31">
        <v>1</v>
      </c>
      <c r="D79" s="31" t="s">
        <v>520</v>
      </c>
      <c r="E79" s="31"/>
      <c r="F79" s="31">
        <v>0</v>
      </c>
      <c r="G79" s="31">
        <v>0</v>
      </c>
      <c r="H79" s="31">
        <v>0</v>
      </c>
      <c r="I79" s="31">
        <v>0</v>
      </c>
      <c r="J79" s="31">
        <v>0</v>
      </c>
      <c r="K79" s="31" t="s">
        <v>882</v>
      </c>
      <c r="L79" s="31">
        <v>0</v>
      </c>
      <c r="M79" s="31">
        <v>0</v>
      </c>
      <c r="N79" s="31">
        <v>0</v>
      </c>
      <c r="O79" s="31">
        <v>0</v>
      </c>
      <c r="P79" s="31">
        <v>0</v>
      </c>
      <c r="Q79" s="31">
        <v>0</v>
      </c>
      <c r="R79" s="31">
        <v>0</v>
      </c>
      <c r="S79" s="31">
        <v>0</v>
      </c>
      <c r="T79" s="31">
        <v>0</v>
      </c>
      <c r="U79" s="31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31">
        <v>0</v>
      </c>
      <c r="AF79" s="31">
        <v>0</v>
      </c>
      <c r="AG79" s="31">
        <v>0</v>
      </c>
      <c r="AH79" s="31">
        <v>0</v>
      </c>
    </row>
    <row r="80" spans="1:34" x14ac:dyDescent="0.25">
      <c r="A80" s="31">
        <v>29</v>
      </c>
      <c r="B80" s="31">
        <v>24901</v>
      </c>
      <c r="C80" s="31">
        <v>1</v>
      </c>
      <c r="D80" s="31" t="s">
        <v>521</v>
      </c>
      <c r="E80" s="31"/>
      <c r="F80" s="31">
        <v>0</v>
      </c>
      <c r="G80" s="31">
        <v>0</v>
      </c>
      <c r="H80" s="31">
        <v>0</v>
      </c>
      <c r="I80" s="31">
        <v>0</v>
      </c>
      <c r="J80" s="31">
        <v>0</v>
      </c>
      <c r="K80" s="31" t="s">
        <v>882</v>
      </c>
      <c r="L80" s="31">
        <v>0</v>
      </c>
      <c r="M80" s="31">
        <v>0</v>
      </c>
      <c r="N80" s="31">
        <v>0</v>
      </c>
      <c r="O80" s="31">
        <v>0</v>
      </c>
      <c r="P80" s="31">
        <v>0</v>
      </c>
      <c r="Q80" s="31">
        <v>0</v>
      </c>
      <c r="R80" s="31">
        <v>0</v>
      </c>
      <c r="S80" s="31">
        <v>0</v>
      </c>
      <c r="T80" s="31">
        <v>0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  <c r="AE80" s="31">
        <v>0</v>
      </c>
      <c r="AF80" s="31">
        <v>0</v>
      </c>
      <c r="AG80" s="31">
        <v>0</v>
      </c>
      <c r="AH80" s="31">
        <v>0</v>
      </c>
    </row>
    <row r="81" spans="1:34" x14ac:dyDescent="0.25">
      <c r="A81" s="31">
        <v>29</v>
      </c>
      <c r="B81" s="31">
        <v>24901</v>
      </c>
      <c r="C81" s="31">
        <v>1</v>
      </c>
      <c r="D81" s="31" t="s">
        <v>522</v>
      </c>
      <c r="E81" s="31"/>
      <c r="F81" s="31">
        <v>0</v>
      </c>
      <c r="G81" s="31">
        <v>0</v>
      </c>
      <c r="H81" s="31">
        <v>0</v>
      </c>
      <c r="I81" s="31">
        <v>0</v>
      </c>
      <c r="J81" s="31">
        <v>0</v>
      </c>
      <c r="K81" s="31" t="s">
        <v>882</v>
      </c>
      <c r="L81" s="31">
        <v>0</v>
      </c>
      <c r="M81" s="31">
        <v>0</v>
      </c>
      <c r="N81" s="31">
        <v>0</v>
      </c>
      <c r="O81" s="31">
        <v>0</v>
      </c>
      <c r="P81" s="31">
        <v>0</v>
      </c>
      <c r="Q81" s="31">
        <v>0</v>
      </c>
      <c r="R81" s="31">
        <v>0</v>
      </c>
      <c r="S81" s="31">
        <v>0</v>
      </c>
      <c r="T81" s="31">
        <v>0</v>
      </c>
      <c r="U81" s="31">
        <v>0</v>
      </c>
      <c r="V81" s="31">
        <v>0</v>
      </c>
      <c r="W81" s="31">
        <v>0</v>
      </c>
      <c r="X81" s="31">
        <v>0</v>
      </c>
      <c r="Y81" s="31">
        <v>0</v>
      </c>
      <c r="Z81" s="31">
        <v>0</v>
      </c>
      <c r="AA81" s="31">
        <v>0</v>
      </c>
      <c r="AB81" s="31">
        <v>0</v>
      </c>
      <c r="AC81" s="31">
        <v>0</v>
      </c>
      <c r="AD81" s="31">
        <v>0</v>
      </c>
      <c r="AE81" s="31">
        <v>0</v>
      </c>
      <c r="AF81" s="31">
        <v>0</v>
      </c>
      <c r="AG81" s="31">
        <v>0</v>
      </c>
      <c r="AH81" s="31">
        <v>0</v>
      </c>
    </row>
    <row r="82" spans="1:34" x14ac:dyDescent="0.25">
      <c r="A82" s="31">
        <v>20</v>
      </c>
      <c r="B82" s="31">
        <v>24602</v>
      </c>
      <c r="C82" s="31">
        <v>1</v>
      </c>
      <c r="D82" s="31" t="s">
        <v>523</v>
      </c>
      <c r="E82" s="31"/>
      <c r="F82" s="31">
        <v>0</v>
      </c>
      <c r="G82" s="31">
        <v>0</v>
      </c>
      <c r="H82" s="31">
        <v>0</v>
      </c>
      <c r="I82" s="31">
        <v>0</v>
      </c>
      <c r="J82" s="31">
        <v>0</v>
      </c>
      <c r="K82" s="31" t="s">
        <v>882</v>
      </c>
      <c r="L82" s="31">
        <v>0</v>
      </c>
      <c r="M82" s="31">
        <v>0</v>
      </c>
      <c r="N82" s="31">
        <v>0</v>
      </c>
      <c r="O82" s="31">
        <v>0</v>
      </c>
      <c r="P82" s="31">
        <v>0</v>
      </c>
      <c r="Q82" s="31">
        <v>0</v>
      </c>
      <c r="R82" s="31">
        <v>0</v>
      </c>
      <c r="S82" s="31"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31">
        <v>0</v>
      </c>
      <c r="AF82" s="31">
        <v>0</v>
      </c>
      <c r="AG82" s="31">
        <v>0</v>
      </c>
      <c r="AH82" s="31">
        <v>0</v>
      </c>
    </row>
    <row r="83" spans="1:34" x14ac:dyDescent="0.25">
      <c r="A83" s="31">
        <v>20</v>
      </c>
      <c r="B83" s="31">
        <v>24602</v>
      </c>
      <c r="C83" s="31">
        <v>2</v>
      </c>
      <c r="D83" s="31" t="s">
        <v>523</v>
      </c>
      <c r="E83" s="31"/>
      <c r="F83" s="31">
        <v>0</v>
      </c>
      <c r="G83" s="31">
        <v>0</v>
      </c>
      <c r="H83" s="31">
        <v>0</v>
      </c>
      <c r="I83" s="31">
        <v>0</v>
      </c>
      <c r="J83" s="31">
        <v>0</v>
      </c>
      <c r="K83" s="31" t="s">
        <v>882</v>
      </c>
      <c r="L83" s="31">
        <v>0</v>
      </c>
      <c r="M83" s="31">
        <v>0</v>
      </c>
      <c r="N83" s="31">
        <v>0</v>
      </c>
      <c r="O83" s="31">
        <v>0</v>
      </c>
      <c r="P83" s="31">
        <v>0</v>
      </c>
      <c r="Q83" s="31">
        <v>0</v>
      </c>
      <c r="R83" s="31">
        <v>0</v>
      </c>
      <c r="S83" s="31">
        <v>0</v>
      </c>
      <c r="T83" s="31">
        <v>0</v>
      </c>
      <c r="U83" s="31">
        <v>0</v>
      </c>
      <c r="V83" s="31">
        <v>0</v>
      </c>
      <c r="W83" s="31">
        <v>0</v>
      </c>
      <c r="X83" s="31">
        <v>0</v>
      </c>
      <c r="Y83" s="31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0</v>
      </c>
      <c r="AE83" s="31">
        <v>0</v>
      </c>
      <c r="AF83" s="31">
        <v>0</v>
      </c>
      <c r="AG83" s="31">
        <v>0</v>
      </c>
      <c r="AH83" s="31">
        <v>0</v>
      </c>
    </row>
    <row r="84" spans="1:34" x14ac:dyDescent="0.25">
      <c r="A84" s="31">
        <v>20</v>
      </c>
      <c r="B84" s="31">
        <v>24602</v>
      </c>
      <c r="C84" s="31">
        <v>1</v>
      </c>
      <c r="D84" s="31" t="s">
        <v>524</v>
      </c>
      <c r="E84" s="31"/>
      <c r="F84" s="31">
        <v>0</v>
      </c>
      <c r="G84" s="31">
        <v>0</v>
      </c>
      <c r="H84" s="31">
        <v>0</v>
      </c>
      <c r="I84" s="31">
        <v>0</v>
      </c>
      <c r="J84" s="31">
        <v>0</v>
      </c>
      <c r="K84" s="31" t="s">
        <v>882</v>
      </c>
      <c r="L84" s="31">
        <v>0</v>
      </c>
      <c r="M84" s="31">
        <v>0</v>
      </c>
      <c r="N84" s="31">
        <v>0</v>
      </c>
      <c r="O84" s="31">
        <v>0</v>
      </c>
      <c r="P84" s="31">
        <v>0</v>
      </c>
      <c r="Q84" s="31">
        <v>0</v>
      </c>
      <c r="R84" s="31">
        <v>0</v>
      </c>
      <c r="S84" s="31">
        <v>0</v>
      </c>
      <c r="T84" s="31">
        <v>0</v>
      </c>
      <c r="U84" s="31">
        <v>0</v>
      </c>
      <c r="V84" s="31">
        <v>0</v>
      </c>
      <c r="W84" s="31">
        <v>0</v>
      </c>
      <c r="X84" s="31">
        <v>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  <c r="AE84" s="31">
        <v>0</v>
      </c>
      <c r="AF84" s="31">
        <v>0</v>
      </c>
      <c r="AG84" s="31">
        <v>0</v>
      </c>
      <c r="AH84" s="31">
        <v>0</v>
      </c>
    </row>
    <row r="85" spans="1:34" x14ac:dyDescent="0.25">
      <c r="A85" s="31">
        <v>20</v>
      </c>
      <c r="B85" s="31">
        <v>24602</v>
      </c>
      <c r="C85" s="31">
        <v>1</v>
      </c>
      <c r="D85" s="31" t="s">
        <v>525</v>
      </c>
      <c r="E85" s="31"/>
      <c r="F85" s="31">
        <v>0</v>
      </c>
      <c r="G85" s="31">
        <v>0</v>
      </c>
      <c r="H85" s="31">
        <v>0</v>
      </c>
      <c r="I85" s="31">
        <v>0</v>
      </c>
      <c r="J85" s="31">
        <v>0</v>
      </c>
      <c r="K85" s="31" t="s">
        <v>882</v>
      </c>
      <c r="L85" s="31">
        <v>0</v>
      </c>
      <c r="M85" s="31">
        <v>0</v>
      </c>
      <c r="N85" s="31">
        <v>0</v>
      </c>
      <c r="O85" s="31">
        <v>0</v>
      </c>
      <c r="P85" s="31">
        <v>0</v>
      </c>
      <c r="Q85" s="31">
        <v>0</v>
      </c>
      <c r="R85" s="31">
        <v>0</v>
      </c>
      <c r="S85" s="31">
        <v>0</v>
      </c>
      <c r="T85" s="31">
        <v>0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  <c r="AE85" s="31">
        <v>0</v>
      </c>
      <c r="AF85" s="31">
        <v>0</v>
      </c>
      <c r="AG85" s="31">
        <v>0</v>
      </c>
      <c r="AH85" s="31">
        <v>0</v>
      </c>
    </row>
    <row r="86" spans="1:34" x14ac:dyDescent="0.25">
      <c r="A86" s="31">
        <v>20</v>
      </c>
      <c r="B86" s="31">
        <v>24602</v>
      </c>
      <c r="C86" s="31">
        <v>1</v>
      </c>
      <c r="D86" s="31" t="s">
        <v>526</v>
      </c>
      <c r="E86" s="31"/>
      <c r="F86" s="31">
        <v>0</v>
      </c>
      <c r="G86" s="31">
        <v>0</v>
      </c>
      <c r="H86" s="31">
        <v>0</v>
      </c>
      <c r="I86" s="31">
        <v>0</v>
      </c>
      <c r="J86" s="31">
        <v>0</v>
      </c>
      <c r="K86" s="31" t="s">
        <v>882</v>
      </c>
      <c r="L86" s="31">
        <v>0</v>
      </c>
      <c r="M86" s="31">
        <v>0</v>
      </c>
      <c r="N86" s="31">
        <v>0</v>
      </c>
      <c r="O86" s="31">
        <v>0</v>
      </c>
      <c r="P86" s="31">
        <v>0</v>
      </c>
      <c r="Q86" s="31">
        <v>0</v>
      </c>
      <c r="R86" s="31">
        <v>0</v>
      </c>
      <c r="S86" s="31">
        <v>0</v>
      </c>
      <c r="T86" s="31">
        <v>0</v>
      </c>
      <c r="U86" s="31">
        <v>0</v>
      </c>
      <c r="V86" s="31">
        <v>0</v>
      </c>
      <c r="W86" s="31">
        <v>0</v>
      </c>
      <c r="X86" s="31">
        <v>0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0</v>
      </c>
      <c r="AE86" s="31">
        <v>0</v>
      </c>
      <c r="AF86" s="31">
        <v>0</v>
      </c>
      <c r="AG86" s="31">
        <v>0</v>
      </c>
      <c r="AH86" s="31">
        <v>0</v>
      </c>
    </row>
    <row r="87" spans="1:34" x14ac:dyDescent="0.25">
      <c r="A87" s="31">
        <v>20</v>
      </c>
      <c r="B87" s="31">
        <v>24602</v>
      </c>
      <c r="C87" s="31">
        <v>1</v>
      </c>
      <c r="D87" s="31" t="s">
        <v>527</v>
      </c>
      <c r="E87" s="31"/>
      <c r="F87" s="31">
        <v>0</v>
      </c>
      <c r="G87" s="31">
        <v>0</v>
      </c>
      <c r="H87" s="31">
        <v>0</v>
      </c>
      <c r="I87" s="31">
        <v>0</v>
      </c>
      <c r="J87" s="31">
        <v>0</v>
      </c>
      <c r="K87" s="31" t="s">
        <v>882</v>
      </c>
      <c r="L87" s="31">
        <v>0</v>
      </c>
      <c r="M87" s="31">
        <v>0</v>
      </c>
      <c r="N87" s="31">
        <v>0</v>
      </c>
      <c r="O87" s="31">
        <v>0</v>
      </c>
      <c r="P87" s="31">
        <v>0</v>
      </c>
      <c r="Q87" s="31">
        <v>0</v>
      </c>
      <c r="R87" s="31">
        <v>0</v>
      </c>
      <c r="S87" s="31">
        <v>0</v>
      </c>
      <c r="T87" s="31">
        <v>0</v>
      </c>
      <c r="U87" s="31">
        <v>0</v>
      </c>
      <c r="V87" s="31">
        <v>0</v>
      </c>
      <c r="W87" s="31">
        <v>0</v>
      </c>
      <c r="X87" s="31">
        <v>0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31">
        <v>0</v>
      </c>
      <c r="AF87" s="31">
        <v>0</v>
      </c>
      <c r="AG87" s="31">
        <v>0</v>
      </c>
      <c r="AH87" s="31">
        <v>0</v>
      </c>
    </row>
    <row r="88" spans="1:34" x14ac:dyDescent="0.25">
      <c r="A88" s="31">
        <v>20</v>
      </c>
      <c r="B88" s="31">
        <v>24602</v>
      </c>
      <c r="C88" s="31">
        <v>1</v>
      </c>
      <c r="D88" s="31" t="s">
        <v>528</v>
      </c>
      <c r="E88" s="31"/>
      <c r="F88" s="31">
        <v>0</v>
      </c>
      <c r="G88" s="31">
        <v>0</v>
      </c>
      <c r="H88" s="31">
        <v>0</v>
      </c>
      <c r="I88" s="31">
        <v>0</v>
      </c>
      <c r="J88" s="31">
        <v>0</v>
      </c>
      <c r="K88" s="31" t="s">
        <v>882</v>
      </c>
      <c r="L88" s="31">
        <v>0</v>
      </c>
      <c r="M88" s="31">
        <v>0</v>
      </c>
      <c r="N88" s="31">
        <v>0</v>
      </c>
      <c r="O88" s="31">
        <v>0</v>
      </c>
      <c r="P88" s="31">
        <v>0</v>
      </c>
      <c r="Q88" s="31">
        <v>0</v>
      </c>
      <c r="R88" s="31">
        <v>0</v>
      </c>
      <c r="S88" s="31">
        <v>0</v>
      </c>
      <c r="T88" s="31">
        <v>0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31">
        <v>0</v>
      </c>
      <c r="AF88" s="31">
        <v>0</v>
      </c>
      <c r="AG88" s="31">
        <v>0</v>
      </c>
      <c r="AH88" s="31">
        <v>0</v>
      </c>
    </row>
    <row r="89" spans="1:34" x14ac:dyDescent="0.25">
      <c r="A89" s="31">
        <v>20</v>
      </c>
      <c r="B89" s="31">
        <v>24602</v>
      </c>
      <c r="C89" s="31">
        <v>1</v>
      </c>
      <c r="D89" s="31" t="s">
        <v>529</v>
      </c>
      <c r="E89" s="31"/>
      <c r="F89" s="31">
        <v>0</v>
      </c>
      <c r="G89" s="31">
        <v>0</v>
      </c>
      <c r="H89" s="31">
        <v>0</v>
      </c>
      <c r="I89" s="31">
        <v>0</v>
      </c>
      <c r="J89" s="31">
        <v>0</v>
      </c>
      <c r="K89" s="31" t="s">
        <v>882</v>
      </c>
      <c r="L89" s="31">
        <v>0</v>
      </c>
      <c r="M89" s="31">
        <v>0</v>
      </c>
      <c r="N89" s="31">
        <v>0</v>
      </c>
      <c r="O89" s="31">
        <v>0</v>
      </c>
      <c r="P89" s="31">
        <v>0</v>
      </c>
      <c r="Q89" s="31">
        <v>0</v>
      </c>
      <c r="R89" s="31">
        <v>0</v>
      </c>
      <c r="S89" s="31">
        <v>0</v>
      </c>
      <c r="T89" s="31">
        <v>0</v>
      </c>
      <c r="U89" s="31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0</v>
      </c>
      <c r="AE89" s="31">
        <v>0</v>
      </c>
      <c r="AF89" s="31">
        <v>0</v>
      </c>
      <c r="AG89" s="31">
        <v>0</v>
      </c>
      <c r="AH89" s="31">
        <v>0</v>
      </c>
    </row>
    <row r="90" spans="1:34" x14ac:dyDescent="0.25">
      <c r="A90" s="31">
        <v>20</v>
      </c>
      <c r="B90" s="31">
        <v>24602</v>
      </c>
      <c r="C90" s="31">
        <v>1</v>
      </c>
      <c r="D90" s="31" t="s">
        <v>530</v>
      </c>
      <c r="E90" s="31"/>
      <c r="F90" s="31">
        <v>0</v>
      </c>
      <c r="G90" s="31">
        <v>0</v>
      </c>
      <c r="H90" s="31">
        <v>0</v>
      </c>
      <c r="I90" s="31">
        <v>0</v>
      </c>
      <c r="J90" s="31">
        <v>0</v>
      </c>
      <c r="K90" s="31" t="s">
        <v>882</v>
      </c>
      <c r="L90" s="31">
        <v>0</v>
      </c>
      <c r="M90" s="31">
        <v>0</v>
      </c>
      <c r="N90" s="31">
        <v>0</v>
      </c>
      <c r="O90" s="31">
        <v>0</v>
      </c>
      <c r="P90" s="31">
        <v>0</v>
      </c>
      <c r="Q90" s="31">
        <v>0</v>
      </c>
      <c r="R90" s="31">
        <v>0</v>
      </c>
      <c r="S90" s="31">
        <v>0</v>
      </c>
      <c r="T90" s="31">
        <v>0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  <c r="AF90" s="31">
        <v>0</v>
      </c>
      <c r="AG90" s="31">
        <v>0</v>
      </c>
      <c r="AH90" s="31">
        <v>0</v>
      </c>
    </row>
    <row r="91" spans="1:34" x14ac:dyDescent="0.25">
      <c r="A91" s="31">
        <v>20</v>
      </c>
      <c r="B91" s="31">
        <v>24602</v>
      </c>
      <c r="C91" s="31">
        <v>1</v>
      </c>
      <c r="D91" s="31" t="s">
        <v>531</v>
      </c>
      <c r="E91" s="31"/>
      <c r="F91" s="31">
        <v>0</v>
      </c>
      <c r="G91" s="31">
        <v>0</v>
      </c>
      <c r="H91" s="31">
        <v>0</v>
      </c>
      <c r="I91" s="31">
        <v>0</v>
      </c>
      <c r="J91" s="31">
        <v>0</v>
      </c>
      <c r="K91" s="31" t="s">
        <v>882</v>
      </c>
      <c r="L91" s="31">
        <v>0</v>
      </c>
      <c r="M91" s="31">
        <v>0</v>
      </c>
      <c r="N91" s="31">
        <v>0</v>
      </c>
      <c r="O91" s="31">
        <v>0</v>
      </c>
      <c r="P91" s="31">
        <v>0</v>
      </c>
      <c r="Q91" s="31">
        <v>0</v>
      </c>
      <c r="R91" s="31">
        <v>0</v>
      </c>
      <c r="S91" s="31">
        <v>0</v>
      </c>
      <c r="T91" s="31">
        <v>0</v>
      </c>
      <c r="U91" s="31">
        <v>0</v>
      </c>
      <c r="V91" s="31">
        <v>0</v>
      </c>
      <c r="W91" s="31">
        <v>0</v>
      </c>
      <c r="X91" s="31">
        <v>0</v>
      </c>
      <c r="Y91" s="31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0</v>
      </c>
      <c r="AE91" s="31">
        <v>0</v>
      </c>
      <c r="AF91" s="31">
        <v>0</v>
      </c>
      <c r="AG91" s="31">
        <v>0</v>
      </c>
      <c r="AH91" s="31">
        <v>0</v>
      </c>
    </row>
    <row r="92" spans="1:34" x14ac:dyDescent="0.25">
      <c r="A92" s="31">
        <v>20</v>
      </c>
      <c r="B92" s="31">
        <v>24602</v>
      </c>
      <c r="C92" s="31">
        <v>1</v>
      </c>
      <c r="D92" s="31" t="s">
        <v>532</v>
      </c>
      <c r="E92" s="31"/>
      <c r="F92" s="31">
        <v>0</v>
      </c>
      <c r="G92" s="31">
        <v>0</v>
      </c>
      <c r="H92" s="31">
        <v>0</v>
      </c>
      <c r="I92" s="31">
        <v>0</v>
      </c>
      <c r="J92" s="31">
        <v>0</v>
      </c>
      <c r="K92" s="31" t="s">
        <v>882</v>
      </c>
      <c r="L92" s="31">
        <v>0</v>
      </c>
      <c r="M92" s="31">
        <v>0</v>
      </c>
      <c r="N92" s="31">
        <v>0</v>
      </c>
      <c r="O92" s="31">
        <v>0</v>
      </c>
      <c r="P92" s="31">
        <v>0</v>
      </c>
      <c r="Q92" s="31">
        <v>0</v>
      </c>
      <c r="R92" s="31">
        <v>0</v>
      </c>
      <c r="S92" s="31">
        <v>0</v>
      </c>
      <c r="T92" s="31">
        <v>0</v>
      </c>
      <c r="U92" s="31">
        <v>0</v>
      </c>
      <c r="V92" s="31">
        <v>0</v>
      </c>
      <c r="W92" s="31">
        <v>0</v>
      </c>
      <c r="X92" s="31">
        <v>0</v>
      </c>
      <c r="Y92" s="31">
        <v>0</v>
      </c>
      <c r="Z92" s="31">
        <v>0</v>
      </c>
      <c r="AA92" s="31">
        <v>0</v>
      </c>
      <c r="AB92" s="31">
        <v>0</v>
      </c>
      <c r="AC92" s="31">
        <v>0</v>
      </c>
      <c r="AD92" s="31">
        <v>0</v>
      </c>
      <c r="AE92" s="31">
        <v>0</v>
      </c>
      <c r="AF92" s="31">
        <v>0</v>
      </c>
      <c r="AG92" s="31">
        <v>0</v>
      </c>
      <c r="AH92" s="31">
        <v>0</v>
      </c>
    </row>
    <row r="93" spans="1:34" x14ac:dyDescent="0.25">
      <c r="A93" s="31">
        <v>20</v>
      </c>
      <c r="B93" s="31">
        <v>24602</v>
      </c>
      <c r="C93" s="31">
        <v>1</v>
      </c>
      <c r="D93" s="31" t="s">
        <v>533</v>
      </c>
      <c r="E93" s="31"/>
      <c r="F93" s="31">
        <v>0</v>
      </c>
      <c r="G93" s="31">
        <v>0</v>
      </c>
      <c r="H93" s="31">
        <v>0</v>
      </c>
      <c r="I93" s="31">
        <v>0</v>
      </c>
      <c r="J93" s="31">
        <v>0</v>
      </c>
      <c r="K93" s="31" t="s">
        <v>882</v>
      </c>
      <c r="L93" s="31">
        <v>0</v>
      </c>
      <c r="M93" s="31">
        <v>0</v>
      </c>
      <c r="N93" s="31">
        <v>0</v>
      </c>
      <c r="O93" s="31">
        <v>0</v>
      </c>
      <c r="P93" s="31">
        <v>0</v>
      </c>
      <c r="Q93" s="31">
        <v>0</v>
      </c>
      <c r="R93" s="31">
        <v>0</v>
      </c>
      <c r="S93" s="31">
        <v>0</v>
      </c>
      <c r="T93" s="31">
        <v>0</v>
      </c>
      <c r="U93" s="31">
        <v>0</v>
      </c>
      <c r="V93" s="31">
        <v>0</v>
      </c>
      <c r="W93" s="31">
        <v>0</v>
      </c>
      <c r="X93" s="31">
        <v>0</v>
      </c>
      <c r="Y93" s="31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0</v>
      </c>
      <c r="AE93" s="31">
        <v>0</v>
      </c>
      <c r="AF93" s="31">
        <v>0</v>
      </c>
      <c r="AG93" s="31">
        <v>0</v>
      </c>
      <c r="AH93" s="31">
        <v>0</v>
      </c>
    </row>
    <row r="94" spans="1:34" x14ac:dyDescent="0.25">
      <c r="A94" s="31">
        <v>20</v>
      </c>
      <c r="B94" s="31">
        <v>24602</v>
      </c>
      <c r="C94" s="31">
        <v>1</v>
      </c>
      <c r="D94" s="31" t="s">
        <v>534</v>
      </c>
      <c r="E94" s="31"/>
      <c r="F94" s="31">
        <v>0</v>
      </c>
      <c r="G94" s="31">
        <v>0</v>
      </c>
      <c r="H94" s="31">
        <v>0</v>
      </c>
      <c r="I94" s="31">
        <v>0</v>
      </c>
      <c r="J94" s="31">
        <v>0</v>
      </c>
      <c r="K94" s="31" t="s">
        <v>882</v>
      </c>
      <c r="L94" s="31">
        <v>0</v>
      </c>
      <c r="M94" s="31">
        <v>0</v>
      </c>
      <c r="N94" s="31">
        <v>0</v>
      </c>
      <c r="O94" s="31">
        <v>0</v>
      </c>
      <c r="P94" s="31">
        <v>0</v>
      </c>
      <c r="Q94" s="31">
        <v>0</v>
      </c>
      <c r="R94" s="31">
        <v>0</v>
      </c>
      <c r="S94" s="31">
        <v>0</v>
      </c>
      <c r="T94" s="31">
        <v>0</v>
      </c>
      <c r="U94" s="31">
        <v>0</v>
      </c>
      <c r="V94" s="31">
        <v>0</v>
      </c>
      <c r="W94" s="31">
        <v>0</v>
      </c>
      <c r="X94" s="31">
        <v>0</v>
      </c>
      <c r="Y94" s="31">
        <v>0</v>
      </c>
      <c r="Z94" s="31">
        <v>0</v>
      </c>
      <c r="AA94" s="31">
        <v>0</v>
      </c>
      <c r="AB94" s="31">
        <v>0</v>
      </c>
      <c r="AC94" s="31">
        <v>0</v>
      </c>
      <c r="AD94" s="31">
        <v>0</v>
      </c>
      <c r="AE94" s="31">
        <v>0</v>
      </c>
      <c r="AF94" s="31">
        <v>0</v>
      </c>
      <c r="AG94" s="31">
        <v>0</v>
      </c>
      <c r="AH94" s="31">
        <v>0</v>
      </c>
    </row>
    <row r="95" spans="1:34" x14ac:dyDescent="0.25">
      <c r="A95" s="31">
        <v>20</v>
      </c>
      <c r="B95" s="31">
        <v>24602</v>
      </c>
      <c r="C95" s="31">
        <v>1</v>
      </c>
      <c r="D95" s="31" t="s">
        <v>535</v>
      </c>
      <c r="E95" s="31"/>
      <c r="F95" s="31">
        <v>0</v>
      </c>
      <c r="G95" s="31">
        <v>0</v>
      </c>
      <c r="H95" s="31">
        <v>0</v>
      </c>
      <c r="I95" s="31">
        <v>0</v>
      </c>
      <c r="J95" s="31">
        <v>0</v>
      </c>
      <c r="K95" s="31" t="s">
        <v>882</v>
      </c>
      <c r="L95" s="31">
        <v>0</v>
      </c>
      <c r="M95" s="31">
        <v>0</v>
      </c>
      <c r="N95" s="31">
        <v>0</v>
      </c>
      <c r="O95" s="31">
        <v>0</v>
      </c>
      <c r="P95" s="31">
        <v>0</v>
      </c>
      <c r="Q95" s="31">
        <v>0</v>
      </c>
      <c r="R95" s="31">
        <v>0</v>
      </c>
      <c r="S95" s="31">
        <v>0</v>
      </c>
      <c r="T95" s="31">
        <v>0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  <c r="AE95" s="31">
        <v>0</v>
      </c>
      <c r="AF95" s="31">
        <v>0</v>
      </c>
      <c r="AG95" s="31">
        <v>0</v>
      </c>
      <c r="AH95" s="31">
        <v>0</v>
      </c>
    </row>
    <row r="96" spans="1:34" x14ac:dyDescent="0.25">
      <c r="A96" s="31">
        <v>20</v>
      </c>
      <c r="B96" s="31">
        <v>24602</v>
      </c>
      <c r="C96" s="31">
        <v>1</v>
      </c>
      <c r="D96" s="31" t="s">
        <v>536</v>
      </c>
      <c r="E96" s="31"/>
      <c r="F96" s="31">
        <v>0</v>
      </c>
      <c r="G96" s="31">
        <v>0</v>
      </c>
      <c r="H96" s="31">
        <v>0</v>
      </c>
      <c r="I96" s="31">
        <v>0</v>
      </c>
      <c r="J96" s="31">
        <v>0</v>
      </c>
      <c r="K96" s="31" t="s">
        <v>882</v>
      </c>
      <c r="L96" s="31">
        <v>0</v>
      </c>
      <c r="M96" s="31">
        <v>0</v>
      </c>
      <c r="N96" s="31">
        <v>0</v>
      </c>
      <c r="O96" s="31">
        <v>0</v>
      </c>
      <c r="P96" s="31">
        <v>0</v>
      </c>
      <c r="Q96" s="31">
        <v>0</v>
      </c>
      <c r="R96" s="31">
        <v>0</v>
      </c>
      <c r="S96" s="31">
        <v>0</v>
      </c>
      <c r="T96" s="31">
        <v>0</v>
      </c>
      <c r="U96" s="31">
        <v>0</v>
      </c>
      <c r="V96" s="31">
        <v>0</v>
      </c>
      <c r="W96" s="31">
        <v>0</v>
      </c>
      <c r="X96" s="31">
        <v>0</v>
      </c>
      <c r="Y96" s="31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0</v>
      </c>
      <c r="AE96" s="31">
        <v>0</v>
      </c>
      <c r="AF96" s="31">
        <v>0</v>
      </c>
      <c r="AG96" s="31">
        <v>0</v>
      </c>
      <c r="AH96" s="31">
        <v>0</v>
      </c>
    </row>
    <row r="97" spans="1:34" x14ac:dyDescent="0.25">
      <c r="A97" s="31">
        <v>20</v>
      </c>
      <c r="B97" s="31">
        <v>24602</v>
      </c>
      <c r="C97" s="31">
        <v>1</v>
      </c>
      <c r="D97" s="31" t="s">
        <v>537</v>
      </c>
      <c r="E97" s="31"/>
      <c r="F97" s="31">
        <v>0</v>
      </c>
      <c r="G97" s="31">
        <v>0</v>
      </c>
      <c r="H97" s="31">
        <v>0</v>
      </c>
      <c r="I97" s="31">
        <v>0</v>
      </c>
      <c r="J97" s="31">
        <v>0</v>
      </c>
      <c r="K97" s="31" t="s">
        <v>882</v>
      </c>
      <c r="L97" s="31">
        <v>0</v>
      </c>
      <c r="M97" s="31">
        <v>0</v>
      </c>
      <c r="N97" s="31">
        <v>0</v>
      </c>
      <c r="O97" s="31">
        <v>0</v>
      </c>
      <c r="P97" s="31">
        <v>0</v>
      </c>
      <c r="Q97" s="31">
        <v>0</v>
      </c>
      <c r="R97" s="31">
        <v>0</v>
      </c>
      <c r="S97" s="31">
        <v>0</v>
      </c>
      <c r="T97" s="31">
        <v>0</v>
      </c>
      <c r="U97" s="31">
        <v>0</v>
      </c>
      <c r="V97" s="31">
        <v>0</v>
      </c>
      <c r="W97" s="31">
        <v>0</v>
      </c>
      <c r="X97" s="31">
        <v>0</v>
      </c>
      <c r="Y97" s="31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0</v>
      </c>
    </row>
    <row r="98" spans="1:34" x14ac:dyDescent="0.25">
      <c r="A98" s="31">
        <v>20</v>
      </c>
      <c r="B98" s="31">
        <v>24602</v>
      </c>
      <c r="C98" s="31">
        <v>1</v>
      </c>
      <c r="D98" s="31" t="s">
        <v>945</v>
      </c>
      <c r="E98" s="31"/>
      <c r="F98" s="31">
        <v>0</v>
      </c>
      <c r="G98" s="31">
        <v>0</v>
      </c>
      <c r="H98" s="31">
        <v>0</v>
      </c>
      <c r="I98" s="31">
        <v>0</v>
      </c>
      <c r="J98" s="31">
        <v>0</v>
      </c>
      <c r="K98" s="31" t="s">
        <v>882</v>
      </c>
      <c r="L98" s="31">
        <v>0</v>
      </c>
      <c r="M98" s="31">
        <v>0</v>
      </c>
      <c r="N98" s="31">
        <v>0</v>
      </c>
      <c r="O98" s="31">
        <v>0</v>
      </c>
      <c r="P98" s="31">
        <v>0</v>
      </c>
      <c r="Q98" s="31">
        <v>0</v>
      </c>
      <c r="R98" s="31">
        <v>0</v>
      </c>
      <c r="S98" s="31">
        <v>0</v>
      </c>
      <c r="T98" s="31">
        <v>0</v>
      </c>
      <c r="U98" s="31">
        <v>0</v>
      </c>
      <c r="V98" s="31">
        <v>0</v>
      </c>
      <c r="W98" s="31">
        <v>0</v>
      </c>
      <c r="X98" s="31">
        <v>0</v>
      </c>
      <c r="Y98" s="31">
        <v>0</v>
      </c>
      <c r="Z98" s="31">
        <v>0</v>
      </c>
      <c r="AA98" s="31">
        <v>0</v>
      </c>
      <c r="AB98" s="31">
        <v>0</v>
      </c>
      <c r="AC98" s="31">
        <v>0</v>
      </c>
      <c r="AD98" s="31">
        <v>0</v>
      </c>
      <c r="AE98" s="31">
        <v>0</v>
      </c>
      <c r="AF98" s="31">
        <v>0</v>
      </c>
      <c r="AG98" s="31">
        <v>0</v>
      </c>
      <c r="AH98" s="31">
        <v>0</v>
      </c>
    </row>
    <row r="99" spans="1:34" x14ac:dyDescent="0.25">
      <c r="A99" s="31">
        <v>20</v>
      </c>
      <c r="B99" s="31">
        <v>24602</v>
      </c>
      <c r="C99" s="31">
        <v>1</v>
      </c>
      <c r="D99" s="31" t="s">
        <v>946</v>
      </c>
      <c r="E99" s="31"/>
      <c r="F99" s="31">
        <v>0</v>
      </c>
      <c r="G99" s="31">
        <v>0</v>
      </c>
      <c r="H99" s="31">
        <v>0</v>
      </c>
      <c r="I99" s="31">
        <v>0</v>
      </c>
      <c r="J99" s="31">
        <v>0</v>
      </c>
      <c r="K99" s="31" t="s">
        <v>882</v>
      </c>
      <c r="L99" s="31">
        <v>0</v>
      </c>
      <c r="M99" s="31">
        <v>0</v>
      </c>
      <c r="N99" s="31">
        <v>0</v>
      </c>
      <c r="O99" s="31">
        <v>0</v>
      </c>
      <c r="P99" s="31">
        <v>0</v>
      </c>
      <c r="Q99" s="31">
        <v>0</v>
      </c>
      <c r="R99" s="31">
        <v>0</v>
      </c>
      <c r="S99" s="31">
        <v>0</v>
      </c>
      <c r="T99" s="31">
        <v>0</v>
      </c>
      <c r="U99" s="31">
        <v>0</v>
      </c>
      <c r="V99" s="31">
        <v>0</v>
      </c>
      <c r="W99" s="31">
        <v>0</v>
      </c>
      <c r="X99" s="31">
        <v>0</v>
      </c>
      <c r="Y99" s="31">
        <v>0</v>
      </c>
      <c r="Z99" s="31">
        <v>0</v>
      </c>
      <c r="AA99" s="31">
        <v>0</v>
      </c>
      <c r="AB99" s="31">
        <v>0</v>
      </c>
      <c r="AC99" s="31">
        <v>0</v>
      </c>
      <c r="AD99" s="31">
        <v>0</v>
      </c>
      <c r="AE99" s="31">
        <v>0</v>
      </c>
      <c r="AF99" s="31">
        <v>0</v>
      </c>
      <c r="AG99" s="31">
        <v>0</v>
      </c>
      <c r="AH99" s="31">
        <v>0</v>
      </c>
    </row>
    <row r="100" spans="1:34" x14ac:dyDescent="0.25">
      <c r="A100" s="31">
        <v>20</v>
      </c>
      <c r="B100" s="31">
        <v>24602</v>
      </c>
      <c r="C100" s="31">
        <v>1</v>
      </c>
      <c r="D100" s="31" t="s">
        <v>538</v>
      </c>
      <c r="E100" s="31"/>
      <c r="F100" s="31">
        <v>0</v>
      </c>
      <c r="G100" s="31">
        <v>0</v>
      </c>
      <c r="H100" s="31">
        <v>0</v>
      </c>
      <c r="I100" s="31">
        <v>0</v>
      </c>
      <c r="J100" s="31">
        <v>0</v>
      </c>
      <c r="K100" s="31" t="s">
        <v>882</v>
      </c>
      <c r="L100" s="31">
        <v>0</v>
      </c>
      <c r="M100" s="31">
        <v>0</v>
      </c>
      <c r="N100" s="31">
        <v>0</v>
      </c>
      <c r="O100" s="31">
        <v>0</v>
      </c>
      <c r="P100" s="31">
        <v>0</v>
      </c>
      <c r="Q100" s="31">
        <v>0</v>
      </c>
      <c r="R100" s="31">
        <v>0</v>
      </c>
      <c r="S100" s="31">
        <v>0</v>
      </c>
      <c r="T100" s="31">
        <v>0</v>
      </c>
      <c r="U100" s="31">
        <v>0</v>
      </c>
      <c r="V100" s="31">
        <v>0</v>
      </c>
      <c r="W100" s="31">
        <v>0</v>
      </c>
      <c r="X100" s="31">
        <v>0</v>
      </c>
      <c r="Y100" s="31">
        <v>0</v>
      </c>
      <c r="Z100" s="31">
        <v>0</v>
      </c>
      <c r="AA100" s="31">
        <v>0</v>
      </c>
      <c r="AB100" s="31">
        <v>0</v>
      </c>
      <c r="AC100" s="31">
        <v>0</v>
      </c>
      <c r="AD100" s="31">
        <v>0</v>
      </c>
      <c r="AE100" s="31">
        <v>0</v>
      </c>
      <c r="AF100" s="31">
        <v>0</v>
      </c>
      <c r="AG100" s="31">
        <v>0</v>
      </c>
      <c r="AH100" s="31">
        <v>0</v>
      </c>
    </row>
    <row r="101" spans="1:34" x14ac:dyDescent="0.25">
      <c r="A101" s="31">
        <v>22</v>
      </c>
      <c r="B101" s="31">
        <v>24602</v>
      </c>
      <c r="C101" s="31">
        <v>1</v>
      </c>
      <c r="D101" s="31" t="s">
        <v>538</v>
      </c>
      <c r="E101" s="31"/>
      <c r="F101" s="31">
        <v>0</v>
      </c>
      <c r="G101" s="31">
        <v>0</v>
      </c>
      <c r="H101" s="31">
        <v>0</v>
      </c>
      <c r="I101" s="31">
        <v>0</v>
      </c>
      <c r="J101" s="31">
        <v>0</v>
      </c>
      <c r="K101" s="31" t="s">
        <v>882</v>
      </c>
      <c r="L101" s="31">
        <v>0</v>
      </c>
      <c r="M101" s="31">
        <v>0</v>
      </c>
      <c r="N101" s="31">
        <v>0</v>
      </c>
      <c r="O101" s="31">
        <v>0</v>
      </c>
      <c r="P101" s="31">
        <v>0</v>
      </c>
      <c r="Q101" s="31">
        <v>0</v>
      </c>
      <c r="R101" s="31">
        <v>0</v>
      </c>
      <c r="S101" s="31">
        <v>0</v>
      </c>
      <c r="T101" s="31">
        <v>0</v>
      </c>
      <c r="U101" s="31">
        <v>0</v>
      </c>
      <c r="V101" s="31">
        <v>0</v>
      </c>
      <c r="W101" s="31">
        <v>0</v>
      </c>
      <c r="X101" s="31">
        <v>0</v>
      </c>
      <c r="Y101" s="31">
        <v>0</v>
      </c>
      <c r="Z101" s="31">
        <v>0</v>
      </c>
      <c r="AA101" s="31">
        <v>0</v>
      </c>
      <c r="AB101" s="31">
        <v>0</v>
      </c>
      <c r="AC101" s="31">
        <v>0</v>
      </c>
      <c r="AD101" s="31">
        <v>0</v>
      </c>
      <c r="AE101" s="31">
        <v>0</v>
      </c>
      <c r="AF101" s="31">
        <v>0</v>
      </c>
      <c r="AG101" s="31">
        <v>0</v>
      </c>
      <c r="AH101" s="31">
        <v>0</v>
      </c>
    </row>
    <row r="102" spans="1:34" x14ac:dyDescent="0.25">
      <c r="A102" s="31">
        <v>22</v>
      </c>
      <c r="B102" s="31">
        <v>24602</v>
      </c>
      <c r="C102" s="31">
        <v>1</v>
      </c>
      <c r="D102" s="31" t="s">
        <v>539</v>
      </c>
      <c r="E102" s="31"/>
      <c r="F102" s="31">
        <v>0</v>
      </c>
      <c r="G102" s="31">
        <v>0</v>
      </c>
      <c r="H102" s="31">
        <v>0</v>
      </c>
      <c r="I102" s="31">
        <v>0</v>
      </c>
      <c r="J102" s="31">
        <v>0</v>
      </c>
      <c r="K102" s="31" t="s">
        <v>882</v>
      </c>
      <c r="L102" s="31">
        <v>0</v>
      </c>
      <c r="M102" s="31">
        <v>0</v>
      </c>
      <c r="N102" s="31">
        <v>0</v>
      </c>
      <c r="O102" s="31">
        <v>0</v>
      </c>
      <c r="P102" s="31">
        <v>0</v>
      </c>
      <c r="Q102" s="31">
        <v>0</v>
      </c>
      <c r="R102" s="31">
        <v>0</v>
      </c>
      <c r="S102" s="31">
        <v>0</v>
      </c>
      <c r="T102" s="31">
        <v>0</v>
      </c>
      <c r="U102" s="31">
        <v>0</v>
      </c>
      <c r="V102" s="31">
        <v>0</v>
      </c>
      <c r="W102" s="31">
        <v>0</v>
      </c>
      <c r="X102" s="31">
        <v>0</v>
      </c>
      <c r="Y102" s="31">
        <v>0</v>
      </c>
      <c r="Z102" s="31">
        <v>0</v>
      </c>
      <c r="AA102" s="31">
        <v>0</v>
      </c>
      <c r="AB102" s="31">
        <v>0</v>
      </c>
      <c r="AC102" s="31">
        <v>0</v>
      </c>
      <c r="AD102" s="31">
        <v>0</v>
      </c>
      <c r="AE102" s="31">
        <v>0</v>
      </c>
      <c r="AF102" s="31">
        <v>0</v>
      </c>
      <c r="AG102" s="31">
        <v>0</v>
      </c>
      <c r="AH102" s="31">
        <v>0</v>
      </c>
    </row>
    <row r="103" spans="1:34" x14ac:dyDescent="0.25">
      <c r="A103" s="31">
        <v>22</v>
      </c>
      <c r="B103" s="31">
        <v>24602</v>
      </c>
      <c r="C103" s="31">
        <v>1</v>
      </c>
      <c r="D103" s="31" t="s">
        <v>540</v>
      </c>
      <c r="E103" s="31"/>
      <c r="F103" s="31">
        <v>0</v>
      </c>
      <c r="G103" s="31">
        <v>0</v>
      </c>
      <c r="H103" s="31">
        <v>0</v>
      </c>
      <c r="I103" s="31">
        <v>0</v>
      </c>
      <c r="J103" s="31">
        <v>0</v>
      </c>
      <c r="K103" s="31" t="s">
        <v>882</v>
      </c>
      <c r="L103" s="31">
        <v>0</v>
      </c>
      <c r="M103" s="31">
        <v>0</v>
      </c>
      <c r="N103" s="31">
        <v>0</v>
      </c>
      <c r="O103" s="31">
        <v>0</v>
      </c>
      <c r="P103" s="31">
        <v>0</v>
      </c>
      <c r="Q103" s="31">
        <v>0</v>
      </c>
      <c r="R103" s="31">
        <v>0</v>
      </c>
      <c r="S103" s="31">
        <v>0</v>
      </c>
      <c r="T103" s="31">
        <v>0</v>
      </c>
      <c r="U103" s="31">
        <v>0</v>
      </c>
      <c r="V103" s="31">
        <v>0</v>
      </c>
      <c r="W103" s="31">
        <v>0</v>
      </c>
      <c r="X103" s="31">
        <v>0</v>
      </c>
      <c r="Y103" s="31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  <c r="AE103" s="31">
        <v>0</v>
      </c>
      <c r="AF103" s="31">
        <v>0</v>
      </c>
      <c r="AG103" s="31">
        <v>0</v>
      </c>
      <c r="AH103" s="31">
        <v>0</v>
      </c>
    </row>
    <row r="104" spans="1:34" x14ac:dyDescent="0.25">
      <c r="A104" s="31">
        <v>22</v>
      </c>
      <c r="B104" s="31">
        <v>24602</v>
      </c>
      <c r="C104" s="31">
        <v>1</v>
      </c>
      <c r="D104" s="31" t="s">
        <v>541</v>
      </c>
      <c r="E104" s="31"/>
      <c r="F104" s="31">
        <v>0</v>
      </c>
      <c r="G104" s="31">
        <v>0</v>
      </c>
      <c r="H104" s="31">
        <v>0</v>
      </c>
      <c r="I104" s="31">
        <v>0</v>
      </c>
      <c r="J104" s="31">
        <v>0</v>
      </c>
      <c r="K104" s="31" t="s">
        <v>882</v>
      </c>
      <c r="L104" s="31">
        <v>0</v>
      </c>
      <c r="M104" s="31">
        <v>0</v>
      </c>
      <c r="N104" s="31">
        <v>0</v>
      </c>
      <c r="O104" s="31">
        <v>0</v>
      </c>
      <c r="P104" s="31">
        <v>0</v>
      </c>
      <c r="Q104" s="31">
        <v>0</v>
      </c>
      <c r="R104" s="31">
        <v>0</v>
      </c>
      <c r="S104" s="31">
        <v>0</v>
      </c>
      <c r="T104" s="31">
        <v>0</v>
      </c>
      <c r="U104" s="31">
        <v>0</v>
      </c>
      <c r="V104" s="31">
        <v>0</v>
      </c>
      <c r="W104" s="31">
        <v>0</v>
      </c>
      <c r="X104" s="31">
        <v>0</v>
      </c>
      <c r="Y104" s="31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  <c r="AE104" s="31">
        <v>0</v>
      </c>
      <c r="AF104" s="31">
        <v>0</v>
      </c>
      <c r="AG104" s="31">
        <v>0</v>
      </c>
      <c r="AH104" s="31">
        <v>0</v>
      </c>
    </row>
    <row r="105" spans="1:34" x14ac:dyDescent="0.25">
      <c r="A105" s="31">
        <v>22</v>
      </c>
      <c r="B105" s="31">
        <v>24602</v>
      </c>
      <c r="C105" s="31">
        <v>1</v>
      </c>
      <c r="D105" s="31" t="s">
        <v>542</v>
      </c>
      <c r="E105" s="31"/>
      <c r="F105" s="31">
        <v>0</v>
      </c>
      <c r="G105" s="31">
        <v>0</v>
      </c>
      <c r="H105" s="31">
        <v>0</v>
      </c>
      <c r="I105" s="31">
        <v>0</v>
      </c>
      <c r="J105" s="31">
        <v>0</v>
      </c>
      <c r="K105" s="31" t="s">
        <v>882</v>
      </c>
      <c r="L105" s="31">
        <v>0</v>
      </c>
      <c r="M105" s="31">
        <v>0</v>
      </c>
      <c r="N105" s="31">
        <v>0</v>
      </c>
      <c r="O105" s="31">
        <v>0</v>
      </c>
      <c r="P105" s="31">
        <v>0</v>
      </c>
      <c r="Q105" s="31">
        <v>0</v>
      </c>
      <c r="R105" s="31">
        <v>0</v>
      </c>
      <c r="S105" s="31">
        <v>0</v>
      </c>
      <c r="T105" s="31">
        <v>0</v>
      </c>
      <c r="U105" s="31">
        <v>0</v>
      </c>
      <c r="V105" s="31">
        <v>0</v>
      </c>
      <c r="W105" s="31">
        <v>0</v>
      </c>
      <c r="X105" s="31">
        <v>0</v>
      </c>
      <c r="Y105" s="31">
        <v>0</v>
      </c>
      <c r="Z105" s="31">
        <v>0</v>
      </c>
      <c r="AA105" s="31">
        <v>0</v>
      </c>
      <c r="AB105" s="31">
        <v>0</v>
      </c>
      <c r="AC105" s="31">
        <v>0</v>
      </c>
      <c r="AD105" s="31">
        <v>0</v>
      </c>
      <c r="AE105" s="31">
        <v>0</v>
      </c>
      <c r="AF105" s="31">
        <v>0</v>
      </c>
      <c r="AG105" s="31">
        <v>0</v>
      </c>
      <c r="AH105" s="31">
        <v>0</v>
      </c>
    </row>
    <row r="106" spans="1:34" x14ac:dyDescent="0.25">
      <c r="A106" s="31">
        <v>22</v>
      </c>
      <c r="B106" s="31">
        <v>24602</v>
      </c>
      <c r="C106" s="31">
        <v>1</v>
      </c>
      <c r="D106" s="31" t="s">
        <v>543</v>
      </c>
      <c r="E106" s="31"/>
      <c r="F106" s="31">
        <v>0</v>
      </c>
      <c r="G106" s="31">
        <v>0</v>
      </c>
      <c r="H106" s="31">
        <v>0</v>
      </c>
      <c r="I106" s="31">
        <v>0</v>
      </c>
      <c r="J106" s="31">
        <v>0</v>
      </c>
      <c r="K106" s="31" t="s">
        <v>882</v>
      </c>
      <c r="L106" s="31">
        <v>0</v>
      </c>
      <c r="M106" s="31">
        <v>0</v>
      </c>
      <c r="N106" s="31">
        <v>0</v>
      </c>
      <c r="O106" s="31">
        <v>0</v>
      </c>
      <c r="P106" s="31">
        <v>0</v>
      </c>
      <c r="Q106" s="31">
        <v>0</v>
      </c>
      <c r="R106" s="31">
        <v>0</v>
      </c>
      <c r="S106" s="31">
        <v>0</v>
      </c>
      <c r="T106" s="31">
        <v>0</v>
      </c>
      <c r="U106" s="31">
        <v>0</v>
      </c>
      <c r="V106" s="31">
        <v>0</v>
      </c>
      <c r="W106" s="31">
        <v>0</v>
      </c>
      <c r="X106" s="31">
        <v>0</v>
      </c>
      <c r="Y106" s="31">
        <v>0</v>
      </c>
      <c r="Z106" s="31">
        <v>0</v>
      </c>
      <c r="AA106" s="31">
        <v>0</v>
      </c>
      <c r="AB106" s="31">
        <v>0</v>
      </c>
      <c r="AC106" s="31">
        <v>0</v>
      </c>
      <c r="AD106" s="31">
        <v>0</v>
      </c>
      <c r="AE106" s="31">
        <v>0</v>
      </c>
      <c r="AF106" s="31">
        <v>0</v>
      </c>
      <c r="AG106" s="31">
        <v>0</v>
      </c>
      <c r="AH106" s="31">
        <v>0</v>
      </c>
    </row>
    <row r="107" spans="1:34" x14ac:dyDescent="0.25">
      <c r="A107" s="31">
        <v>22</v>
      </c>
      <c r="B107" s="31">
        <v>24602</v>
      </c>
      <c r="C107" s="31">
        <v>1</v>
      </c>
      <c r="D107" s="31" t="s">
        <v>544</v>
      </c>
      <c r="E107" s="31"/>
      <c r="F107" s="31">
        <v>0</v>
      </c>
      <c r="G107" s="31">
        <v>0</v>
      </c>
      <c r="H107" s="31">
        <v>0</v>
      </c>
      <c r="I107" s="31">
        <v>0</v>
      </c>
      <c r="J107" s="31">
        <v>0</v>
      </c>
      <c r="K107" s="31" t="s">
        <v>882</v>
      </c>
      <c r="L107" s="31">
        <v>0</v>
      </c>
      <c r="M107" s="31">
        <v>0</v>
      </c>
      <c r="N107" s="31">
        <v>0</v>
      </c>
      <c r="O107" s="31">
        <v>0</v>
      </c>
      <c r="P107" s="31">
        <v>0</v>
      </c>
      <c r="Q107" s="31">
        <v>0</v>
      </c>
      <c r="R107" s="31">
        <v>0</v>
      </c>
      <c r="S107" s="31">
        <v>0</v>
      </c>
      <c r="T107" s="31">
        <v>0</v>
      </c>
      <c r="U107" s="31">
        <v>0</v>
      </c>
      <c r="V107" s="31">
        <v>0</v>
      </c>
      <c r="W107" s="31">
        <v>0</v>
      </c>
      <c r="X107" s="31">
        <v>0</v>
      </c>
      <c r="Y107" s="31">
        <v>0</v>
      </c>
      <c r="Z107" s="31">
        <v>0</v>
      </c>
      <c r="AA107" s="31">
        <v>0</v>
      </c>
      <c r="AB107" s="31">
        <v>0</v>
      </c>
      <c r="AC107" s="31">
        <v>0</v>
      </c>
      <c r="AD107" s="31">
        <v>0</v>
      </c>
      <c r="AE107" s="31">
        <v>0</v>
      </c>
      <c r="AF107" s="31">
        <v>0</v>
      </c>
      <c r="AG107" s="31">
        <v>0</v>
      </c>
      <c r="AH107" s="31">
        <v>0</v>
      </c>
    </row>
    <row r="108" spans="1:34" x14ac:dyDescent="0.25">
      <c r="A108" s="31">
        <v>22</v>
      </c>
      <c r="B108" s="31">
        <v>24602</v>
      </c>
      <c r="C108" s="31">
        <v>1</v>
      </c>
      <c r="D108" s="31" t="s">
        <v>545</v>
      </c>
      <c r="E108" s="31"/>
      <c r="F108" s="31">
        <v>0</v>
      </c>
      <c r="G108" s="31">
        <v>0</v>
      </c>
      <c r="H108" s="31">
        <v>0</v>
      </c>
      <c r="I108" s="31">
        <v>0</v>
      </c>
      <c r="J108" s="31">
        <v>0</v>
      </c>
      <c r="K108" s="31" t="s">
        <v>882</v>
      </c>
      <c r="L108" s="31">
        <v>0</v>
      </c>
      <c r="M108" s="31">
        <v>0</v>
      </c>
      <c r="N108" s="31">
        <v>0</v>
      </c>
      <c r="O108" s="31">
        <v>0</v>
      </c>
      <c r="P108" s="31">
        <v>0</v>
      </c>
      <c r="Q108" s="31">
        <v>0</v>
      </c>
      <c r="R108" s="31">
        <v>0</v>
      </c>
      <c r="S108" s="31">
        <v>0</v>
      </c>
      <c r="T108" s="31">
        <v>0</v>
      </c>
      <c r="U108" s="31">
        <v>0</v>
      </c>
      <c r="V108" s="31">
        <v>0</v>
      </c>
      <c r="W108" s="31">
        <v>0</v>
      </c>
      <c r="X108" s="31">
        <v>0</v>
      </c>
      <c r="Y108" s="31">
        <v>0</v>
      </c>
      <c r="Z108" s="31">
        <v>0</v>
      </c>
      <c r="AA108" s="31">
        <v>0</v>
      </c>
      <c r="AB108" s="31">
        <v>0</v>
      </c>
      <c r="AC108" s="31">
        <v>0</v>
      </c>
      <c r="AD108" s="31">
        <v>0</v>
      </c>
      <c r="AE108" s="31">
        <v>0</v>
      </c>
      <c r="AF108" s="31">
        <v>0</v>
      </c>
      <c r="AG108" s="31">
        <v>0</v>
      </c>
      <c r="AH108" s="31">
        <v>0</v>
      </c>
    </row>
    <row r="109" spans="1:34" x14ac:dyDescent="0.25">
      <c r="A109" s="31">
        <v>22</v>
      </c>
      <c r="B109" s="31">
        <v>24602</v>
      </c>
      <c r="C109" s="31">
        <v>1</v>
      </c>
      <c r="D109" s="31" t="s">
        <v>546</v>
      </c>
      <c r="E109" s="31"/>
      <c r="F109" s="31">
        <v>0</v>
      </c>
      <c r="G109" s="31">
        <v>0</v>
      </c>
      <c r="H109" s="31">
        <v>0</v>
      </c>
      <c r="I109" s="31">
        <v>0</v>
      </c>
      <c r="J109" s="31">
        <v>0</v>
      </c>
      <c r="K109" s="31" t="s">
        <v>882</v>
      </c>
      <c r="L109" s="31">
        <v>0</v>
      </c>
      <c r="M109" s="31">
        <v>0</v>
      </c>
      <c r="N109" s="31">
        <v>0</v>
      </c>
      <c r="O109" s="31">
        <v>0</v>
      </c>
      <c r="P109" s="31">
        <v>0</v>
      </c>
      <c r="Q109" s="31">
        <v>0</v>
      </c>
      <c r="R109" s="31">
        <v>0</v>
      </c>
      <c r="S109" s="31">
        <v>0</v>
      </c>
      <c r="T109" s="31">
        <v>0</v>
      </c>
      <c r="U109" s="31">
        <v>0</v>
      </c>
      <c r="V109" s="31">
        <v>0</v>
      </c>
      <c r="W109" s="31">
        <v>0</v>
      </c>
      <c r="X109" s="31">
        <v>0</v>
      </c>
      <c r="Y109" s="31">
        <v>0</v>
      </c>
      <c r="Z109" s="31">
        <v>0</v>
      </c>
      <c r="AA109" s="31">
        <v>0</v>
      </c>
      <c r="AB109" s="31">
        <v>0</v>
      </c>
      <c r="AC109" s="31">
        <v>0</v>
      </c>
      <c r="AD109" s="31">
        <v>0</v>
      </c>
      <c r="AE109" s="31">
        <v>0</v>
      </c>
      <c r="AF109" s="31">
        <v>0</v>
      </c>
      <c r="AG109" s="31">
        <v>0</v>
      </c>
      <c r="AH109" s="31">
        <v>0</v>
      </c>
    </row>
    <row r="110" spans="1:34" x14ac:dyDescent="0.25">
      <c r="A110" s="31">
        <v>22</v>
      </c>
      <c r="B110" s="31">
        <v>24602</v>
      </c>
      <c r="C110" s="31">
        <v>1</v>
      </c>
      <c r="D110" s="31" t="s">
        <v>947</v>
      </c>
      <c r="E110" s="31"/>
      <c r="F110" s="31">
        <v>0</v>
      </c>
      <c r="G110" s="31">
        <v>0</v>
      </c>
      <c r="H110" s="31">
        <v>0</v>
      </c>
      <c r="I110" s="31">
        <v>0</v>
      </c>
      <c r="J110" s="31">
        <v>0</v>
      </c>
      <c r="K110" s="31" t="s">
        <v>882</v>
      </c>
      <c r="L110" s="31">
        <v>0</v>
      </c>
      <c r="M110" s="31">
        <v>0</v>
      </c>
      <c r="N110" s="31">
        <v>0</v>
      </c>
      <c r="O110" s="31">
        <v>0</v>
      </c>
      <c r="P110" s="31">
        <v>0</v>
      </c>
      <c r="Q110" s="31">
        <v>0</v>
      </c>
      <c r="R110" s="31">
        <v>0</v>
      </c>
      <c r="S110" s="31">
        <v>0</v>
      </c>
      <c r="T110" s="31">
        <v>0</v>
      </c>
      <c r="U110" s="31">
        <v>0</v>
      </c>
      <c r="V110" s="31">
        <v>0</v>
      </c>
      <c r="W110" s="31">
        <v>0</v>
      </c>
      <c r="X110" s="31">
        <v>0</v>
      </c>
      <c r="Y110" s="31">
        <v>0</v>
      </c>
      <c r="Z110" s="31">
        <v>0</v>
      </c>
      <c r="AA110" s="31">
        <v>0</v>
      </c>
      <c r="AB110" s="31">
        <v>0</v>
      </c>
      <c r="AC110" s="31">
        <v>0</v>
      </c>
      <c r="AD110" s="31">
        <v>0</v>
      </c>
      <c r="AE110" s="31">
        <v>0</v>
      </c>
      <c r="AF110" s="31">
        <v>0</v>
      </c>
      <c r="AG110" s="31">
        <v>0</v>
      </c>
      <c r="AH110" s="31">
        <v>0</v>
      </c>
    </row>
    <row r="111" spans="1:34" x14ac:dyDescent="0.25">
      <c r="A111" s="31">
        <v>22</v>
      </c>
      <c r="B111" s="31">
        <v>24602</v>
      </c>
      <c r="C111" s="31">
        <v>1</v>
      </c>
      <c r="D111" s="31" t="s">
        <v>948</v>
      </c>
      <c r="E111" s="31"/>
      <c r="F111" s="31">
        <v>0</v>
      </c>
      <c r="G111" s="31">
        <v>0</v>
      </c>
      <c r="H111" s="31">
        <v>0</v>
      </c>
      <c r="I111" s="31">
        <v>0</v>
      </c>
      <c r="J111" s="31">
        <v>0</v>
      </c>
      <c r="K111" s="31" t="s">
        <v>882</v>
      </c>
      <c r="L111" s="31">
        <v>0</v>
      </c>
      <c r="M111" s="31">
        <v>0</v>
      </c>
      <c r="N111" s="31">
        <v>0</v>
      </c>
      <c r="O111" s="31">
        <v>0</v>
      </c>
      <c r="P111" s="31">
        <v>0</v>
      </c>
      <c r="Q111" s="31">
        <v>0</v>
      </c>
      <c r="R111" s="31">
        <v>0</v>
      </c>
      <c r="S111" s="31">
        <v>0</v>
      </c>
      <c r="T111" s="31">
        <v>0</v>
      </c>
      <c r="U111" s="31">
        <v>0</v>
      </c>
      <c r="V111" s="31">
        <v>0</v>
      </c>
      <c r="W111" s="31">
        <v>0</v>
      </c>
      <c r="X111" s="31">
        <v>0</v>
      </c>
      <c r="Y111" s="31">
        <v>0</v>
      </c>
      <c r="Z111" s="31">
        <v>0</v>
      </c>
      <c r="AA111" s="31">
        <v>0</v>
      </c>
      <c r="AB111" s="31">
        <v>0</v>
      </c>
      <c r="AC111" s="31">
        <v>0</v>
      </c>
      <c r="AD111" s="31">
        <v>0</v>
      </c>
      <c r="AE111" s="31">
        <v>0</v>
      </c>
      <c r="AF111" s="31">
        <v>0</v>
      </c>
      <c r="AG111" s="31">
        <v>0</v>
      </c>
      <c r="AH111" s="31">
        <v>0</v>
      </c>
    </row>
    <row r="112" spans="1:34" x14ac:dyDescent="0.25">
      <c r="A112" s="31">
        <v>22</v>
      </c>
      <c r="B112" s="31">
        <v>24602</v>
      </c>
      <c r="C112" s="31">
        <v>1</v>
      </c>
      <c r="D112" s="31" t="s">
        <v>547</v>
      </c>
      <c r="E112" s="31"/>
      <c r="F112" s="31">
        <v>0</v>
      </c>
      <c r="G112" s="31">
        <v>0</v>
      </c>
      <c r="H112" s="31">
        <v>0</v>
      </c>
      <c r="I112" s="31">
        <v>0</v>
      </c>
      <c r="J112" s="31">
        <v>0</v>
      </c>
      <c r="K112" s="31" t="s">
        <v>882</v>
      </c>
      <c r="L112" s="31">
        <v>0</v>
      </c>
      <c r="M112" s="31">
        <v>0</v>
      </c>
      <c r="N112" s="31">
        <v>0</v>
      </c>
      <c r="O112" s="31">
        <v>0</v>
      </c>
      <c r="P112" s="31">
        <v>0</v>
      </c>
      <c r="Q112" s="31">
        <v>0</v>
      </c>
      <c r="R112" s="31">
        <v>0</v>
      </c>
      <c r="S112" s="31">
        <v>0</v>
      </c>
      <c r="T112" s="31">
        <v>0</v>
      </c>
      <c r="U112" s="31">
        <v>0</v>
      </c>
      <c r="V112" s="31">
        <v>0</v>
      </c>
      <c r="W112" s="31">
        <v>0</v>
      </c>
      <c r="X112" s="31">
        <v>0</v>
      </c>
      <c r="Y112" s="31">
        <v>0</v>
      </c>
      <c r="Z112" s="31">
        <v>0</v>
      </c>
      <c r="AA112" s="31">
        <v>0</v>
      </c>
      <c r="AB112" s="31">
        <v>0</v>
      </c>
      <c r="AC112" s="31">
        <v>0</v>
      </c>
      <c r="AD112" s="31">
        <v>0</v>
      </c>
      <c r="AE112" s="31">
        <v>0</v>
      </c>
      <c r="AF112" s="31">
        <v>0</v>
      </c>
      <c r="AG112" s="31">
        <v>0</v>
      </c>
      <c r="AH112" s="31">
        <v>0</v>
      </c>
    </row>
    <row r="113" spans="1:34" x14ac:dyDescent="0.25">
      <c r="A113" s="31">
        <v>22</v>
      </c>
      <c r="B113" s="31">
        <v>24603</v>
      </c>
      <c r="C113" s="31">
        <v>1</v>
      </c>
      <c r="D113" s="31" t="s">
        <v>548</v>
      </c>
      <c r="E113" s="31"/>
      <c r="F113" s="31">
        <v>0</v>
      </c>
      <c r="G113" s="31">
        <v>0</v>
      </c>
      <c r="H113" s="31">
        <v>0</v>
      </c>
      <c r="I113" s="31">
        <v>0</v>
      </c>
      <c r="J113" s="31">
        <v>0</v>
      </c>
      <c r="K113" s="31" t="s">
        <v>882</v>
      </c>
      <c r="L113" s="31">
        <v>0</v>
      </c>
      <c r="M113" s="31">
        <v>0</v>
      </c>
      <c r="N113" s="31">
        <v>0</v>
      </c>
      <c r="O113" s="31">
        <v>0</v>
      </c>
      <c r="P113" s="31">
        <v>0</v>
      </c>
      <c r="Q113" s="31">
        <v>0</v>
      </c>
      <c r="R113" s="31">
        <v>0</v>
      </c>
      <c r="S113" s="31">
        <v>0</v>
      </c>
      <c r="T113" s="31">
        <v>0</v>
      </c>
      <c r="U113" s="31">
        <v>0</v>
      </c>
      <c r="V113" s="31">
        <v>0</v>
      </c>
      <c r="W113" s="31">
        <v>0</v>
      </c>
      <c r="X113" s="31">
        <v>0</v>
      </c>
      <c r="Y113" s="31">
        <v>0</v>
      </c>
      <c r="Z113" s="31">
        <v>0</v>
      </c>
      <c r="AA113" s="31">
        <v>0</v>
      </c>
      <c r="AB113" s="31">
        <v>0</v>
      </c>
      <c r="AC113" s="31">
        <v>0</v>
      </c>
      <c r="AD113" s="31">
        <v>0</v>
      </c>
      <c r="AE113" s="31">
        <v>0</v>
      </c>
      <c r="AF113" s="31">
        <v>0</v>
      </c>
      <c r="AG113" s="31">
        <v>0</v>
      </c>
      <c r="AH113" s="31">
        <v>0</v>
      </c>
    </row>
    <row r="114" spans="1:34" x14ac:dyDescent="0.25">
      <c r="A114" s="31">
        <v>22</v>
      </c>
      <c r="B114" s="31">
        <v>24603</v>
      </c>
      <c r="C114" s="31">
        <v>1</v>
      </c>
      <c r="D114" s="31" t="s">
        <v>549</v>
      </c>
      <c r="E114" s="31"/>
      <c r="F114" s="31">
        <v>0</v>
      </c>
      <c r="G114" s="31">
        <v>0</v>
      </c>
      <c r="H114" s="31">
        <v>0</v>
      </c>
      <c r="I114" s="31">
        <v>0</v>
      </c>
      <c r="J114" s="31">
        <v>0</v>
      </c>
      <c r="K114" s="31" t="s">
        <v>882</v>
      </c>
      <c r="L114" s="31">
        <v>0</v>
      </c>
      <c r="M114" s="31">
        <v>0</v>
      </c>
      <c r="N114" s="31">
        <v>0</v>
      </c>
      <c r="O114" s="31">
        <v>0</v>
      </c>
      <c r="P114" s="31">
        <v>0</v>
      </c>
      <c r="Q114" s="31">
        <v>0</v>
      </c>
      <c r="R114" s="31">
        <v>0</v>
      </c>
      <c r="S114" s="31">
        <v>0</v>
      </c>
      <c r="T114" s="31">
        <v>0</v>
      </c>
      <c r="U114" s="31">
        <v>0</v>
      </c>
      <c r="V114" s="31">
        <v>0</v>
      </c>
      <c r="W114" s="31">
        <v>0</v>
      </c>
      <c r="X114" s="31">
        <v>0</v>
      </c>
      <c r="Y114" s="31">
        <v>0</v>
      </c>
      <c r="Z114" s="31">
        <v>0</v>
      </c>
      <c r="AA114" s="31">
        <v>0</v>
      </c>
      <c r="AB114" s="31">
        <v>0</v>
      </c>
      <c r="AC114" s="31">
        <v>0</v>
      </c>
      <c r="AD114" s="31">
        <v>0</v>
      </c>
      <c r="AE114" s="31">
        <v>0</v>
      </c>
      <c r="AF114" s="31">
        <v>0</v>
      </c>
      <c r="AG114" s="31">
        <v>0</v>
      </c>
      <c r="AH114" s="31">
        <v>0</v>
      </c>
    </row>
    <row r="115" spans="1:34" x14ac:dyDescent="0.25">
      <c r="A115" s="31">
        <v>22</v>
      </c>
      <c r="B115" s="31">
        <v>24701</v>
      </c>
      <c r="C115" s="31">
        <v>1</v>
      </c>
      <c r="D115" s="31" t="s">
        <v>550</v>
      </c>
      <c r="E115" s="31"/>
      <c r="F115" s="31">
        <v>0</v>
      </c>
      <c r="G115" s="31">
        <v>0</v>
      </c>
      <c r="H115" s="31">
        <v>0</v>
      </c>
      <c r="I115" s="31">
        <v>0</v>
      </c>
      <c r="J115" s="31">
        <v>0</v>
      </c>
      <c r="K115" s="31" t="s">
        <v>882</v>
      </c>
      <c r="L115" s="31">
        <v>0</v>
      </c>
      <c r="M115" s="31">
        <v>0</v>
      </c>
      <c r="N115" s="31">
        <v>0</v>
      </c>
      <c r="O115" s="31">
        <v>0</v>
      </c>
      <c r="P115" s="31">
        <v>0</v>
      </c>
      <c r="Q115" s="31">
        <v>0</v>
      </c>
      <c r="R115" s="31">
        <v>0</v>
      </c>
      <c r="S115" s="31">
        <v>0</v>
      </c>
      <c r="T115" s="31">
        <v>0</v>
      </c>
      <c r="U115" s="31">
        <v>0</v>
      </c>
      <c r="V115" s="31">
        <v>0</v>
      </c>
      <c r="W115" s="31">
        <v>0</v>
      </c>
      <c r="X115" s="31">
        <v>0</v>
      </c>
      <c r="Y115" s="31">
        <v>0</v>
      </c>
      <c r="Z115" s="31">
        <v>0</v>
      </c>
      <c r="AA115" s="31">
        <v>0</v>
      </c>
      <c r="AB115" s="31">
        <v>0</v>
      </c>
      <c r="AC115" s="31">
        <v>0</v>
      </c>
      <c r="AD115" s="31">
        <v>0</v>
      </c>
      <c r="AE115" s="31">
        <v>0</v>
      </c>
      <c r="AF115" s="31">
        <v>0</v>
      </c>
      <c r="AG115" s="31">
        <v>0</v>
      </c>
      <c r="AH115" s="31">
        <v>0</v>
      </c>
    </row>
    <row r="116" spans="1:34" x14ac:dyDescent="0.25">
      <c r="A116" s="31">
        <v>22</v>
      </c>
      <c r="B116" s="31">
        <v>24701</v>
      </c>
      <c r="C116" s="31">
        <v>1</v>
      </c>
      <c r="D116" s="31" t="s">
        <v>551</v>
      </c>
      <c r="E116" s="31"/>
      <c r="F116" s="31">
        <v>0</v>
      </c>
      <c r="G116" s="31">
        <v>0</v>
      </c>
      <c r="H116" s="31">
        <v>0</v>
      </c>
      <c r="I116" s="31">
        <v>0</v>
      </c>
      <c r="J116" s="31">
        <v>0</v>
      </c>
      <c r="K116" s="31" t="s">
        <v>882</v>
      </c>
      <c r="L116" s="31">
        <v>0</v>
      </c>
      <c r="M116" s="31">
        <v>0</v>
      </c>
      <c r="N116" s="31">
        <v>0</v>
      </c>
      <c r="O116" s="31">
        <v>0</v>
      </c>
      <c r="P116" s="31">
        <v>0</v>
      </c>
      <c r="Q116" s="31">
        <v>0</v>
      </c>
      <c r="R116" s="31">
        <v>0</v>
      </c>
      <c r="S116" s="31">
        <v>0</v>
      </c>
      <c r="T116" s="31">
        <v>0</v>
      </c>
      <c r="U116" s="31">
        <v>0</v>
      </c>
      <c r="V116" s="31">
        <v>0</v>
      </c>
      <c r="W116" s="31">
        <v>0</v>
      </c>
      <c r="X116" s="31">
        <v>0</v>
      </c>
      <c r="Y116" s="31">
        <v>0</v>
      </c>
      <c r="Z116" s="31">
        <v>0</v>
      </c>
      <c r="AA116" s="31">
        <v>0</v>
      </c>
      <c r="AB116" s="31">
        <v>0</v>
      </c>
      <c r="AC116" s="31">
        <v>0</v>
      </c>
      <c r="AD116" s="31">
        <v>0</v>
      </c>
      <c r="AE116" s="31">
        <v>0</v>
      </c>
      <c r="AF116" s="31">
        <v>0</v>
      </c>
      <c r="AG116" s="31">
        <v>0</v>
      </c>
      <c r="AH116" s="31">
        <v>0</v>
      </c>
    </row>
    <row r="117" spans="1:34" x14ac:dyDescent="0.25">
      <c r="A117" s="31">
        <v>22</v>
      </c>
      <c r="B117" s="31">
        <v>24701</v>
      </c>
      <c r="C117" s="31">
        <v>1</v>
      </c>
      <c r="D117" s="31" t="s">
        <v>552</v>
      </c>
      <c r="E117" s="31"/>
      <c r="F117" s="31">
        <v>0</v>
      </c>
      <c r="G117" s="31">
        <v>0</v>
      </c>
      <c r="H117" s="31">
        <v>0</v>
      </c>
      <c r="I117" s="31">
        <v>0</v>
      </c>
      <c r="J117" s="31">
        <v>0</v>
      </c>
      <c r="K117" s="31" t="s">
        <v>882</v>
      </c>
      <c r="L117" s="31">
        <v>0</v>
      </c>
      <c r="M117" s="31">
        <v>0</v>
      </c>
      <c r="N117" s="31">
        <v>0</v>
      </c>
      <c r="O117" s="31">
        <v>0</v>
      </c>
      <c r="P117" s="31">
        <v>0</v>
      </c>
      <c r="Q117" s="31">
        <v>0</v>
      </c>
      <c r="R117" s="31">
        <v>0</v>
      </c>
      <c r="S117" s="31">
        <v>0</v>
      </c>
      <c r="T117" s="31">
        <v>0</v>
      </c>
      <c r="U117" s="31">
        <v>0</v>
      </c>
      <c r="V117" s="31">
        <v>0</v>
      </c>
      <c r="W117" s="31">
        <v>0</v>
      </c>
      <c r="X117" s="31">
        <v>0</v>
      </c>
      <c r="Y117" s="31">
        <v>0</v>
      </c>
      <c r="Z117" s="31">
        <v>0</v>
      </c>
      <c r="AA117" s="31">
        <v>0</v>
      </c>
      <c r="AB117" s="31">
        <v>0</v>
      </c>
      <c r="AC117" s="31">
        <v>0</v>
      </c>
      <c r="AD117" s="31">
        <v>0</v>
      </c>
      <c r="AE117" s="31">
        <v>0</v>
      </c>
      <c r="AF117" s="31">
        <v>0</v>
      </c>
      <c r="AG117" s="31">
        <v>0</v>
      </c>
      <c r="AH117" s="31">
        <v>0</v>
      </c>
    </row>
    <row r="118" spans="1:34" x14ac:dyDescent="0.25">
      <c r="A118" s="31">
        <v>22</v>
      </c>
      <c r="B118" s="31">
        <v>24701</v>
      </c>
      <c r="C118" s="31">
        <v>1</v>
      </c>
      <c r="D118" s="31" t="s">
        <v>553</v>
      </c>
      <c r="E118" s="31"/>
      <c r="F118" s="31">
        <v>0</v>
      </c>
      <c r="G118" s="31">
        <v>0</v>
      </c>
      <c r="H118" s="31">
        <v>0</v>
      </c>
      <c r="I118" s="31">
        <v>0</v>
      </c>
      <c r="J118" s="31">
        <v>0</v>
      </c>
      <c r="K118" s="31" t="s">
        <v>882</v>
      </c>
      <c r="L118" s="31">
        <v>0</v>
      </c>
      <c r="M118" s="31">
        <v>0</v>
      </c>
      <c r="N118" s="31">
        <v>0</v>
      </c>
      <c r="O118" s="31">
        <v>0</v>
      </c>
      <c r="P118" s="31">
        <v>0</v>
      </c>
      <c r="Q118" s="31">
        <v>0</v>
      </c>
      <c r="R118" s="31">
        <v>0</v>
      </c>
      <c r="S118" s="31">
        <v>0</v>
      </c>
      <c r="T118" s="31">
        <v>0</v>
      </c>
      <c r="U118" s="31">
        <v>0</v>
      </c>
      <c r="V118" s="31">
        <v>0</v>
      </c>
      <c r="W118" s="31">
        <v>0</v>
      </c>
      <c r="X118" s="31">
        <v>0</v>
      </c>
      <c r="Y118" s="31">
        <v>0</v>
      </c>
      <c r="Z118" s="31">
        <v>0</v>
      </c>
      <c r="AA118" s="31">
        <v>0</v>
      </c>
      <c r="AB118" s="31">
        <v>0</v>
      </c>
      <c r="AC118" s="31">
        <v>0</v>
      </c>
      <c r="AD118" s="31">
        <v>0</v>
      </c>
      <c r="AE118" s="31">
        <v>0</v>
      </c>
      <c r="AF118" s="31">
        <v>0</v>
      </c>
      <c r="AG118" s="31">
        <v>0</v>
      </c>
      <c r="AH118" s="31">
        <v>0</v>
      </c>
    </row>
    <row r="119" spans="1:34" x14ac:dyDescent="0.25">
      <c r="A119" s="31">
        <v>22</v>
      </c>
      <c r="B119" s="31">
        <v>24701</v>
      </c>
      <c r="C119" s="31">
        <v>1</v>
      </c>
      <c r="D119" s="31" t="s">
        <v>554</v>
      </c>
      <c r="E119" s="31"/>
      <c r="F119" s="31">
        <v>0</v>
      </c>
      <c r="G119" s="31">
        <v>0</v>
      </c>
      <c r="H119" s="31">
        <v>0</v>
      </c>
      <c r="I119" s="31">
        <v>0</v>
      </c>
      <c r="J119" s="31">
        <v>0</v>
      </c>
      <c r="K119" s="31" t="s">
        <v>882</v>
      </c>
      <c r="L119" s="31">
        <v>0</v>
      </c>
      <c r="M119" s="31">
        <v>0</v>
      </c>
      <c r="N119" s="31">
        <v>0</v>
      </c>
      <c r="O119" s="31">
        <v>0</v>
      </c>
      <c r="P119" s="31">
        <v>0</v>
      </c>
      <c r="Q119" s="31">
        <v>0</v>
      </c>
      <c r="R119" s="31">
        <v>0</v>
      </c>
      <c r="S119" s="31">
        <v>0</v>
      </c>
      <c r="T119" s="31">
        <v>0</v>
      </c>
      <c r="U119" s="31">
        <v>0</v>
      </c>
      <c r="V119" s="31">
        <v>0</v>
      </c>
      <c r="W119" s="31">
        <v>0</v>
      </c>
      <c r="X119" s="31">
        <v>0</v>
      </c>
      <c r="Y119" s="31">
        <v>0</v>
      </c>
      <c r="Z119" s="31">
        <v>0</v>
      </c>
      <c r="AA119" s="31">
        <v>0</v>
      </c>
      <c r="AB119" s="31">
        <v>0</v>
      </c>
      <c r="AC119" s="31">
        <v>0</v>
      </c>
      <c r="AD119" s="31">
        <v>0</v>
      </c>
      <c r="AE119" s="31">
        <v>0</v>
      </c>
      <c r="AF119" s="31">
        <v>0</v>
      </c>
      <c r="AG119" s="31">
        <v>0</v>
      </c>
      <c r="AH119" s="31">
        <v>0</v>
      </c>
    </row>
    <row r="120" spans="1:34" x14ac:dyDescent="0.25">
      <c r="A120" s="31">
        <v>22</v>
      </c>
      <c r="B120" s="31">
        <v>24701</v>
      </c>
      <c r="C120" s="31">
        <v>1</v>
      </c>
      <c r="D120" s="31" t="s">
        <v>555</v>
      </c>
      <c r="E120" s="31"/>
      <c r="F120" s="31">
        <v>0</v>
      </c>
      <c r="G120" s="31">
        <v>0</v>
      </c>
      <c r="H120" s="31">
        <v>0</v>
      </c>
      <c r="I120" s="31">
        <v>0</v>
      </c>
      <c r="J120" s="31">
        <v>0</v>
      </c>
      <c r="K120" s="31" t="s">
        <v>882</v>
      </c>
      <c r="L120" s="31">
        <v>0</v>
      </c>
      <c r="M120" s="31">
        <v>0</v>
      </c>
      <c r="N120" s="31">
        <v>0</v>
      </c>
      <c r="O120" s="31">
        <v>0</v>
      </c>
      <c r="P120" s="31">
        <v>0</v>
      </c>
      <c r="Q120" s="31">
        <v>0</v>
      </c>
      <c r="R120" s="31">
        <v>0</v>
      </c>
      <c r="S120" s="31">
        <v>0</v>
      </c>
      <c r="T120" s="31">
        <v>0</v>
      </c>
      <c r="U120" s="31">
        <v>0</v>
      </c>
      <c r="V120" s="31">
        <v>0</v>
      </c>
      <c r="W120" s="31">
        <v>0</v>
      </c>
      <c r="X120" s="31">
        <v>0</v>
      </c>
      <c r="Y120" s="31">
        <v>0</v>
      </c>
      <c r="Z120" s="31">
        <v>0</v>
      </c>
      <c r="AA120" s="31">
        <v>0</v>
      </c>
      <c r="AB120" s="31">
        <v>0</v>
      </c>
      <c r="AC120" s="31">
        <v>0</v>
      </c>
      <c r="AD120" s="31">
        <v>0</v>
      </c>
      <c r="AE120" s="31">
        <v>0</v>
      </c>
      <c r="AF120" s="31">
        <v>0</v>
      </c>
      <c r="AG120" s="31">
        <v>0</v>
      </c>
      <c r="AH120" s="31">
        <v>0</v>
      </c>
    </row>
    <row r="121" spans="1:34" x14ac:dyDescent="0.25">
      <c r="A121" s="31">
        <v>22</v>
      </c>
      <c r="B121" s="31">
        <v>24701</v>
      </c>
      <c r="C121" s="31">
        <v>1</v>
      </c>
      <c r="D121" s="31" t="s">
        <v>556</v>
      </c>
      <c r="E121" s="31"/>
      <c r="F121" s="31">
        <v>0</v>
      </c>
      <c r="G121" s="31">
        <v>0</v>
      </c>
      <c r="H121" s="31">
        <v>0</v>
      </c>
      <c r="I121" s="31">
        <v>0</v>
      </c>
      <c r="J121" s="31">
        <v>0</v>
      </c>
      <c r="K121" s="31" t="s">
        <v>882</v>
      </c>
      <c r="L121" s="31">
        <v>0</v>
      </c>
      <c r="M121" s="31">
        <v>0</v>
      </c>
      <c r="N121" s="31">
        <v>0</v>
      </c>
      <c r="O121" s="31">
        <v>0</v>
      </c>
      <c r="P121" s="31">
        <v>0</v>
      </c>
      <c r="Q121" s="31">
        <v>0</v>
      </c>
      <c r="R121" s="31">
        <v>0</v>
      </c>
      <c r="S121" s="31">
        <v>0</v>
      </c>
      <c r="T121" s="31">
        <v>0</v>
      </c>
      <c r="U121" s="31">
        <v>0</v>
      </c>
      <c r="V121" s="31">
        <v>0</v>
      </c>
      <c r="W121" s="31">
        <v>0</v>
      </c>
      <c r="X121" s="31">
        <v>0</v>
      </c>
      <c r="Y121" s="31">
        <v>0</v>
      </c>
      <c r="Z121" s="31">
        <v>0</v>
      </c>
      <c r="AA121" s="31">
        <v>0</v>
      </c>
      <c r="AB121" s="31">
        <v>0</v>
      </c>
      <c r="AC121" s="31">
        <v>0</v>
      </c>
      <c r="AD121" s="31">
        <v>0</v>
      </c>
      <c r="AE121" s="31">
        <v>0</v>
      </c>
      <c r="AF121" s="31">
        <v>0</v>
      </c>
      <c r="AG121" s="31">
        <v>0</v>
      </c>
      <c r="AH121" s="31">
        <v>0</v>
      </c>
    </row>
    <row r="122" spans="1:34" x14ac:dyDescent="0.25">
      <c r="A122" s="31">
        <v>22</v>
      </c>
      <c r="B122" s="31">
        <v>24701</v>
      </c>
      <c r="C122" s="31">
        <v>1</v>
      </c>
      <c r="D122" s="31" t="s">
        <v>557</v>
      </c>
      <c r="E122" s="31"/>
      <c r="F122" s="31">
        <v>0</v>
      </c>
      <c r="G122" s="31">
        <v>0</v>
      </c>
      <c r="H122" s="31">
        <v>0</v>
      </c>
      <c r="I122" s="31">
        <v>0</v>
      </c>
      <c r="J122" s="31">
        <v>0</v>
      </c>
      <c r="K122" s="31" t="s">
        <v>882</v>
      </c>
      <c r="L122" s="31">
        <v>0</v>
      </c>
      <c r="M122" s="31">
        <v>0</v>
      </c>
      <c r="N122" s="31">
        <v>0</v>
      </c>
      <c r="O122" s="31">
        <v>0</v>
      </c>
      <c r="P122" s="31">
        <v>0</v>
      </c>
      <c r="Q122" s="31">
        <v>0</v>
      </c>
      <c r="R122" s="31">
        <v>0</v>
      </c>
      <c r="S122" s="31">
        <v>0</v>
      </c>
      <c r="T122" s="31">
        <v>0</v>
      </c>
      <c r="U122" s="31">
        <v>0</v>
      </c>
      <c r="V122" s="31">
        <v>0</v>
      </c>
      <c r="W122" s="31">
        <v>0</v>
      </c>
      <c r="X122" s="31">
        <v>0</v>
      </c>
      <c r="Y122" s="31">
        <v>0</v>
      </c>
      <c r="Z122" s="31">
        <v>0</v>
      </c>
      <c r="AA122" s="31">
        <v>0</v>
      </c>
      <c r="AB122" s="31">
        <v>0</v>
      </c>
      <c r="AC122" s="31">
        <v>0</v>
      </c>
      <c r="AD122" s="31">
        <v>0</v>
      </c>
      <c r="AE122" s="31">
        <v>0</v>
      </c>
      <c r="AF122" s="31">
        <v>0</v>
      </c>
      <c r="AG122" s="31">
        <v>0</v>
      </c>
      <c r="AH122" s="31">
        <v>0</v>
      </c>
    </row>
    <row r="123" spans="1:34" x14ac:dyDescent="0.25">
      <c r="A123" s="31">
        <v>22</v>
      </c>
      <c r="B123" s="31">
        <v>24701</v>
      </c>
      <c r="C123" s="31">
        <v>1</v>
      </c>
      <c r="D123" s="31" t="s">
        <v>558</v>
      </c>
      <c r="E123" s="31"/>
      <c r="F123" s="31">
        <v>0</v>
      </c>
      <c r="G123" s="31">
        <v>0</v>
      </c>
      <c r="H123" s="31">
        <v>0</v>
      </c>
      <c r="I123" s="31">
        <v>0</v>
      </c>
      <c r="J123" s="31">
        <v>0</v>
      </c>
      <c r="K123" s="31" t="s">
        <v>882</v>
      </c>
      <c r="L123" s="31">
        <v>0</v>
      </c>
      <c r="M123" s="31">
        <v>0</v>
      </c>
      <c r="N123" s="31">
        <v>0</v>
      </c>
      <c r="O123" s="31">
        <v>0</v>
      </c>
      <c r="P123" s="31">
        <v>0</v>
      </c>
      <c r="Q123" s="31">
        <v>0</v>
      </c>
      <c r="R123" s="31">
        <v>0</v>
      </c>
      <c r="S123" s="31">
        <v>0</v>
      </c>
      <c r="T123" s="31">
        <v>0</v>
      </c>
      <c r="U123" s="31">
        <v>0</v>
      </c>
      <c r="V123" s="31">
        <v>0</v>
      </c>
      <c r="W123" s="31">
        <v>0</v>
      </c>
      <c r="X123" s="31">
        <v>0</v>
      </c>
      <c r="Y123" s="31">
        <v>0</v>
      </c>
      <c r="Z123" s="31">
        <v>0</v>
      </c>
      <c r="AA123" s="31">
        <v>0</v>
      </c>
      <c r="AB123" s="31">
        <v>0</v>
      </c>
      <c r="AC123" s="31">
        <v>0</v>
      </c>
      <c r="AD123" s="31">
        <v>0</v>
      </c>
      <c r="AE123" s="31">
        <v>0</v>
      </c>
      <c r="AF123" s="31">
        <v>0</v>
      </c>
      <c r="AG123" s="31">
        <v>0</v>
      </c>
      <c r="AH123" s="31">
        <v>0</v>
      </c>
    </row>
    <row r="124" spans="1:34" x14ac:dyDescent="0.25">
      <c r="A124" s="31">
        <v>22</v>
      </c>
      <c r="B124" s="31">
        <v>24701</v>
      </c>
      <c r="C124" s="31">
        <v>1</v>
      </c>
      <c r="D124" s="31" t="s">
        <v>559</v>
      </c>
      <c r="E124" s="31"/>
      <c r="F124" s="31">
        <v>0</v>
      </c>
      <c r="G124" s="31">
        <v>0</v>
      </c>
      <c r="H124" s="31">
        <v>0</v>
      </c>
      <c r="I124" s="31">
        <v>0</v>
      </c>
      <c r="J124" s="31">
        <v>0</v>
      </c>
      <c r="K124" s="31" t="s">
        <v>882</v>
      </c>
      <c r="L124" s="31">
        <v>0</v>
      </c>
      <c r="M124" s="31">
        <v>0</v>
      </c>
      <c r="N124" s="31">
        <v>0</v>
      </c>
      <c r="O124" s="31">
        <v>0</v>
      </c>
      <c r="P124" s="31">
        <v>0</v>
      </c>
      <c r="Q124" s="31">
        <v>0</v>
      </c>
      <c r="R124" s="31">
        <v>0</v>
      </c>
      <c r="S124" s="31">
        <v>0</v>
      </c>
      <c r="T124" s="31">
        <v>0</v>
      </c>
      <c r="U124" s="31">
        <v>0</v>
      </c>
      <c r="V124" s="31">
        <v>0</v>
      </c>
      <c r="W124" s="31">
        <v>0</v>
      </c>
      <c r="X124" s="31">
        <v>0</v>
      </c>
      <c r="Y124" s="31">
        <v>0</v>
      </c>
      <c r="Z124" s="31">
        <v>0</v>
      </c>
      <c r="AA124" s="31">
        <v>0</v>
      </c>
      <c r="AB124" s="31">
        <v>0</v>
      </c>
      <c r="AC124" s="31">
        <v>0</v>
      </c>
      <c r="AD124" s="31">
        <v>0</v>
      </c>
      <c r="AE124" s="31">
        <v>0</v>
      </c>
      <c r="AF124" s="31">
        <v>0</v>
      </c>
      <c r="AG124" s="31">
        <v>0</v>
      </c>
      <c r="AH124" s="31">
        <v>0</v>
      </c>
    </row>
    <row r="125" spans="1:34" x14ac:dyDescent="0.25">
      <c r="A125" s="31">
        <v>22</v>
      </c>
      <c r="B125" s="31">
        <v>24701</v>
      </c>
      <c r="C125" s="31">
        <v>1</v>
      </c>
      <c r="D125" s="31" t="s">
        <v>560</v>
      </c>
      <c r="E125" s="31"/>
      <c r="F125" s="31">
        <v>0</v>
      </c>
      <c r="G125" s="31">
        <v>0</v>
      </c>
      <c r="H125" s="31">
        <v>0</v>
      </c>
      <c r="I125" s="31">
        <v>0</v>
      </c>
      <c r="J125" s="31">
        <v>0</v>
      </c>
      <c r="K125" s="31" t="s">
        <v>882</v>
      </c>
      <c r="L125" s="31">
        <v>0</v>
      </c>
      <c r="M125" s="31">
        <v>0</v>
      </c>
      <c r="N125" s="31">
        <v>0</v>
      </c>
      <c r="O125" s="31">
        <v>0</v>
      </c>
      <c r="P125" s="31">
        <v>0</v>
      </c>
      <c r="Q125" s="31">
        <v>0</v>
      </c>
      <c r="R125" s="31">
        <v>0</v>
      </c>
      <c r="S125" s="31">
        <v>0</v>
      </c>
      <c r="T125" s="31">
        <v>0</v>
      </c>
      <c r="U125" s="31">
        <v>0</v>
      </c>
      <c r="V125" s="31">
        <v>0</v>
      </c>
      <c r="W125" s="31">
        <v>0</v>
      </c>
      <c r="X125" s="31">
        <v>0</v>
      </c>
      <c r="Y125" s="31">
        <v>0</v>
      </c>
      <c r="Z125" s="31">
        <v>0</v>
      </c>
      <c r="AA125" s="31">
        <v>0</v>
      </c>
      <c r="AB125" s="31">
        <v>0</v>
      </c>
      <c r="AC125" s="31">
        <v>0</v>
      </c>
      <c r="AD125" s="31">
        <v>0</v>
      </c>
      <c r="AE125" s="31">
        <v>0</v>
      </c>
      <c r="AF125" s="31">
        <v>0</v>
      </c>
      <c r="AG125" s="31">
        <v>0</v>
      </c>
      <c r="AH125" s="31">
        <v>0</v>
      </c>
    </row>
    <row r="126" spans="1:34" x14ac:dyDescent="0.25">
      <c r="A126" s="31">
        <v>22</v>
      </c>
      <c r="B126" s="31">
        <v>24701</v>
      </c>
      <c r="C126" s="31">
        <v>1</v>
      </c>
      <c r="D126" s="31" t="s">
        <v>561</v>
      </c>
      <c r="E126" s="31"/>
      <c r="F126" s="31">
        <v>0</v>
      </c>
      <c r="G126" s="31">
        <v>0</v>
      </c>
      <c r="H126" s="31">
        <v>0</v>
      </c>
      <c r="I126" s="31">
        <v>0</v>
      </c>
      <c r="J126" s="31">
        <v>0</v>
      </c>
      <c r="K126" s="31" t="s">
        <v>882</v>
      </c>
      <c r="L126" s="31">
        <v>0</v>
      </c>
      <c r="M126" s="31">
        <v>0</v>
      </c>
      <c r="N126" s="31">
        <v>0</v>
      </c>
      <c r="O126" s="31">
        <v>0</v>
      </c>
      <c r="P126" s="31">
        <v>0</v>
      </c>
      <c r="Q126" s="31">
        <v>0</v>
      </c>
      <c r="R126" s="31">
        <v>0</v>
      </c>
      <c r="S126" s="31">
        <v>0</v>
      </c>
      <c r="T126" s="31">
        <v>0</v>
      </c>
      <c r="U126" s="31">
        <v>0</v>
      </c>
      <c r="V126" s="31">
        <v>0</v>
      </c>
      <c r="W126" s="31">
        <v>0</v>
      </c>
      <c r="X126" s="31">
        <v>0</v>
      </c>
      <c r="Y126" s="31">
        <v>0</v>
      </c>
      <c r="Z126" s="31">
        <v>0</v>
      </c>
      <c r="AA126" s="31">
        <v>0</v>
      </c>
      <c r="AB126" s="31">
        <v>0</v>
      </c>
      <c r="AC126" s="31">
        <v>0</v>
      </c>
      <c r="AD126" s="31">
        <v>0</v>
      </c>
      <c r="AE126" s="31">
        <v>0</v>
      </c>
      <c r="AF126" s="31">
        <v>0</v>
      </c>
      <c r="AG126" s="31">
        <v>0</v>
      </c>
      <c r="AH126" s="31">
        <v>0</v>
      </c>
    </row>
    <row r="127" spans="1:34" x14ac:dyDescent="0.25">
      <c r="A127" s="31">
        <v>22</v>
      </c>
      <c r="B127" s="31">
        <v>24701</v>
      </c>
      <c r="C127" s="31">
        <v>1</v>
      </c>
      <c r="D127" s="31" t="s">
        <v>548</v>
      </c>
      <c r="E127" s="31"/>
      <c r="F127" s="31">
        <v>0</v>
      </c>
      <c r="G127" s="31">
        <v>0</v>
      </c>
      <c r="H127" s="31">
        <v>0</v>
      </c>
      <c r="I127" s="31">
        <v>0</v>
      </c>
      <c r="J127" s="31">
        <v>0</v>
      </c>
      <c r="K127" s="31" t="s">
        <v>882</v>
      </c>
      <c r="L127" s="31">
        <v>0</v>
      </c>
      <c r="M127" s="31">
        <v>0</v>
      </c>
      <c r="N127" s="31">
        <v>0</v>
      </c>
      <c r="O127" s="31">
        <v>0</v>
      </c>
      <c r="P127" s="31">
        <v>0</v>
      </c>
      <c r="Q127" s="31">
        <v>0</v>
      </c>
      <c r="R127" s="31">
        <v>0</v>
      </c>
      <c r="S127" s="31">
        <v>0</v>
      </c>
      <c r="T127" s="31">
        <v>0</v>
      </c>
      <c r="U127" s="31">
        <v>0</v>
      </c>
      <c r="V127" s="31">
        <v>0</v>
      </c>
      <c r="W127" s="31">
        <v>0</v>
      </c>
      <c r="X127" s="31">
        <v>0</v>
      </c>
      <c r="Y127" s="31">
        <v>0</v>
      </c>
      <c r="Z127" s="31">
        <v>0</v>
      </c>
      <c r="AA127" s="31">
        <v>0</v>
      </c>
      <c r="AB127" s="31">
        <v>0</v>
      </c>
      <c r="AC127" s="31">
        <v>0</v>
      </c>
      <c r="AD127" s="31">
        <v>0</v>
      </c>
      <c r="AE127" s="31">
        <v>0</v>
      </c>
      <c r="AF127" s="31">
        <v>0</v>
      </c>
      <c r="AG127" s="31">
        <v>0</v>
      </c>
      <c r="AH127" s="31">
        <v>0</v>
      </c>
    </row>
    <row r="128" spans="1:34" x14ac:dyDescent="0.25">
      <c r="A128" s="31">
        <v>22</v>
      </c>
      <c r="B128" s="31">
        <v>24701</v>
      </c>
      <c r="C128" s="31">
        <v>1</v>
      </c>
      <c r="D128" s="31" t="s">
        <v>549</v>
      </c>
      <c r="E128" s="31"/>
      <c r="F128" s="31">
        <v>0</v>
      </c>
      <c r="G128" s="31">
        <v>0</v>
      </c>
      <c r="H128" s="31">
        <v>0</v>
      </c>
      <c r="I128" s="31">
        <v>0</v>
      </c>
      <c r="J128" s="31">
        <v>0</v>
      </c>
      <c r="K128" s="31" t="s">
        <v>882</v>
      </c>
      <c r="L128" s="31">
        <v>0</v>
      </c>
      <c r="M128" s="31">
        <v>0</v>
      </c>
      <c r="N128" s="31">
        <v>0</v>
      </c>
      <c r="O128" s="31">
        <v>0</v>
      </c>
      <c r="P128" s="31">
        <v>0</v>
      </c>
      <c r="Q128" s="31">
        <v>0</v>
      </c>
      <c r="R128" s="31">
        <v>0</v>
      </c>
      <c r="S128" s="31">
        <v>0</v>
      </c>
      <c r="T128" s="31">
        <v>0</v>
      </c>
      <c r="U128" s="31">
        <v>0</v>
      </c>
      <c r="V128" s="31">
        <v>0</v>
      </c>
      <c r="W128" s="31">
        <v>0</v>
      </c>
      <c r="X128" s="31">
        <v>0</v>
      </c>
      <c r="Y128" s="31">
        <v>0</v>
      </c>
      <c r="Z128" s="31">
        <v>0</v>
      </c>
      <c r="AA128" s="31">
        <v>0</v>
      </c>
      <c r="AB128" s="31">
        <v>0</v>
      </c>
      <c r="AC128" s="31">
        <v>0</v>
      </c>
      <c r="AD128" s="31">
        <v>0</v>
      </c>
      <c r="AE128" s="31">
        <v>0</v>
      </c>
      <c r="AF128" s="31">
        <v>0</v>
      </c>
      <c r="AG128" s="31">
        <v>0</v>
      </c>
      <c r="AH128" s="31">
        <v>0</v>
      </c>
    </row>
    <row r="129" spans="1:34" x14ac:dyDescent="0.25">
      <c r="A129" s="31">
        <v>22</v>
      </c>
      <c r="B129" s="31">
        <v>24701</v>
      </c>
      <c r="C129" s="31">
        <v>1</v>
      </c>
      <c r="D129" s="31" t="s">
        <v>896</v>
      </c>
      <c r="E129" s="31"/>
      <c r="F129" s="31">
        <v>0</v>
      </c>
      <c r="G129" s="31">
        <v>0</v>
      </c>
      <c r="H129" s="31">
        <v>0</v>
      </c>
      <c r="I129" s="31">
        <v>0</v>
      </c>
      <c r="J129" s="31">
        <v>0</v>
      </c>
      <c r="K129" s="31" t="s">
        <v>882</v>
      </c>
      <c r="L129" s="31">
        <v>0</v>
      </c>
      <c r="M129" s="31">
        <v>0</v>
      </c>
      <c r="N129" s="31">
        <v>0</v>
      </c>
      <c r="O129" s="31">
        <v>0</v>
      </c>
      <c r="P129" s="31">
        <v>0</v>
      </c>
      <c r="Q129" s="31">
        <v>0</v>
      </c>
      <c r="R129" s="31">
        <v>0</v>
      </c>
      <c r="S129" s="31">
        <v>0</v>
      </c>
      <c r="T129" s="31">
        <v>0</v>
      </c>
      <c r="U129" s="31">
        <v>0</v>
      </c>
      <c r="V129" s="31">
        <v>0</v>
      </c>
      <c r="W129" s="31">
        <v>0</v>
      </c>
      <c r="X129" s="31">
        <v>0</v>
      </c>
      <c r="Y129" s="31">
        <v>0</v>
      </c>
      <c r="Z129" s="31">
        <v>0</v>
      </c>
      <c r="AA129" s="31">
        <v>0</v>
      </c>
      <c r="AB129" s="31">
        <v>0</v>
      </c>
      <c r="AC129" s="31">
        <v>0</v>
      </c>
      <c r="AD129" s="31">
        <v>0</v>
      </c>
      <c r="AE129" s="31">
        <v>0</v>
      </c>
      <c r="AF129" s="31">
        <v>0</v>
      </c>
      <c r="AG129" s="31">
        <v>0</v>
      </c>
      <c r="AH129" s="31">
        <v>0</v>
      </c>
    </row>
    <row r="130" spans="1:34" x14ac:dyDescent="0.25">
      <c r="A130" s="31">
        <v>23</v>
      </c>
      <c r="B130" s="31">
        <v>24701</v>
      </c>
      <c r="C130" s="31">
        <v>1</v>
      </c>
      <c r="D130" s="31" t="s">
        <v>896</v>
      </c>
      <c r="E130" s="31"/>
      <c r="F130" s="31">
        <v>0</v>
      </c>
      <c r="G130" s="31">
        <v>0</v>
      </c>
      <c r="H130" s="31">
        <v>0</v>
      </c>
      <c r="I130" s="31">
        <v>0</v>
      </c>
      <c r="J130" s="31">
        <v>0</v>
      </c>
      <c r="K130" s="31" t="s">
        <v>882</v>
      </c>
      <c r="L130" s="31">
        <v>0</v>
      </c>
      <c r="M130" s="31">
        <v>0</v>
      </c>
      <c r="N130" s="31">
        <v>0</v>
      </c>
      <c r="O130" s="31">
        <v>0</v>
      </c>
      <c r="P130" s="31">
        <v>0</v>
      </c>
      <c r="Q130" s="31">
        <v>0</v>
      </c>
      <c r="R130" s="31">
        <v>0</v>
      </c>
      <c r="S130" s="31">
        <v>0</v>
      </c>
      <c r="T130" s="31">
        <v>0</v>
      </c>
      <c r="U130" s="31">
        <v>0</v>
      </c>
      <c r="V130" s="31">
        <v>0</v>
      </c>
      <c r="W130" s="31">
        <v>0</v>
      </c>
      <c r="X130" s="31">
        <v>0</v>
      </c>
      <c r="Y130" s="31">
        <v>0</v>
      </c>
      <c r="Z130" s="31">
        <v>0</v>
      </c>
      <c r="AA130" s="31">
        <v>0</v>
      </c>
      <c r="AB130" s="31">
        <v>0</v>
      </c>
      <c r="AC130" s="31">
        <v>0</v>
      </c>
      <c r="AD130" s="31">
        <v>0</v>
      </c>
      <c r="AE130" s="31">
        <v>0</v>
      </c>
      <c r="AF130" s="31">
        <v>0</v>
      </c>
      <c r="AG130" s="31">
        <v>0</v>
      </c>
      <c r="AH130" s="31">
        <v>0</v>
      </c>
    </row>
    <row r="131" spans="1:34" x14ac:dyDescent="0.25">
      <c r="A131" s="31">
        <v>23</v>
      </c>
      <c r="B131" s="31">
        <v>24701</v>
      </c>
      <c r="C131" s="31">
        <v>1</v>
      </c>
      <c r="D131" s="31" t="s">
        <v>897</v>
      </c>
      <c r="E131" s="31"/>
      <c r="F131" s="31">
        <v>0</v>
      </c>
      <c r="G131" s="31">
        <v>0</v>
      </c>
      <c r="H131" s="31">
        <v>0</v>
      </c>
      <c r="I131" s="31">
        <v>0</v>
      </c>
      <c r="J131" s="31">
        <v>0</v>
      </c>
      <c r="K131" s="31" t="s">
        <v>882</v>
      </c>
      <c r="L131" s="31">
        <v>0</v>
      </c>
      <c r="M131" s="31">
        <v>0</v>
      </c>
      <c r="N131" s="31">
        <v>0</v>
      </c>
      <c r="O131" s="31">
        <v>0</v>
      </c>
      <c r="P131" s="31">
        <v>0</v>
      </c>
      <c r="Q131" s="31">
        <v>0</v>
      </c>
      <c r="R131" s="31">
        <v>0</v>
      </c>
      <c r="S131" s="31">
        <v>0</v>
      </c>
      <c r="T131" s="31">
        <v>0</v>
      </c>
      <c r="U131" s="31">
        <v>0</v>
      </c>
      <c r="V131" s="31">
        <v>0</v>
      </c>
      <c r="W131" s="31">
        <v>0</v>
      </c>
      <c r="X131" s="31">
        <v>0</v>
      </c>
      <c r="Y131" s="31">
        <v>0</v>
      </c>
      <c r="Z131" s="31">
        <v>0</v>
      </c>
      <c r="AA131" s="31">
        <v>0</v>
      </c>
      <c r="AB131" s="31">
        <v>0</v>
      </c>
      <c r="AC131" s="31">
        <v>0</v>
      </c>
      <c r="AD131" s="31">
        <v>0</v>
      </c>
      <c r="AE131" s="31">
        <v>0</v>
      </c>
      <c r="AF131" s="31">
        <v>0</v>
      </c>
      <c r="AG131" s="31">
        <v>0</v>
      </c>
      <c r="AH131" s="31">
        <v>0</v>
      </c>
    </row>
    <row r="132" spans="1:34" x14ac:dyDescent="0.25">
      <c r="A132" s="31">
        <v>23</v>
      </c>
      <c r="B132" s="31">
        <v>24701</v>
      </c>
      <c r="C132" s="31">
        <v>1</v>
      </c>
      <c r="D132" s="31" t="s">
        <v>898</v>
      </c>
      <c r="E132" s="31"/>
      <c r="F132" s="31">
        <v>0</v>
      </c>
      <c r="G132" s="31">
        <v>0</v>
      </c>
      <c r="H132" s="31">
        <v>0</v>
      </c>
      <c r="I132" s="31">
        <v>0</v>
      </c>
      <c r="J132" s="31">
        <v>0</v>
      </c>
      <c r="K132" s="31" t="s">
        <v>882</v>
      </c>
      <c r="L132" s="31">
        <v>0</v>
      </c>
      <c r="M132" s="31">
        <v>0</v>
      </c>
      <c r="N132" s="31">
        <v>0</v>
      </c>
      <c r="O132" s="31">
        <v>0</v>
      </c>
      <c r="P132" s="31">
        <v>0</v>
      </c>
      <c r="Q132" s="31">
        <v>0</v>
      </c>
      <c r="R132" s="31">
        <v>0</v>
      </c>
      <c r="S132" s="31">
        <v>0</v>
      </c>
      <c r="T132" s="31">
        <v>0</v>
      </c>
      <c r="U132" s="31">
        <v>0</v>
      </c>
      <c r="V132" s="31">
        <v>0</v>
      </c>
      <c r="W132" s="31">
        <v>0</v>
      </c>
      <c r="X132" s="31">
        <v>0</v>
      </c>
      <c r="Y132" s="31">
        <v>0</v>
      </c>
      <c r="Z132" s="31">
        <v>0</v>
      </c>
      <c r="AA132" s="31">
        <v>0</v>
      </c>
      <c r="AB132" s="31">
        <v>0</v>
      </c>
      <c r="AC132" s="31">
        <v>0</v>
      </c>
      <c r="AD132" s="31">
        <v>0</v>
      </c>
      <c r="AE132" s="31">
        <v>0</v>
      </c>
      <c r="AF132" s="31">
        <v>0</v>
      </c>
      <c r="AG132" s="31">
        <v>0</v>
      </c>
      <c r="AH132" s="31">
        <v>0</v>
      </c>
    </row>
    <row r="133" spans="1:34" x14ac:dyDescent="0.25">
      <c r="A133" s="31">
        <v>23</v>
      </c>
      <c r="B133" s="31">
        <v>24701</v>
      </c>
      <c r="C133" s="31">
        <v>1</v>
      </c>
      <c r="D133" s="31" t="s">
        <v>899</v>
      </c>
      <c r="E133" s="31"/>
      <c r="F133" s="31">
        <v>0</v>
      </c>
      <c r="G133" s="31">
        <v>0</v>
      </c>
      <c r="H133" s="31">
        <v>0</v>
      </c>
      <c r="I133" s="31">
        <v>0</v>
      </c>
      <c r="J133" s="31">
        <v>0</v>
      </c>
      <c r="K133" s="31" t="s">
        <v>882</v>
      </c>
      <c r="L133" s="31">
        <v>0</v>
      </c>
      <c r="M133" s="31">
        <v>0</v>
      </c>
      <c r="N133" s="31">
        <v>0</v>
      </c>
      <c r="O133" s="31">
        <v>0</v>
      </c>
      <c r="P133" s="31">
        <v>0</v>
      </c>
      <c r="Q133" s="31">
        <v>0</v>
      </c>
      <c r="R133" s="31">
        <v>0</v>
      </c>
      <c r="S133" s="31">
        <v>0</v>
      </c>
      <c r="T133" s="31">
        <v>0</v>
      </c>
      <c r="U133" s="31">
        <v>0</v>
      </c>
      <c r="V133" s="31">
        <v>0</v>
      </c>
      <c r="W133" s="31">
        <v>0</v>
      </c>
      <c r="X133" s="31">
        <v>0</v>
      </c>
      <c r="Y133" s="31">
        <v>0</v>
      </c>
      <c r="Z133" s="31">
        <v>0</v>
      </c>
      <c r="AA133" s="31">
        <v>0</v>
      </c>
      <c r="AB133" s="31">
        <v>0</v>
      </c>
      <c r="AC133" s="31">
        <v>0</v>
      </c>
      <c r="AD133" s="31">
        <v>0</v>
      </c>
      <c r="AE133" s="31">
        <v>0</v>
      </c>
      <c r="AF133" s="31">
        <v>0</v>
      </c>
      <c r="AG133" s="31">
        <v>0</v>
      </c>
      <c r="AH133" s="31">
        <v>0</v>
      </c>
    </row>
    <row r="134" spans="1:34" x14ac:dyDescent="0.25">
      <c r="A134" s="31">
        <v>23</v>
      </c>
      <c r="B134" s="31">
        <v>24701</v>
      </c>
      <c r="C134" s="31">
        <v>1</v>
      </c>
      <c r="D134" s="31" t="s">
        <v>900</v>
      </c>
      <c r="E134" s="31"/>
      <c r="F134" s="31">
        <v>0</v>
      </c>
      <c r="G134" s="31">
        <v>0</v>
      </c>
      <c r="H134" s="31">
        <v>0</v>
      </c>
      <c r="I134" s="31">
        <v>0</v>
      </c>
      <c r="J134" s="31">
        <v>0</v>
      </c>
      <c r="K134" s="31" t="s">
        <v>882</v>
      </c>
      <c r="L134" s="31">
        <v>0</v>
      </c>
      <c r="M134" s="31">
        <v>0</v>
      </c>
      <c r="N134" s="31">
        <v>0</v>
      </c>
      <c r="O134" s="31">
        <v>0</v>
      </c>
      <c r="P134" s="31">
        <v>0</v>
      </c>
      <c r="Q134" s="31">
        <v>0</v>
      </c>
      <c r="R134" s="31">
        <v>0</v>
      </c>
      <c r="S134" s="31">
        <v>0</v>
      </c>
      <c r="T134" s="31">
        <v>0</v>
      </c>
      <c r="U134" s="31">
        <v>0</v>
      </c>
      <c r="V134" s="31">
        <v>0</v>
      </c>
      <c r="W134" s="31">
        <v>0</v>
      </c>
      <c r="X134" s="31">
        <v>0</v>
      </c>
      <c r="Y134" s="31">
        <v>0</v>
      </c>
      <c r="Z134" s="31">
        <v>0</v>
      </c>
      <c r="AA134" s="31">
        <v>0</v>
      </c>
      <c r="AB134" s="31">
        <v>0</v>
      </c>
      <c r="AC134" s="31">
        <v>0</v>
      </c>
      <c r="AD134" s="31">
        <v>0</v>
      </c>
      <c r="AE134" s="31">
        <v>0</v>
      </c>
      <c r="AF134" s="31">
        <v>0</v>
      </c>
      <c r="AG134" s="31">
        <v>0</v>
      </c>
      <c r="AH134" s="31">
        <v>0</v>
      </c>
    </row>
    <row r="135" spans="1:34" x14ac:dyDescent="0.25">
      <c r="A135" s="31">
        <v>23</v>
      </c>
      <c r="B135" s="31">
        <v>24701</v>
      </c>
      <c r="C135" s="31">
        <v>1</v>
      </c>
      <c r="D135" s="31" t="s">
        <v>901</v>
      </c>
      <c r="E135" s="31"/>
      <c r="F135" s="31">
        <v>0</v>
      </c>
      <c r="G135" s="31">
        <v>0</v>
      </c>
      <c r="H135" s="31">
        <v>0</v>
      </c>
      <c r="I135" s="31">
        <v>0</v>
      </c>
      <c r="J135" s="31">
        <v>0</v>
      </c>
      <c r="K135" s="31" t="s">
        <v>882</v>
      </c>
      <c r="L135" s="31">
        <v>0</v>
      </c>
      <c r="M135" s="31">
        <v>0</v>
      </c>
      <c r="N135" s="31">
        <v>0</v>
      </c>
      <c r="O135" s="31">
        <v>0</v>
      </c>
      <c r="P135" s="31">
        <v>0</v>
      </c>
      <c r="Q135" s="31">
        <v>0</v>
      </c>
      <c r="R135" s="31">
        <v>0</v>
      </c>
      <c r="S135" s="31">
        <v>0</v>
      </c>
      <c r="T135" s="31">
        <v>0</v>
      </c>
      <c r="U135" s="31">
        <v>0</v>
      </c>
      <c r="V135" s="31">
        <v>0</v>
      </c>
      <c r="W135" s="31">
        <v>0</v>
      </c>
      <c r="X135" s="31">
        <v>0</v>
      </c>
      <c r="Y135" s="31">
        <v>0</v>
      </c>
      <c r="Z135" s="31">
        <v>0</v>
      </c>
      <c r="AA135" s="31">
        <v>0</v>
      </c>
      <c r="AB135" s="31">
        <v>0</v>
      </c>
      <c r="AC135" s="31">
        <v>0</v>
      </c>
      <c r="AD135" s="31">
        <v>0</v>
      </c>
      <c r="AE135" s="31">
        <v>0</v>
      </c>
      <c r="AF135" s="31">
        <v>0</v>
      </c>
      <c r="AG135" s="31">
        <v>0</v>
      </c>
      <c r="AH135" s="31">
        <v>0</v>
      </c>
    </row>
    <row r="136" spans="1:34" x14ac:dyDescent="0.25">
      <c r="A136" s="31">
        <v>23</v>
      </c>
      <c r="B136" s="31">
        <v>24701</v>
      </c>
      <c r="C136" s="31">
        <v>1</v>
      </c>
      <c r="D136" s="31" t="s">
        <v>902</v>
      </c>
      <c r="E136" s="31"/>
      <c r="F136" s="31">
        <v>0</v>
      </c>
      <c r="G136" s="31">
        <v>0</v>
      </c>
      <c r="H136" s="31">
        <v>0</v>
      </c>
      <c r="I136" s="31">
        <v>0</v>
      </c>
      <c r="J136" s="31">
        <v>0</v>
      </c>
      <c r="K136" s="31" t="s">
        <v>882</v>
      </c>
      <c r="L136" s="31">
        <v>0</v>
      </c>
      <c r="M136" s="31">
        <v>0</v>
      </c>
      <c r="N136" s="31">
        <v>0</v>
      </c>
      <c r="O136" s="31">
        <v>0</v>
      </c>
      <c r="P136" s="31">
        <v>0</v>
      </c>
      <c r="Q136" s="31">
        <v>0</v>
      </c>
      <c r="R136" s="31">
        <v>0</v>
      </c>
      <c r="S136" s="31">
        <v>0</v>
      </c>
      <c r="T136" s="31">
        <v>0</v>
      </c>
      <c r="U136" s="31">
        <v>0</v>
      </c>
      <c r="V136" s="31">
        <v>0</v>
      </c>
      <c r="W136" s="31">
        <v>0</v>
      </c>
      <c r="X136" s="31">
        <v>0</v>
      </c>
      <c r="Y136" s="31">
        <v>0</v>
      </c>
      <c r="Z136" s="31">
        <v>0</v>
      </c>
      <c r="AA136" s="31">
        <v>0</v>
      </c>
      <c r="AB136" s="31">
        <v>0</v>
      </c>
      <c r="AC136" s="31">
        <v>0</v>
      </c>
      <c r="AD136" s="31">
        <v>0</v>
      </c>
      <c r="AE136" s="31">
        <v>0</v>
      </c>
      <c r="AF136" s="31">
        <v>0</v>
      </c>
      <c r="AG136" s="31">
        <v>0</v>
      </c>
      <c r="AH136" s="31">
        <v>0</v>
      </c>
    </row>
    <row r="137" spans="1:34" x14ac:dyDescent="0.25">
      <c r="A137" s="31">
        <v>23</v>
      </c>
      <c r="B137" s="31">
        <v>24701</v>
      </c>
      <c r="C137" s="31">
        <v>1</v>
      </c>
      <c r="D137" s="31" t="s">
        <v>903</v>
      </c>
      <c r="E137" s="31"/>
      <c r="F137" s="31">
        <v>0</v>
      </c>
      <c r="G137" s="31">
        <v>0</v>
      </c>
      <c r="H137" s="31">
        <v>0</v>
      </c>
      <c r="I137" s="31">
        <v>0</v>
      </c>
      <c r="J137" s="31">
        <v>0</v>
      </c>
      <c r="K137" s="31" t="s">
        <v>882</v>
      </c>
      <c r="L137" s="31">
        <v>0</v>
      </c>
      <c r="M137" s="31">
        <v>0</v>
      </c>
      <c r="N137" s="31">
        <v>0</v>
      </c>
      <c r="O137" s="31">
        <v>0</v>
      </c>
      <c r="P137" s="31">
        <v>0</v>
      </c>
      <c r="Q137" s="31">
        <v>0</v>
      </c>
      <c r="R137" s="31">
        <v>0</v>
      </c>
      <c r="S137" s="31">
        <v>0</v>
      </c>
      <c r="T137" s="31">
        <v>0</v>
      </c>
      <c r="U137" s="31">
        <v>0</v>
      </c>
      <c r="V137" s="31">
        <v>0</v>
      </c>
      <c r="W137" s="31">
        <v>0</v>
      </c>
      <c r="X137" s="31">
        <v>0</v>
      </c>
      <c r="Y137" s="31">
        <v>0</v>
      </c>
      <c r="Z137" s="31">
        <v>0</v>
      </c>
      <c r="AA137" s="31">
        <v>0</v>
      </c>
      <c r="AB137" s="31">
        <v>0</v>
      </c>
      <c r="AC137" s="31">
        <v>0</v>
      </c>
      <c r="AD137" s="31">
        <v>0</v>
      </c>
      <c r="AE137" s="31">
        <v>0</v>
      </c>
      <c r="AF137" s="31">
        <v>0</v>
      </c>
      <c r="AG137" s="31">
        <v>0</v>
      </c>
      <c r="AH137" s="31">
        <v>0</v>
      </c>
    </row>
    <row r="138" spans="1:34" x14ac:dyDescent="0.25">
      <c r="A138" s="31">
        <v>23</v>
      </c>
      <c r="B138" s="31">
        <v>24701</v>
      </c>
      <c r="C138" s="31">
        <v>1</v>
      </c>
      <c r="D138" s="31" t="s">
        <v>949</v>
      </c>
      <c r="E138" s="31"/>
      <c r="F138" s="31">
        <v>0</v>
      </c>
      <c r="G138" s="31">
        <v>0</v>
      </c>
      <c r="H138" s="31">
        <v>0</v>
      </c>
      <c r="I138" s="31">
        <v>0</v>
      </c>
      <c r="J138" s="31">
        <v>0</v>
      </c>
      <c r="K138" s="31" t="s">
        <v>882</v>
      </c>
      <c r="L138" s="31">
        <v>0</v>
      </c>
      <c r="M138" s="31">
        <v>0</v>
      </c>
      <c r="N138" s="31">
        <v>0</v>
      </c>
      <c r="O138" s="31">
        <v>0</v>
      </c>
      <c r="P138" s="31">
        <v>0</v>
      </c>
      <c r="Q138" s="31">
        <v>0</v>
      </c>
      <c r="R138" s="31">
        <v>0</v>
      </c>
      <c r="S138" s="31">
        <v>0</v>
      </c>
      <c r="T138" s="31">
        <v>0</v>
      </c>
      <c r="U138" s="31">
        <v>0</v>
      </c>
      <c r="V138" s="31">
        <v>0</v>
      </c>
      <c r="W138" s="31">
        <v>0</v>
      </c>
      <c r="X138" s="31">
        <v>0</v>
      </c>
      <c r="Y138" s="31">
        <v>0</v>
      </c>
      <c r="Z138" s="31">
        <v>0</v>
      </c>
      <c r="AA138" s="31">
        <v>0</v>
      </c>
      <c r="AB138" s="31">
        <v>0</v>
      </c>
      <c r="AC138" s="31">
        <v>0</v>
      </c>
      <c r="AD138" s="31">
        <v>0</v>
      </c>
      <c r="AE138" s="31">
        <v>0</v>
      </c>
      <c r="AF138" s="31">
        <v>0</v>
      </c>
      <c r="AG138" s="31">
        <v>0</v>
      </c>
      <c r="AH138" s="31">
        <v>0</v>
      </c>
    </row>
    <row r="139" spans="1:34" x14ac:dyDescent="0.25">
      <c r="A139" s="31">
        <v>23</v>
      </c>
      <c r="B139" s="31">
        <v>24701</v>
      </c>
      <c r="C139" s="31">
        <v>1</v>
      </c>
      <c r="D139" s="31" t="s">
        <v>950</v>
      </c>
      <c r="E139" s="31"/>
      <c r="F139" s="31">
        <v>0</v>
      </c>
      <c r="G139" s="31">
        <v>0</v>
      </c>
      <c r="H139" s="31">
        <v>0</v>
      </c>
      <c r="I139" s="31">
        <v>0</v>
      </c>
      <c r="J139" s="31">
        <v>0</v>
      </c>
      <c r="K139" s="31" t="s">
        <v>882</v>
      </c>
      <c r="L139" s="31">
        <v>0</v>
      </c>
      <c r="M139" s="31">
        <v>0</v>
      </c>
      <c r="N139" s="31">
        <v>0</v>
      </c>
      <c r="O139" s="31">
        <v>0</v>
      </c>
      <c r="P139" s="31">
        <v>0</v>
      </c>
      <c r="Q139" s="31">
        <v>0</v>
      </c>
      <c r="R139" s="31">
        <v>0</v>
      </c>
      <c r="S139" s="31">
        <v>0</v>
      </c>
      <c r="T139" s="31">
        <v>0</v>
      </c>
      <c r="U139" s="31">
        <v>0</v>
      </c>
      <c r="V139" s="31">
        <v>0</v>
      </c>
      <c r="W139" s="31">
        <v>0</v>
      </c>
      <c r="X139" s="31">
        <v>0</v>
      </c>
      <c r="Y139" s="31">
        <v>0</v>
      </c>
      <c r="Z139" s="31">
        <v>0</v>
      </c>
      <c r="AA139" s="31">
        <v>0</v>
      </c>
      <c r="AB139" s="31">
        <v>0</v>
      </c>
      <c r="AC139" s="31">
        <v>0</v>
      </c>
      <c r="AD139" s="31">
        <v>0</v>
      </c>
      <c r="AE139" s="31">
        <v>0</v>
      </c>
      <c r="AF139" s="31">
        <v>0</v>
      </c>
      <c r="AG139" s="31">
        <v>0</v>
      </c>
      <c r="AH139" s="31">
        <v>0</v>
      </c>
    </row>
    <row r="140" spans="1:34" x14ac:dyDescent="0.25">
      <c r="A140" s="31">
        <v>23</v>
      </c>
      <c r="B140" s="31">
        <v>24701</v>
      </c>
      <c r="C140" s="31">
        <v>1</v>
      </c>
      <c r="D140" s="31" t="s">
        <v>904</v>
      </c>
      <c r="E140" s="31"/>
      <c r="F140" s="31">
        <v>0</v>
      </c>
      <c r="G140" s="31">
        <v>0</v>
      </c>
      <c r="H140" s="31">
        <v>0</v>
      </c>
      <c r="I140" s="31">
        <v>0</v>
      </c>
      <c r="J140" s="31">
        <v>0</v>
      </c>
      <c r="K140" s="31" t="s">
        <v>882</v>
      </c>
      <c r="L140" s="31">
        <v>0</v>
      </c>
      <c r="M140" s="31">
        <v>0</v>
      </c>
      <c r="N140" s="31">
        <v>0</v>
      </c>
      <c r="O140" s="31">
        <v>0</v>
      </c>
      <c r="P140" s="31">
        <v>0</v>
      </c>
      <c r="Q140" s="31">
        <v>0</v>
      </c>
      <c r="R140" s="31">
        <v>0</v>
      </c>
      <c r="S140" s="31">
        <v>0</v>
      </c>
      <c r="T140" s="31">
        <v>0</v>
      </c>
      <c r="U140" s="31">
        <v>0</v>
      </c>
      <c r="V140" s="31">
        <v>0</v>
      </c>
      <c r="W140" s="31">
        <v>0</v>
      </c>
      <c r="X140" s="31">
        <v>0</v>
      </c>
      <c r="Y140" s="31">
        <v>0</v>
      </c>
      <c r="Z140" s="31">
        <v>0</v>
      </c>
      <c r="AA140" s="31">
        <v>0</v>
      </c>
      <c r="AB140" s="31">
        <v>0</v>
      </c>
      <c r="AC140" s="31">
        <v>0</v>
      </c>
      <c r="AD140" s="31">
        <v>0</v>
      </c>
      <c r="AE140" s="31">
        <v>0</v>
      </c>
      <c r="AF140" s="31">
        <v>0</v>
      </c>
      <c r="AG140" s="31">
        <v>0</v>
      </c>
      <c r="AH140" s="31">
        <v>0</v>
      </c>
    </row>
    <row r="141" spans="1:34" x14ac:dyDescent="0.25">
      <c r="A141" s="31">
        <v>23</v>
      </c>
      <c r="B141" s="31">
        <v>24701</v>
      </c>
      <c r="C141" s="31">
        <v>1</v>
      </c>
      <c r="D141" s="31" t="s">
        <v>905</v>
      </c>
      <c r="E141" s="31"/>
      <c r="F141" s="31">
        <v>0</v>
      </c>
      <c r="G141" s="31">
        <v>0</v>
      </c>
      <c r="H141" s="31">
        <v>0</v>
      </c>
      <c r="I141" s="31">
        <v>0</v>
      </c>
      <c r="J141" s="31">
        <v>0</v>
      </c>
      <c r="K141" s="31" t="s">
        <v>882</v>
      </c>
      <c r="L141" s="31">
        <v>0</v>
      </c>
      <c r="M141" s="31">
        <v>0</v>
      </c>
      <c r="N141" s="31">
        <v>0</v>
      </c>
      <c r="O141" s="31">
        <v>0</v>
      </c>
      <c r="P141" s="31">
        <v>0</v>
      </c>
      <c r="Q141" s="31">
        <v>0</v>
      </c>
      <c r="R141" s="31">
        <v>0</v>
      </c>
      <c r="S141" s="31">
        <v>0</v>
      </c>
      <c r="T141" s="31">
        <v>0</v>
      </c>
      <c r="U141" s="31">
        <v>0</v>
      </c>
      <c r="V141" s="31">
        <v>0</v>
      </c>
      <c r="W141" s="31">
        <v>0</v>
      </c>
      <c r="X141" s="31">
        <v>0</v>
      </c>
      <c r="Y141" s="31">
        <v>0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31">
        <v>0</v>
      </c>
      <c r="AF141" s="31">
        <v>0</v>
      </c>
      <c r="AG141" s="31">
        <v>0</v>
      </c>
      <c r="AH141" s="31">
        <v>0</v>
      </c>
    </row>
    <row r="142" spans="1:34" x14ac:dyDescent="0.25">
      <c r="A142" s="31">
        <v>23</v>
      </c>
      <c r="B142" s="31">
        <v>24794</v>
      </c>
      <c r="C142" s="31">
        <v>1</v>
      </c>
      <c r="D142" s="31" t="s">
        <v>906</v>
      </c>
      <c r="E142" s="31"/>
      <c r="F142" s="31">
        <v>0</v>
      </c>
      <c r="G142" s="31">
        <v>0</v>
      </c>
      <c r="H142" s="31">
        <v>0</v>
      </c>
      <c r="I142" s="31">
        <v>0</v>
      </c>
      <c r="J142" s="31">
        <v>0</v>
      </c>
      <c r="K142" s="31" t="s">
        <v>882</v>
      </c>
      <c r="L142" s="31">
        <v>0</v>
      </c>
      <c r="M142" s="31">
        <v>0</v>
      </c>
      <c r="N142" s="31">
        <v>0</v>
      </c>
      <c r="O142" s="31">
        <v>0</v>
      </c>
      <c r="P142" s="31">
        <v>0</v>
      </c>
      <c r="Q142" s="31">
        <v>0</v>
      </c>
      <c r="R142" s="31">
        <v>0</v>
      </c>
      <c r="S142" s="31">
        <v>0</v>
      </c>
      <c r="T142" s="31">
        <v>0</v>
      </c>
      <c r="U142" s="31">
        <v>0</v>
      </c>
      <c r="V142" s="31">
        <v>0</v>
      </c>
      <c r="W142" s="31">
        <v>0</v>
      </c>
      <c r="X142" s="31">
        <v>0</v>
      </c>
      <c r="Y142" s="31">
        <v>0</v>
      </c>
      <c r="Z142" s="31">
        <v>0</v>
      </c>
      <c r="AA142" s="31">
        <v>0</v>
      </c>
      <c r="AB142" s="31">
        <v>0</v>
      </c>
      <c r="AC142" s="31">
        <v>0</v>
      </c>
      <c r="AD142" s="31">
        <v>0</v>
      </c>
      <c r="AE142" s="31">
        <v>0</v>
      </c>
      <c r="AF142" s="31">
        <v>0</v>
      </c>
      <c r="AG142" s="31">
        <v>0</v>
      </c>
      <c r="AH142" s="31">
        <v>0</v>
      </c>
    </row>
    <row r="143" spans="1:34" x14ac:dyDescent="0.25">
      <c r="A143" s="31">
        <v>24</v>
      </c>
      <c r="B143" s="31">
        <v>24603</v>
      </c>
      <c r="C143" s="31">
        <v>1</v>
      </c>
      <c r="D143" s="31" t="s">
        <v>562</v>
      </c>
      <c r="E143" s="31"/>
      <c r="F143" s="31">
        <v>0</v>
      </c>
      <c r="G143" s="31">
        <v>0</v>
      </c>
      <c r="H143" s="31">
        <v>0</v>
      </c>
      <c r="I143" s="31">
        <v>0</v>
      </c>
      <c r="J143" s="31">
        <v>0</v>
      </c>
      <c r="K143" s="31" t="s">
        <v>882</v>
      </c>
      <c r="L143" s="31">
        <v>0</v>
      </c>
      <c r="M143" s="31">
        <v>0</v>
      </c>
      <c r="N143" s="31">
        <v>0</v>
      </c>
      <c r="O143" s="31">
        <v>0</v>
      </c>
      <c r="P143" s="31">
        <v>0</v>
      </c>
      <c r="Q143" s="31">
        <v>0</v>
      </c>
      <c r="R143" s="31">
        <v>0</v>
      </c>
      <c r="S143" s="31">
        <v>0</v>
      </c>
      <c r="T143" s="31">
        <v>0</v>
      </c>
      <c r="U143" s="31">
        <v>0</v>
      </c>
      <c r="V143" s="31">
        <v>0</v>
      </c>
      <c r="W143" s="31">
        <v>0</v>
      </c>
      <c r="X143" s="31">
        <v>0</v>
      </c>
      <c r="Y143" s="31">
        <v>0</v>
      </c>
      <c r="Z143" s="31">
        <v>0</v>
      </c>
      <c r="AA143" s="31">
        <v>0</v>
      </c>
      <c r="AB143" s="31">
        <v>0</v>
      </c>
      <c r="AC143" s="31">
        <v>0</v>
      </c>
      <c r="AD143" s="31">
        <v>0</v>
      </c>
      <c r="AE143" s="31">
        <v>0</v>
      </c>
      <c r="AF143" s="31">
        <v>0</v>
      </c>
      <c r="AG143" s="31">
        <v>0</v>
      </c>
      <c r="AH143" s="31">
        <v>0</v>
      </c>
    </row>
    <row r="144" spans="1:34" x14ac:dyDescent="0.25">
      <c r="A144" s="31">
        <v>24</v>
      </c>
      <c r="B144" s="31">
        <v>24603</v>
      </c>
      <c r="C144" s="31">
        <v>1</v>
      </c>
      <c r="D144" s="31" t="s">
        <v>563</v>
      </c>
      <c r="E144" s="31"/>
      <c r="F144" s="31">
        <v>0</v>
      </c>
      <c r="G144" s="31">
        <v>0</v>
      </c>
      <c r="H144" s="31">
        <v>0</v>
      </c>
      <c r="I144" s="31">
        <v>0</v>
      </c>
      <c r="J144" s="31">
        <v>0</v>
      </c>
      <c r="K144" s="31" t="s">
        <v>882</v>
      </c>
      <c r="L144" s="31">
        <v>0</v>
      </c>
      <c r="M144" s="31">
        <v>0</v>
      </c>
      <c r="N144" s="31">
        <v>0</v>
      </c>
      <c r="O144" s="31">
        <v>0</v>
      </c>
      <c r="P144" s="31">
        <v>0</v>
      </c>
      <c r="Q144" s="31">
        <v>0</v>
      </c>
      <c r="R144" s="31">
        <v>0</v>
      </c>
      <c r="S144" s="31">
        <v>0</v>
      </c>
      <c r="T144" s="31">
        <v>0</v>
      </c>
      <c r="U144" s="31">
        <v>0</v>
      </c>
      <c r="V144" s="31">
        <v>0</v>
      </c>
      <c r="W144" s="31">
        <v>0</v>
      </c>
      <c r="X144" s="31">
        <v>0</v>
      </c>
      <c r="Y144" s="31">
        <v>0</v>
      </c>
      <c r="Z144" s="31">
        <v>0</v>
      </c>
      <c r="AA144" s="31">
        <v>0</v>
      </c>
      <c r="AB144" s="31">
        <v>0</v>
      </c>
      <c r="AC144" s="31">
        <v>0</v>
      </c>
      <c r="AD144" s="31">
        <v>0</v>
      </c>
      <c r="AE144" s="31">
        <v>0</v>
      </c>
      <c r="AF144" s="31">
        <v>0</v>
      </c>
      <c r="AG144" s="31">
        <v>0</v>
      </c>
      <c r="AH144" s="31">
        <v>0</v>
      </c>
    </row>
    <row r="145" spans="1:34" x14ac:dyDescent="0.25">
      <c r="A145" s="31">
        <v>24</v>
      </c>
      <c r="B145" s="31">
        <v>24603</v>
      </c>
      <c r="C145" s="31">
        <v>1</v>
      </c>
      <c r="D145" s="31" t="s">
        <v>564</v>
      </c>
      <c r="E145" s="31"/>
      <c r="F145" s="31">
        <v>0</v>
      </c>
      <c r="G145" s="31">
        <v>0</v>
      </c>
      <c r="H145" s="31">
        <v>0</v>
      </c>
      <c r="I145" s="31">
        <v>0</v>
      </c>
      <c r="J145" s="31">
        <v>0</v>
      </c>
      <c r="K145" s="31" t="s">
        <v>882</v>
      </c>
      <c r="L145" s="31">
        <v>0</v>
      </c>
      <c r="M145" s="31">
        <v>0</v>
      </c>
      <c r="N145" s="31">
        <v>0</v>
      </c>
      <c r="O145" s="31">
        <v>0</v>
      </c>
      <c r="P145" s="31">
        <v>0</v>
      </c>
      <c r="Q145" s="31">
        <v>0</v>
      </c>
      <c r="R145" s="31">
        <v>0</v>
      </c>
      <c r="S145" s="31">
        <v>0</v>
      </c>
      <c r="T145" s="31">
        <v>0</v>
      </c>
      <c r="U145" s="31">
        <v>0</v>
      </c>
      <c r="V145" s="31">
        <v>0</v>
      </c>
      <c r="W145" s="31">
        <v>0</v>
      </c>
      <c r="X145" s="31">
        <v>0</v>
      </c>
      <c r="Y145" s="31">
        <v>0</v>
      </c>
      <c r="Z145" s="31">
        <v>0</v>
      </c>
      <c r="AA145" s="31">
        <v>0</v>
      </c>
      <c r="AB145" s="31">
        <v>0</v>
      </c>
      <c r="AC145" s="31">
        <v>0</v>
      </c>
      <c r="AD145" s="31">
        <v>0</v>
      </c>
      <c r="AE145" s="31">
        <v>0</v>
      </c>
      <c r="AF145" s="31">
        <v>0</v>
      </c>
      <c r="AG145" s="31">
        <v>0</v>
      </c>
      <c r="AH145" s="31">
        <v>0</v>
      </c>
    </row>
    <row r="146" spans="1:34" x14ac:dyDescent="0.25">
      <c r="A146" s="31">
        <v>24</v>
      </c>
      <c r="B146" s="31">
        <v>24603</v>
      </c>
      <c r="C146" s="31">
        <v>1</v>
      </c>
      <c r="D146" s="31" t="s">
        <v>565</v>
      </c>
      <c r="E146" s="31"/>
      <c r="F146" s="31">
        <v>0</v>
      </c>
      <c r="G146" s="31">
        <v>0</v>
      </c>
      <c r="H146" s="31">
        <v>0</v>
      </c>
      <c r="I146" s="31">
        <v>0</v>
      </c>
      <c r="J146" s="31">
        <v>0</v>
      </c>
      <c r="K146" s="31" t="s">
        <v>882</v>
      </c>
      <c r="L146" s="31">
        <v>0</v>
      </c>
      <c r="M146" s="31">
        <v>0</v>
      </c>
      <c r="N146" s="31">
        <v>0</v>
      </c>
      <c r="O146" s="31">
        <v>0</v>
      </c>
      <c r="P146" s="31">
        <v>0</v>
      </c>
      <c r="Q146" s="31">
        <v>0</v>
      </c>
      <c r="R146" s="31">
        <v>0</v>
      </c>
      <c r="S146" s="31">
        <v>0</v>
      </c>
      <c r="T146" s="31">
        <v>0</v>
      </c>
      <c r="U146" s="31">
        <v>0</v>
      </c>
      <c r="V146" s="31">
        <v>0</v>
      </c>
      <c r="W146" s="31">
        <v>0</v>
      </c>
      <c r="X146" s="31">
        <v>0</v>
      </c>
      <c r="Y146" s="31">
        <v>0</v>
      </c>
      <c r="Z146" s="31">
        <v>0</v>
      </c>
      <c r="AA146" s="31">
        <v>0</v>
      </c>
      <c r="AB146" s="31">
        <v>0</v>
      </c>
      <c r="AC146" s="31">
        <v>0</v>
      </c>
      <c r="AD146" s="31">
        <v>0</v>
      </c>
      <c r="AE146" s="31">
        <v>0</v>
      </c>
      <c r="AF146" s="31">
        <v>0</v>
      </c>
      <c r="AG146" s="31">
        <v>0</v>
      </c>
      <c r="AH146" s="31">
        <v>0</v>
      </c>
    </row>
    <row r="147" spans="1:34" x14ac:dyDescent="0.25">
      <c r="A147" s="31">
        <v>24</v>
      </c>
      <c r="B147" s="31">
        <v>24603</v>
      </c>
      <c r="C147" s="31">
        <v>1</v>
      </c>
      <c r="D147" s="31" t="s">
        <v>566</v>
      </c>
      <c r="E147" s="31"/>
      <c r="F147" s="31">
        <v>0</v>
      </c>
      <c r="G147" s="31">
        <v>0</v>
      </c>
      <c r="H147" s="31">
        <v>0</v>
      </c>
      <c r="I147" s="31">
        <v>0</v>
      </c>
      <c r="J147" s="31">
        <v>0</v>
      </c>
      <c r="K147" s="31" t="s">
        <v>882</v>
      </c>
      <c r="L147" s="31">
        <v>0</v>
      </c>
      <c r="M147" s="31">
        <v>0</v>
      </c>
      <c r="N147" s="31">
        <v>0</v>
      </c>
      <c r="O147" s="31">
        <v>0</v>
      </c>
      <c r="P147" s="31">
        <v>0</v>
      </c>
      <c r="Q147" s="31">
        <v>0</v>
      </c>
      <c r="R147" s="31">
        <v>0</v>
      </c>
      <c r="S147" s="31">
        <v>0</v>
      </c>
      <c r="T147" s="31">
        <v>0</v>
      </c>
      <c r="U147" s="31">
        <v>0</v>
      </c>
      <c r="V147" s="31">
        <v>0</v>
      </c>
      <c r="W147" s="31">
        <v>0</v>
      </c>
      <c r="X147" s="31">
        <v>0</v>
      </c>
      <c r="Y147" s="31">
        <v>0</v>
      </c>
      <c r="Z147" s="31">
        <v>0</v>
      </c>
      <c r="AA147" s="31">
        <v>0</v>
      </c>
      <c r="AB147" s="31">
        <v>0</v>
      </c>
      <c r="AC147" s="31">
        <v>0</v>
      </c>
      <c r="AD147" s="31">
        <v>0</v>
      </c>
      <c r="AE147" s="31">
        <v>0</v>
      </c>
      <c r="AF147" s="31">
        <v>0</v>
      </c>
      <c r="AG147" s="31">
        <v>0</v>
      </c>
      <c r="AH147" s="31">
        <v>0</v>
      </c>
    </row>
    <row r="148" spans="1:34" x14ac:dyDescent="0.25">
      <c r="A148" s="31">
        <v>24</v>
      </c>
      <c r="B148" s="31">
        <v>24603</v>
      </c>
      <c r="C148" s="31">
        <v>1</v>
      </c>
      <c r="D148" s="31" t="s">
        <v>567</v>
      </c>
      <c r="E148" s="31"/>
      <c r="F148" s="31">
        <v>0</v>
      </c>
      <c r="G148" s="31">
        <v>0</v>
      </c>
      <c r="H148" s="31">
        <v>0</v>
      </c>
      <c r="I148" s="31">
        <v>0</v>
      </c>
      <c r="J148" s="31">
        <v>0</v>
      </c>
      <c r="K148" s="31" t="s">
        <v>882</v>
      </c>
      <c r="L148" s="31">
        <v>0</v>
      </c>
      <c r="M148" s="31">
        <v>0</v>
      </c>
      <c r="N148" s="31">
        <v>0</v>
      </c>
      <c r="O148" s="31">
        <v>0</v>
      </c>
      <c r="P148" s="31">
        <v>0</v>
      </c>
      <c r="Q148" s="31">
        <v>0</v>
      </c>
      <c r="R148" s="31">
        <v>0</v>
      </c>
      <c r="S148" s="31">
        <v>0</v>
      </c>
      <c r="T148" s="31">
        <v>0</v>
      </c>
      <c r="U148" s="31">
        <v>0</v>
      </c>
      <c r="V148" s="31">
        <v>0</v>
      </c>
      <c r="W148" s="31">
        <v>0</v>
      </c>
      <c r="X148" s="31">
        <v>0</v>
      </c>
      <c r="Y148" s="31">
        <v>0</v>
      </c>
      <c r="Z148" s="31">
        <v>0</v>
      </c>
      <c r="AA148" s="31">
        <v>0</v>
      </c>
      <c r="AB148" s="31">
        <v>0</v>
      </c>
      <c r="AC148" s="31">
        <v>0</v>
      </c>
      <c r="AD148" s="31">
        <v>0</v>
      </c>
      <c r="AE148" s="31">
        <v>0</v>
      </c>
      <c r="AF148" s="31">
        <v>0</v>
      </c>
      <c r="AG148" s="31">
        <v>0</v>
      </c>
      <c r="AH148" s="31">
        <v>0</v>
      </c>
    </row>
    <row r="149" spans="1:34" x14ac:dyDescent="0.25">
      <c r="A149" s="31">
        <v>24</v>
      </c>
      <c r="B149" s="31">
        <v>24603</v>
      </c>
      <c r="C149" s="31">
        <v>1</v>
      </c>
      <c r="D149" s="31" t="s">
        <v>568</v>
      </c>
      <c r="E149" s="31"/>
      <c r="F149" s="31">
        <v>0</v>
      </c>
      <c r="G149" s="31">
        <v>0</v>
      </c>
      <c r="H149" s="31">
        <v>0</v>
      </c>
      <c r="I149" s="31">
        <v>0</v>
      </c>
      <c r="J149" s="31">
        <v>0</v>
      </c>
      <c r="K149" s="31" t="s">
        <v>882</v>
      </c>
      <c r="L149" s="31">
        <v>0</v>
      </c>
      <c r="M149" s="31">
        <v>0</v>
      </c>
      <c r="N149" s="31">
        <v>0</v>
      </c>
      <c r="O149" s="31">
        <v>0</v>
      </c>
      <c r="P149" s="31">
        <v>0</v>
      </c>
      <c r="Q149" s="31">
        <v>0</v>
      </c>
      <c r="R149" s="31">
        <v>0</v>
      </c>
      <c r="S149" s="31">
        <v>0</v>
      </c>
      <c r="T149" s="31">
        <v>0</v>
      </c>
      <c r="U149" s="31">
        <v>0</v>
      </c>
      <c r="V149" s="31">
        <v>0</v>
      </c>
      <c r="W149" s="31">
        <v>0</v>
      </c>
      <c r="X149" s="31">
        <v>0</v>
      </c>
      <c r="Y149" s="31">
        <v>0</v>
      </c>
      <c r="Z149" s="31">
        <v>0</v>
      </c>
      <c r="AA149" s="31">
        <v>0</v>
      </c>
      <c r="AB149" s="31">
        <v>0</v>
      </c>
      <c r="AC149" s="31">
        <v>0</v>
      </c>
      <c r="AD149" s="31">
        <v>0</v>
      </c>
      <c r="AE149" s="31">
        <v>0</v>
      </c>
      <c r="AF149" s="31">
        <v>0</v>
      </c>
      <c r="AG149" s="31">
        <v>0</v>
      </c>
      <c r="AH149" s="31">
        <v>0</v>
      </c>
    </row>
    <row r="150" spans="1:34" x14ac:dyDescent="0.25">
      <c r="A150" s="31">
        <v>24</v>
      </c>
      <c r="B150" s="31">
        <v>24603</v>
      </c>
      <c r="C150" s="31">
        <v>1</v>
      </c>
      <c r="D150" s="31" t="s">
        <v>569</v>
      </c>
      <c r="E150" s="31"/>
      <c r="F150" s="31">
        <v>0</v>
      </c>
      <c r="G150" s="31">
        <v>0</v>
      </c>
      <c r="H150" s="31">
        <v>0</v>
      </c>
      <c r="I150" s="31">
        <v>0</v>
      </c>
      <c r="J150" s="31">
        <v>0</v>
      </c>
      <c r="K150" s="31" t="s">
        <v>882</v>
      </c>
      <c r="L150" s="31">
        <v>0</v>
      </c>
      <c r="M150" s="31">
        <v>0</v>
      </c>
      <c r="N150" s="31">
        <v>0</v>
      </c>
      <c r="O150" s="31">
        <v>0</v>
      </c>
      <c r="P150" s="31">
        <v>0</v>
      </c>
      <c r="Q150" s="31">
        <v>0</v>
      </c>
      <c r="R150" s="31">
        <v>0</v>
      </c>
      <c r="S150" s="31">
        <v>0</v>
      </c>
      <c r="T150" s="31">
        <v>0</v>
      </c>
      <c r="U150" s="31">
        <v>0</v>
      </c>
      <c r="V150" s="31">
        <v>0</v>
      </c>
      <c r="W150" s="31">
        <v>0</v>
      </c>
      <c r="X150" s="31">
        <v>0</v>
      </c>
      <c r="Y150" s="31">
        <v>0</v>
      </c>
      <c r="Z150" s="31">
        <v>0</v>
      </c>
      <c r="AA150" s="31">
        <v>0</v>
      </c>
      <c r="AB150" s="31">
        <v>0</v>
      </c>
      <c r="AC150" s="31">
        <v>0</v>
      </c>
      <c r="AD150" s="31">
        <v>0</v>
      </c>
      <c r="AE150" s="31">
        <v>0</v>
      </c>
      <c r="AF150" s="31">
        <v>0</v>
      </c>
      <c r="AG150" s="31">
        <v>0</v>
      </c>
      <c r="AH150" s="31">
        <v>0</v>
      </c>
    </row>
    <row r="151" spans="1:34" x14ac:dyDescent="0.25">
      <c r="A151" s="31">
        <v>24</v>
      </c>
      <c r="B151" s="31">
        <v>24603</v>
      </c>
      <c r="C151" s="31">
        <v>1</v>
      </c>
      <c r="D151" s="31" t="s">
        <v>570</v>
      </c>
      <c r="E151" s="31"/>
      <c r="F151" s="31">
        <v>0</v>
      </c>
      <c r="G151" s="31">
        <v>0</v>
      </c>
      <c r="H151" s="31">
        <v>0</v>
      </c>
      <c r="I151" s="31">
        <v>0</v>
      </c>
      <c r="J151" s="31">
        <v>0</v>
      </c>
      <c r="K151" s="31" t="s">
        <v>882</v>
      </c>
      <c r="L151" s="31">
        <v>0</v>
      </c>
      <c r="M151" s="31">
        <v>0</v>
      </c>
      <c r="N151" s="31">
        <v>0</v>
      </c>
      <c r="O151" s="31">
        <v>0</v>
      </c>
      <c r="P151" s="31">
        <v>0</v>
      </c>
      <c r="Q151" s="31">
        <v>0</v>
      </c>
      <c r="R151" s="31">
        <v>0</v>
      </c>
      <c r="S151" s="31">
        <v>0</v>
      </c>
      <c r="T151" s="31">
        <v>0</v>
      </c>
      <c r="U151" s="31">
        <v>0</v>
      </c>
      <c r="V151" s="31">
        <v>0</v>
      </c>
      <c r="W151" s="31">
        <v>0</v>
      </c>
      <c r="X151" s="31">
        <v>0</v>
      </c>
      <c r="Y151" s="31">
        <v>0</v>
      </c>
      <c r="Z151" s="31">
        <v>0</v>
      </c>
      <c r="AA151" s="31">
        <v>0</v>
      </c>
      <c r="AB151" s="31">
        <v>0</v>
      </c>
      <c r="AC151" s="31">
        <v>0</v>
      </c>
      <c r="AD151" s="31">
        <v>0</v>
      </c>
      <c r="AE151" s="31">
        <v>0</v>
      </c>
      <c r="AF151" s="31">
        <v>0</v>
      </c>
      <c r="AG151" s="31">
        <v>0</v>
      </c>
      <c r="AH151" s="31">
        <v>0</v>
      </c>
    </row>
    <row r="152" spans="1:34" x14ac:dyDescent="0.25">
      <c r="A152" s="31">
        <v>24</v>
      </c>
      <c r="B152" s="31">
        <v>24603</v>
      </c>
      <c r="C152" s="31">
        <v>1</v>
      </c>
      <c r="D152" s="31" t="s">
        <v>571</v>
      </c>
      <c r="E152" s="31"/>
      <c r="F152" s="31">
        <v>0</v>
      </c>
      <c r="G152" s="31">
        <v>0</v>
      </c>
      <c r="H152" s="31">
        <v>0</v>
      </c>
      <c r="I152" s="31">
        <v>0</v>
      </c>
      <c r="J152" s="31">
        <v>0</v>
      </c>
      <c r="K152" s="31" t="s">
        <v>882</v>
      </c>
      <c r="L152" s="31">
        <v>0</v>
      </c>
      <c r="M152" s="31">
        <v>0</v>
      </c>
      <c r="N152" s="31">
        <v>0</v>
      </c>
      <c r="O152" s="31">
        <v>0</v>
      </c>
      <c r="P152" s="31">
        <v>0</v>
      </c>
      <c r="Q152" s="31">
        <v>0</v>
      </c>
      <c r="R152" s="31">
        <v>0</v>
      </c>
      <c r="S152" s="31">
        <v>0</v>
      </c>
      <c r="T152" s="31">
        <v>0</v>
      </c>
      <c r="U152" s="31">
        <v>0</v>
      </c>
      <c r="V152" s="31">
        <v>0</v>
      </c>
      <c r="W152" s="31">
        <v>0</v>
      </c>
      <c r="X152" s="31">
        <v>0</v>
      </c>
      <c r="Y152" s="31">
        <v>0</v>
      </c>
      <c r="Z152" s="31">
        <v>0</v>
      </c>
      <c r="AA152" s="31">
        <v>0</v>
      </c>
      <c r="AB152" s="31">
        <v>0</v>
      </c>
      <c r="AC152" s="31">
        <v>0</v>
      </c>
      <c r="AD152" s="31">
        <v>0</v>
      </c>
      <c r="AE152" s="31">
        <v>0</v>
      </c>
      <c r="AF152" s="31">
        <v>0</v>
      </c>
      <c r="AG152" s="31">
        <v>0</v>
      </c>
      <c r="AH152" s="31">
        <v>0</v>
      </c>
    </row>
    <row r="153" spans="1:34" x14ac:dyDescent="0.25">
      <c r="A153" s="31">
        <v>24</v>
      </c>
      <c r="B153" s="31">
        <v>24603</v>
      </c>
      <c r="C153" s="31">
        <v>1</v>
      </c>
      <c r="D153" s="31" t="s">
        <v>572</v>
      </c>
      <c r="E153" s="31"/>
      <c r="F153" s="31">
        <v>0</v>
      </c>
      <c r="G153" s="31">
        <v>0</v>
      </c>
      <c r="H153" s="31">
        <v>0</v>
      </c>
      <c r="I153" s="31">
        <v>0</v>
      </c>
      <c r="J153" s="31">
        <v>0</v>
      </c>
      <c r="K153" s="31" t="s">
        <v>882</v>
      </c>
      <c r="L153" s="31">
        <v>0</v>
      </c>
      <c r="M153" s="31">
        <v>0</v>
      </c>
      <c r="N153" s="31">
        <v>0</v>
      </c>
      <c r="O153" s="31">
        <v>0</v>
      </c>
      <c r="P153" s="31">
        <v>0</v>
      </c>
      <c r="Q153" s="31">
        <v>0</v>
      </c>
      <c r="R153" s="31">
        <v>0</v>
      </c>
      <c r="S153" s="31">
        <v>0</v>
      </c>
      <c r="T153" s="31">
        <v>0</v>
      </c>
      <c r="U153" s="31">
        <v>0</v>
      </c>
      <c r="V153" s="31">
        <v>0</v>
      </c>
      <c r="W153" s="31">
        <v>0</v>
      </c>
      <c r="X153" s="31">
        <v>0</v>
      </c>
      <c r="Y153" s="31">
        <v>0</v>
      </c>
      <c r="Z153" s="31">
        <v>0</v>
      </c>
      <c r="AA153" s="31">
        <v>0</v>
      </c>
      <c r="AB153" s="31">
        <v>0</v>
      </c>
      <c r="AC153" s="31">
        <v>0</v>
      </c>
      <c r="AD153" s="31">
        <v>0</v>
      </c>
      <c r="AE153" s="31">
        <v>0</v>
      </c>
      <c r="AF153" s="31">
        <v>0</v>
      </c>
      <c r="AG153" s="31">
        <v>0</v>
      </c>
      <c r="AH153" s="31">
        <v>0</v>
      </c>
    </row>
    <row r="154" spans="1:34" x14ac:dyDescent="0.25">
      <c r="A154" s="31">
        <v>24</v>
      </c>
      <c r="B154" s="31">
        <v>24603</v>
      </c>
      <c r="C154" s="31">
        <v>1</v>
      </c>
      <c r="D154" s="31" t="s">
        <v>573</v>
      </c>
      <c r="E154" s="31"/>
      <c r="F154" s="31">
        <v>0</v>
      </c>
      <c r="G154" s="31">
        <v>0</v>
      </c>
      <c r="H154" s="31">
        <v>0</v>
      </c>
      <c r="I154" s="31">
        <v>0</v>
      </c>
      <c r="J154" s="31">
        <v>0</v>
      </c>
      <c r="K154" s="31" t="s">
        <v>882</v>
      </c>
      <c r="L154" s="31">
        <v>0</v>
      </c>
      <c r="M154" s="31">
        <v>0</v>
      </c>
      <c r="N154" s="31">
        <v>0</v>
      </c>
      <c r="O154" s="31">
        <v>0</v>
      </c>
      <c r="P154" s="31">
        <v>0</v>
      </c>
      <c r="Q154" s="31">
        <v>0</v>
      </c>
      <c r="R154" s="31">
        <v>0</v>
      </c>
      <c r="S154" s="31">
        <v>0</v>
      </c>
      <c r="T154" s="31">
        <v>0</v>
      </c>
      <c r="U154" s="31">
        <v>0</v>
      </c>
      <c r="V154" s="31">
        <v>0</v>
      </c>
      <c r="W154" s="31">
        <v>0</v>
      </c>
      <c r="X154" s="31">
        <v>0</v>
      </c>
      <c r="Y154" s="31">
        <v>0</v>
      </c>
      <c r="Z154" s="31">
        <v>0</v>
      </c>
      <c r="AA154" s="31">
        <v>0</v>
      </c>
      <c r="AB154" s="31">
        <v>0</v>
      </c>
      <c r="AC154" s="31">
        <v>0</v>
      </c>
      <c r="AD154" s="31">
        <v>0</v>
      </c>
      <c r="AE154" s="31">
        <v>0</v>
      </c>
      <c r="AF154" s="31">
        <v>0</v>
      </c>
      <c r="AG154" s="31">
        <v>0</v>
      </c>
      <c r="AH154" s="31">
        <v>0</v>
      </c>
    </row>
    <row r="155" spans="1:34" x14ac:dyDescent="0.25">
      <c r="A155" s="31">
        <v>24</v>
      </c>
      <c r="B155" s="31">
        <v>24603</v>
      </c>
      <c r="C155" s="31">
        <v>1</v>
      </c>
      <c r="D155" s="31" t="s">
        <v>574</v>
      </c>
      <c r="E155" s="31"/>
      <c r="F155" s="31">
        <v>0</v>
      </c>
      <c r="G155" s="31">
        <v>0</v>
      </c>
      <c r="H155" s="31">
        <v>0</v>
      </c>
      <c r="I155" s="31">
        <v>0</v>
      </c>
      <c r="J155" s="31">
        <v>0</v>
      </c>
      <c r="K155" s="31" t="s">
        <v>882</v>
      </c>
      <c r="L155" s="31">
        <v>0</v>
      </c>
      <c r="M155" s="31">
        <v>0</v>
      </c>
      <c r="N155" s="31">
        <v>0</v>
      </c>
      <c r="O155" s="31">
        <v>0</v>
      </c>
      <c r="P155" s="31">
        <v>0</v>
      </c>
      <c r="Q155" s="31">
        <v>0</v>
      </c>
      <c r="R155" s="31">
        <v>0</v>
      </c>
      <c r="S155" s="31">
        <v>0</v>
      </c>
      <c r="T155" s="31">
        <v>0</v>
      </c>
      <c r="U155" s="31">
        <v>0</v>
      </c>
      <c r="V155" s="31">
        <v>0</v>
      </c>
      <c r="W155" s="31">
        <v>0</v>
      </c>
      <c r="X155" s="31">
        <v>0</v>
      </c>
      <c r="Y155" s="31">
        <v>0</v>
      </c>
      <c r="Z155" s="31">
        <v>0</v>
      </c>
      <c r="AA155" s="31">
        <v>0</v>
      </c>
      <c r="AB155" s="31">
        <v>0</v>
      </c>
      <c r="AC155" s="31">
        <v>0</v>
      </c>
      <c r="AD155" s="31">
        <v>0</v>
      </c>
      <c r="AE155" s="31">
        <v>0</v>
      </c>
      <c r="AF155" s="31">
        <v>0</v>
      </c>
      <c r="AG155" s="31">
        <v>0</v>
      </c>
      <c r="AH155" s="31">
        <v>0</v>
      </c>
    </row>
    <row r="156" spans="1:34" x14ac:dyDescent="0.25">
      <c r="A156" s="31">
        <v>24</v>
      </c>
      <c r="B156" s="31">
        <v>24603</v>
      </c>
      <c r="C156" s="31">
        <v>1</v>
      </c>
      <c r="D156" s="31" t="s">
        <v>575</v>
      </c>
      <c r="E156" s="31"/>
      <c r="F156" s="31">
        <v>0</v>
      </c>
      <c r="G156" s="31">
        <v>0</v>
      </c>
      <c r="H156" s="31">
        <v>0</v>
      </c>
      <c r="I156" s="31">
        <v>0</v>
      </c>
      <c r="J156" s="31">
        <v>0</v>
      </c>
      <c r="K156" s="31" t="s">
        <v>882</v>
      </c>
      <c r="L156" s="31">
        <v>0</v>
      </c>
      <c r="M156" s="31">
        <v>0</v>
      </c>
      <c r="N156" s="31">
        <v>0</v>
      </c>
      <c r="O156" s="31">
        <v>0</v>
      </c>
      <c r="P156" s="31">
        <v>0</v>
      </c>
      <c r="Q156" s="31">
        <v>0</v>
      </c>
      <c r="R156" s="31">
        <v>0</v>
      </c>
      <c r="S156" s="31">
        <v>0</v>
      </c>
      <c r="T156" s="31">
        <v>0</v>
      </c>
      <c r="U156" s="31">
        <v>0</v>
      </c>
      <c r="V156" s="31">
        <v>0</v>
      </c>
      <c r="W156" s="31">
        <v>0</v>
      </c>
      <c r="X156" s="31">
        <v>0</v>
      </c>
      <c r="Y156" s="31">
        <v>0</v>
      </c>
      <c r="Z156" s="31">
        <v>0</v>
      </c>
      <c r="AA156" s="31">
        <v>0</v>
      </c>
      <c r="AB156" s="31">
        <v>0</v>
      </c>
      <c r="AC156" s="31">
        <v>0</v>
      </c>
      <c r="AD156" s="31">
        <v>0</v>
      </c>
      <c r="AE156" s="31">
        <v>0</v>
      </c>
      <c r="AF156" s="31">
        <v>0</v>
      </c>
      <c r="AG156" s="31">
        <v>0</v>
      </c>
      <c r="AH156" s="31">
        <v>0</v>
      </c>
    </row>
    <row r="157" spans="1:34" x14ac:dyDescent="0.25">
      <c r="A157" s="31">
        <v>25</v>
      </c>
      <c r="B157" s="31">
        <v>24603</v>
      </c>
      <c r="C157" s="31">
        <v>1</v>
      </c>
      <c r="D157" s="31" t="s">
        <v>575</v>
      </c>
      <c r="E157" s="31"/>
      <c r="F157" s="31">
        <v>0</v>
      </c>
      <c r="G157" s="31">
        <v>0</v>
      </c>
      <c r="H157" s="31">
        <v>0</v>
      </c>
      <c r="I157" s="31">
        <v>0</v>
      </c>
      <c r="J157" s="31">
        <v>0</v>
      </c>
      <c r="K157" s="31" t="s">
        <v>882</v>
      </c>
      <c r="L157" s="31">
        <v>0</v>
      </c>
      <c r="M157" s="31">
        <v>0</v>
      </c>
      <c r="N157" s="31">
        <v>0</v>
      </c>
      <c r="O157" s="31">
        <v>0</v>
      </c>
      <c r="P157" s="31">
        <v>0</v>
      </c>
      <c r="Q157" s="31">
        <v>0</v>
      </c>
      <c r="R157" s="31">
        <v>0</v>
      </c>
      <c r="S157" s="31">
        <v>0</v>
      </c>
      <c r="T157" s="31">
        <v>0</v>
      </c>
      <c r="U157" s="31">
        <v>0</v>
      </c>
      <c r="V157" s="31">
        <v>0</v>
      </c>
      <c r="W157" s="31">
        <v>0</v>
      </c>
      <c r="X157" s="31">
        <v>0</v>
      </c>
      <c r="Y157" s="31">
        <v>0</v>
      </c>
      <c r="Z157" s="31">
        <v>0</v>
      </c>
      <c r="AA157" s="31">
        <v>0</v>
      </c>
      <c r="AB157" s="31">
        <v>0</v>
      </c>
      <c r="AC157" s="31">
        <v>0</v>
      </c>
      <c r="AD157" s="31">
        <v>0</v>
      </c>
      <c r="AE157" s="31">
        <v>0</v>
      </c>
      <c r="AF157" s="31">
        <v>0</v>
      </c>
      <c r="AG157" s="31">
        <v>0</v>
      </c>
      <c r="AH157" s="31">
        <v>0</v>
      </c>
    </row>
    <row r="158" spans="1:34" x14ac:dyDescent="0.25">
      <c r="A158" s="31">
        <v>25</v>
      </c>
      <c r="B158" s="31">
        <v>24603</v>
      </c>
      <c r="C158" s="31">
        <v>1</v>
      </c>
      <c r="D158" s="31" t="s">
        <v>576</v>
      </c>
      <c r="E158" s="31"/>
      <c r="F158" s="31">
        <v>0</v>
      </c>
      <c r="G158" s="31">
        <v>0</v>
      </c>
      <c r="H158" s="31">
        <v>0</v>
      </c>
      <c r="I158" s="31">
        <v>0</v>
      </c>
      <c r="J158" s="31">
        <v>0</v>
      </c>
      <c r="K158" s="31" t="s">
        <v>882</v>
      </c>
      <c r="L158" s="31">
        <v>0</v>
      </c>
      <c r="M158" s="31">
        <v>0</v>
      </c>
      <c r="N158" s="31">
        <v>0</v>
      </c>
      <c r="O158" s="31">
        <v>0</v>
      </c>
      <c r="P158" s="31">
        <v>0</v>
      </c>
      <c r="Q158" s="31">
        <v>0</v>
      </c>
      <c r="R158" s="31">
        <v>0</v>
      </c>
      <c r="S158" s="31">
        <v>0</v>
      </c>
      <c r="T158" s="31">
        <v>0</v>
      </c>
      <c r="U158" s="31">
        <v>0</v>
      </c>
      <c r="V158" s="31">
        <v>0</v>
      </c>
      <c r="W158" s="31">
        <v>0</v>
      </c>
      <c r="X158" s="31">
        <v>0</v>
      </c>
      <c r="Y158" s="31">
        <v>0</v>
      </c>
      <c r="Z158" s="31">
        <v>0</v>
      </c>
      <c r="AA158" s="31">
        <v>0</v>
      </c>
      <c r="AB158" s="31">
        <v>0</v>
      </c>
      <c r="AC158" s="31">
        <v>0</v>
      </c>
      <c r="AD158" s="31">
        <v>0</v>
      </c>
      <c r="AE158" s="31">
        <v>0</v>
      </c>
      <c r="AF158" s="31">
        <v>0</v>
      </c>
      <c r="AG158" s="31">
        <v>0</v>
      </c>
      <c r="AH158" s="31">
        <v>0</v>
      </c>
    </row>
    <row r="159" spans="1:34" x14ac:dyDescent="0.25">
      <c r="A159" s="31">
        <v>25</v>
      </c>
      <c r="B159" s="31">
        <v>24603</v>
      </c>
      <c r="C159" s="31">
        <v>1</v>
      </c>
      <c r="D159" s="31" t="s">
        <v>577</v>
      </c>
      <c r="E159" s="31"/>
      <c r="F159" s="31">
        <v>0</v>
      </c>
      <c r="G159" s="31">
        <v>0</v>
      </c>
      <c r="H159" s="31">
        <v>0</v>
      </c>
      <c r="I159" s="31">
        <v>0</v>
      </c>
      <c r="J159" s="31">
        <v>0</v>
      </c>
      <c r="K159" s="31" t="s">
        <v>882</v>
      </c>
      <c r="L159" s="31">
        <v>0</v>
      </c>
      <c r="M159" s="31">
        <v>0</v>
      </c>
      <c r="N159" s="31">
        <v>0</v>
      </c>
      <c r="O159" s="31">
        <v>0</v>
      </c>
      <c r="P159" s="31">
        <v>0</v>
      </c>
      <c r="Q159" s="31">
        <v>0</v>
      </c>
      <c r="R159" s="31">
        <v>0</v>
      </c>
      <c r="S159" s="31">
        <v>0</v>
      </c>
      <c r="T159" s="31">
        <v>0</v>
      </c>
      <c r="U159" s="31">
        <v>0</v>
      </c>
      <c r="V159" s="31">
        <v>0</v>
      </c>
      <c r="W159" s="31">
        <v>0</v>
      </c>
      <c r="X159" s="31">
        <v>0</v>
      </c>
      <c r="Y159" s="31">
        <v>0</v>
      </c>
      <c r="Z159" s="31">
        <v>0</v>
      </c>
      <c r="AA159" s="31">
        <v>0</v>
      </c>
      <c r="AB159" s="31">
        <v>0</v>
      </c>
      <c r="AC159" s="31">
        <v>0</v>
      </c>
      <c r="AD159" s="31">
        <v>0</v>
      </c>
      <c r="AE159" s="31">
        <v>0</v>
      </c>
      <c r="AF159" s="31">
        <v>0</v>
      </c>
      <c r="AG159" s="31">
        <v>0</v>
      </c>
      <c r="AH159" s="31">
        <v>0</v>
      </c>
    </row>
    <row r="160" spans="1:34" x14ac:dyDescent="0.25">
      <c r="A160" s="31">
        <v>25</v>
      </c>
      <c r="B160" s="31">
        <v>24603</v>
      </c>
      <c r="C160" s="31">
        <v>1</v>
      </c>
      <c r="D160" s="31" t="s">
        <v>578</v>
      </c>
      <c r="E160" s="31"/>
      <c r="F160" s="31">
        <v>0</v>
      </c>
      <c r="G160" s="31">
        <v>0</v>
      </c>
      <c r="H160" s="31">
        <v>0</v>
      </c>
      <c r="I160" s="31">
        <v>0</v>
      </c>
      <c r="J160" s="31">
        <v>0</v>
      </c>
      <c r="K160" s="31" t="s">
        <v>882</v>
      </c>
      <c r="L160" s="31">
        <v>0</v>
      </c>
      <c r="M160" s="31">
        <v>0</v>
      </c>
      <c r="N160" s="31">
        <v>0</v>
      </c>
      <c r="O160" s="31">
        <v>0</v>
      </c>
      <c r="P160" s="31">
        <v>0</v>
      </c>
      <c r="Q160" s="31">
        <v>0</v>
      </c>
      <c r="R160" s="31">
        <v>0</v>
      </c>
      <c r="S160" s="31">
        <v>0</v>
      </c>
      <c r="T160" s="31">
        <v>0</v>
      </c>
      <c r="U160" s="31">
        <v>0</v>
      </c>
      <c r="V160" s="31">
        <v>0</v>
      </c>
      <c r="W160" s="31">
        <v>0</v>
      </c>
      <c r="X160" s="31">
        <v>0</v>
      </c>
      <c r="Y160" s="31">
        <v>0</v>
      </c>
      <c r="Z160" s="31">
        <v>0</v>
      </c>
      <c r="AA160" s="31">
        <v>0</v>
      </c>
      <c r="AB160" s="31">
        <v>0</v>
      </c>
      <c r="AC160" s="31">
        <v>0</v>
      </c>
      <c r="AD160" s="31">
        <v>0</v>
      </c>
      <c r="AE160" s="31">
        <v>0</v>
      </c>
      <c r="AF160" s="31">
        <v>0</v>
      </c>
      <c r="AG160" s="31">
        <v>0</v>
      </c>
      <c r="AH160" s="31">
        <v>0</v>
      </c>
    </row>
    <row r="161" spans="1:34" x14ac:dyDescent="0.25">
      <c r="A161" s="31">
        <v>25</v>
      </c>
      <c r="B161" s="31">
        <v>24603</v>
      </c>
      <c r="C161" s="31">
        <v>1</v>
      </c>
      <c r="D161" s="31" t="s">
        <v>579</v>
      </c>
      <c r="E161" s="31"/>
      <c r="F161" s="31">
        <v>0</v>
      </c>
      <c r="G161" s="31">
        <v>0</v>
      </c>
      <c r="H161" s="31">
        <v>0</v>
      </c>
      <c r="I161" s="31">
        <v>0</v>
      </c>
      <c r="J161" s="31">
        <v>0</v>
      </c>
      <c r="K161" s="31" t="s">
        <v>882</v>
      </c>
      <c r="L161" s="31">
        <v>0</v>
      </c>
      <c r="M161" s="31">
        <v>0</v>
      </c>
      <c r="N161" s="31">
        <v>0</v>
      </c>
      <c r="O161" s="31">
        <v>0</v>
      </c>
      <c r="P161" s="31">
        <v>0</v>
      </c>
      <c r="Q161" s="31">
        <v>0</v>
      </c>
      <c r="R161" s="31">
        <v>0</v>
      </c>
      <c r="S161" s="31">
        <v>0</v>
      </c>
      <c r="T161" s="31">
        <v>0</v>
      </c>
      <c r="U161" s="31">
        <v>0</v>
      </c>
      <c r="V161" s="31">
        <v>0</v>
      </c>
      <c r="W161" s="31">
        <v>0</v>
      </c>
      <c r="X161" s="31">
        <v>0</v>
      </c>
      <c r="Y161" s="31">
        <v>0</v>
      </c>
      <c r="Z161" s="31">
        <v>0</v>
      </c>
      <c r="AA161" s="31">
        <v>0</v>
      </c>
      <c r="AB161" s="31">
        <v>0</v>
      </c>
      <c r="AC161" s="31">
        <v>0</v>
      </c>
      <c r="AD161" s="31">
        <v>0</v>
      </c>
      <c r="AE161" s="31">
        <v>0</v>
      </c>
      <c r="AF161" s="31">
        <v>0</v>
      </c>
      <c r="AG161" s="31">
        <v>0</v>
      </c>
      <c r="AH161" s="31">
        <v>0</v>
      </c>
    </row>
    <row r="162" spans="1:34" x14ac:dyDescent="0.25">
      <c r="A162" s="31">
        <v>25</v>
      </c>
      <c r="B162" s="31">
        <v>24603</v>
      </c>
      <c r="C162" s="31">
        <v>1</v>
      </c>
      <c r="D162" s="31" t="s">
        <v>580</v>
      </c>
      <c r="E162" s="31"/>
      <c r="F162" s="31">
        <v>0</v>
      </c>
      <c r="G162" s="31">
        <v>0</v>
      </c>
      <c r="H162" s="31">
        <v>0</v>
      </c>
      <c r="I162" s="31">
        <v>0</v>
      </c>
      <c r="J162" s="31">
        <v>0</v>
      </c>
      <c r="K162" s="31" t="s">
        <v>882</v>
      </c>
      <c r="L162" s="31">
        <v>0</v>
      </c>
      <c r="M162" s="31">
        <v>0</v>
      </c>
      <c r="N162" s="31">
        <v>0</v>
      </c>
      <c r="O162" s="31">
        <v>0</v>
      </c>
      <c r="P162" s="31">
        <v>0</v>
      </c>
      <c r="Q162" s="31">
        <v>0</v>
      </c>
      <c r="R162" s="31">
        <v>0</v>
      </c>
      <c r="S162" s="31">
        <v>0</v>
      </c>
      <c r="T162" s="31">
        <v>0</v>
      </c>
      <c r="U162" s="31">
        <v>0</v>
      </c>
      <c r="V162" s="31">
        <v>0</v>
      </c>
      <c r="W162" s="31">
        <v>0</v>
      </c>
      <c r="X162" s="31">
        <v>0</v>
      </c>
      <c r="Y162" s="31">
        <v>0</v>
      </c>
      <c r="Z162" s="31">
        <v>0</v>
      </c>
      <c r="AA162" s="31">
        <v>0</v>
      </c>
      <c r="AB162" s="31">
        <v>0</v>
      </c>
      <c r="AC162" s="31">
        <v>0</v>
      </c>
      <c r="AD162" s="31">
        <v>0</v>
      </c>
      <c r="AE162" s="31">
        <v>0</v>
      </c>
      <c r="AF162" s="31">
        <v>0</v>
      </c>
      <c r="AG162" s="31">
        <v>0</v>
      </c>
      <c r="AH162" s="31">
        <v>0</v>
      </c>
    </row>
    <row r="163" spans="1:34" x14ac:dyDescent="0.25">
      <c r="A163" s="31">
        <v>25</v>
      </c>
      <c r="B163" s="31">
        <v>24603</v>
      </c>
      <c r="C163" s="31">
        <v>1</v>
      </c>
      <c r="D163" s="31" t="s">
        <v>581</v>
      </c>
      <c r="E163" s="31"/>
      <c r="F163" s="31">
        <v>0</v>
      </c>
      <c r="G163" s="31">
        <v>0</v>
      </c>
      <c r="H163" s="31">
        <v>0</v>
      </c>
      <c r="I163" s="31">
        <v>0</v>
      </c>
      <c r="J163" s="31">
        <v>0</v>
      </c>
      <c r="K163" s="31" t="s">
        <v>882</v>
      </c>
      <c r="L163" s="31">
        <v>0</v>
      </c>
      <c r="M163" s="31">
        <v>0</v>
      </c>
      <c r="N163" s="31">
        <v>0</v>
      </c>
      <c r="O163" s="31">
        <v>0</v>
      </c>
      <c r="P163" s="31">
        <v>0</v>
      </c>
      <c r="Q163" s="31">
        <v>0</v>
      </c>
      <c r="R163" s="31">
        <v>0</v>
      </c>
      <c r="S163" s="31">
        <v>0</v>
      </c>
      <c r="T163" s="31">
        <v>0</v>
      </c>
      <c r="U163" s="31">
        <v>0</v>
      </c>
      <c r="V163" s="31">
        <v>0</v>
      </c>
      <c r="W163" s="31">
        <v>0</v>
      </c>
      <c r="X163" s="31">
        <v>0</v>
      </c>
      <c r="Y163" s="31">
        <v>0</v>
      </c>
      <c r="Z163" s="31">
        <v>0</v>
      </c>
      <c r="AA163" s="31">
        <v>0</v>
      </c>
      <c r="AB163" s="31">
        <v>0</v>
      </c>
      <c r="AC163" s="31">
        <v>0</v>
      </c>
      <c r="AD163" s="31">
        <v>0</v>
      </c>
      <c r="AE163" s="31">
        <v>0</v>
      </c>
      <c r="AF163" s="31">
        <v>0</v>
      </c>
      <c r="AG163" s="31">
        <v>0</v>
      </c>
      <c r="AH163" s="31">
        <v>0</v>
      </c>
    </row>
    <row r="164" spans="1:34" x14ac:dyDescent="0.25">
      <c r="A164" s="31">
        <v>25</v>
      </c>
      <c r="B164" s="31">
        <v>24603</v>
      </c>
      <c r="C164" s="31">
        <v>1</v>
      </c>
      <c r="D164" s="31" t="s">
        <v>582</v>
      </c>
      <c r="E164" s="31"/>
      <c r="F164" s="31">
        <v>0</v>
      </c>
      <c r="G164" s="31">
        <v>0</v>
      </c>
      <c r="H164" s="31">
        <v>0</v>
      </c>
      <c r="I164" s="31">
        <v>0</v>
      </c>
      <c r="J164" s="31">
        <v>0</v>
      </c>
      <c r="K164" s="31" t="s">
        <v>882</v>
      </c>
      <c r="L164" s="31">
        <v>0</v>
      </c>
      <c r="M164" s="31">
        <v>0</v>
      </c>
      <c r="N164" s="31">
        <v>0</v>
      </c>
      <c r="O164" s="31">
        <v>0</v>
      </c>
      <c r="P164" s="31">
        <v>0</v>
      </c>
      <c r="Q164" s="31">
        <v>0</v>
      </c>
      <c r="R164" s="31">
        <v>0</v>
      </c>
      <c r="S164" s="31">
        <v>0</v>
      </c>
      <c r="T164" s="31">
        <v>0</v>
      </c>
      <c r="U164" s="31">
        <v>0</v>
      </c>
      <c r="V164" s="31">
        <v>0</v>
      </c>
      <c r="W164" s="31">
        <v>0</v>
      </c>
      <c r="X164" s="31">
        <v>0</v>
      </c>
      <c r="Y164" s="31">
        <v>0</v>
      </c>
      <c r="Z164" s="31">
        <v>0</v>
      </c>
      <c r="AA164" s="31">
        <v>0</v>
      </c>
      <c r="AB164" s="31">
        <v>0</v>
      </c>
      <c r="AC164" s="31">
        <v>0</v>
      </c>
      <c r="AD164" s="31">
        <v>0</v>
      </c>
      <c r="AE164" s="31">
        <v>0</v>
      </c>
      <c r="AF164" s="31">
        <v>0</v>
      </c>
      <c r="AG164" s="31">
        <v>0</v>
      </c>
      <c r="AH164" s="31">
        <v>0</v>
      </c>
    </row>
    <row r="165" spans="1:34" x14ac:dyDescent="0.25">
      <c r="A165" s="31">
        <v>25</v>
      </c>
      <c r="B165" s="31">
        <v>24603</v>
      </c>
      <c r="C165" s="31">
        <v>1</v>
      </c>
      <c r="D165" s="31" t="s">
        <v>583</v>
      </c>
      <c r="E165" s="31"/>
      <c r="F165" s="31">
        <v>0</v>
      </c>
      <c r="G165" s="31">
        <v>0</v>
      </c>
      <c r="H165" s="31">
        <v>0</v>
      </c>
      <c r="I165" s="31">
        <v>0</v>
      </c>
      <c r="J165" s="31">
        <v>0</v>
      </c>
      <c r="K165" s="31" t="s">
        <v>882</v>
      </c>
      <c r="L165" s="31">
        <v>0</v>
      </c>
      <c r="M165" s="31">
        <v>0</v>
      </c>
      <c r="N165" s="31">
        <v>0</v>
      </c>
      <c r="O165" s="31">
        <v>0</v>
      </c>
      <c r="P165" s="31">
        <v>0</v>
      </c>
      <c r="Q165" s="31">
        <v>0</v>
      </c>
      <c r="R165" s="31">
        <v>0</v>
      </c>
      <c r="S165" s="31">
        <v>0</v>
      </c>
      <c r="T165" s="31">
        <v>0</v>
      </c>
      <c r="U165" s="31">
        <v>0</v>
      </c>
      <c r="V165" s="31">
        <v>0</v>
      </c>
      <c r="W165" s="31">
        <v>0</v>
      </c>
      <c r="X165" s="31">
        <v>0</v>
      </c>
      <c r="Y165" s="31">
        <v>0</v>
      </c>
      <c r="Z165" s="31">
        <v>0</v>
      </c>
      <c r="AA165" s="31">
        <v>0</v>
      </c>
      <c r="AB165" s="31">
        <v>0</v>
      </c>
      <c r="AC165" s="31">
        <v>0</v>
      </c>
      <c r="AD165" s="31">
        <v>0</v>
      </c>
      <c r="AE165" s="31">
        <v>0</v>
      </c>
      <c r="AF165" s="31">
        <v>0</v>
      </c>
      <c r="AG165" s="31">
        <v>0</v>
      </c>
      <c r="AH165" s="31">
        <v>0</v>
      </c>
    </row>
    <row r="166" spans="1:34" x14ac:dyDescent="0.25">
      <c r="A166" s="31">
        <v>25</v>
      </c>
      <c r="B166" s="31">
        <v>24603</v>
      </c>
      <c r="C166" s="31">
        <v>1</v>
      </c>
      <c r="D166" s="31" t="s">
        <v>584</v>
      </c>
      <c r="E166" s="31"/>
      <c r="F166" s="31">
        <v>0</v>
      </c>
      <c r="G166" s="31">
        <v>0</v>
      </c>
      <c r="H166" s="31">
        <v>0</v>
      </c>
      <c r="I166" s="31">
        <v>0</v>
      </c>
      <c r="J166" s="31">
        <v>0</v>
      </c>
      <c r="K166" s="31" t="s">
        <v>882</v>
      </c>
      <c r="L166" s="31">
        <v>0</v>
      </c>
      <c r="M166" s="31">
        <v>0</v>
      </c>
      <c r="N166" s="31">
        <v>0</v>
      </c>
      <c r="O166" s="31">
        <v>0</v>
      </c>
      <c r="P166" s="31">
        <v>0</v>
      </c>
      <c r="Q166" s="31">
        <v>0</v>
      </c>
      <c r="R166" s="31">
        <v>0</v>
      </c>
      <c r="S166" s="31">
        <v>0</v>
      </c>
      <c r="T166" s="31">
        <v>0</v>
      </c>
      <c r="U166" s="31">
        <v>0</v>
      </c>
      <c r="V166" s="31">
        <v>0</v>
      </c>
      <c r="W166" s="31">
        <v>0</v>
      </c>
      <c r="X166" s="31">
        <v>0</v>
      </c>
      <c r="Y166" s="31">
        <v>0</v>
      </c>
      <c r="Z166" s="31">
        <v>0</v>
      </c>
      <c r="AA166" s="31">
        <v>0</v>
      </c>
      <c r="AB166" s="31">
        <v>0</v>
      </c>
      <c r="AC166" s="31">
        <v>0</v>
      </c>
      <c r="AD166" s="31">
        <v>0</v>
      </c>
      <c r="AE166" s="31">
        <v>0</v>
      </c>
      <c r="AF166" s="31">
        <v>0</v>
      </c>
      <c r="AG166" s="31">
        <v>0</v>
      </c>
      <c r="AH166" s="31">
        <v>0</v>
      </c>
    </row>
    <row r="167" spans="1:34" x14ac:dyDescent="0.25">
      <c r="A167" s="31">
        <v>25</v>
      </c>
      <c r="B167" s="31">
        <v>24603</v>
      </c>
      <c r="C167" s="31">
        <v>1</v>
      </c>
      <c r="D167" s="31" t="s">
        <v>585</v>
      </c>
      <c r="E167" s="31"/>
      <c r="F167" s="31">
        <v>0</v>
      </c>
      <c r="G167" s="31">
        <v>0</v>
      </c>
      <c r="H167" s="31">
        <v>0</v>
      </c>
      <c r="I167" s="31">
        <v>0</v>
      </c>
      <c r="J167" s="31">
        <v>0</v>
      </c>
      <c r="K167" s="31" t="s">
        <v>882</v>
      </c>
      <c r="L167" s="31">
        <v>0</v>
      </c>
      <c r="M167" s="31">
        <v>0</v>
      </c>
      <c r="N167" s="31">
        <v>0</v>
      </c>
      <c r="O167" s="31">
        <v>0</v>
      </c>
      <c r="P167" s="31">
        <v>0</v>
      </c>
      <c r="Q167" s="31">
        <v>0</v>
      </c>
      <c r="R167" s="31">
        <v>0</v>
      </c>
      <c r="S167" s="31">
        <v>0</v>
      </c>
      <c r="T167" s="31">
        <v>0</v>
      </c>
      <c r="U167" s="31">
        <v>0</v>
      </c>
      <c r="V167" s="31">
        <v>0</v>
      </c>
      <c r="W167" s="31">
        <v>0</v>
      </c>
      <c r="X167" s="31">
        <v>0</v>
      </c>
      <c r="Y167" s="31">
        <v>0</v>
      </c>
      <c r="Z167" s="31">
        <v>0</v>
      </c>
      <c r="AA167" s="31">
        <v>0</v>
      </c>
      <c r="AB167" s="31">
        <v>0</v>
      </c>
      <c r="AC167" s="31">
        <v>0</v>
      </c>
      <c r="AD167" s="31">
        <v>0</v>
      </c>
      <c r="AE167" s="31">
        <v>0</v>
      </c>
      <c r="AF167" s="31">
        <v>0</v>
      </c>
      <c r="AG167" s="31">
        <v>0</v>
      </c>
      <c r="AH167" s="31">
        <v>0</v>
      </c>
    </row>
    <row r="168" spans="1:34" x14ac:dyDescent="0.25">
      <c r="A168" s="31">
        <v>25</v>
      </c>
      <c r="B168" s="31">
        <v>24603</v>
      </c>
      <c r="C168" s="31">
        <v>1</v>
      </c>
      <c r="D168" s="31" t="s">
        <v>586</v>
      </c>
      <c r="E168" s="31"/>
      <c r="F168" s="31">
        <v>0</v>
      </c>
      <c r="G168" s="31">
        <v>0</v>
      </c>
      <c r="H168" s="31">
        <v>0</v>
      </c>
      <c r="I168" s="31">
        <v>0</v>
      </c>
      <c r="J168" s="31">
        <v>0</v>
      </c>
      <c r="K168" s="31" t="s">
        <v>882</v>
      </c>
      <c r="L168" s="31">
        <v>0</v>
      </c>
      <c r="M168" s="31">
        <v>0</v>
      </c>
      <c r="N168" s="31">
        <v>0</v>
      </c>
      <c r="O168" s="31">
        <v>0</v>
      </c>
      <c r="P168" s="31">
        <v>0</v>
      </c>
      <c r="Q168" s="31">
        <v>0</v>
      </c>
      <c r="R168" s="31">
        <v>0</v>
      </c>
      <c r="S168" s="31">
        <v>0</v>
      </c>
      <c r="T168" s="31">
        <v>0</v>
      </c>
      <c r="U168" s="31">
        <v>0</v>
      </c>
      <c r="V168" s="31">
        <v>0</v>
      </c>
      <c r="W168" s="31">
        <v>0</v>
      </c>
      <c r="X168" s="31">
        <v>0</v>
      </c>
      <c r="Y168" s="31">
        <v>0</v>
      </c>
      <c r="Z168" s="31">
        <v>0</v>
      </c>
      <c r="AA168" s="31">
        <v>0</v>
      </c>
      <c r="AB168" s="31">
        <v>0</v>
      </c>
      <c r="AC168" s="31">
        <v>0</v>
      </c>
      <c r="AD168" s="31">
        <v>0</v>
      </c>
      <c r="AE168" s="31">
        <v>0</v>
      </c>
      <c r="AF168" s="31">
        <v>0</v>
      </c>
      <c r="AG168" s="31">
        <v>0</v>
      </c>
      <c r="AH168" s="31">
        <v>0</v>
      </c>
    </row>
    <row r="169" spans="1:34" x14ac:dyDescent="0.25">
      <c r="A169" s="31">
        <v>25</v>
      </c>
      <c r="B169" s="31">
        <v>24603</v>
      </c>
      <c r="C169" s="31">
        <v>1</v>
      </c>
      <c r="D169" s="31" t="s">
        <v>587</v>
      </c>
      <c r="E169" s="31"/>
      <c r="F169" s="31">
        <v>0</v>
      </c>
      <c r="G169" s="31">
        <v>0</v>
      </c>
      <c r="H169" s="31">
        <v>0</v>
      </c>
      <c r="I169" s="31">
        <v>0</v>
      </c>
      <c r="J169" s="31">
        <v>0</v>
      </c>
      <c r="K169" s="31" t="s">
        <v>882</v>
      </c>
      <c r="L169" s="31">
        <v>0</v>
      </c>
      <c r="M169" s="31">
        <v>0</v>
      </c>
      <c r="N169" s="31">
        <v>0</v>
      </c>
      <c r="O169" s="31">
        <v>0</v>
      </c>
      <c r="P169" s="31">
        <v>0</v>
      </c>
      <c r="Q169" s="31">
        <v>0</v>
      </c>
      <c r="R169" s="31">
        <v>0</v>
      </c>
      <c r="S169" s="31">
        <v>0</v>
      </c>
      <c r="T169" s="31">
        <v>0</v>
      </c>
      <c r="U169" s="31">
        <v>0</v>
      </c>
      <c r="V169" s="31">
        <v>0</v>
      </c>
      <c r="W169" s="31">
        <v>0</v>
      </c>
      <c r="X169" s="31">
        <v>0</v>
      </c>
      <c r="Y169" s="31">
        <v>0</v>
      </c>
      <c r="Z169" s="31">
        <v>0</v>
      </c>
      <c r="AA169" s="31">
        <v>0</v>
      </c>
      <c r="AB169" s="31">
        <v>0</v>
      </c>
      <c r="AC169" s="31">
        <v>0</v>
      </c>
      <c r="AD169" s="31">
        <v>0</v>
      </c>
      <c r="AE169" s="31">
        <v>0</v>
      </c>
      <c r="AF169" s="31">
        <v>0</v>
      </c>
      <c r="AG169" s="31">
        <v>0</v>
      </c>
      <c r="AH169" s="31">
        <v>0</v>
      </c>
    </row>
    <row r="170" spans="1:34" x14ac:dyDescent="0.25">
      <c r="A170" s="31">
        <v>26</v>
      </c>
      <c r="B170" s="31">
        <v>24603</v>
      </c>
      <c r="C170" s="31">
        <v>1</v>
      </c>
      <c r="D170" s="31" t="s">
        <v>588</v>
      </c>
      <c r="E170" s="31"/>
      <c r="F170" s="31">
        <v>0</v>
      </c>
      <c r="G170" s="31">
        <v>0</v>
      </c>
      <c r="H170" s="31">
        <v>0</v>
      </c>
      <c r="I170" s="31">
        <v>0</v>
      </c>
      <c r="J170" s="31">
        <v>0</v>
      </c>
      <c r="K170" s="31" t="s">
        <v>882</v>
      </c>
      <c r="L170" s="31">
        <v>0</v>
      </c>
      <c r="M170" s="31">
        <v>0</v>
      </c>
      <c r="N170" s="31">
        <v>0</v>
      </c>
      <c r="O170" s="31">
        <v>0</v>
      </c>
      <c r="P170" s="31">
        <v>0</v>
      </c>
      <c r="Q170" s="31">
        <v>0</v>
      </c>
      <c r="R170" s="31">
        <v>0</v>
      </c>
      <c r="S170" s="31">
        <v>0</v>
      </c>
      <c r="T170" s="31">
        <v>0</v>
      </c>
      <c r="U170" s="31">
        <v>0</v>
      </c>
      <c r="V170" s="31">
        <v>0</v>
      </c>
      <c r="W170" s="31">
        <v>0</v>
      </c>
      <c r="X170" s="31">
        <v>0</v>
      </c>
      <c r="Y170" s="31">
        <v>0</v>
      </c>
      <c r="Z170" s="31">
        <v>0</v>
      </c>
      <c r="AA170" s="31">
        <v>0</v>
      </c>
      <c r="AB170" s="31">
        <v>0</v>
      </c>
      <c r="AC170" s="31">
        <v>0</v>
      </c>
      <c r="AD170" s="31">
        <v>0</v>
      </c>
      <c r="AE170" s="31">
        <v>0</v>
      </c>
      <c r="AF170" s="31">
        <v>0</v>
      </c>
      <c r="AG170" s="31">
        <v>0</v>
      </c>
      <c r="AH170" s="31">
        <v>0</v>
      </c>
    </row>
    <row r="171" spans="1:34" x14ac:dyDescent="0.25">
      <c r="A171" s="31">
        <v>26</v>
      </c>
      <c r="B171" s="31">
        <v>24603</v>
      </c>
      <c r="C171" s="31">
        <v>1</v>
      </c>
      <c r="D171" s="31" t="s">
        <v>589</v>
      </c>
      <c r="E171" s="31"/>
      <c r="F171" s="31">
        <v>0</v>
      </c>
      <c r="G171" s="31">
        <v>0</v>
      </c>
      <c r="H171" s="31">
        <v>0</v>
      </c>
      <c r="I171" s="31">
        <v>0</v>
      </c>
      <c r="J171" s="31">
        <v>0</v>
      </c>
      <c r="K171" s="31" t="s">
        <v>882</v>
      </c>
      <c r="L171" s="31">
        <v>0</v>
      </c>
      <c r="M171" s="31">
        <v>0</v>
      </c>
      <c r="N171" s="31">
        <v>0</v>
      </c>
      <c r="O171" s="31">
        <v>0</v>
      </c>
      <c r="P171" s="31">
        <v>0</v>
      </c>
      <c r="Q171" s="31">
        <v>0</v>
      </c>
      <c r="R171" s="31">
        <v>0</v>
      </c>
      <c r="S171" s="31">
        <v>0</v>
      </c>
      <c r="T171" s="31">
        <v>0</v>
      </c>
      <c r="U171" s="31">
        <v>0</v>
      </c>
      <c r="V171" s="31">
        <v>0</v>
      </c>
      <c r="W171" s="31">
        <v>0</v>
      </c>
      <c r="X171" s="31">
        <v>0</v>
      </c>
      <c r="Y171" s="31">
        <v>0</v>
      </c>
      <c r="Z171" s="31">
        <v>0</v>
      </c>
      <c r="AA171" s="31">
        <v>0</v>
      </c>
      <c r="AB171" s="31">
        <v>0</v>
      </c>
      <c r="AC171" s="31">
        <v>0</v>
      </c>
      <c r="AD171" s="31">
        <v>0</v>
      </c>
      <c r="AE171" s="31">
        <v>0</v>
      </c>
      <c r="AF171" s="31">
        <v>0</v>
      </c>
      <c r="AG171" s="31">
        <v>0</v>
      </c>
      <c r="AH171" s="31">
        <v>0</v>
      </c>
    </row>
    <row r="172" spans="1:34" x14ac:dyDescent="0.25">
      <c r="A172" s="31">
        <v>26</v>
      </c>
      <c r="B172" s="31">
        <v>24603</v>
      </c>
      <c r="C172" s="31">
        <v>1</v>
      </c>
      <c r="D172" s="31" t="s">
        <v>590</v>
      </c>
      <c r="E172" s="31"/>
      <c r="F172" s="31">
        <v>0</v>
      </c>
      <c r="G172" s="31">
        <v>0</v>
      </c>
      <c r="H172" s="31">
        <v>0</v>
      </c>
      <c r="I172" s="31">
        <v>0</v>
      </c>
      <c r="J172" s="31">
        <v>0</v>
      </c>
      <c r="K172" s="31" t="s">
        <v>882</v>
      </c>
      <c r="L172" s="31">
        <v>0</v>
      </c>
      <c r="M172" s="31">
        <v>0</v>
      </c>
      <c r="N172" s="31">
        <v>0</v>
      </c>
      <c r="O172" s="31">
        <v>0</v>
      </c>
      <c r="P172" s="31">
        <v>0</v>
      </c>
      <c r="Q172" s="31">
        <v>0</v>
      </c>
      <c r="R172" s="31">
        <v>0</v>
      </c>
      <c r="S172" s="31">
        <v>0</v>
      </c>
      <c r="T172" s="31">
        <v>0</v>
      </c>
      <c r="U172" s="31">
        <v>0</v>
      </c>
      <c r="V172" s="31">
        <v>0</v>
      </c>
      <c r="W172" s="31">
        <v>0</v>
      </c>
      <c r="X172" s="31">
        <v>0</v>
      </c>
      <c r="Y172" s="31">
        <v>0</v>
      </c>
      <c r="Z172" s="31">
        <v>0</v>
      </c>
      <c r="AA172" s="31">
        <v>0</v>
      </c>
      <c r="AB172" s="31">
        <v>0</v>
      </c>
      <c r="AC172" s="31">
        <v>0</v>
      </c>
      <c r="AD172" s="31">
        <v>0</v>
      </c>
      <c r="AE172" s="31">
        <v>0</v>
      </c>
      <c r="AF172" s="31">
        <v>0</v>
      </c>
      <c r="AG172" s="31">
        <v>0</v>
      </c>
      <c r="AH172" s="31">
        <v>0</v>
      </c>
    </row>
    <row r="173" spans="1:34" x14ac:dyDescent="0.25">
      <c r="A173" s="31">
        <v>26</v>
      </c>
      <c r="B173" s="31">
        <v>24603</v>
      </c>
      <c r="C173" s="31">
        <v>1</v>
      </c>
      <c r="D173" s="31" t="s">
        <v>591</v>
      </c>
      <c r="E173" s="31"/>
      <c r="F173" s="31">
        <v>0</v>
      </c>
      <c r="G173" s="31">
        <v>0</v>
      </c>
      <c r="H173" s="31">
        <v>0</v>
      </c>
      <c r="I173" s="31">
        <v>0</v>
      </c>
      <c r="J173" s="31">
        <v>0</v>
      </c>
      <c r="K173" s="31" t="s">
        <v>882</v>
      </c>
      <c r="L173" s="31">
        <v>0</v>
      </c>
      <c r="M173" s="31">
        <v>0</v>
      </c>
      <c r="N173" s="31">
        <v>0</v>
      </c>
      <c r="O173" s="31">
        <v>0</v>
      </c>
      <c r="P173" s="31">
        <v>0</v>
      </c>
      <c r="Q173" s="31">
        <v>0</v>
      </c>
      <c r="R173" s="31">
        <v>0</v>
      </c>
      <c r="S173" s="31">
        <v>0</v>
      </c>
      <c r="T173" s="31">
        <v>0</v>
      </c>
      <c r="U173" s="31">
        <v>0</v>
      </c>
      <c r="V173" s="31">
        <v>0</v>
      </c>
      <c r="W173" s="31">
        <v>0</v>
      </c>
      <c r="X173" s="31">
        <v>0</v>
      </c>
      <c r="Y173" s="31">
        <v>0</v>
      </c>
      <c r="Z173" s="31">
        <v>0</v>
      </c>
      <c r="AA173" s="31">
        <v>0</v>
      </c>
      <c r="AB173" s="31">
        <v>0</v>
      </c>
      <c r="AC173" s="31">
        <v>0</v>
      </c>
      <c r="AD173" s="31">
        <v>0</v>
      </c>
      <c r="AE173" s="31">
        <v>0</v>
      </c>
      <c r="AF173" s="31">
        <v>0</v>
      </c>
      <c r="AG173" s="31">
        <v>0</v>
      </c>
      <c r="AH173" s="31">
        <v>0</v>
      </c>
    </row>
    <row r="174" spans="1:34" x14ac:dyDescent="0.25">
      <c r="A174" s="31">
        <v>26</v>
      </c>
      <c r="B174" s="31">
        <v>24603</v>
      </c>
      <c r="C174" s="31">
        <v>1</v>
      </c>
      <c r="D174" s="31" t="s">
        <v>592</v>
      </c>
      <c r="E174" s="31"/>
      <c r="F174" s="31">
        <v>0</v>
      </c>
      <c r="G174" s="31">
        <v>0</v>
      </c>
      <c r="H174" s="31">
        <v>0</v>
      </c>
      <c r="I174" s="31">
        <v>0</v>
      </c>
      <c r="J174" s="31">
        <v>0</v>
      </c>
      <c r="K174" s="31" t="s">
        <v>882</v>
      </c>
      <c r="L174" s="31">
        <v>0</v>
      </c>
      <c r="M174" s="31">
        <v>0</v>
      </c>
      <c r="N174" s="31">
        <v>0</v>
      </c>
      <c r="O174" s="31">
        <v>0</v>
      </c>
      <c r="P174" s="31">
        <v>0</v>
      </c>
      <c r="Q174" s="31">
        <v>0</v>
      </c>
      <c r="R174" s="31">
        <v>0</v>
      </c>
      <c r="S174" s="31">
        <v>0</v>
      </c>
      <c r="T174" s="31">
        <v>0</v>
      </c>
      <c r="U174" s="31">
        <v>0</v>
      </c>
      <c r="V174" s="31">
        <v>0</v>
      </c>
      <c r="W174" s="31">
        <v>0</v>
      </c>
      <c r="X174" s="31">
        <v>0</v>
      </c>
      <c r="Y174" s="31">
        <v>0</v>
      </c>
      <c r="Z174" s="31">
        <v>0</v>
      </c>
      <c r="AA174" s="31">
        <v>0</v>
      </c>
      <c r="AB174" s="31">
        <v>0</v>
      </c>
      <c r="AC174" s="31">
        <v>0</v>
      </c>
      <c r="AD174" s="31">
        <v>0</v>
      </c>
      <c r="AE174" s="31">
        <v>0</v>
      </c>
      <c r="AF174" s="31">
        <v>0</v>
      </c>
      <c r="AG174" s="31">
        <v>0</v>
      </c>
      <c r="AH174" s="31">
        <v>0</v>
      </c>
    </row>
    <row r="175" spans="1:34" x14ac:dyDescent="0.25">
      <c r="A175" s="31">
        <v>26</v>
      </c>
      <c r="B175" s="31">
        <v>24603</v>
      </c>
      <c r="C175" s="31">
        <v>1</v>
      </c>
      <c r="D175" s="31" t="s">
        <v>593</v>
      </c>
      <c r="E175" s="31"/>
      <c r="F175" s="31">
        <v>0</v>
      </c>
      <c r="G175" s="31">
        <v>0</v>
      </c>
      <c r="H175" s="31">
        <v>0</v>
      </c>
      <c r="I175" s="31">
        <v>0</v>
      </c>
      <c r="J175" s="31">
        <v>0</v>
      </c>
      <c r="K175" s="31" t="s">
        <v>882</v>
      </c>
      <c r="L175" s="31">
        <v>0</v>
      </c>
      <c r="M175" s="31">
        <v>0</v>
      </c>
      <c r="N175" s="31">
        <v>0</v>
      </c>
      <c r="O175" s="31">
        <v>0</v>
      </c>
      <c r="P175" s="31">
        <v>0</v>
      </c>
      <c r="Q175" s="31">
        <v>0</v>
      </c>
      <c r="R175" s="31">
        <v>0</v>
      </c>
      <c r="S175" s="31">
        <v>0</v>
      </c>
      <c r="T175" s="31">
        <v>0</v>
      </c>
      <c r="U175" s="31">
        <v>0</v>
      </c>
      <c r="V175" s="31">
        <v>0</v>
      </c>
      <c r="W175" s="31">
        <v>0</v>
      </c>
      <c r="X175" s="31">
        <v>0</v>
      </c>
      <c r="Y175" s="31">
        <v>0</v>
      </c>
      <c r="Z175" s="31">
        <v>0</v>
      </c>
      <c r="AA175" s="31">
        <v>0</v>
      </c>
      <c r="AB175" s="31">
        <v>0</v>
      </c>
      <c r="AC175" s="31">
        <v>0</v>
      </c>
      <c r="AD175" s="31">
        <v>0</v>
      </c>
      <c r="AE175" s="31">
        <v>0</v>
      </c>
      <c r="AF175" s="31">
        <v>0</v>
      </c>
      <c r="AG175" s="31">
        <v>0</v>
      </c>
      <c r="AH175" s="31">
        <v>0</v>
      </c>
    </row>
    <row r="176" spans="1:34" x14ac:dyDescent="0.25">
      <c r="A176" s="31">
        <v>26</v>
      </c>
      <c r="B176" s="31">
        <v>24603</v>
      </c>
      <c r="C176" s="31">
        <v>1</v>
      </c>
      <c r="D176" s="31" t="s">
        <v>594</v>
      </c>
      <c r="E176" s="31"/>
      <c r="F176" s="31">
        <v>0</v>
      </c>
      <c r="G176" s="31">
        <v>0</v>
      </c>
      <c r="H176" s="31">
        <v>0</v>
      </c>
      <c r="I176" s="31">
        <v>0</v>
      </c>
      <c r="J176" s="31">
        <v>0</v>
      </c>
      <c r="K176" s="31" t="s">
        <v>882</v>
      </c>
      <c r="L176" s="31">
        <v>0</v>
      </c>
      <c r="M176" s="31">
        <v>0</v>
      </c>
      <c r="N176" s="31">
        <v>0</v>
      </c>
      <c r="O176" s="31">
        <v>0</v>
      </c>
      <c r="P176" s="31">
        <v>0</v>
      </c>
      <c r="Q176" s="31">
        <v>0</v>
      </c>
      <c r="R176" s="31">
        <v>0</v>
      </c>
      <c r="S176" s="31">
        <v>0</v>
      </c>
      <c r="T176" s="31">
        <v>0</v>
      </c>
      <c r="U176" s="31">
        <v>0</v>
      </c>
      <c r="V176" s="31">
        <v>0</v>
      </c>
      <c r="W176" s="31">
        <v>0</v>
      </c>
      <c r="X176" s="31">
        <v>0</v>
      </c>
      <c r="Y176" s="31">
        <v>0</v>
      </c>
      <c r="Z176" s="31">
        <v>0</v>
      </c>
      <c r="AA176" s="31">
        <v>0</v>
      </c>
      <c r="AB176" s="31">
        <v>0</v>
      </c>
      <c r="AC176" s="31">
        <v>0</v>
      </c>
      <c r="AD176" s="31">
        <v>0</v>
      </c>
      <c r="AE176" s="31">
        <v>0</v>
      </c>
      <c r="AF176" s="31">
        <v>0</v>
      </c>
      <c r="AG176" s="31">
        <v>0</v>
      </c>
      <c r="AH176" s="31">
        <v>0</v>
      </c>
    </row>
    <row r="177" spans="1:34" x14ac:dyDescent="0.25">
      <c r="A177" s="31">
        <v>26</v>
      </c>
      <c r="B177" s="31">
        <v>24603</v>
      </c>
      <c r="C177" s="31">
        <v>1</v>
      </c>
      <c r="D177" s="31" t="s">
        <v>595</v>
      </c>
      <c r="E177" s="31"/>
      <c r="F177" s="31">
        <v>0</v>
      </c>
      <c r="G177" s="31">
        <v>0</v>
      </c>
      <c r="H177" s="31">
        <v>0</v>
      </c>
      <c r="I177" s="31">
        <v>0</v>
      </c>
      <c r="J177" s="31">
        <v>0</v>
      </c>
      <c r="K177" s="31" t="s">
        <v>882</v>
      </c>
      <c r="L177" s="31">
        <v>0</v>
      </c>
      <c r="M177" s="31">
        <v>0</v>
      </c>
      <c r="N177" s="31">
        <v>0</v>
      </c>
      <c r="O177" s="31">
        <v>0</v>
      </c>
      <c r="P177" s="31">
        <v>0</v>
      </c>
      <c r="Q177" s="31">
        <v>0</v>
      </c>
      <c r="R177" s="31">
        <v>0</v>
      </c>
      <c r="S177" s="31">
        <v>0</v>
      </c>
      <c r="T177" s="31">
        <v>0</v>
      </c>
      <c r="U177" s="31">
        <v>0</v>
      </c>
      <c r="V177" s="31">
        <v>0</v>
      </c>
      <c r="W177" s="31">
        <v>0</v>
      </c>
      <c r="X177" s="31">
        <v>0</v>
      </c>
      <c r="Y177" s="31">
        <v>0</v>
      </c>
      <c r="Z177" s="31">
        <v>0</v>
      </c>
      <c r="AA177" s="31">
        <v>0</v>
      </c>
      <c r="AB177" s="31">
        <v>0</v>
      </c>
      <c r="AC177" s="31">
        <v>0</v>
      </c>
      <c r="AD177" s="31">
        <v>0</v>
      </c>
      <c r="AE177" s="31">
        <v>0</v>
      </c>
      <c r="AF177" s="31">
        <v>0</v>
      </c>
      <c r="AG177" s="31">
        <v>0</v>
      </c>
      <c r="AH177" s="31">
        <v>0</v>
      </c>
    </row>
    <row r="178" spans="1:34" x14ac:dyDescent="0.25">
      <c r="A178" s="31">
        <v>26</v>
      </c>
      <c r="B178" s="31">
        <v>24603</v>
      </c>
      <c r="C178" s="31">
        <v>1</v>
      </c>
      <c r="D178" s="31" t="s">
        <v>596</v>
      </c>
      <c r="E178" s="31"/>
      <c r="F178" s="31">
        <v>0</v>
      </c>
      <c r="G178" s="31">
        <v>0</v>
      </c>
      <c r="H178" s="31">
        <v>0</v>
      </c>
      <c r="I178" s="31">
        <v>0</v>
      </c>
      <c r="J178" s="31">
        <v>0</v>
      </c>
      <c r="K178" s="31" t="s">
        <v>882</v>
      </c>
      <c r="L178" s="31">
        <v>0</v>
      </c>
      <c r="M178" s="31">
        <v>0</v>
      </c>
      <c r="N178" s="31">
        <v>0</v>
      </c>
      <c r="O178" s="31">
        <v>0</v>
      </c>
      <c r="P178" s="31">
        <v>0</v>
      </c>
      <c r="Q178" s="31">
        <v>0</v>
      </c>
      <c r="R178" s="31">
        <v>0</v>
      </c>
      <c r="S178" s="31">
        <v>0</v>
      </c>
      <c r="T178" s="31">
        <v>0</v>
      </c>
      <c r="U178" s="31">
        <v>0</v>
      </c>
      <c r="V178" s="31">
        <v>0</v>
      </c>
      <c r="W178" s="31">
        <v>0</v>
      </c>
      <c r="X178" s="31">
        <v>0</v>
      </c>
      <c r="Y178" s="31">
        <v>0</v>
      </c>
      <c r="Z178" s="31">
        <v>0</v>
      </c>
      <c r="AA178" s="31">
        <v>0</v>
      </c>
      <c r="AB178" s="31">
        <v>0</v>
      </c>
      <c r="AC178" s="31">
        <v>0</v>
      </c>
      <c r="AD178" s="31">
        <v>0</v>
      </c>
      <c r="AE178" s="31">
        <v>0</v>
      </c>
      <c r="AF178" s="31">
        <v>0</v>
      </c>
      <c r="AG178" s="31">
        <v>0</v>
      </c>
      <c r="AH178" s="31">
        <v>0</v>
      </c>
    </row>
    <row r="179" spans="1:34" x14ac:dyDescent="0.25">
      <c r="A179" s="31">
        <v>26</v>
      </c>
      <c r="B179" s="31">
        <v>24603</v>
      </c>
      <c r="C179" s="31">
        <v>1</v>
      </c>
      <c r="D179" s="31" t="s">
        <v>597</v>
      </c>
      <c r="E179" s="31"/>
      <c r="F179" s="31">
        <v>0</v>
      </c>
      <c r="G179" s="31">
        <v>0</v>
      </c>
      <c r="H179" s="31">
        <v>0</v>
      </c>
      <c r="I179" s="31">
        <v>0</v>
      </c>
      <c r="J179" s="31">
        <v>0</v>
      </c>
      <c r="K179" s="31" t="s">
        <v>882</v>
      </c>
      <c r="L179" s="31">
        <v>0</v>
      </c>
      <c r="M179" s="31">
        <v>0</v>
      </c>
      <c r="N179" s="31">
        <v>0</v>
      </c>
      <c r="O179" s="31">
        <v>0</v>
      </c>
      <c r="P179" s="31">
        <v>0</v>
      </c>
      <c r="Q179" s="31">
        <v>0</v>
      </c>
      <c r="R179" s="31">
        <v>0</v>
      </c>
      <c r="S179" s="31">
        <v>0</v>
      </c>
      <c r="T179" s="31">
        <v>0</v>
      </c>
      <c r="U179" s="31">
        <v>0</v>
      </c>
      <c r="V179" s="31">
        <v>0</v>
      </c>
      <c r="W179" s="31">
        <v>0</v>
      </c>
      <c r="X179" s="31">
        <v>0</v>
      </c>
      <c r="Y179" s="31">
        <v>0</v>
      </c>
      <c r="Z179" s="31">
        <v>0</v>
      </c>
      <c r="AA179" s="31">
        <v>0</v>
      </c>
      <c r="AB179" s="31">
        <v>0</v>
      </c>
      <c r="AC179" s="31">
        <v>0</v>
      </c>
      <c r="AD179" s="31">
        <v>0</v>
      </c>
      <c r="AE179" s="31">
        <v>0</v>
      </c>
      <c r="AF179" s="31">
        <v>0</v>
      </c>
      <c r="AG179" s="31">
        <v>0</v>
      </c>
      <c r="AH179" s="31">
        <v>0</v>
      </c>
    </row>
    <row r="180" spans="1:34" x14ac:dyDescent="0.25">
      <c r="A180" s="31">
        <v>26</v>
      </c>
      <c r="B180" s="31">
        <v>24603</v>
      </c>
      <c r="C180" s="31">
        <v>1</v>
      </c>
      <c r="D180" s="31" t="s">
        <v>598</v>
      </c>
      <c r="E180" s="31"/>
      <c r="F180" s="31">
        <v>0</v>
      </c>
      <c r="G180" s="31">
        <v>0</v>
      </c>
      <c r="H180" s="31">
        <v>0</v>
      </c>
      <c r="I180" s="31">
        <v>0</v>
      </c>
      <c r="J180" s="31">
        <v>0</v>
      </c>
      <c r="K180" s="31" t="s">
        <v>882</v>
      </c>
      <c r="L180" s="31">
        <v>0</v>
      </c>
      <c r="M180" s="31">
        <v>0</v>
      </c>
      <c r="N180" s="31">
        <v>0</v>
      </c>
      <c r="O180" s="31">
        <v>0</v>
      </c>
      <c r="P180" s="31">
        <v>0</v>
      </c>
      <c r="Q180" s="31">
        <v>0</v>
      </c>
      <c r="R180" s="31">
        <v>0</v>
      </c>
      <c r="S180" s="31">
        <v>0</v>
      </c>
      <c r="T180" s="31">
        <v>0</v>
      </c>
      <c r="U180" s="31">
        <v>0</v>
      </c>
      <c r="V180" s="31">
        <v>0</v>
      </c>
      <c r="W180" s="31">
        <v>0</v>
      </c>
      <c r="X180" s="31">
        <v>0</v>
      </c>
      <c r="Y180" s="31">
        <v>0</v>
      </c>
      <c r="Z180" s="31">
        <v>0</v>
      </c>
      <c r="AA180" s="31">
        <v>0</v>
      </c>
      <c r="AB180" s="31">
        <v>0</v>
      </c>
      <c r="AC180" s="31">
        <v>0</v>
      </c>
      <c r="AD180" s="31">
        <v>0</v>
      </c>
      <c r="AE180" s="31">
        <v>0</v>
      </c>
      <c r="AF180" s="31">
        <v>0</v>
      </c>
      <c r="AG180" s="31">
        <v>0</v>
      </c>
      <c r="AH180" s="31">
        <v>0</v>
      </c>
    </row>
    <row r="181" spans="1:34" x14ac:dyDescent="0.25">
      <c r="A181" s="31">
        <v>26</v>
      </c>
      <c r="B181" s="31">
        <v>24603</v>
      </c>
      <c r="C181" s="31">
        <v>1</v>
      </c>
      <c r="D181" s="31" t="s">
        <v>599</v>
      </c>
      <c r="E181" s="31"/>
      <c r="F181" s="31">
        <v>0</v>
      </c>
      <c r="G181" s="31">
        <v>0</v>
      </c>
      <c r="H181" s="31">
        <v>0</v>
      </c>
      <c r="I181" s="31">
        <v>0</v>
      </c>
      <c r="J181" s="31">
        <v>0</v>
      </c>
      <c r="K181" s="31" t="s">
        <v>882</v>
      </c>
      <c r="L181" s="31">
        <v>0</v>
      </c>
      <c r="M181" s="31">
        <v>0</v>
      </c>
      <c r="N181" s="31">
        <v>0</v>
      </c>
      <c r="O181" s="31">
        <v>0</v>
      </c>
      <c r="P181" s="31">
        <v>0</v>
      </c>
      <c r="Q181" s="31">
        <v>0</v>
      </c>
      <c r="R181" s="31">
        <v>0</v>
      </c>
      <c r="S181" s="31">
        <v>0</v>
      </c>
      <c r="T181" s="31">
        <v>0</v>
      </c>
      <c r="U181" s="31">
        <v>0</v>
      </c>
      <c r="V181" s="31">
        <v>0</v>
      </c>
      <c r="W181" s="31">
        <v>0</v>
      </c>
      <c r="X181" s="31">
        <v>0</v>
      </c>
      <c r="Y181" s="31">
        <v>0</v>
      </c>
      <c r="Z181" s="31">
        <v>0</v>
      </c>
      <c r="AA181" s="31">
        <v>0</v>
      </c>
      <c r="AB181" s="31">
        <v>0</v>
      </c>
      <c r="AC181" s="31">
        <v>0</v>
      </c>
      <c r="AD181" s="31">
        <v>0</v>
      </c>
      <c r="AE181" s="31">
        <v>0</v>
      </c>
      <c r="AF181" s="31">
        <v>0</v>
      </c>
      <c r="AG181" s="31">
        <v>0</v>
      </c>
      <c r="AH181" s="31">
        <v>0</v>
      </c>
    </row>
    <row r="182" spans="1:34" x14ac:dyDescent="0.25">
      <c r="A182" s="31">
        <v>26</v>
      </c>
      <c r="B182" s="31">
        <v>24603</v>
      </c>
      <c r="C182" s="31">
        <v>1</v>
      </c>
      <c r="D182" s="31" t="s">
        <v>600</v>
      </c>
      <c r="E182" s="31"/>
      <c r="F182" s="31">
        <v>0</v>
      </c>
      <c r="G182" s="31">
        <v>0</v>
      </c>
      <c r="H182" s="31">
        <v>0</v>
      </c>
      <c r="I182" s="31">
        <v>0</v>
      </c>
      <c r="J182" s="31">
        <v>0</v>
      </c>
      <c r="K182" s="31" t="s">
        <v>882</v>
      </c>
      <c r="L182" s="31">
        <v>0</v>
      </c>
      <c r="M182" s="31">
        <v>0</v>
      </c>
      <c r="N182" s="31">
        <v>0</v>
      </c>
      <c r="O182" s="31">
        <v>0</v>
      </c>
      <c r="P182" s="31">
        <v>0</v>
      </c>
      <c r="Q182" s="31">
        <v>0</v>
      </c>
      <c r="R182" s="31">
        <v>0</v>
      </c>
      <c r="S182" s="31">
        <v>0</v>
      </c>
      <c r="T182" s="31">
        <v>0</v>
      </c>
      <c r="U182" s="31">
        <v>0</v>
      </c>
      <c r="V182" s="31">
        <v>0</v>
      </c>
      <c r="W182" s="31">
        <v>0</v>
      </c>
      <c r="X182" s="31">
        <v>0</v>
      </c>
      <c r="Y182" s="31">
        <v>0</v>
      </c>
      <c r="Z182" s="31">
        <v>0</v>
      </c>
      <c r="AA182" s="31">
        <v>0</v>
      </c>
      <c r="AB182" s="31">
        <v>0</v>
      </c>
      <c r="AC182" s="31">
        <v>0</v>
      </c>
      <c r="AD182" s="31">
        <v>0</v>
      </c>
      <c r="AE182" s="31">
        <v>0</v>
      </c>
      <c r="AF182" s="31">
        <v>0</v>
      </c>
      <c r="AG182" s="31">
        <v>0</v>
      </c>
      <c r="AH182" s="31">
        <v>0</v>
      </c>
    </row>
    <row r="183" spans="1:34" x14ac:dyDescent="0.25">
      <c r="A183" s="31">
        <v>27</v>
      </c>
      <c r="B183" s="31">
        <v>24603</v>
      </c>
      <c r="C183" s="31">
        <v>1</v>
      </c>
      <c r="D183" s="31" t="s">
        <v>600</v>
      </c>
      <c r="E183" s="31"/>
      <c r="F183" s="31">
        <v>0</v>
      </c>
      <c r="G183" s="31">
        <v>0</v>
      </c>
      <c r="H183" s="31">
        <v>0</v>
      </c>
      <c r="I183" s="31">
        <v>0</v>
      </c>
      <c r="J183" s="31">
        <v>0</v>
      </c>
      <c r="K183" s="31" t="s">
        <v>882</v>
      </c>
      <c r="L183" s="31">
        <v>0</v>
      </c>
      <c r="M183" s="31">
        <v>0</v>
      </c>
      <c r="N183" s="31">
        <v>0</v>
      </c>
      <c r="O183" s="31">
        <v>0</v>
      </c>
      <c r="P183" s="31">
        <v>0</v>
      </c>
      <c r="Q183" s="31">
        <v>0</v>
      </c>
      <c r="R183" s="31">
        <v>0</v>
      </c>
      <c r="S183" s="31">
        <v>0</v>
      </c>
      <c r="T183" s="31">
        <v>0</v>
      </c>
      <c r="U183" s="31">
        <v>0</v>
      </c>
      <c r="V183" s="31">
        <v>0</v>
      </c>
      <c r="W183" s="31">
        <v>0</v>
      </c>
      <c r="X183" s="31">
        <v>0</v>
      </c>
      <c r="Y183" s="31">
        <v>0</v>
      </c>
      <c r="Z183" s="31">
        <v>0</v>
      </c>
      <c r="AA183" s="31">
        <v>0</v>
      </c>
      <c r="AB183" s="31">
        <v>0</v>
      </c>
      <c r="AC183" s="31">
        <v>0</v>
      </c>
      <c r="AD183" s="31">
        <v>0</v>
      </c>
      <c r="AE183" s="31">
        <v>0</v>
      </c>
      <c r="AF183" s="31">
        <v>0</v>
      </c>
      <c r="AG183" s="31">
        <v>0</v>
      </c>
      <c r="AH183" s="31">
        <v>0</v>
      </c>
    </row>
    <row r="184" spans="1:34" x14ac:dyDescent="0.25">
      <c r="A184" s="31">
        <v>27</v>
      </c>
      <c r="B184" s="31">
        <v>24603</v>
      </c>
      <c r="C184" s="31">
        <v>1</v>
      </c>
      <c r="D184" s="31" t="s">
        <v>601</v>
      </c>
      <c r="E184" s="31"/>
      <c r="F184" s="31">
        <v>0</v>
      </c>
      <c r="G184" s="31">
        <v>0</v>
      </c>
      <c r="H184" s="31">
        <v>0</v>
      </c>
      <c r="I184" s="31">
        <v>0</v>
      </c>
      <c r="J184" s="31">
        <v>0</v>
      </c>
      <c r="K184" s="31" t="s">
        <v>882</v>
      </c>
      <c r="L184" s="31">
        <v>0</v>
      </c>
      <c r="M184" s="31">
        <v>0</v>
      </c>
      <c r="N184" s="31">
        <v>0</v>
      </c>
      <c r="O184" s="31">
        <v>0</v>
      </c>
      <c r="P184" s="31">
        <v>0</v>
      </c>
      <c r="Q184" s="31">
        <v>0</v>
      </c>
      <c r="R184" s="31">
        <v>0</v>
      </c>
      <c r="S184" s="31">
        <v>0</v>
      </c>
      <c r="T184" s="31">
        <v>0</v>
      </c>
      <c r="U184" s="31">
        <v>0</v>
      </c>
      <c r="V184" s="31">
        <v>0</v>
      </c>
      <c r="W184" s="31">
        <v>0</v>
      </c>
      <c r="X184" s="31">
        <v>0</v>
      </c>
      <c r="Y184" s="31">
        <v>0</v>
      </c>
      <c r="Z184" s="31">
        <v>0</v>
      </c>
      <c r="AA184" s="31">
        <v>0</v>
      </c>
      <c r="AB184" s="31">
        <v>0</v>
      </c>
      <c r="AC184" s="31">
        <v>0</v>
      </c>
      <c r="AD184" s="31">
        <v>0</v>
      </c>
      <c r="AE184" s="31">
        <v>0</v>
      </c>
      <c r="AF184" s="31">
        <v>0</v>
      </c>
      <c r="AG184" s="31">
        <v>0</v>
      </c>
      <c r="AH184" s="31">
        <v>0</v>
      </c>
    </row>
    <row r="185" spans="1:34" x14ac:dyDescent="0.25">
      <c r="A185" s="31">
        <v>27</v>
      </c>
      <c r="B185" s="31">
        <v>24603</v>
      </c>
      <c r="C185" s="31">
        <v>1</v>
      </c>
      <c r="D185" s="31" t="s">
        <v>602</v>
      </c>
      <c r="E185" s="31"/>
      <c r="F185" s="31">
        <v>0</v>
      </c>
      <c r="G185" s="31">
        <v>0</v>
      </c>
      <c r="H185" s="31">
        <v>0</v>
      </c>
      <c r="I185" s="31">
        <v>0</v>
      </c>
      <c r="J185" s="31">
        <v>0</v>
      </c>
      <c r="K185" s="31" t="s">
        <v>882</v>
      </c>
      <c r="L185" s="31">
        <v>0</v>
      </c>
      <c r="M185" s="31">
        <v>0</v>
      </c>
      <c r="N185" s="31">
        <v>0</v>
      </c>
      <c r="O185" s="31">
        <v>0</v>
      </c>
      <c r="P185" s="31">
        <v>0</v>
      </c>
      <c r="Q185" s="31">
        <v>0</v>
      </c>
      <c r="R185" s="31">
        <v>0</v>
      </c>
      <c r="S185" s="31">
        <v>0</v>
      </c>
      <c r="T185" s="31">
        <v>0</v>
      </c>
      <c r="U185" s="31">
        <v>0</v>
      </c>
      <c r="V185" s="31">
        <v>0</v>
      </c>
      <c r="W185" s="31">
        <v>0</v>
      </c>
      <c r="X185" s="31">
        <v>0</v>
      </c>
      <c r="Y185" s="31">
        <v>0</v>
      </c>
      <c r="Z185" s="31">
        <v>0</v>
      </c>
      <c r="AA185" s="31">
        <v>0</v>
      </c>
      <c r="AB185" s="31">
        <v>0</v>
      </c>
      <c r="AC185" s="31">
        <v>0</v>
      </c>
      <c r="AD185" s="31">
        <v>0</v>
      </c>
      <c r="AE185" s="31">
        <v>0</v>
      </c>
      <c r="AF185" s="31">
        <v>0</v>
      </c>
      <c r="AG185" s="31">
        <v>0</v>
      </c>
      <c r="AH185" s="31">
        <v>0</v>
      </c>
    </row>
    <row r="186" spans="1:34" x14ac:dyDescent="0.25">
      <c r="A186" s="31">
        <v>27</v>
      </c>
      <c r="B186" s="31">
        <v>24603</v>
      </c>
      <c r="C186" s="31">
        <v>1</v>
      </c>
      <c r="D186" s="31" t="s">
        <v>603</v>
      </c>
      <c r="E186" s="31"/>
      <c r="F186" s="31">
        <v>0</v>
      </c>
      <c r="G186" s="31">
        <v>0</v>
      </c>
      <c r="H186" s="31">
        <v>0</v>
      </c>
      <c r="I186" s="31">
        <v>0</v>
      </c>
      <c r="J186" s="31">
        <v>0</v>
      </c>
      <c r="K186" s="31" t="s">
        <v>882</v>
      </c>
      <c r="L186" s="31">
        <v>0</v>
      </c>
      <c r="M186" s="31">
        <v>0</v>
      </c>
      <c r="N186" s="31">
        <v>0</v>
      </c>
      <c r="O186" s="31">
        <v>0</v>
      </c>
      <c r="P186" s="31">
        <v>0</v>
      </c>
      <c r="Q186" s="31">
        <v>0</v>
      </c>
      <c r="R186" s="31">
        <v>0</v>
      </c>
      <c r="S186" s="31">
        <v>0</v>
      </c>
      <c r="T186" s="31">
        <v>0</v>
      </c>
      <c r="U186" s="31">
        <v>0</v>
      </c>
      <c r="V186" s="31">
        <v>0</v>
      </c>
      <c r="W186" s="31">
        <v>0</v>
      </c>
      <c r="X186" s="31">
        <v>0</v>
      </c>
      <c r="Y186" s="31">
        <v>0</v>
      </c>
      <c r="Z186" s="31">
        <v>0</v>
      </c>
      <c r="AA186" s="31">
        <v>0</v>
      </c>
      <c r="AB186" s="31">
        <v>0</v>
      </c>
      <c r="AC186" s="31">
        <v>0</v>
      </c>
      <c r="AD186" s="31">
        <v>0</v>
      </c>
      <c r="AE186" s="31">
        <v>0</v>
      </c>
      <c r="AF186" s="31">
        <v>0</v>
      </c>
      <c r="AG186" s="31">
        <v>0</v>
      </c>
      <c r="AH186" s="31">
        <v>0</v>
      </c>
    </row>
    <row r="187" spans="1:34" x14ac:dyDescent="0.25">
      <c r="A187" s="31">
        <v>27</v>
      </c>
      <c r="B187" s="31">
        <v>24603</v>
      </c>
      <c r="C187" s="31">
        <v>1</v>
      </c>
      <c r="D187" s="31" t="s">
        <v>604</v>
      </c>
      <c r="E187" s="31"/>
      <c r="F187" s="31">
        <v>0</v>
      </c>
      <c r="G187" s="31">
        <v>0</v>
      </c>
      <c r="H187" s="31">
        <v>0</v>
      </c>
      <c r="I187" s="31">
        <v>0</v>
      </c>
      <c r="J187" s="31">
        <v>0</v>
      </c>
      <c r="K187" s="31" t="s">
        <v>882</v>
      </c>
      <c r="L187" s="31">
        <v>0</v>
      </c>
      <c r="M187" s="31">
        <v>0</v>
      </c>
      <c r="N187" s="31">
        <v>0</v>
      </c>
      <c r="O187" s="31">
        <v>0</v>
      </c>
      <c r="P187" s="31">
        <v>0</v>
      </c>
      <c r="Q187" s="31">
        <v>0</v>
      </c>
      <c r="R187" s="31">
        <v>0</v>
      </c>
      <c r="S187" s="31">
        <v>0</v>
      </c>
      <c r="T187" s="31">
        <v>0</v>
      </c>
      <c r="U187" s="31">
        <v>0</v>
      </c>
      <c r="V187" s="31">
        <v>0</v>
      </c>
      <c r="W187" s="31">
        <v>0</v>
      </c>
      <c r="X187" s="31">
        <v>0</v>
      </c>
      <c r="Y187" s="31">
        <v>0</v>
      </c>
      <c r="Z187" s="31">
        <v>0</v>
      </c>
      <c r="AA187" s="31">
        <v>0</v>
      </c>
      <c r="AB187" s="31">
        <v>0</v>
      </c>
      <c r="AC187" s="31">
        <v>0</v>
      </c>
      <c r="AD187" s="31">
        <v>0</v>
      </c>
      <c r="AE187" s="31">
        <v>0</v>
      </c>
      <c r="AF187" s="31">
        <v>0</v>
      </c>
      <c r="AG187" s="31">
        <v>0</v>
      </c>
      <c r="AH187" s="31">
        <v>0</v>
      </c>
    </row>
    <row r="188" spans="1:34" x14ac:dyDescent="0.25">
      <c r="A188" s="31">
        <v>27</v>
      </c>
      <c r="B188" s="31">
        <v>24603</v>
      </c>
      <c r="C188" s="31">
        <v>1</v>
      </c>
      <c r="D188" s="31" t="s">
        <v>605</v>
      </c>
      <c r="E188" s="31"/>
      <c r="F188" s="31">
        <v>0</v>
      </c>
      <c r="G188" s="31">
        <v>0</v>
      </c>
      <c r="H188" s="31">
        <v>0</v>
      </c>
      <c r="I188" s="31">
        <v>0</v>
      </c>
      <c r="J188" s="31">
        <v>0</v>
      </c>
      <c r="K188" s="31" t="s">
        <v>882</v>
      </c>
      <c r="L188" s="31">
        <v>0</v>
      </c>
      <c r="M188" s="31">
        <v>0</v>
      </c>
      <c r="N188" s="31">
        <v>0</v>
      </c>
      <c r="O188" s="31">
        <v>0</v>
      </c>
      <c r="P188" s="31">
        <v>0</v>
      </c>
      <c r="Q188" s="31">
        <v>0</v>
      </c>
      <c r="R188" s="31">
        <v>0</v>
      </c>
      <c r="S188" s="31">
        <v>0</v>
      </c>
      <c r="T188" s="31">
        <v>0</v>
      </c>
      <c r="U188" s="31">
        <v>0</v>
      </c>
      <c r="V188" s="31">
        <v>0</v>
      </c>
      <c r="W188" s="31">
        <v>0</v>
      </c>
      <c r="X188" s="31">
        <v>0</v>
      </c>
      <c r="Y188" s="31">
        <v>0</v>
      </c>
      <c r="Z188" s="31">
        <v>0</v>
      </c>
      <c r="AA188" s="31">
        <v>0</v>
      </c>
      <c r="AB188" s="31">
        <v>0</v>
      </c>
      <c r="AC188" s="31">
        <v>0</v>
      </c>
      <c r="AD188" s="31">
        <v>0</v>
      </c>
      <c r="AE188" s="31">
        <v>0</v>
      </c>
      <c r="AF188" s="31">
        <v>0</v>
      </c>
      <c r="AG188" s="31">
        <v>0</v>
      </c>
      <c r="AH188" s="31">
        <v>0</v>
      </c>
    </row>
    <row r="189" spans="1:34" x14ac:dyDescent="0.25">
      <c r="A189" s="31">
        <v>27</v>
      </c>
      <c r="B189" s="31">
        <v>24603</v>
      </c>
      <c r="C189" s="31">
        <v>1</v>
      </c>
      <c r="D189" s="31" t="s">
        <v>606</v>
      </c>
      <c r="E189" s="31"/>
      <c r="F189" s="31">
        <v>0</v>
      </c>
      <c r="G189" s="31">
        <v>0</v>
      </c>
      <c r="H189" s="31">
        <v>0</v>
      </c>
      <c r="I189" s="31">
        <v>0</v>
      </c>
      <c r="J189" s="31">
        <v>0</v>
      </c>
      <c r="K189" s="31" t="s">
        <v>882</v>
      </c>
      <c r="L189" s="31">
        <v>0</v>
      </c>
      <c r="M189" s="31">
        <v>0</v>
      </c>
      <c r="N189" s="31">
        <v>0</v>
      </c>
      <c r="O189" s="31">
        <v>0</v>
      </c>
      <c r="P189" s="31">
        <v>0</v>
      </c>
      <c r="Q189" s="31">
        <v>0</v>
      </c>
      <c r="R189" s="31">
        <v>0</v>
      </c>
      <c r="S189" s="31">
        <v>0</v>
      </c>
      <c r="T189" s="31">
        <v>0</v>
      </c>
      <c r="U189" s="31">
        <v>0</v>
      </c>
      <c r="V189" s="31">
        <v>0</v>
      </c>
      <c r="W189" s="31">
        <v>0</v>
      </c>
      <c r="X189" s="31">
        <v>0</v>
      </c>
      <c r="Y189" s="31">
        <v>0</v>
      </c>
      <c r="Z189" s="31">
        <v>0</v>
      </c>
      <c r="AA189" s="31">
        <v>0</v>
      </c>
      <c r="AB189" s="31">
        <v>0</v>
      </c>
      <c r="AC189" s="31">
        <v>0</v>
      </c>
      <c r="AD189" s="31">
        <v>0</v>
      </c>
      <c r="AE189" s="31">
        <v>0</v>
      </c>
      <c r="AF189" s="31">
        <v>0</v>
      </c>
      <c r="AG189" s="31">
        <v>0</v>
      </c>
      <c r="AH189" s="31">
        <v>0</v>
      </c>
    </row>
    <row r="190" spans="1:34" x14ac:dyDescent="0.25">
      <c r="A190" s="31">
        <v>27</v>
      </c>
      <c r="B190" s="31">
        <v>24603</v>
      </c>
      <c r="C190" s="31">
        <v>1</v>
      </c>
      <c r="D190" s="31" t="s">
        <v>607</v>
      </c>
      <c r="E190" s="31"/>
      <c r="F190" s="31">
        <v>0</v>
      </c>
      <c r="G190" s="31">
        <v>0</v>
      </c>
      <c r="H190" s="31">
        <v>0</v>
      </c>
      <c r="I190" s="31">
        <v>0</v>
      </c>
      <c r="J190" s="31">
        <v>0</v>
      </c>
      <c r="K190" s="31" t="s">
        <v>882</v>
      </c>
      <c r="L190" s="31">
        <v>0</v>
      </c>
      <c r="M190" s="31">
        <v>0</v>
      </c>
      <c r="N190" s="31">
        <v>0</v>
      </c>
      <c r="O190" s="31">
        <v>0</v>
      </c>
      <c r="P190" s="31">
        <v>0</v>
      </c>
      <c r="Q190" s="31">
        <v>0</v>
      </c>
      <c r="R190" s="31">
        <v>0</v>
      </c>
      <c r="S190" s="31">
        <v>0</v>
      </c>
      <c r="T190" s="31">
        <v>0</v>
      </c>
      <c r="U190" s="31">
        <v>0</v>
      </c>
      <c r="V190" s="31">
        <v>0</v>
      </c>
      <c r="W190" s="31">
        <v>0</v>
      </c>
      <c r="X190" s="31">
        <v>0</v>
      </c>
      <c r="Y190" s="31">
        <v>0</v>
      </c>
      <c r="Z190" s="31">
        <v>0</v>
      </c>
      <c r="AA190" s="31">
        <v>0</v>
      </c>
      <c r="AB190" s="31">
        <v>0</v>
      </c>
      <c r="AC190" s="31">
        <v>0</v>
      </c>
      <c r="AD190" s="31">
        <v>0</v>
      </c>
      <c r="AE190" s="31">
        <v>0</v>
      </c>
      <c r="AF190" s="31">
        <v>0</v>
      </c>
      <c r="AG190" s="31">
        <v>0</v>
      </c>
      <c r="AH190" s="31">
        <v>0</v>
      </c>
    </row>
    <row r="191" spans="1:34" x14ac:dyDescent="0.25">
      <c r="A191" s="31">
        <v>27</v>
      </c>
      <c r="B191" s="31">
        <v>24603</v>
      </c>
      <c r="C191" s="31">
        <v>1</v>
      </c>
      <c r="D191" s="31" t="s">
        <v>608</v>
      </c>
      <c r="E191" s="31"/>
      <c r="F191" s="31">
        <v>0</v>
      </c>
      <c r="G191" s="31">
        <v>0</v>
      </c>
      <c r="H191" s="31">
        <v>0</v>
      </c>
      <c r="I191" s="31">
        <v>0</v>
      </c>
      <c r="J191" s="31">
        <v>0</v>
      </c>
      <c r="K191" s="31" t="s">
        <v>882</v>
      </c>
      <c r="L191" s="31">
        <v>0</v>
      </c>
      <c r="M191" s="31">
        <v>0</v>
      </c>
      <c r="N191" s="31">
        <v>0</v>
      </c>
      <c r="O191" s="31">
        <v>0</v>
      </c>
      <c r="P191" s="31">
        <v>0</v>
      </c>
      <c r="Q191" s="31">
        <v>0</v>
      </c>
      <c r="R191" s="31">
        <v>0</v>
      </c>
      <c r="S191" s="31">
        <v>0</v>
      </c>
      <c r="T191" s="31">
        <v>0</v>
      </c>
      <c r="U191" s="31">
        <v>0</v>
      </c>
      <c r="V191" s="31">
        <v>0</v>
      </c>
      <c r="W191" s="31">
        <v>0</v>
      </c>
      <c r="X191" s="31">
        <v>0</v>
      </c>
      <c r="Y191" s="31">
        <v>0</v>
      </c>
      <c r="Z191" s="31">
        <v>0</v>
      </c>
      <c r="AA191" s="31">
        <v>0</v>
      </c>
      <c r="AB191" s="31">
        <v>0</v>
      </c>
      <c r="AC191" s="31">
        <v>0</v>
      </c>
      <c r="AD191" s="31">
        <v>0</v>
      </c>
      <c r="AE191" s="31">
        <v>0</v>
      </c>
      <c r="AF191" s="31">
        <v>0</v>
      </c>
      <c r="AG191" s="31">
        <v>0</v>
      </c>
      <c r="AH191" s="31">
        <v>0</v>
      </c>
    </row>
    <row r="192" spans="1:34" x14ac:dyDescent="0.25">
      <c r="A192" s="31">
        <v>27</v>
      </c>
      <c r="B192" s="31">
        <v>24603</v>
      </c>
      <c r="C192" s="31">
        <v>1</v>
      </c>
      <c r="D192" s="31" t="s">
        <v>609</v>
      </c>
      <c r="E192" s="31"/>
      <c r="F192" s="31">
        <v>0</v>
      </c>
      <c r="G192" s="31">
        <v>0</v>
      </c>
      <c r="H192" s="31">
        <v>0</v>
      </c>
      <c r="I192" s="31">
        <v>0</v>
      </c>
      <c r="J192" s="31">
        <v>0</v>
      </c>
      <c r="K192" s="31" t="s">
        <v>882</v>
      </c>
      <c r="L192" s="31">
        <v>0</v>
      </c>
      <c r="M192" s="31">
        <v>0</v>
      </c>
      <c r="N192" s="31">
        <v>0</v>
      </c>
      <c r="O192" s="31">
        <v>0</v>
      </c>
      <c r="P192" s="31">
        <v>0</v>
      </c>
      <c r="Q192" s="31">
        <v>0</v>
      </c>
      <c r="R192" s="31">
        <v>0</v>
      </c>
      <c r="S192" s="31">
        <v>0</v>
      </c>
      <c r="T192" s="31">
        <v>0</v>
      </c>
      <c r="U192" s="31">
        <v>0</v>
      </c>
      <c r="V192" s="31">
        <v>0</v>
      </c>
      <c r="W192" s="31">
        <v>0</v>
      </c>
      <c r="X192" s="31">
        <v>0</v>
      </c>
      <c r="Y192" s="31">
        <v>0</v>
      </c>
      <c r="Z192" s="31">
        <v>0</v>
      </c>
      <c r="AA192" s="31">
        <v>0</v>
      </c>
      <c r="AB192" s="31">
        <v>0</v>
      </c>
      <c r="AC192" s="31">
        <v>0</v>
      </c>
      <c r="AD192" s="31">
        <v>0</v>
      </c>
      <c r="AE192" s="31">
        <v>0</v>
      </c>
      <c r="AF192" s="31">
        <v>0</v>
      </c>
      <c r="AG192" s="31">
        <v>0</v>
      </c>
      <c r="AH192" s="31">
        <v>0</v>
      </c>
    </row>
    <row r="193" spans="1:34" x14ac:dyDescent="0.25">
      <c r="A193" s="31">
        <v>27</v>
      </c>
      <c r="B193" s="31">
        <v>24603</v>
      </c>
      <c r="C193" s="31">
        <v>1</v>
      </c>
      <c r="D193" s="31" t="s">
        <v>610</v>
      </c>
      <c r="E193" s="31"/>
      <c r="F193" s="31">
        <v>0</v>
      </c>
      <c r="G193" s="31">
        <v>0</v>
      </c>
      <c r="H193" s="31">
        <v>0</v>
      </c>
      <c r="I193" s="31">
        <v>0</v>
      </c>
      <c r="J193" s="31">
        <v>0</v>
      </c>
      <c r="K193" s="31" t="s">
        <v>882</v>
      </c>
      <c r="L193" s="31">
        <v>0</v>
      </c>
      <c r="M193" s="31">
        <v>0</v>
      </c>
      <c r="N193" s="31">
        <v>0</v>
      </c>
      <c r="O193" s="31">
        <v>0</v>
      </c>
      <c r="P193" s="31">
        <v>0</v>
      </c>
      <c r="Q193" s="31">
        <v>0</v>
      </c>
      <c r="R193" s="31">
        <v>0</v>
      </c>
      <c r="S193" s="31">
        <v>0</v>
      </c>
      <c r="T193" s="31">
        <v>0</v>
      </c>
      <c r="U193" s="31">
        <v>0</v>
      </c>
      <c r="V193" s="31">
        <v>0</v>
      </c>
      <c r="W193" s="31">
        <v>0</v>
      </c>
      <c r="X193" s="31">
        <v>0</v>
      </c>
      <c r="Y193" s="31">
        <v>0</v>
      </c>
      <c r="Z193" s="31">
        <v>0</v>
      </c>
      <c r="AA193" s="31">
        <v>0</v>
      </c>
      <c r="AB193" s="31">
        <v>0</v>
      </c>
      <c r="AC193" s="31">
        <v>0</v>
      </c>
      <c r="AD193" s="31">
        <v>0</v>
      </c>
      <c r="AE193" s="31">
        <v>0</v>
      </c>
      <c r="AF193" s="31">
        <v>0</v>
      </c>
      <c r="AG193" s="31">
        <v>0</v>
      </c>
      <c r="AH193" s="31">
        <v>0</v>
      </c>
    </row>
    <row r="194" spans="1:34" x14ac:dyDescent="0.25">
      <c r="A194" s="31">
        <v>27</v>
      </c>
      <c r="B194" s="31">
        <v>24603</v>
      </c>
      <c r="C194" s="31">
        <v>1</v>
      </c>
      <c r="D194" s="31" t="s">
        <v>611</v>
      </c>
      <c r="E194" s="31"/>
      <c r="F194" s="31">
        <v>0</v>
      </c>
      <c r="G194" s="31">
        <v>0</v>
      </c>
      <c r="H194" s="31">
        <v>0</v>
      </c>
      <c r="I194" s="31">
        <v>0</v>
      </c>
      <c r="J194" s="31">
        <v>0</v>
      </c>
      <c r="K194" s="31" t="s">
        <v>882</v>
      </c>
      <c r="L194" s="31">
        <v>0</v>
      </c>
      <c r="M194" s="31">
        <v>0</v>
      </c>
      <c r="N194" s="31">
        <v>0</v>
      </c>
      <c r="O194" s="31">
        <v>0</v>
      </c>
      <c r="P194" s="31">
        <v>0</v>
      </c>
      <c r="Q194" s="31">
        <v>0</v>
      </c>
      <c r="R194" s="31">
        <v>0</v>
      </c>
      <c r="S194" s="31">
        <v>0</v>
      </c>
      <c r="T194" s="31">
        <v>0</v>
      </c>
      <c r="U194" s="31">
        <v>0</v>
      </c>
      <c r="V194" s="31">
        <v>0</v>
      </c>
      <c r="W194" s="31">
        <v>0</v>
      </c>
      <c r="X194" s="31">
        <v>0</v>
      </c>
      <c r="Y194" s="31">
        <v>0</v>
      </c>
      <c r="Z194" s="31">
        <v>0</v>
      </c>
      <c r="AA194" s="31">
        <v>0</v>
      </c>
      <c r="AB194" s="31">
        <v>0</v>
      </c>
      <c r="AC194" s="31">
        <v>0</v>
      </c>
      <c r="AD194" s="31">
        <v>0</v>
      </c>
      <c r="AE194" s="31">
        <v>0</v>
      </c>
      <c r="AF194" s="31">
        <v>0</v>
      </c>
      <c r="AG194" s="31">
        <v>0</v>
      </c>
      <c r="AH194" s="31">
        <v>0</v>
      </c>
    </row>
    <row r="195" spans="1:34" x14ac:dyDescent="0.25">
      <c r="A195" s="31">
        <v>27</v>
      </c>
      <c r="B195" s="31">
        <v>24603</v>
      </c>
      <c r="C195" s="31">
        <v>1</v>
      </c>
      <c r="D195" s="31" t="s">
        <v>612</v>
      </c>
      <c r="E195" s="31"/>
      <c r="F195" s="31">
        <v>0</v>
      </c>
      <c r="G195" s="31">
        <v>0</v>
      </c>
      <c r="H195" s="31">
        <v>0</v>
      </c>
      <c r="I195" s="31">
        <v>0</v>
      </c>
      <c r="J195" s="31">
        <v>0</v>
      </c>
      <c r="K195" s="31" t="s">
        <v>882</v>
      </c>
      <c r="L195" s="31">
        <v>0</v>
      </c>
      <c r="M195" s="31">
        <v>0</v>
      </c>
      <c r="N195" s="31">
        <v>0</v>
      </c>
      <c r="O195" s="31">
        <v>0</v>
      </c>
      <c r="P195" s="31">
        <v>0</v>
      </c>
      <c r="Q195" s="31">
        <v>0</v>
      </c>
      <c r="R195" s="31">
        <v>0</v>
      </c>
      <c r="S195" s="31">
        <v>0</v>
      </c>
      <c r="T195" s="31">
        <v>0</v>
      </c>
      <c r="U195" s="31">
        <v>0</v>
      </c>
      <c r="V195" s="31">
        <v>0</v>
      </c>
      <c r="W195" s="31">
        <v>0</v>
      </c>
      <c r="X195" s="31">
        <v>0</v>
      </c>
      <c r="Y195" s="31">
        <v>0</v>
      </c>
      <c r="Z195" s="31">
        <v>0</v>
      </c>
      <c r="AA195" s="31">
        <v>0</v>
      </c>
      <c r="AB195" s="31">
        <v>0</v>
      </c>
      <c r="AC195" s="31">
        <v>0</v>
      </c>
      <c r="AD195" s="31">
        <v>0</v>
      </c>
      <c r="AE195" s="31">
        <v>0</v>
      </c>
      <c r="AF195" s="31">
        <v>0</v>
      </c>
      <c r="AG195" s="31">
        <v>0</v>
      </c>
      <c r="AH195" s="31">
        <v>0</v>
      </c>
    </row>
    <row r="196" spans="1:34" x14ac:dyDescent="0.25">
      <c r="A196" s="31">
        <v>29</v>
      </c>
      <c r="B196" s="31">
        <v>24603</v>
      </c>
      <c r="C196" s="31">
        <v>1</v>
      </c>
      <c r="D196" s="31" t="s">
        <v>612</v>
      </c>
      <c r="E196" s="31"/>
      <c r="F196" s="31">
        <v>0</v>
      </c>
      <c r="G196" s="31">
        <v>0</v>
      </c>
      <c r="H196" s="31">
        <v>0</v>
      </c>
      <c r="I196" s="31">
        <v>0</v>
      </c>
      <c r="J196" s="31">
        <v>0</v>
      </c>
      <c r="K196" s="31" t="s">
        <v>882</v>
      </c>
      <c r="L196" s="31">
        <v>0</v>
      </c>
      <c r="M196" s="31">
        <v>0</v>
      </c>
      <c r="N196" s="31">
        <v>0</v>
      </c>
      <c r="O196" s="31">
        <v>0</v>
      </c>
      <c r="P196" s="31">
        <v>0</v>
      </c>
      <c r="Q196" s="31">
        <v>0</v>
      </c>
      <c r="R196" s="31">
        <v>0</v>
      </c>
      <c r="S196" s="31">
        <v>0</v>
      </c>
      <c r="T196" s="31">
        <v>0</v>
      </c>
      <c r="U196" s="31">
        <v>0</v>
      </c>
      <c r="V196" s="31">
        <v>0</v>
      </c>
      <c r="W196" s="31">
        <v>0</v>
      </c>
      <c r="X196" s="31">
        <v>0</v>
      </c>
      <c r="Y196" s="31">
        <v>0</v>
      </c>
      <c r="Z196" s="31">
        <v>0</v>
      </c>
      <c r="AA196" s="31">
        <v>0</v>
      </c>
      <c r="AB196" s="31">
        <v>0</v>
      </c>
      <c r="AC196" s="31">
        <v>0</v>
      </c>
      <c r="AD196" s="31">
        <v>0</v>
      </c>
      <c r="AE196" s="31">
        <v>0</v>
      </c>
      <c r="AF196" s="31">
        <v>0</v>
      </c>
      <c r="AG196" s="31">
        <v>0</v>
      </c>
      <c r="AH196" s="31">
        <v>0</v>
      </c>
    </row>
    <row r="197" spans="1:34" x14ac:dyDescent="0.25">
      <c r="A197" s="31">
        <v>29</v>
      </c>
      <c r="B197" s="31">
        <v>24603</v>
      </c>
      <c r="C197" s="31">
        <v>1</v>
      </c>
      <c r="D197" s="31" t="s">
        <v>613</v>
      </c>
      <c r="E197" s="31"/>
      <c r="F197" s="31">
        <v>0</v>
      </c>
      <c r="G197" s="31">
        <v>0</v>
      </c>
      <c r="H197" s="31">
        <v>0</v>
      </c>
      <c r="I197" s="31">
        <v>0</v>
      </c>
      <c r="J197" s="31">
        <v>0</v>
      </c>
      <c r="K197" s="31" t="s">
        <v>882</v>
      </c>
      <c r="L197" s="31">
        <v>0</v>
      </c>
      <c r="M197" s="31">
        <v>0</v>
      </c>
      <c r="N197" s="31">
        <v>0</v>
      </c>
      <c r="O197" s="31">
        <v>0</v>
      </c>
      <c r="P197" s="31">
        <v>0</v>
      </c>
      <c r="Q197" s="31">
        <v>0</v>
      </c>
      <c r="R197" s="31">
        <v>0</v>
      </c>
      <c r="S197" s="31">
        <v>0</v>
      </c>
      <c r="T197" s="31">
        <v>0</v>
      </c>
      <c r="U197" s="31">
        <v>0</v>
      </c>
      <c r="V197" s="31">
        <v>0</v>
      </c>
      <c r="W197" s="31">
        <v>0</v>
      </c>
      <c r="X197" s="31">
        <v>0</v>
      </c>
      <c r="Y197" s="31">
        <v>0</v>
      </c>
      <c r="Z197" s="31">
        <v>0</v>
      </c>
      <c r="AA197" s="31">
        <v>0</v>
      </c>
      <c r="AB197" s="31">
        <v>0</v>
      </c>
      <c r="AC197" s="31">
        <v>0</v>
      </c>
      <c r="AD197" s="31">
        <v>0</v>
      </c>
      <c r="AE197" s="31">
        <v>0</v>
      </c>
      <c r="AF197" s="31">
        <v>0</v>
      </c>
      <c r="AG197" s="31">
        <v>0</v>
      </c>
      <c r="AH197" s="31">
        <v>0</v>
      </c>
    </row>
    <row r="198" spans="1:34" x14ac:dyDescent="0.25">
      <c r="A198" s="31">
        <v>29</v>
      </c>
      <c r="B198" s="31">
        <v>24603</v>
      </c>
      <c r="C198" s="31">
        <v>1</v>
      </c>
      <c r="D198" s="31" t="s">
        <v>614</v>
      </c>
      <c r="E198" s="31"/>
      <c r="F198" s="31">
        <v>0</v>
      </c>
      <c r="G198" s="31">
        <v>0</v>
      </c>
      <c r="H198" s="31">
        <v>0</v>
      </c>
      <c r="I198" s="31">
        <v>0</v>
      </c>
      <c r="J198" s="31">
        <v>0</v>
      </c>
      <c r="K198" s="31" t="s">
        <v>882</v>
      </c>
      <c r="L198" s="31">
        <v>0</v>
      </c>
      <c r="M198" s="31">
        <v>0</v>
      </c>
      <c r="N198" s="31">
        <v>0</v>
      </c>
      <c r="O198" s="31">
        <v>0</v>
      </c>
      <c r="P198" s="31">
        <v>0</v>
      </c>
      <c r="Q198" s="31">
        <v>0</v>
      </c>
      <c r="R198" s="31">
        <v>0</v>
      </c>
      <c r="S198" s="31">
        <v>0</v>
      </c>
      <c r="T198" s="31">
        <v>0</v>
      </c>
      <c r="U198" s="31">
        <v>0</v>
      </c>
      <c r="V198" s="31">
        <v>0</v>
      </c>
      <c r="W198" s="31">
        <v>0</v>
      </c>
      <c r="X198" s="31">
        <v>0</v>
      </c>
      <c r="Y198" s="31">
        <v>0</v>
      </c>
      <c r="Z198" s="31">
        <v>0</v>
      </c>
      <c r="AA198" s="31">
        <v>0</v>
      </c>
      <c r="AB198" s="31">
        <v>0</v>
      </c>
      <c r="AC198" s="31">
        <v>0</v>
      </c>
      <c r="AD198" s="31">
        <v>0</v>
      </c>
      <c r="AE198" s="31">
        <v>0</v>
      </c>
      <c r="AF198" s="31">
        <v>0</v>
      </c>
      <c r="AG198" s="31">
        <v>0</v>
      </c>
      <c r="AH198" s="31">
        <v>0</v>
      </c>
    </row>
    <row r="199" spans="1:34" x14ac:dyDescent="0.25">
      <c r="A199" s="31">
        <v>29</v>
      </c>
      <c r="B199" s="31">
        <v>24604</v>
      </c>
      <c r="C199" s="31">
        <v>1</v>
      </c>
      <c r="D199" s="31" t="s">
        <v>615</v>
      </c>
      <c r="E199" s="31"/>
      <c r="F199" s="31">
        <v>0</v>
      </c>
      <c r="G199" s="31">
        <v>0</v>
      </c>
      <c r="H199" s="31">
        <v>0</v>
      </c>
      <c r="I199" s="31">
        <v>0</v>
      </c>
      <c r="J199" s="31">
        <v>0</v>
      </c>
      <c r="K199" s="31" t="s">
        <v>882</v>
      </c>
      <c r="L199" s="31">
        <v>0</v>
      </c>
      <c r="M199" s="31">
        <v>0</v>
      </c>
      <c r="N199" s="31">
        <v>0</v>
      </c>
      <c r="O199" s="31">
        <v>0</v>
      </c>
      <c r="P199" s="31">
        <v>0</v>
      </c>
      <c r="Q199" s="31">
        <v>0</v>
      </c>
      <c r="R199" s="31">
        <v>0</v>
      </c>
      <c r="S199" s="31">
        <v>0</v>
      </c>
      <c r="T199" s="31">
        <v>0</v>
      </c>
      <c r="U199" s="31">
        <v>0</v>
      </c>
      <c r="V199" s="31">
        <v>0</v>
      </c>
      <c r="W199" s="31">
        <v>0</v>
      </c>
      <c r="X199" s="31">
        <v>0</v>
      </c>
      <c r="Y199" s="31">
        <v>0</v>
      </c>
      <c r="Z199" s="31">
        <v>0</v>
      </c>
      <c r="AA199" s="31">
        <v>0</v>
      </c>
      <c r="AB199" s="31">
        <v>0</v>
      </c>
      <c r="AC199" s="31">
        <v>0</v>
      </c>
      <c r="AD199" s="31">
        <v>0</v>
      </c>
      <c r="AE199" s="31">
        <v>0</v>
      </c>
      <c r="AF199" s="31">
        <v>0</v>
      </c>
      <c r="AG199" s="31">
        <v>0</v>
      </c>
      <c r="AH199" s="31">
        <v>0</v>
      </c>
    </row>
    <row r="200" spans="1:34" x14ac:dyDescent="0.25">
      <c r="A200" s="31">
        <v>29</v>
      </c>
      <c r="B200" s="31">
        <v>24604</v>
      </c>
      <c r="C200" s="31">
        <v>1</v>
      </c>
      <c r="D200" s="31" t="s">
        <v>616</v>
      </c>
      <c r="E200" s="31"/>
      <c r="F200" s="31">
        <v>0</v>
      </c>
      <c r="G200" s="31">
        <v>0</v>
      </c>
      <c r="H200" s="31">
        <v>0</v>
      </c>
      <c r="I200" s="31">
        <v>0</v>
      </c>
      <c r="J200" s="31">
        <v>0</v>
      </c>
      <c r="K200" s="31" t="s">
        <v>882</v>
      </c>
      <c r="L200" s="31">
        <v>0</v>
      </c>
      <c r="M200" s="31">
        <v>0</v>
      </c>
      <c r="N200" s="31">
        <v>0</v>
      </c>
      <c r="O200" s="31">
        <v>0</v>
      </c>
      <c r="P200" s="31">
        <v>0</v>
      </c>
      <c r="Q200" s="31">
        <v>0</v>
      </c>
      <c r="R200" s="31">
        <v>0</v>
      </c>
      <c r="S200" s="31">
        <v>0</v>
      </c>
      <c r="T200" s="31">
        <v>0</v>
      </c>
      <c r="U200" s="31">
        <v>0</v>
      </c>
      <c r="V200" s="31">
        <v>0</v>
      </c>
      <c r="W200" s="31">
        <v>0</v>
      </c>
      <c r="X200" s="31">
        <v>0</v>
      </c>
      <c r="Y200" s="31">
        <v>0</v>
      </c>
      <c r="Z200" s="31">
        <v>0</v>
      </c>
      <c r="AA200" s="31">
        <v>0</v>
      </c>
      <c r="AB200" s="31">
        <v>0</v>
      </c>
      <c r="AC200" s="31">
        <v>0</v>
      </c>
      <c r="AD200" s="31">
        <v>0</v>
      </c>
      <c r="AE200" s="31">
        <v>0</v>
      </c>
      <c r="AF200" s="31">
        <v>0</v>
      </c>
      <c r="AG200" s="31">
        <v>0</v>
      </c>
      <c r="AH200" s="31">
        <v>0</v>
      </c>
    </row>
    <row r="201" spans="1:34" x14ac:dyDescent="0.25">
      <c r="A201" s="31">
        <v>29</v>
      </c>
      <c r="B201" s="31">
        <v>24604</v>
      </c>
      <c r="C201" s="31">
        <v>1</v>
      </c>
      <c r="D201" s="31" t="s">
        <v>617</v>
      </c>
      <c r="E201" s="31"/>
      <c r="F201" s="31">
        <v>0</v>
      </c>
      <c r="G201" s="31">
        <v>0</v>
      </c>
      <c r="H201" s="31">
        <v>0</v>
      </c>
      <c r="I201" s="31">
        <v>0</v>
      </c>
      <c r="J201" s="31">
        <v>0</v>
      </c>
      <c r="K201" s="31" t="s">
        <v>882</v>
      </c>
      <c r="L201" s="31">
        <v>0</v>
      </c>
      <c r="M201" s="31">
        <v>0</v>
      </c>
      <c r="N201" s="31">
        <v>0</v>
      </c>
      <c r="O201" s="31">
        <v>0</v>
      </c>
      <c r="P201" s="31">
        <v>0</v>
      </c>
      <c r="Q201" s="31">
        <v>0</v>
      </c>
      <c r="R201" s="31">
        <v>0</v>
      </c>
      <c r="S201" s="31">
        <v>0</v>
      </c>
      <c r="T201" s="31">
        <v>0</v>
      </c>
      <c r="U201" s="31">
        <v>0</v>
      </c>
      <c r="V201" s="31">
        <v>0</v>
      </c>
      <c r="W201" s="31">
        <v>0</v>
      </c>
      <c r="X201" s="31">
        <v>0</v>
      </c>
      <c r="Y201" s="31">
        <v>0</v>
      </c>
      <c r="Z201" s="31">
        <v>0</v>
      </c>
      <c r="AA201" s="31">
        <v>0</v>
      </c>
      <c r="AB201" s="31">
        <v>0</v>
      </c>
      <c r="AC201" s="31">
        <v>0</v>
      </c>
      <c r="AD201" s="31">
        <v>0</v>
      </c>
      <c r="AE201" s="31">
        <v>0</v>
      </c>
      <c r="AF201" s="31">
        <v>0</v>
      </c>
      <c r="AG201" s="31">
        <v>0</v>
      </c>
      <c r="AH201" s="31">
        <v>0</v>
      </c>
    </row>
    <row r="202" spans="1:34" x14ac:dyDescent="0.25">
      <c r="A202" s="31">
        <v>29</v>
      </c>
      <c r="B202" s="31">
        <v>24604</v>
      </c>
      <c r="C202" s="31">
        <v>1</v>
      </c>
      <c r="D202" s="31" t="s">
        <v>618</v>
      </c>
      <c r="E202" s="31"/>
      <c r="F202" s="31">
        <v>0</v>
      </c>
      <c r="G202" s="31">
        <v>0</v>
      </c>
      <c r="H202" s="31">
        <v>0</v>
      </c>
      <c r="I202" s="31">
        <v>0</v>
      </c>
      <c r="J202" s="31">
        <v>0</v>
      </c>
      <c r="K202" s="31" t="s">
        <v>882</v>
      </c>
      <c r="L202" s="31">
        <v>0</v>
      </c>
      <c r="M202" s="31">
        <v>0</v>
      </c>
      <c r="N202" s="31">
        <v>0</v>
      </c>
      <c r="O202" s="31">
        <v>0</v>
      </c>
      <c r="P202" s="31">
        <v>0</v>
      </c>
      <c r="Q202" s="31">
        <v>0</v>
      </c>
      <c r="R202" s="31">
        <v>0</v>
      </c>
      <c r="S202" s="31">
        <v>0</v>
      </c>
      <c r="T202" s="31">
        <v>0</v>
      </c>
      <c r="U202" s="31">
        <v>0</v>
      </c>
      <c r="V202" s="31">
        <v>0</v>
      </c>
      <c r="W202" s="31">
        <v>0</v>
      </c>
      <c r="X202" s="31">
        <v>0</v>
      </c>
      <c r="Y202" s="31">
        <v>0</v>
      </c>
      <c r="Z202" s="31">
        <v>0</v>
      </c>
      <c r="AA202" s="31">
        <v>0</v>
      </c>
      <c r="AB202" s="31">
        <v>0</v>
      </c>
      <c r="AC202" s="31">
        <v>0</v>
      </c>
      <c r="AD202" s="31">
        <v>0</v>
      </c>
      <c r="AE202" s="31">
        <v>0</v>
      </c>
      <c r="AF202" s="31">
        <v>0</v>
      </c>
      <c r="AG202" s="31">
        <v>0</v>
      </c>
      <c r="AH202" s="31">
        <v>0</v>
      </c>
    </row>
    <row r="203" spans="1:34" x14ac:dyDescent="0.25">
      <c r="A203" s="31">
        <v>29</v>
      </c>
      <c r="B203" s="31">
        <v>24604</v>
      </c>
      <c r="C203" s="31">
        <v>1</v>
      </c>
      <c r="D203" s="31" t="s">
        <v>619</v>
      </c>
      <c r="E203" s="31"/>
      <c r="F203" s="31">
        <v>0</v>
      </c>
      <c r="G203" s="31">
        <v>0</v>
      </c>
      <c r="H203" s="31">
        <v>0</v>
      </c>
      <c r="I203" s="31">
        <v>0</v>
      </c>
      <c r="J203" s="31">
        <v>0</v>
      </c>
      <c r="K203" s="31" t="s">
        <v>882</v>
      </c>
      <c r="L203" s="31">
        <v>0</v>
      </c>
      <c r="M203" s="31">
        <v>0</v>
      </c>
      <c r="N203" s="31">
        <v>0</v>
      </c>
      <c r="O203" s="31">
        <v>0</v>
      </c>
      <c r="P203" s="31">
        <v>0</v>
      </c>
      <c r="Q203" s="31">
        <v>0</v>
      </c>
      <c r="R203" s="31">
        <v>0</v>
      </c>
      <c r="S203" s="31">
        <v>0</v>
      </c>
      <c r="T203" s="31">
        <v>0</v>
      </c>
      <c r="U203" s="31">
        <v>0</v>
      </c>
      <c r="V203" s="31">
        <v>0</v>
      </c>
      <c r="W203" s="31">
        <v>0</v>
      </c>
      <c r="X203" s="31">
        <v>0</v>
      </c>
      <c r="Y203" s="31">
        <v>0</v>
      </c>
      <c r="Z203" s="31">
        <v>0</v>
      </c>
      <c r="AA203" s="31">
        <v>0</v>
      </c>
      <c r="AB203" s="31">
        <v>0</v>
      </c>
      <c r="AC203" s="31">
        <v>0</v>
      </c>
      <c r="AD203" s="31">
        <v>0</v>
      </c>
      <c r="AE203" s="31">
        <v>0</v>
      </c>
      <c r="AF203" s="31">
        <v>0</v>
      </c>
      <c r="AG203" s="31">
        <v>0</v>
      </c>
      <c r="AH203" s="31">
        <v>0</v>
      </c>
    </row>
    <row r="204" spans="1:34" x14ac:dyDescent="0.25">
      <c r="A204" s="31">
        <v>29</v>
      </c>
      <c r="B204" s="31">
        <v>24604</v>
      </c>
      <c r="C204" s="31">
        <v>1</v>
      </c>
      <c r="D204" s="31" t="s">
        <v>620</v>
      </c>
      <c r="E204" s="31"/>
      <c r="F204" s="31">
        <v>0</v>
      </c>
      <c r="G204" s="31">
        <v>0</v>
      </c>
      <c r="H204" s="31">
        <v>0</v>
      </c>
      <c r="I204" s="31">
        <v>0</v>
      </c>
      <c r="J204" s="31">
        <v>0</v>
      </c>
      <c r="K204" s="31" t="s">
        <v>882</v>
      </c>
      <c r="L204" s="31">
        <v>0</v>
      </c>
      <c r="M204" s="31">
        <v>0</v>
      </c>
      <c r="N204" s="31">
        <v>0</v>
      </c>
      <c r="O204" s="31">
        <v>0</v>
      </c>
      <c r="P204" s="31">
        <v>0</v>
      </c>
      <c r="Q204" s="31">
        <v>0</v>
      </c>
      <c r="R204" s="31">
        <v>0</v>
      </c>
      <c r="S204" s="31">
        <v>0</v>
      </c>
      <c r="T204" s="31">
        <v>0</v>
      </c>
      <c r="U204" s="31">
        <v>0</v>
      </c>
      <c r="V204" s="31">
        <v>0</v>
      </c>
      <c r="W204" s="31">
        <v>0</v>
      </c>
      <c r="X204" s="31">
        <v>0</v>
      </c>
      <c r="Y204" s="31">
        <v>0</v>
      </c>
      <c r="Z204" s="31">
        <v>0</v>
      </c>
      <c r="AA204" s="31">
        <v>0</v>
      </c>
      <c r="AB204" s="31">
        <v>0</v>
      </c>
      <c r="AC204" s="31">
        <v>0</v>
      </c>
      <c r="AD204" s="31">
        <v>0</v>
      </c>
      <c r="AE204" s="31">
        <v>0</v>
      </c>
      <c r="AF204" s="31">
        <v>0</v>
      </c>
      <c r="AG204" s="31">
        <v>0</v>
      </c>
      <c r="AH204" s="31">
        <v>0</v>
      </c>
    </row>
    <row r="205" spans="1:34" x14ac:dyDescent="0.25">
      <c r="A205" s="31">
        <v>30</v>
      </c>
      <c r="B205" s="31">
        <v>24604</v>
      </c>
      <c r="C205" s="31">
        <v>1</v>
      </c>
      <c r="D205" s="31" t="s">
        <v>620</v>
      </c>
      <c r="E205" s="31"/>
      <c r="F205" s="31">
        <v>0</v>
      </c>
      <c r="G205" s="31">
        <v>0</v>
      </c>
      <c r="H205" s="31">
        <v>0</v>
      </c>
      <c r="I205" s="31">
        <v>0</v>
      </c>
      <c r="J205" s="31">
        <v>0</v>
      </c>
      <c r="K205" s="31" t="s">
        <v>882</v>
      </c>
      <c r="L205" s="31">
        <v>0</v>
      </c>
      <c r="M205" s="31">
        <v>0</v>
      </c>
      <c r="N205" s="31">
        <v>0</v>
      </c>
      <c r="O205" s="31">
        <v>0</v>
      </c>
      <c r="P205" s="31">
        <v>0</v>
      </c>
      <c r="Q205" s="31">
        <v>0</v>
      </c>
      <c r="R205" s="31">
        <v>0</v>
      </c>
      <c r="S205" s="31">
        <v>0</v>
      </c>
      <c r="T205" s="31">
        <v>0</v>
      </c>
      <c r="U205" s="31">
        <v>0</v>
      </c>
      <c r="V205" s="31">
        <v>0</v>
      </c>
      <c r="W205" s="31">
        <v>0</v>
      </c>
      <c r="X205" s="31">
        <v>0</v>
      </c>
      <c r="Y205" s="31">
        <v>0</v>
      </c>
      <c r="Z205" s="31">
        <v>0</v>
      </c>
      <c r="AA205" s="31">
        <v>0</v>
      </c>
      <c r="AB205" s="31">
        <v>0</v>
      </c>
      <c r="AC205" s="31">
        <v>0</v>
      </c>
      <c r="AD205" s="31">
        <v>0</v>
      </c>
      <c r="AE205" s="31">
        <v>0</v>
      </c>
      <c r="AF205" s="31">
        <v>0</v>
      </c>
      <c r="AG205" s="31">
        <v>0</v>
      </c>
      <c r="AH205" s="31">
        <v>0</v>
      </c>
    </row>
    <row r="206" spans="1:34" x14ac:dyDescent="0.25">
      <c r="A206" s="31">
        <v>30</v>
      </c>
      <c r="B206" s="31">
        <v>24604</v>
      </c>
      <c r="C206" s="31">
        <v>1</v>
      </c>
      <c r="D206" s="31" t="s">
        <v>621</v>
      </c>
      <c r="E206" s="31"/>
      <c r="F206" s="31">
        <v>0</v>
      </c>
      <c r="G206" s="31">
        <v>0</v>
      </c>
      <c r="H206" s="31">
        <v>0</v>
      </c>
      <c r="I206" s="31">
        <v>0</v>
      </c>
      <c r="J206" s="31">
        <v>0</v>
      </c>
      <c r="K206" s="31" t="s">
        <v>882</v>
      </c>
      <c r="L206" s="31">
        <v>0</v>
      </c>
      <c r="M206" s="31">
        <v>0</v>
      </c>
      <c r="N206" s="31">
        <v>0</v>
      </c>
      <c r="O206" s="31">
        <v>0</v>
      </c>
      <c r="P206" s="31">
        <v>0</v>
      </c>
      <c r="Q206" s="31">
        <v>0</v>
      </c>
      <c r="R206" s="31">
        <v>0</v>
      </c>
      <c r="S206" s="31">
        <v>0</v>
      </c>
      <c r="T206" s="31">
        <v>0</v>
      </c>
      <c r="U206" s="31">
        <v>0</v>
      </c>
      <c r="V206" s="31">
        <v>0</v>
      </c>
      <c r="W206" s="31">
        <v>0</v>
      </c>
      <c r="X206" s="31">
        <v>0</v>
      </c>
      <c r="Y206" s="31">
        <v>0</v>
      </c>
      <c r="Z206" s="31">
        <v>0</v>
      </c>
      <c r="AA206" s="31">
        <v>0</v>
      </c>
      <c r="AB206" s="31">
        <v>0</v>
      </c>
      <c r="AC206" s="31">
        <v>0</v>
      </c>
      <c r="AD206" s="31">
        <v>0</v>
      </c>
      <c r="AE206" s="31">
        <v>0</v>
      </c>
      <c r="AF206" s="31">
        <v>0</v>
      </c>
      <c r="AG206" s="31">
        <v>0</v>
      </c>
      <c r="AH206" s="31">
        <v>0</v>
      </c>
    </row>
    <row r="207" spans="1:34" x14ac:dyDescent="0.25">
      <c r="A207" s="31">
        <v>30</v>
      </c>
      <c r="B207" s="31">
        <v>24604</v>
      </c>
      <c r="C207" s="31">
        <v>1</v>
      </c>
      <c r="D207" s="31" t="s">
        <v>622</v>
      </c>
      <c r="E207" s="31"/>
      <c r="F207" s="31">
        <v>0</v>
      </c>
      <c r="G207" s="31">
        <v>0</v>
      </c>
      <c r="H207" s="31">
        <v>0</v>
      </c>
      <c r="I207" s="31">
        <v>0</v>
      </c>
      <c r="J207" s="31">
        <v>0</v>
      </c>
      <c r="K207" s="31" t="s">
        <v>882</v>
      </c>
      <c r="L207" s="31">
        <v>0</v>
      </c>
      <c r="M207" s="31">
        <v>0</v>
      </c>
      <c r="N207" s="31">
        <v>0</v>
      </c>
      <c r="O207" s="31">
        <v>0</v>
      </c>
      <c r="P207" s="31">
        <v>0</v>
      </c>
      <c r="Q207" s="31">
        <v>0</v>
      </c>
      <c r="R207" s="31">
        <v>0</v>
      </c>
      <c r="S207" s="31">
        <v>0</v>
      </c>
      <c r="T207" s="31">
        <v>0</v>
      </c>
      <c r="U207" s="31">
        <v>0</v>
      </c>
      <c r="V207" s="31">
        <v>0</v>
      </c>
      <c r="W207" s="31">
        <v>0</v>
      </c>
      <c r="X207" s="31">
        <v>0</v>
      </c>
      <c r="Y207" s="31">
        <v>0</v>
      </c>
      <c r="Z207" s="31">
        <v>0</v>
      </c>
      <c r="AA207" s="31">
        <v>0</v>
      </c>
      <c r="AB207" s="31">
        <v>0</v>
      </c>
      <c r="AC207" s="31">
        <v>0</v>
      </c>
      <c r="AD207" s="31">
        <v>0</v>
      </c>
      <c r="AE207" s="31">
        <v>0</v>
      </c>
      <c r="AF207" s="31">
        <v>0</v>
      </c>
      <c r="AG207" s="31">
        <v>0</v>
      </c>
      <c r="AH207" s="31">
        <v>0</v>
      </c>
    </row>
    <row r="208" spans="1:34" x14ac:dyDescent="0.25">
      <c r="A208" s="31">
        <v>30</v>
      </c>
      <c r="B208" s="31">
        <v>24604</v>
      </c>
      <c r="C208" s="31">
        <v>1</v>
      </c>
      <c r="D208" s="31" t="s">
        <v>623</v>
      </c>
      <c r="E208" s="31"/>
      <c r="F208" s="31">
        <v>0</v>
      </c>
      <c r="G208" s="31">
        <v>0</v>
      </c>
      <c r="H208" s="31">
        <v>0</v>
      </c>
      <c r="I208" s="31">
        <v>0</v>
      </c>
      <c r="J208" s="31">
        <v>0</v>
      </c>
      <c r="K208" s="31" t="s">
        <v>882</v>
      </c>
      <c r="L208" s="31">
        <v>0</v>
      </c>
      <c r="M208" s="31">
        <v>0</v>
      </c>
      <c r="N208" s="31">
        <v>0</v>
      </c>
      <c r="O208" s="31">
        <v>0</v>
      </c>
      <c r="P208" s="31">
        <v>0</v>
      </c>
      <c r="Q208" s="31">
        <v>0</v>
      </c>
      <c r="R208" s="31">
        <v>0</v>
      </c>
      <c r="S208" s="31">
        <v>0</v>
      </c>
      <c r="T208" s="31">
        <v>0</v>
      </c>
      <c r="U208" s="31">
        <v>0</v>
      </c>
      <c r="V208" s="31">
        <v>0</v>
      </c>
      <c r="W208" s="31">
        <v>0</v>
      </c>
      <c r="X208" s="31">
        <v>0</v>
      </c>
      <c r="Y208" s="31">
        <v>0</v>
      </c>
      <c r="Z208" s="31">
        <v>0</v>
      </c>
      <c r="AA208" s="31">
        <v>0</v>
      </c>
      <c r="AB208" s="31">
        <v>0</v>
      </c>
      <c r="AC208" s="31">
        <v>0</v>
      </c>
      <c r="AD208" s="31">
        <v>0</v>
      </c>
      <c r="AE208" s="31">
        <v>0</v>
      </c>
      <c r="AF208" s="31">
        <v>0</v>
      </c>
      <c r="AG208" s="31">
        <v>0</v>
      </c>
      <c r="AH208" s="31">
        <v>0</v>
      </c>
    </row>
    <row r="209" spans="1:34" x14ac:dyDescent="0.25">
      <c r="A209" s="31">
        <v>30</v>
      </c>
      <c r="B209" s="31">
        <v>24604</v>
      </c>
      <c r="C209" s="31">
        <v>1</v>
      </c>
      <c r="D209" s="31" t="s">
        <v>624</v>
      </c>
      <c r="E209" s="31"/>
      <c r="F209" s="31">
        <v>0</v>
      </c>
      <c r="G209" s="31">
        <v>0</v>
      </c>
      <c r="H209" s="31">
        <v>0</v>
      </c>
      <c r="I209" s="31">
        <v>0</v>
      </c>
      <c r="J209" s="31">
        <v>0</v>
      </c>
      <c r="K209" s="31" t="s">
        <v>882</v>
      </c>
      <c r="L209" s="31">
        <v>0</v>
      </c>
      <c r="M209" s="31">
        <v>0</v>
      </c>
      <c r="N209" s="31">
        <v>0</v>
      </c>
      <c r="O209" s="31">
        <v>0</v>
      </c>
      <c r="P209" s="31">
        <v>0</v>
      </c>
      <c r="Q209" s="31">
        <v>0</v>
      </c>
      <c r="R209" s="31">
        <v>0</v>
      </c>
      <c r="S209" s="31">
        <v>0</v>
      </c>
      <c r="T209" s="31">
        <v>0</v>
      </c>
      <c r="U209" s="31">
        <v>0</v>
      </c>
      <c r="V209" s="31">
        <v>0</v>
      </c>
      <c r="W209" s="31">
        <v>0</v>
      </c>
      <c r="X209" s="31">
        <v>0</v>
      </c>
      <c r="Y209" s="31">
        <v>0</v>
      </c>
      <c r="Z209" s="31">
        <v>0</v>
      </c>
      <c r="AA209" s="31">
        <v>0</v>
      </c>
      <c r="AB209" s="31">
        <v>0</v>
      </c>
      <c r="AC209" s="31">
        <v>0</v>
      </c>
      <c r="AD209" s="31">
        <v>0</v>
      </c>
      <c r="AE209" s="31">
        <v>0</v>
      </c>
      <c r="AF209" s="31">
        <v>0</v>
      </c>
      <c r="AG209" s="31">
        <v>0</v>
      </c>
      <c r="AH209" s="31">
        <v>0</v>
      </c>
    </row>
    <row r="210" spans="1:34" x14ac:dyDescent="0.25">
      <c r="A210" s="31">
        <v>30</v>
      </c>
      <c r="B210" s="31">
        <v>24604</v>
      </c>
      <c r="C210" s="31">
        <v>1</v>
      </c>
      <c r="D210" s="31" t="s">
        <v>625</v>
      </c>
      <c r="E210" s="31"/>
      <c r="F210" s="31">
        <v>0</v>
      </c>
      <c r="G210" s="31">
        <v>0</v>
      </c>
      <c r="H210" s="31">
        <v>0</v>
      </c>
      <c r="I210" s="31">
        <v>0</v>
      </c>
      <c r="J210" s="31">
        <v>0</v>
      </c>
      <c r="K210" s="31" t="s">
        <v>882</v>
      </c>
      <c r="L210" s="31">
        <v>0</v>
      </c>
      <c r="M210" s="31">
        <v>0</v>
      </c>
      <c r="N210" s="31">
        <v>0</v>
      </c>
      <c r="O210" s="31">
        <v>0</v>
      </c>
      <c r="P210" s="31">
        <v>0</v>
      </c>
      <c r="Q210" s="31">
        <v>0</v>
      </c>
      <c r="R210" s="31">
        <v>0</v>
      </c>
      <c r="S210" s="31">
        <v>0</v>
      </c>
      <c r="T210" s="31">
        <v>0</v>
      </c>
      <c r="U210" s="31">
        <v>0</v>
      </c>
      <c r="V210" s="31">
        <v>0</v>
      </c>
      <c r="W210" s="31">
        <v>0</v>
      </c>
      <c r="X210" s="31">
        <v>0</v>
      </c>
      <c r="Y210" s="31">
        <v>0</v>
      </c>
      <c r="Z210" s="31">
        <v>0</v>
      </c>
      <c r="AA210" s="31">
        <v>0</v>
      </c>
      <c r="AB210" s="31">
        <v>0</v>
      </c>
      <c r="AC210" s="31">
        <v>0</v>
      </c>
      <c r="AD210" s="31">
        <v>0</v>
      </c>
      <c r="AE210" s="31">
        <v>0</v>
      </c>
      <c r="AF210" s="31">
        <v>0</v>
      </c>
      <c r="AG210" s="31">
        <v>0</v>
      </c>
      <c r="AH210" s="31">
        <v>0</v>
      </c>
    </row>
    <row r="211" spans="1:34" x14ac:dyDescent="0.25">
      <c r="A211" s="31">
        <v>30</v>
      </c>
      <c r="B211" s="31">
        <v>24604</v>
      </c>
      <c r="C211" s="31">
        <v>1</v>
      </c>
      <c r="D211" s="31" t="s">
        <v>626</v>
      </c>
      <c r="E211" s="31"/>
      <c r="F211" s="31">
        <v>0</v>
      </c>
      <c r="G211" s="31">
        <v>0</v>
      </c>
      <c r="H211" s="31">
        <v>0</v>
      </c>
      <c r="I211" s="31">
        <v>0</v>
      </c>
      <c r="J211" s="31">
        <v>0</v>
      </c>
      <c r="K211" s="31" t="s">
        <v>882</v>
      </c>
      <c r="L211" s="31">
        <v>0</v>
      </c>
      <c r="M211" s="31">
        <v>0</v>
      </c>
      <c r="N211" s="31">
        <v>0</v>
      </c>
      <c r="O211" s="31">
        <v>0</v>
      </c>
      <c r="P211" s="31">
        <v>0</v>
      </c>
      <c r="Q211" s="31">
        <v>0</v>
      </c>
      <c r="R211" s="31">
        <v>0</v>
      </c>
      <c r="S211" s="31">
        <v>0</v>
      </c>
      <c r="T211" s="31">
        <v>0</v>
      </c>
      <c r="U211" s="31">
        <v>0</v>
      </c>
      <c r="V211" s="31">
        <v>0</v>
      </c>
      <c r="W211" s="31">
        <v>0</v>
      </c>
      <c r="X211" s="31">
        <v>0</v>
      </c>
      <c r="Y211" s="31">
        <v>0</v>
      </c>
      <c r="Z211" s="31">
        <v>0</v>
      </c>
      <c r="AA211" s="31">
        <v>0</v>
      </c>
      <c r="AB211" s="31">
        <v>0</v>
      </c>
      <c r="AC211" s="31">
        <v>0</v>
      </c>
      <c r="AD211" s="31">
        <v>0</v>
      </c>
      <c r="AE211" s="31">
        <v>0</v>
      </c>
      <c r="AF211" s="31">
        <v>0</v>
      </c>
      <c r="AG211" s="31">
        <v>0</v>
      </c>
      <c r="AH211" s="31">
        <v>0</v>
      </c>
    </row>
    <row r="212" spans="1:34" x14ac:dyDescent="0.25">
      <c r="A212" s="31">
        <v>30</v>
      </c>
      <c r="B212" s="31">
        <v>24604</v>
      </c>
      <c r="C212" s="31">
        <v>1</v>
      </c>
      <c r="D212" s="31" t="s">
        <v>627</v>
      </c>
      <c r="E212" s="31"/>
      <c r="F212" s="31">
        <v>0</v>
      </c>
      <c r="G212" s="31">
        <v>0</v>
      </c>
      <c r="H212" s="31">
        <v>0</v>
      </c>
      <c r="I212" s="31">
        <v>0</v>
      </c>
      <c r="J212" s="31">
        <v>0</v>
      </c>
      <c r="K212" s="31" t="s">
        <v>882</v>
      </c>
      <c r="L212" s="31">
        <v>0</v>
      </c>
      <c r="M212" s="31">
        <v>0</v>
      </c>
      <c r="N212" s="31">
        <v>0</v>
      </c>
      <c r="O212" s="31">
        <v>0</v>
      </c>
      <c r="P212" s="31">
        <v>0</v>
      </c>
      <c r="Q212" s="31">
        <v>0</v>
      </c>
      <c r="R212" s="31">
        <v>0</v>
      </c>
      <c r="S212" s="31">
        <v>0</v>
      </c>
      <c r="T212" s="31">
        <v>0</v>
      </c>
      <c r="U212" s="31">
        <v>0</v>
      </c>
      <c r="V212" s="31">
        <v>0</v>
      </c>
      <c r="W212" s="31">
        <v>0</v>
      </c>
      <c r="X212" s="31">
        <v>0</v>
      </c>
      <c r="Y212" s="31">
        <v>0</v>
      </c>
      <c r="Z212" s="31">
        <v>0</v>
      </c>
      <c r="AA212" s="31">
        <v>0</v>
      </c>
      <c r="AB212" s="31">
        <v>0</v>
      </c>
      <c r="AC212" s="31">
        <v>0</v>
      </c>
      <c r="AD212" s="31">
        <v>0</v>
      </c>
      <c r="AE212" s="31">
        <v>0</v>
      </c>
      <c r="AF212" s="31">
        <v>0</v>
      </c>
      <c r="AG212" s="31">
        <v>0</v>
      </c>
      <c r="AH212" s="31">
        <v>0</v>
      </c>
    </row>
    <row r="213" spans="1:34" x14ac:dyDescent="0.25">
      <c r="A213" s="31">
        <v>30</v>
      </c>
      <c r="B213" s="31">
        <v>24604</v>
      </c>
      <c r="C213" s="31">
        <v>1</v>
      </c>
      <c r="D213" s="31" t="s">
        <v>628</v>
      </c>
      <c r="E213" s="31"/>
      <c r="F213" s="31">
        <v>0</v>
      </c>
      <c r="G213" s="31">
        <v>0</v>
      </c>
      <c r="H213" s="31">
        <v>0</v>
      </c>
      <c r="I213" s="31">
        <v>0</v>
      </c>
      <c r="J213" s="31">
        <v>0</v>
      </c>
      <c r="K213" s="31" t="s">
        <v>882</v>
      </c>
      <c r="L213" s="31">
        <v>0</v>
      </c>
      <c r="M213" s="31">
        <v>0</v>
      </c>
      <c r="N213" s="31">
        <v>0</v>
      </c>
      <c r="O213" s="31">
        <v>0</v>
      </c>
      <c r="P213" s="31">
        <v>0</v>
      </c>
      <c r="Q213" s="31">
        <v>0</v>
      </c>
      <c r="R213" s="31">
        <v>0</v>
      </c>
      <c r="S213" s="31">
        <v>0</v>
      </c>
      <c r="T213" s="31">
        <v>0</v>
      </c>
      <c r="U213" s="31">
        <v>0</v>
      </c>
      <c r="V213" s="31">
        <v>0</v>
      </c>
      <c r="W213" s="31">
        <v>0</v>
      </c>
      <c r="X213" s="31">
        <v>0</v>
      </c>
      <c r="Y213" s="31">
        <v>0</v>
      </c>
      <c r="Z213" s="31">
        <v>0</v>
      </c>
      <c r="AA213" s="31">
        <v>0</v>
      </c>
      <c r="AB213" s="31">
        <v>0</v>
      </c>
      <c r="AC213" s="31">
        <v>0</v>
      </c>
      <c r="AD213" s="31">
        <v>0</v>
      </c>
      <c r="AE213" s="31">
        <v>0</v>
      </c>
      <c r="AF213" s="31">
        <v>0</v>
      </c>
      <c r="AG213" s="31">
        <v>0</v>
      </c>
      <c r="AH213" s="31">
        <v>0</v>
      </c>
    </row>
    <row r="214" spans="1:34" x14ac:dyDescent="0.25">
      <c r="A214" s="31">
        <v>30</v>
      </c>
      <c r="B214" s="31">
        <v>24604</v>
      </c>
      <c r="C214" s="31">
        <v>1</v>
      </c>
      <c r="D214" s="31" t="s">
        <v>629</v>
      </c>
      <c r="E214" s="31"/>
      <c r="F214" s="31">
        <v>0</v>
      </c>
      <c r="G214" s="31">
        <v>0</v>
      </c>
      <c r="H214" s="31">
        <v>0</v>
      </c>
      <c r="I214" s="31">
        <v>0</v>
      </c>
      <c r="J214" s="31">
        <v>0</v>
      </c>
      <c r="K214" s="31" t="s">
        <v>882</v>
      </c>
      <c r="L214" s="31">
        <v>0</v>
      </c>
      <c r="M214" s="31">
        <v>0</v>
      </c>
      <c r="N214" s="31">
        <v>0</v>
      </c>
      <c r="O214" s="31">
        <v>0</v>
      </c>
      <c r="P214" s="31">
        <v>0</v>
      </c>
      <c r="Q214" s="31">
        <v>0</v>
      </c>
      <c r="R214" s="31">
        <v>0</v>
      </c>
      <c r="S214" s="31">
        <v>0</v>
      </c>
      <c r="T214" s="31">
        <v>0</v>
      </c>
      <c r="U214" s="31">
        <v>0</v>
      </c>
      <c r="V214" s="31">
        <v>0</v>
      </c>
      <c r="W214" s="31">
        <v>0</v>
      </c>
      <c r="X214" s="31">
        <v>0</v>
      </c>
      <c r="Y214" s="31">
        <v>0</v>
      </c>
      <c r="Z214" s="31">
        <v>0</v>
      </c>
      <c r="AA214" s="31">
        <v>0</v>
      </c>
      <c r="AB214" s="31">
        <v>0</v>
      </c>
      <c r="AC214" s="31">
        <v>0</v>
      </c>
      <c r="AD214" s="31">
        <v>0</v>
      </c>
      <c r="AE214" s="31">
        <v>0</v>
      </c>
      <c r="AF214" s="31">
        <v>0</v>
      </c>
      <c r="AG214" s="31">
        <v>0</v>
      </c>
      <c r="AH214" s="31">
        <v>0</v>
      </c>
    </row>
    <row r="215" spans="1:34" x14ac:dyDescent="0.25">
      <c r="A215" s="31">
        <v>30</v>
      </c>
      <c r="B215" s="31">
        <v>24604</v>
      </c>
      <c r="C215" s="31">
        <v>1</v>
      </c>
      <c r="D215" s="31" t="s">
        <v>630</v>
      </c>
      <c r="E215" s="31"/>
      <c r="F215" s="31">
        <v>0</v>
      </c>
      <c r="G215" s="31">
        <v>0</v>
      </c>
      <c r="H215" s="31">
        <v>0</v>
      </c>
      <c r="I215" s="31">
        <v>0</v>
      </c>
      <c r="J215" s="31">
        <v>0</v>
      </c>
      <c r="K215" s="31" t="s">
        <v>882</v>
      </c>
      <c r="L215" s="31">
        <v>0</v>
      </c>
      <c r="M215" s="31">
        <v>0</v>
      </c>
      <c r="N215" s="31">
        <v>0</v>
      </c>
      <c r="O215" s="31">
        <v>0</v>
      </c>
      <c r="P215" s="31">
        <v>0</v>
      </c>
      <c r="Q215" s="31">
        <v>0</v>
      </c>
      <c r="R215" s="31">
        <v>0</v>
      </c>
      <c r="S215" s="31">
        <v>0</v>
      </c>
      <c r="T215" s="31">
        <v>0</v>
      </c>
      <c r="U215" s="31">
        <v>0</v>
      </c>
      <c r="V215" s="31">
        <v>0</v>
      </c>
      <c r="W215" s="31">
        <v>0</v>
      </c>
      <c r="X215" s="31">
        <v>0</v>
      </c>
      <c r="Y215" s="31">
        <v>0</v>
      </c>
      <c r="Z215" s="31">
        <v>0</v>
      </c>
      <c r="AA215" s="31">
        <v>0</v>
      </c>
      <c r="AB215" s="31">
        <v>0</v>
      </c>
      <c r="AC215" s="31">
        <v>0</v>
      </c>
      <c r="AD215" s="31">
        <v>0</v>
      </c>
      <c r="AE215" s="31">
        <v>0</v>
      </c>
      <c r="AF215" s="31">
        <v>0</v>
      </c>
      <c r="AG215" s="31">
        <v>0</v>
      </c>
      <c r="AH215" s="31">
        <v>0</v>
      </c>
    </row>
    <row r="216" spans="1:34" x14ac:dyDescent="0.25">
      <c r="A216" s="31">
        <v>30</v>
      </c>
      <c r="B216" s="31">
        <v>24604</v>
      </c>
      <c r="C216" s="31">
        <v>1</v>
      </c>
      <c r="D216" s="31" t="s">
        <v>631</v>
      </c>
      <c r="E216" s="31"/>
      <c r="F216" s="31">
        <v>0</v>
      </c>
      <c r="G216" s="31">
        <v>0</v>
      </c>
      <c r="H216" s="31">
        <v>0</v>
      </c>
      <c r="I216" s="31">
        <v>0</v>
      </c>
      <c r="J216" s="31">
        <v>0</v>
      </c>
      <c r="K216" s="31" t="s">
        <v>882</v>
      </c>
      <c r="L216" s="31">
        <v>0</v>
      </c>
      <c r="M216" s="31">
        <v>0</v>
      </c>
      <c r="N216" s="31">
        <v>0</v>
      </c>
      <c r="O216" s="31">
        <v>0</v>
      </c>
      <c r="P216" s="31">
        <v>0</v>
      </c>
      <c r="Q216" s="31">
        <v>0</v>
      </c>
      <c r="R216" s="31">
        <v>0</v>
      </c>
      <c r="S216" s="31">
        <v>0</v>
      </c>
      <c r="T216" s="31">
        <v>0</v>
      </c>
      <c r="U216" s="31">
        <v>0</v>
      </c>
      <c r="V216" s="31">
        <v>0</v>
      </c>
      <c r="W216" s="31">
        <v>0</v>
      </c>
      <c r="X216" s="31">
        <v>0</v>
      </c>
      <c r="Y216" s="31">
        <v>0</v>
      </c>
      <c r="Z216" s="31">
        <v>0</v>
      </c>
      <c r="AA216" s="31">
        <v>0</v>
      </c>
      <c r="AB216" s="31">
        <v>0</v>
      </c>
      <c r="AC216" s="31">
        <v>0</v>
      </c>
      <c r="AD216" s="31">
        <v>0</v>
      </c>
      <c r="AE216" s="31">
        <v>0</v>
      </c>
      <c r="AF216" s="31">
        <v>0</v>
      </c>
      <c r="AG216" s="31">
        <v>0</v>
      </c>
      <c r="AH216" s="31">
        <v>0</v>
      </c>
    </row>
    <row r="217" spans="1:34" x14ac:dyDescent="0.25">
      <c r="A217" s="31">
        <v>30</v>
      </c>
      <c r="B217" s="31">
        <v>24604</v>
      </c>
      <c r="C217" s="31">
        <v>1</v>
      </c>
      <c r="D217" s="31" t="s">
        <v>632</v>
      </c>
      <c r="E217" s="31"/>
      <c r="F217" s="31">
        <v>0</v>
      </c>
      <c r="G217" s="31">
        <v>0</v>
      </c>
      <c r="H217" s="31">
        <v>0</v>
      </c>
      <c r="I217" s="31">
        <v>0</v>
      </c>
      <c r="J217" s="31">
        <v>0</v>
      </c>
      <c r="K217" s="31" t="s">
        <v>882</v>
      </c>
      <c r="L217" s="31">
        <v>0</v>
      </c>
      <c r="M217" s="31">
        <v>0</v>
      </c>
      <c r="N217" s="31">
        <v>0</v>
      </c>
      <c r="O217" s="31">
        <v>0</v>
      </c>
      <c r="P217" s="31">
        <v>0</v>
      </c>
      <c r="Q217" s="31">
        <v>0</v>
      </c>
      <c r="R217" s="31">
        <v>0</v>
      </c>
      <c r="S217" s="31">
        <v>0</v>
      </c>
      <c r="T217" s="31">
        <v>0</v>
      </c>
      <c r="U217" s="31">
        <v>0</v>
      </c>
      <c r="V217" s="31">
        <v>0</v>
      </c>
      <c r="W217" s="31">
        <v>0</v>
      </c>
      <c r="X217" s="31">
        <v>0</v>
      </c>
      <c r="Y217" s="31">
        <v>0</v>
      </c>
      <c r="Z217" s="31">
        <v>0</v>
      </c>
      <c r="AA217" s="31">
        <v>0</v>
      </c>
      <c r="AB217" s="31">
        <v>0</v>
      </c>
      <c r="AC217" s="31">
        <v>0</v>
      </c>
      <c r="AD217" s="31">
        <v>0</v>
      </c>
      <c r="AE217" s="31">
        <v>0</v>
      </c>
      <c r="AF217" s="31">
        <v>0</v>
      </c>
      <c r="AG217" s="31">
        <v>0</v>
      </c>
      <c r="AH217" s="31">
        <v>0</v>
      </c>
    </row>
    <row r="218" spans="1:34" x14ac:dyDescent="0.25">
      <c r="A218" s="31">
        <v>30</v>
      </c>
      <c r="B218" s="31">
        <v>24604</v>
      </c>
      <c r="C218" s="31">
        <v>1</v>
      </c>
      <c r="D218" s="31" t="s">
        <v>633</v>
      </c>
      <c r="E218" s="31"/>
      <c r="F218" s="31">
        <v>0</v>
      </c>
      <c r="G218" s="31">
        <v>0</v>
      </c>
      <c r="H218" s="31">
        <v>0</v>
      </c>
      <c r="I218" s="31">
        <v>0</v>
      </c>
      <c r="J218" s="31">
        <v>0</v>
      </c>
      <c r="K218" s="31" t="s">
        <v>882</v>
      </c>
      <c r="L218" s="31">
        <v>0</v>
      </c>
      <c r="M218" s="31">
        <v>0</v>
      </c>
      <c r="N218" s="31">
        <v>0</v>
      </c>
      <c r="O218" s="31">
        <v>0</v>
      </c>
      <c r="P218" s="31">
        <v>0</v>
      </c>
      <c r="Q218" s="31">
        <v>0</v>
      </c>
      <c r="R218" s="31">
        <v>0</v>
      </c>
      <c r="S218" s="31">
        <v>0</v>
      </c>
      <c r="T218" s="31">
        <v>0</v>
      </c>
      <c r="U218" s="31">
        <v>0</v>
      </c>
      <c r="V218" s="31">
        <v>0</v>
      </c>
      <c r="W218" s="31">
        <v>0</v>
      </c>
      <c r="X218" s="31">
        <v>0</v>
      </c>
      <c r="Y218" s="31">
        <v>0</v>
      </c>
      <c r="Z218" s="31">
        <v>0</v>
      </c>
      <c r="AA218" s="31">
        <v>0</v>
      </c>
      <c r="AB218" s="31">
        <v>0</v>
      </c>
      <c r="AC218" s="31">
        <v>0</v>
      </c>
      <c r="AD218" s="31">
        <v>0</v>
      </c>
      <c r="AE218" s="31">
        <v>0</v>
      </c>
      <c r="AF218" s="31">
        <v>0</v>
      </c>
      <c r="AG218" s="31">
        <v>0</v>
      </c>
      <c r="AH218" s="31">
        <v>0</v>
      </c>
    </row>
    <row r="219" spans="1:34" x14ac:dyDescent="0.25">
      <c r="A219" s="31">
        <v>30</v>
      </c>
      <c r="B219" s="31">
        <v>24604</v>
      </c>
      <c r="C219" s="31">
        <v>1</v>
      </c>
      <c r="D219" s="31" t="s">
        <v>634</v>
      </c>
      <c r="E219" s="31"/>
      <c r="F219" s="31">
        <v>0</v>
      </c>
      <c r="G219" s="31">
        <v>0</v>
      </c>
      <c r="H219" s="31">
        <v>0</v>
      </c>
      <c r="I219" s="31">
        <v>0</v>
      </c>
      <c r="J219" s="31">
        <v>0</v>
      </c>
      <c r="K219" s="31" t="s">
        <v>882</v>
      </c>
      <c r="L219" s="31">
        <v>0</v>
      </c>
      <c r="M219" s="31">
        <v>0</v>
      </c>
      <c r="N219" s="31">
        <v>0</v>
      </c>
      <c r="O219" s="31">
        <v>0</v>
      </c>
      <c r="P219" s="31">
        <v>0</v>
      </c>
      <c r="Q219" s="31">
        <v>0</v>
      </c>
      <c r="R219" s="31">
        <v>0</v>
      </c>
      <c r="S219" s="31">
        <v>0</v>
      </c>
      <c r="T219" s="31">
        <v>0</v>
      </c>
      <c r="U219" s="31">
        <v>0</v>
      </c>
      <c r="V219" s="31">
        <v>0</v>
      </c>
      <c r="W219" s="31">
        <v>0</v>
      </c>
      <c r="X219" s="31">
        <v>0</v>
      </c>
      <c r="Y219" s="31">
        <v>0</v>
      </c>
      <c r="Z219" s="31">
        <v>0</v>
      </c>
      <c r="AA219" s="31">
        <v>0</v>
      </c>
      <c r="AB219" s="31">
        <v>0</v>
      </c>
      <c r="AC219" s="31">
        <v>0</v>
      </c>
      <c r="AD219" s="31">
        <v>0</v>
      </c>
      <c r="AE219" s="31">
        <v>0</v>
      </c>
      <c r="AF219" s="31">
        <v>0</v>
      </c>
      <c r="AG219" s="31">
        <v>0</v>
      </c>
      <c r="AH219" s="31">
        <v>0</v>
      </c>
    </row>
    <row r="220" spans="1:34" x14ac:dyDescent="0.25">
      <c r="A220" s="31">
        <v>31</v>
      </c>
      <c r="B220" s="31">
        <v>24604</v>
      </c>
      <c r="C220" s="31">
        <v>1</v>
      </c>
      <c r="D220" s="31" t="s">
        <v>635</v>
      </c>
      <c r="E220" s="31"/>
      <c r="F220" s="31">
        <v>0</v>
      </c>
      <c r="G220" s="31">
        <v>0</v>
      </c>
      <c r="H220" s="31">
        <v>0</v>
      </c>
      <c r="I220" s="31">
        <v>0</v>
      </c>
      <c r="J220" s="31">
        <v>0</v>
      </c>
      <c r="K220" s="31" t="s">
        <v>882</v>
      </c>
      <c r="L220" s="31">
        <v>0</v>
      </c>
      <c r="M220" s="31">
        <v>0</v>
      </c>
      <c r="N220" s="31">
        <v>0</v>
      </c>
      <c r="O220" s="31">
        <v>0</v>
      </c>
      <c r="P220" s="31">
        <v>0</v>
      </c>
      <c r="Q220" s="31">
        <v>0</v>
      </c>
      <c r="R220" s="31">
        <v>0</v>
      </c>
      <c r="S220" s="31">
        <v>0</v>
      </c>
      <c r="T220" s="31">
        <v>0</v>
      </c>
      <c r="U220" s="31">
        <v>0</v>
      </c>
      <c r="V220" s="31">
        <v>0</v>
      </c>
      <c r="W220" s="31">
        <v>0</v>
      </c>
      <c r="X220" s="31">
        <v>0</v>
      </c>
      <c r="Y220" s="31">
        <v>0</v>
      </c>
      <c r="Z220" s="31">
        <v>0</v>
      </c>
      <c r="AA220" s="31">
        <v>0</v>
      </c>
      <c r="AB220" s="31">
        <v>0</v>
      </c>
      <c r="AC220" s="31">
        <v>0</v>
      </c>
      <c r="AD220" s="31">
        <v>0</v>
      </c>
      <c r="AE220" s="31">
        <v>0</v>
      </c>
      <c r="AF220" s="31">
        <v>0</v>
      </c>
      <c r="AG220" s="31">
        <v>0</v>
      </c>
      <c r="AH220" s="31">
        <v>0</v>
      </c>
    </row>
    <row r="221" spans="1:34" x14ac:dyDescent="0.25">
      <c r="A221" s="31">
        <v>31</v>
      </c>
      <c r="B221" s="31">
        <v>24604</v>
      </c>
      <c r="C221" s="31">
        <v>1</v>
      </c>
      <c r="D221" s="31" t="s">
        <v>636</v>
      </c>
      <c r="E221" s="31"/>
      <c r="F221" s="31">
        <v>0</v>
      </c>
      <c r="G221" s="31">
        <v>0</v>
      </c>
      <c r="H221" s="31">
        <v>0</v>
      </c>
      <c r="I221" s="31">
        <v>0</v>
      </c>
      <c r="J221" s="31">
        <v>0</v>
      </c>
      <c r="K221" s="31" t="s">
        <v>882</v>
      </c>
      <c r="L221" s="31">
        <v>0</v>
      </c>
      <c r="M221" s="31">
        <v>0</v>
      </c>
      <c r="N221" s="31">
        <v>0</v>
      </c>
      <c r="O221" s="31">
        <v>0</v>
      </c>
      <c r="P221" s="31">
        <v>0</v>
      </c>
      <c r="Q221" s="31">
        <v>0</v>
      </c>
      <c r="R221" s="31">
        <v>0</v>
      </c>
      <c r="S221" s="31">
        <v>0</v>
      </c>
      <c r="T221" s="31">
        <v>0</v>
      </c>
      <c r="U221" s="31">
        <v>0</v>
      </c>
      <c r="V221" s="31">
        <v>0</v>
      </c>
      <c r="W221" s="31">
        <v>0</v>
      </c>
      <c r="X221" s="31">
        <v>0</v>
      </c>
      <c r="Y221" s="31">
        <v>0</v>
      </c>
      <c r="Z221" s="31">
        <v>0</v>
      </c>
      <c r="AA221" s="31">
        <v>0</v>
      </c>
      <c r="AB221" s="31">
        <v>0</v>
      </c>
      <c r="AC221" s="31">
        <v>0</v>
      </c>
      <c r="AD221" s="31">
        <v>0</v>
      </c>
      <c r="AE221" s="31">
        <v>0</v>
      </c>
      <c r="AF221" s="31">
        <v>0</v>
      </c>
      <c r="AG221" s="31">
        <v>0</v>
      </c>
      <c r="AH221" s="31">
        <v>0</v>
      </c>
    </row>
    <row r="222" spans="1:34" x14ac:dyDescent="0.25">
      <c r="A222" s="31">
        <v>31</v>
      </c>
      <c r="B222" s="31">
        <v>24604</v>
      </c>
      <c r="C222" s="31">
        <v>1</v>
      </c>
      <c r="D222" s="31" t="s">
        <v>637</v>
      </c>
      <c r="E222" s="31"/>
      <c r="F222" s="31">
        <v>0</v>
      </c>
      <c r="G222" s="31">
        <v>0</v>
      </c>
      <c r="H222" s="31">
        <v>0</v>
      </c>
      <c r="I222" s="31">
        <v>0</v>
      </c>
      <c r="J222" s="31">
        <v>0</v>
      </c>
      <c r="K222" s="31" t="s">
        <v>882</v>
      </c>
      <c r="L222" s="31">
        <v>0</v>
      </c>
      <c r="M222" s="31">
        <v>0</v>
      </c>
      <c r="N222" s="31">
        <v>0</v>
      </c>
      <c r="O222" s="31">
        <v>0</v>
      </c>
      <c r="P222" s="31">
        <v>0</v>
      </c>
      <c r="Q222" s="31">
        <v>0</v>
      </c>
      <c r="R222" s="31">
        <v>0</v>
      </c>
      <c r="S222" s="31">
        <v>0</v>
      </c>
      <c r="T222" s="31">
        <v>0</v>
      </c>
      <c r="U222" s="31">
        <v>0</v>
      </c>
      <c r="V222" s="31">
        <v>0</v>
      </c>
      <c r="W222" s="31">
        <v>0</v>
      </c>
      <c r="X222" s="31">
        <v>0</v>
      </c>
      <c r="Y222" s="31">
        <v>0</v>
      </c>
      <c r="Z222" s="31">
        <v>0</v>
      </c>
      <c r="AA222" s="31">
        <v>0</v>
      </c>
      <c r="AB222" s="31">
        <v>0</v>
      </c>
      <c r="AC222" s="31">
        <v>0</v>
      </c>
      <c r="AD222" s="31">
        <v>0</v>
      </c>
      <c r="AE222" s="31">
        <v>0</v>
      </c>
      <c r="AF222" s="31">
        <v>0</v>
      </c>
      <c r="AG222" s="31">
        <v>0</v>
      </c>
      <c r="AH222" s="31">
        <v>0</v>
      </c>
    </row>
    <row r="223" spans="1:34" x14ac:dyDescent="0.25">
      <c r="A223" s="31">
        <v>31</v>
      </c>
      <c r="B223" s="31">
        <v>24604</v>
      </c>
      <c r="C223" s="31">
        <v>1</v>
      </c>
      <c r="D223" s="31" t="s">
        <v>638</v>
      </c>
      <c r="E223" s="31"/>
      <c r="F223" s="31">
        <v>0</v>
      </c>
      <c r="G223" s="31">
        <v>0</v>
      </c>
      <c r="H223" s="31">
        <v>0</v>
      </c>
      <c r="I223" s="31">
        <v>0</v>
      </c>
      <c r="J223" s="31">
        <v>0</v>
      </c>
      <c r="K223" s="31" t="s">
        <v>882</v>
      </c>
      <c r="L223" s="31">
        <v>0</v>
      </c>
      <c r="M223" s="31">
        <v>0</v>
      </c>
      <c r="N223" s="31">
        <v>0</v>
      </c>
      <c r="O223" s="31">
        <v>0</v>
      </c>
      <c r="P223" s="31">
        <v>0</v>
      </c>
      <c r="Q223" s="31">
        <v>0</v>
      </c>
      <c r="R223" s="31">
        <v>0</v>
      </c>
      <c r="S223" s="31">
        <v>0</v>
      </c>
      <c r="T223" s="31">
        <v>0</v>
      </c>
      <c r="U223" s="31">
        <v>0</v>
      </c>
      <c r="V223" s="31">
        <v>0</v>
      </c>
      <c r="W223" s="31">
        <v>0</v>
      </c>
      <c r="X223" s="31">
        <v>0</v>
      </c>
      <c r="Y223" s="31">
        <v>0</v>
      </c>
      <c r="Z223" s="31">
        <v>0</v>
      </c>
      <c r="AA223" s="31">
        <v>0</v>
      </c>
      <c r="AB223" s="31">
        <v>0</v>
      </c>
      <c r="AC223" s="31">
        <v>0</v>
      </c>
      <c r="AD223" s="31">
        <v>0</v>
      </c>
      <c r="AE223" s="31">
        <v>0</v>
      </c>
      <c r="AF223" s="31">
        <v>0</v>
      </c>
      <c r="AG223" s="31">
        <v>0</v>
      </c>
      <c r="AH223" s="31">
        <v>0</v>
      </c>
    </row>
    <row r="224" spans="1:34" x14ac:dyDescent="0.25">
      <c r="A224" s="31">
        <v>31</v>
      </c>
      <c r="B224" s="31">
        <v>24604</v>
      </c>
      <c r="C224" s="31">
        <v>1</v>
      </c>
      <c r="D224" s="31" t="s">
        <v>639</v>
      </c>
      <c r="E224" s="31"/>
      <c r="F224" s="31">
        <v>0</v>
      </c>
      <c r="G224" s="31">
        <v>0</v>
      </c>
      <c r="H224" s="31">
        <v>0</v>
      </c>
      <c r="I224" s="31">
        <v>0</v>
      </c>
      <c r="J224" s="31">
        <v>0</v>
      </c>
      <c r="K224" s="31" t="s">
        <v>882</v>
      </c>
      <c r="L224" s="31">
        <v>0</v>
      </c>
      <c r="M224" s="31">
        <v>0</v>
      </c>
      <c r="N224" s="31">
        <v>0</v>
      </c>
      <c r="O224" s="31">
        <v>0</v>
      </c>
      <c r="P224" s="31">
        <v>0</v>
      </c>
      <c r="Q224" s="31">
        <v>0</v>
      </c>
      <c r="R224" s="31">
        <v>0</v>
      </c>
      <c r="S224" s="31">
        <v>0</v>
      </c>
      <c r="T224" s="31">
        <v>0</v>
      </c>
      <c r="U224" s="31">
        <v>0</v>
      </c>
      <c r="V224" s="31">
        <v>0</v>
      </c>
      <c r="W224" s="31">
        <v>0</v>
      </c>
      <c r="X224" s="31">
        <v>0</v>
      </c>
      <c r="Y224" s="31">
        <v>0</v>
      </c>
      <c r="Z224" s="31">
        <v>0</v>
      </c>
      <c r="AA224" s="31">
        <v>0</v>
      </c>
      <c r="AB224" s="31">
        <v>0</v>
      </c>
      <c r="AC224" s="31">
        <v>0</v>
      </c>
      <c r="AD224" s="31">
        <v>0</v>
      </c>
      <c r="AE224" s="31">
        <v>0</v>
      </c>
      <c r="AF224" s="31">
        <v>0</v>
      </c>
      <c r="AG224" s="31">
        <v>0</v>
      </c>
      <c r="AH224" s="31">
        <v>0</v>
      </c>
    </row>
    <row r="225" spans="1:34" x14ac:dyDescent="0.25">
      <c r="A225" s="31">
        <v>31</v>
      </c>
      <c r="B225" s="31">
        <v>24604</v>
      </c>
      <c r="C225" s="31">
        <v>1</v>
      </c>
      <c r="D225" s="31" t="s">
        <v>640</v>
      </c>
      <c r="E225" s="31"/>
      <c r="F225" s="31">
        <v>0</v>
      </c>
      <c r="G225" s="31">
        <v>0</v>
      </c>
      <c r="H225" s="31">
        <v>0</v>
      </c>
      <c r="I225" s="31">
        <v>0</v>
      </c>
      <c r="J225" s="31">
        <v>0</v>
      </c>
      <c r="K225" s="31" t="s">
        <v>882</v>
      </c>
      <c r="L225" s="31">
        <v>0</v>
      </c>
      <c r="M225" s="31">
        <v>0</v>
      </c>
      <c r="N225" s="31">
        <v>0</v>
      </c>
      <c r="O225" s="31">
        <v>0</v>
      </c>
      <c r="P225" s="31">
        <v>0</v>
      </c>
      <c r="Q225" s="31">
        <v>0</v>
      </c>
      <c r="R225" s="31">
        <v>0</v>
      </c>
      <c r="S225" s="31">
        <v>0</v>
      </c>
      <c r="T225" s="31">
        <v>0</v>
      </c>
      <c r="U225" s="31">
        <v>0</v>
      </c>
      <c r="V225" s="31">
        <v>0</v>
      </c>
      <c r="W225" s="31">
        <v>0</v>
      </c>
      <c r="X225" s="31">
        <v>0</v>
      </c>
      <c r="Y225" s="31">
        <v>0</v>
      </c>
      <c r="Z225" s="31">
        <v>0</v>
      </c>
      <c r="AA225" s="31">
        <v>0</v>
      </c>
      <c r="AB225" s="31">
        <v>0</v>
      </c>
      <c r="AC225" s="31">
        <v>0</v>
      </c>
      <c r="AD225" s="31">
        <v>0</v>
      </c>
      <c r="AE225" s="31">
        <v>0</v>
      </c>
      <c r="AF225" s="31">
        <v>0</v>
      </c>
      <c r="AG225" s="31">
        <v>0</v>
      </c>
      <c r="AH225" s="31">
        <v>0</v>
      </c>
    </row>
    <row r="226" spans="1:34" x14ac:dyDescent="0.25">
      <c r="A226" s="31">
        <v>31</v>
      </c>
      <c r="B226" s="31">
        <v>24604</v>
      </c>
      <c r="C226" s="31">
        <v>1</v>
      </c>
      <c r="D226" s="31" t="s">
        <v>641</v>
      </c>
      <c r="E226" s="31"/>
      <c r="F226" s="31">
        <v>0</v>
      </c>
      <c r="G226" s="31">
        <v>0</v>
      </c>
      <c r="H226" s="31">
        <v>0</v>
      </c>
      <c r="I226" s="31">
        <v>0</v>
      </c>
      <c r="J226" s="31">
        <v>0</v>
      </c>
      <c r="K226" s="31" t="s">
        <v>882</v>
      </c>
      <c r="L226" s="31">
        <v>0</v>
      </c>
      <c r="M226" s="31">
        <v>0</v>
      </c>
      <c r="N226" s="31">
        <v>0</v>
      </c>
      <c r="O226" s="31">
        <v>0</v>
      </c>
      <c r="P226" s="31">
        <v>0</v>
      </c>
      <c r="Q226" s="31">
        <v>0</v>
      </c>
      <c r="R226" s="31">
        <v>0</v>
      </c>
      <c r="S226" s="31">
        <v>0</v>
      </c>
      <c r="T226" s="31">
        <v>0</v>
      </c>
      <c r="U226" s="31">
        <v>0</v>
      </c>
      <c r="V226" s="31">
        <v>0</v>
      </c>
      <c r="W226" s="31">
        <v>0</v>
      </c>
      <c r="X226" s="31">
        <v>0</v>
      </c>
      <c r="Y226" s="31">
        <v>0</v>
      </c>
      <c r="Z226" s="31">
        <v>0</v>
      </c>
      <c r="AA226" s="31">
        <v>0</v>
      </c>
      <c r="AB226" s="31">
        <v>0</v>
      </c>
      <c r="AC226" s="31">
        <v>0</v>
      </c>
      <c r="AD226" s="31">
        <v>0</v>
      </c>
      <c r="AE226" s="31">
        <v>0</v>
      </c>
      <c r="AF226" s="31">
        <v>0</v>
      </c>
      <c r="AG226" s="31">
        <v>0</v>
      </c>
      <c r="AH226" s="31">
        <v>0</v>
      </c>
    </row>
    <row r="227" spans="1:34" x14ac:dyDescent="0.25">
      <c r="A227" s="31">
        <v>31</v>
      </c>
      <c r="B227" s="31">
        <v>24604</v>
      </c>
      <c r="C227" s="31">
        <v>1</v>
      </c>
      <c r="D227" s="31" t="s">
        <v>642</v>
      </c>
      <c r="E227" s="31"/>
      <c r="F227" s="31">
        <v>0</v>
      </c>
      <c r="G227" s="31">
        <v>0</v>
      </c>
      <c r="H227" s="31">
        <v>0</v>
      </c>
      <c r="I227" s="31">
        <v>0</v>
      </c>
      <c r="J227" s="31">
        <v>0</v>
      </c>
      <c r="K227" s="31" t="s">
        <v>882</v>
      </c>
      <c r="L227" s="31">
        <v>0</v>
      </c>
      <c r="M227" s="31">
        <v>0</v>
      </c>
      <c r="N227" s="31">
        <v>0</v>
      </c>
      <c r="O227" s="31">
        <v>0</v>
      </c>
      <c r="P227" s="31">
        <v>0</v>
      </c>
      <c r="Q227" s="31">
        <v>0</v>
      </c>
      <c r="R227" s="31">
        <v>0</v>
      </c>
      <c r="S227" s="31">
        <v>0</v>
      </c>
      <c r="T227" s="31">
        <v>0</v>
      </c>
      <c r="U227" s="31">
        <v>0</v>
      </c>
      <c r="V227" s="31">
        <v>0</v>
      </c>
      <c r="W227" s="31">
        <v>0</v>
      </c>
      <c r="X227" s="31">
        <v>0</v>
      </c>
      <c r="Y227" s="31">
        <v>0</v>
      </c>
      <c r="Z227" s="31">
        <v>0</v>
      </c>
      <c r="AA227" s="31">
        <v>0</v>
      </c>
      <c r="AB227" s="31">
        <v>0</v>
      </c>
      <c r="AC227" s="31">
        <v>0</v>
      </c>
      <c r="AD227" s="31">
        <v>0</v>
      </c>
      <c r="AE227" s="31">
        <v>0</v>
      </c>
      <c r="AF227" s="31">
        <v>0</v>
      </c>
      <c r="AG227" s="31">
        <v>0</v>
      </c>
      <c r="AH227" s="31">
        <v>0</v>
      </c>
    </row>
    <row r="228" spans="1:34" x14ac:dyDescent="0.25">
      <c r="A228" s="31">
        <v>31</v>
      </c>
      <c r="B228" s="31">
        <v>24604</v>
      </c>
      <c r="C228" s="31">
        <v>1</v>
      </c>
      <c r="D228" s="31" t="s">
        <v>643</v>
      </c>
      <c r="E228" s="31"/>
      <c r="F228" s="31">
        <v>0</v>
      </c>
      <c r="G228" s="31">
        <v>0</v>
      </c>
      <c r="H228" s="31">
        <v>0</v>
      </c>
      <c r="I228" s="31">
        <v>0</v>
      </c>
      <c r="J228" s="31">
        <v>0</v>
      </c>
      <c r="K228" s="31" t="s">
        <v>882</v>
      </c>
      <c r="L228" s="31">
        <v>0</v>
      </c>
      <c r="M228" s="31">
        <v>0</v>
      </c>
      <c r="N228" s="31">
        <v>0</v>
      </c>
      <c r="O228" s="31">
        <v>0</v>
      </c>
      <c r="P228" s="31">
        <v>0</v>
      </c>
      <c r="Q228" s="31">
        <v>0</v>
      </c>
      <c r="R228" s="31">
        <v>0</v>
      </c>
      <c r="S228" s="31">
        <v>0</v>
      </c>
      <c r="T228" s="31">
        <v>0</v>
      </c>
      <c r="U228" s="31">
        <v>0</v>
      </c>
      <c r="V228" s="31">
        <v>0</v>
      </c>
      <c r="W228" s="31">
        <v>0</v>
      </c>
      <c r="X228" s="31">
        <v>0</v>
      </c>
      <c r="Y228" s="31">
        <v>0</v>
      </c>
      <c r="Z228" s="31">
        <v>0</v>
      </c>
      <c r="AA228" s="31">
        <v>0</v>
      </c>
      <c r="AB228" s="31">
        <v>0</v>
      </c>
      <c r="AC228" s="31">
        <v>0</v>
      </c>
      <c r="AD228" s="31">
        <v>0</v>
      </c>
      <c r="AE228" s="31">
        <v>0</v>
      </c>
      <c r="AF228" s="31">
        <v>0</v>
      </c>
      <c r="AG228" s="31">
        <v>0</v>
      </c>
      <c r="AH228" s="31">
        <v>0</v>
      </c>
    </row>
    <row r="229" spans="1:34" x14ac:dyDescent="0.25">
      <c r="A229" s="31">
        <v>31</v>
      </c>
      <c r="B229" s="31">
        <v>24604</v>
      </c>
      <c r="C229" s="31">
        <v>1</v>
      </c>
      <c r="D229" s="31" t="s">
        <v>644</v>
      </c>
      <c r="E229" s="31"/>
      <c r="F229" s="31">
        <v>0</v>
      </c>
      <c r="G229" s="31">
        <v>0</v>
      </c>
      <c r="H229" s="31">
        <v>0</v>
      </c>
      <c r="I229" s="31">
        <v>0</v>
      </c>
      <c r="J229" s="31">
        <v>0</v>
      </c>
      <c r="K229" s="31" t="s">
        <v>882</v>
      </c>
      <c r="L229" s="31">
        <v>0</v>
      </c>
      <c r="M229" s="31">
        <v>0</v>
      </c>
      <c r="N229" s="31">
        <v>0</v>
      </c>
      <c r="O229" s="31">
        <v>0</v>
      </c>
      <c r="P229" s="31">
        <v>0</v>
      </c>
      <c r="Q229" s="31">
        <v>0</v>
      </c>
      <c r="R229" s="31">
        <v>0</v>
      </c>
      <c r="S229" s="31">
        <v>0</v>
      </c>
      <c r="T229" s="31">
        <v>0</v>
      </c>
      <c r="U229" s="31">
        <v>0</v>
      </c>
      <c r="V229" s="31">
        <v>0</v>
      </c>
      <c r="W229" s="31">
        <v>0</v>
      </c>
      <c r="X229" s="31">
        <v>0</v>
      </c>
      <c r="Y229" s="31">
        <v>0</v>
      </c>
      <c r="Z229" s="31">
        <v>0</v>
      </c>
      <c r="AA229" s="31">
        <v>0</v>
      </c>
      <c r="AB229" s="31">
        <v>0</v>
      </c>
      <c r="AC229" s="31">
        <v>0</v>
      </c>
      <c r="AD229" s="31">
        <v>0</v>
      </c>
      <c r="AE229" s="31">
        <v>0</v>
      </c>
      <c r="AF229" s="31">
        <v>0</v>
      </c>
      <c r="AG229" s="31">
        <v>0</v>
      </c>
      <c r="AH229" s="31">
        <v>0</v>
      </c>
    </row>
    <row r="230" spans="1:34" x14ac:dyDescent="0.25">
      <c r="A230" s="31">
        <v>31</v>
      </c>
      <c r="B230" s="31">
        <v>24604</v>
      </c>
      <c r="C230" s="31">
        <v>1</v>
      </c>
      <c r="D230" s="31" t="s">
        <v>645</v>
      </c>
      <c r="E230" s="31"/>
      <c r="F230" s="31">
        <v>0</v>
      </c>
      <c r="G230" s="31">
        <v>0</v>
      </c>
      <c r="H230" s="31">
        <v>0</v>
      </c>
      <c r="I230" s="31">
        <v>0</v>
      </c>
      <c r="J230" s="31">
        <v>0</v>
      </c>
      <c r="K230" s="31" t="s">
        <v>882</v>
      </c>
      <c r="L230" s="31">
        <v>0</v>
      </c>
      <c r="M230" s="31">
        <v>0</v>
      </c>
      <c r="N230" s="31">
        <v>0</v>
      </c>
      <c r="O230" s="31">
        <v>0</v>
      </c>
      <c r="P230" s="31">
        <v>0</v>
      </c>
      <c r="Q230" s="31">
        <v>0</v>
      </c>
      <c r="R230" s="31">
        <v>0</v>
      </c>
      <c r="S230" s="31">
        <v>0</v>
      </c>
      <c r="T230" s="31">
        <v>0</v>
      </c>
      <c r="U230" s="31">
        <v>0</v>
      </c>
      <c r="V230" s="31">
        <v>0</v>
      </c>
      <c r="W230" s="31">
        <v>0</v>
      </c>
      <c r="X230" s="31">
        <v>0</v>
      </c>
      <c r="Y230" s="31">
        <v>0</v>
      </c>
      <c r="Z230" s="31">
        <v>0</v>
      </c>
      <c r="AA230" s="31">
        <v>0</v>
      </c>
      <c r="AB230" s="31">
        <v>0</v>
      </c>
      <c r="AC230" s="31">
        <v>0</v>
      </c>
      <c r="AD230" s="31">
        <v>0</v>
      </c>
      <c r="AE230" s="31">
        <v>0</v>
      </c>
      <c r="AF230" s="31">
        <v>0</v>
      </c>
      <c r="AG230" s="31">
        <v>0</v>
      </c>
      <c r="AH230" s="31">
        <v>0</v>
      </c>
    </row>
    <row r="231" spans="1:34" x14ac:dyDescent="0.25">
      <c r="A231" s="31">
        <v>31</v>
      </c>
      <c r="B231" s="31">
        <v>24604</v>
      </c>
      <c r="C231" s="31">
        <v>1</v>
      </c>
      <c r="D231" s="31" t="s">
        <v>646</v>
      </c>
      <c r="E231" s="31"/>
      <c r="F231" s="31">
        <v>0</v>
      </c>
      <c r="G231" s="31">
        <v>0</v>
      </c>
      <c r="H231" s="31">
        <v>0</v>
      </c>
      <c r="I231" s="31">
        <v>0</v>
      </c>
      <c r="J231" s="31">
        <v>0</v>
      </c>
      <c r="K231" s="31" t="s">
        <v>882</v>
      </c>
      <c r="L231" s="31">
        <v>0</v>
      </c>
      <c r="M231" s="31">
        <v>0</v>
      </c>
      <c r="N231" s="31">
        <v>0</v>
      </c>
      <c r="O231" s="31">
        <v>0</v>
      </c>
      <c r="P231" s="31">
        <v>0</v>
      </c>
      <c r="Q231" s="31">
        <v>0</v>
      </c>
      <c r="R231" s="31">
        <v>0</v>
      </c>
      <c r="S231" s="31">
        <v>0</v>
      </c>
      <c r="T231" s="31">
        <v>0</v>
      </c>
      <c r="U231" s="31">
        <v>0</v>
      </c>
      <c r="V231" s="31">
        <v>0</v>
      </c>
      <c r="W231" s="31">
        <v>0</v>
      </c>
      <c r="X231" s="31">
        <v>0</v>
      </c>
      <c r="Y231" s="31">
        <v>0</v>
      </c>
      <c r="Z231" s="31">
        <v>0</v>
      </c>
      <c r="AA231" s="31">
        <v>0</v>
      </c>
      <c r="AB231" s="31">
        <v>0</v>
      </c>
      <c r="AC231" s="31">
        <v>0</v>
      </c>
      <c r="AD231" s="31">
        <v>0</v>
      </c>
      <c r="AE231" s="31">
        <v>0</v>
      </c>
      <c r="AF231" s="31">
        <v>0</v>
      </c>
      <c r="AG231" s="31">
        <v>0</v>
      </c>
      <c r="AH231" s="31">
        <v>0</v>
      </c>
    </row>
    <row r="232" spans="1:34" x14ac:dyDescent="0.25">
      <c r="A232" s="31">
        <v>31</v>
      </c>
      <c r="B232" s="31">
        <v>24604</v>
      </c>
      <c r="C232" s="31">
        <v>1</v>
      </c>
      <c r="D232" s="31" t="s">
        <v>647</v>
      </c>
      <c r="E232" s="31"/>
      <c r="F232" s="31">
        <v>0</v>
      </c>
      <c r="G232" s="31">
        <v>0</v>
      </c>
      <c r="H232" s="31">
        <v>0</v>
      </c>
      <c r="I232" s="31">
        <v>0</v>
      </c>
      <c r="J232" s="31">
        <v>0</v>
      </c>
      <c r="K232" s="31" t="s">
        <v>882</v>
      </c>
      <c r="L232" s="31">
        <v>0</v>
      </c>
      <c r="M232" s="31">
        <v>0</v>
      </c>
      <c r="N232" s="31">
        <v>0</v>
      </c>
      <c r="O232" s="31">
        <v>0</v>
      </c>
      <c r="P232" s="31">
        <v>0</v>
      </c>
      <c r="Q232" s="31">
        <v>0</v>
      </c>
      <c r="R232" s="31">
        <v>0</v>
      </c>
      <c r="S232" s="31">
        <v>0</v>
      </c>
      <c r="T232" s="31">
        <v>0</v>
      </c>
      <c r="U232" s="31">
        <v>0</v>
      </c>
      <c r="V232" s="31">
        <v>0</v>
      </c>
      <c r="W232" s="31">
        <v>0</v>
      </c>
      <c r="X232" s="31">
        <v>0</v>
      </c>
      <c r="Y232" s="31">
        <v>0</v>
      </c>
      <c r="Z232" s="31">
        <v>0</v>
      </c>
      <c r="AA232" s="31">
        <v>0</v>
      </c>
      <c r="AB232" s="31">
        <v>0</v>
      </c>
      <c r="AC232" s="31">
        <v>0</v>
      </c>
      <c r="AD232" s="31">
        <v>0</v>
      </c>
      <c r="AE232" s="31">
        <v>0</v>
      </c>
      <c r="AF232" s="31">
        <v>0</v>
      </c>
      <c r="AG232" s="31">
        <v>0</v>
      </c>
      <c r="AH232" s="31">
        <v>0</v>
      </c>
    </row>
    <row r="233" spans="1:34" x14ac:dyDescent="0.25">
      <c r="A233" s="31">
        <v>31</v>
      </c>
      <c r="B233" s="31">
        <v>24604</v>
      </c>
      <c r="C233" s="31">
        <v>1</v>
      </c>
      <c r="D233" s="31" t="s">
        <v>648</v>
      </c>
      <c r="E233" s="31"/>
      <c r="F233" s="31">
        <v>0</v>
      </c>
      <c r="G233" s="31">
        <v>0</v>
      </c>
      <c r="H233" s="31">
        <v>0</v>
      </c>
      <c r="I233" s="31">
        <v>0</v>
      </c>
      <c r="J233" s="31">
        <v>0</v>
      </c>
      <c r="K233" s="31" t="s">
        <v>882</v>
      </c>
      <c r="L233" s="31">
        <v>0</v>
      </c>
      <c r="M233" s="31">
        <v>0</v>
      </c>
      <c r="N233" s="31">
        <v>0</v>
      </c>
      <c r="O233" s="31">
        <v>0</v>
      </c>
      <c r="P233" s="31">
        <v>0</v>
      </c>
      <c r="Q233" s="31">
        <v>0</v>
      </c>
      <c r="R233" s="31">
        <v>0</v>
      </c>
      <c r="S233" s="31">
        <v>0</v>
      </c>
      <c r="T233" s="31">
        <v>0</v>
      </c>
      <c r="U233" s="31">
        <v>0</v>
      </c>
      <c r="V233" s="31">
        <v>0</v>
      </c>
      <c r="W233" s="31">
        <v>0</v>
      </c>
      <c r="X233" s="31">
        <v>0</v>
      </c>
      <c r="Y233" s="31">
        <v>0</v>
      </c>
      <c r="Z233" s="31">
        <v>0</v>
      </c>
      <c r="AA233" s="31">
        <v>0</v>
      </c>
      <c r="AB233" s="31">
        <v>0</v>
      </c>
      <c r="AC233" s="31">
        <v>0</v>
      </c>
      <c r="AD233" s="31">
        <v>0</v>
      </c>
      <c r="AE233" s="31">
        <v>0</v>
      </c>
      <c r="AF233" s="31">
        <v>0</v>
      </c>
      <c r="AG233" s="31">
        <v>0</v>
      </c>
      <c r="AH233" s="31">
        <v>0</v>
      </c>
    </row>
    <row r="234" spans="1:34" x14ac:dyDescent="0.25">
      <c r="A234" s="31">
        <v>16</v>
      </c>
      <c r="B234" s="31">
        <v>24604</v>
      </c>
      <c r="C234" s="31">
        <v>1</v>
      </c>
      <c r="D234" s="31" t="s">
        <v>648</v>
      </c>
      <c r="E234" s="31"/>
      <c r="F234" s="31">
        <v>0</v>
      </c>
      <c r="G234" s="31">
        <v>0</v>
      </c>
      <c r="H234" s="31">
        <v>0</v>
      </c>
      <c r="I234" s="31">
        <v>0</v>
      </c>
      <c r="J234" s="31">
        <v>0</v>
      </c>
      <c r="K234" s="31" t="s">
        <v>882</v>
      </c>
      <c r="L234" s="31">
        <v>0</v>
      </c>
      <c r="M234" s="31">
        <v>0</v>
      </c>
      <c r="N234" s="31">
        <v>0</v>
      </c>
      <c r="O234" s="31">
        <v>0</v>
      </c>
      <c r="P234" s="31">
        <v>0</v>
      </c>
      <c r="Q234" s="31">
        <v>0</v>
      </c>
      <c r="R234" s="31">
        <v>0</v>
      </c>
      <c r="S234" s="31">
        <v>0</v>
      </c>
      <c r="T234" s="31">
        <v>0</v>
      </c>
      <c r="U234" s="31">
        <v>0</v>
      </c>
      <c r="V234" s="31">
        <v>0</v>
      </c>
      <c r="W234" s="31">
        <v>0</v>
      </c>
      <c r="X234" s="31">
        <v>0</v>
      </c>
      <c r="Y234" s="31">
        <v>0</v>
      </c>
      <c r="Z234" s="31">
        <v>0</v>
      </c>
      <c r="AA234" s="31">
        <v>0</v>
      </c>
      <c r="AB234" s="31">
        <v>0</v>
      </c>
      <c r="AC234" s="31">
        <v>0</v>
      </c>
      <c r="AD234" s="31">
        <v>0</v>
      </c>
      <c r="AE234" s="31">
        <v>0</v>
      </c>
      <c r="AF234" s="31">
        <v>0</v>
      </c>
      <c r="AG234" s="31">
        <v>0</v>
      </c>
      <c r="AH234" s="31">
        <v>0</v>
      </c>
    </row>
    <row r="235" spans="1:34" x14ac:dyDescent="0.25">
      <c r="A235" s="31">
        <v>16</v>
      </c>
      <c r="B235" s="31">
        <v>24604</v>
      </c>
      <c r="C235" s="31">
        <v>1</v>
      </c>
      <c r="D235" s="31" t="s">
        <v>649</v>
      </c>
      <c r="E235" s="31"/>
      <c r="F235" s="31">
        <v>0</v>
      </c>
      <c r="G235" s="31">
        <v>0</v>
      </c>
      <c r="H235" s="31">
        <v>0</v>
      </c>
      <c r="I235" s="31">
        <v>0</v>
      </c>
      <c r="J235" s="31">
        <v>0</v>
      </c>
      <c r="K235" s="31" t="s">
        <v>882</v>
      </c>
      <c r="L235" s="31">
        <v>0</v>
      </c>
      <c r="M235" s="31">
        <v>0</v>
      </c>
      <c r="N235" s="31">
        <v>0</v>
      </c>
      <c r="O235" s="31">
        <v>0</v>
      </c>
      <c r="P235" s="31">
        <v>0</v>
      </c>
      <c r="Q235" s="31">
        <v>0</v>
      </c>
      <c r="R235" s="31">
        <v>0</v>
      </c>
      <c r="S235" s="31">
        <v>0</v>
      </c>
      <c r="T235" s="31">
        <v>0</v>
      </c>
      <c r="U235" s="31">
        <v>0</v>
      </c>
      <c r="V235" s="31">
        <v>0</v>
      </c>
      <c r="W235" s="31">
        <v>0</v>
      </c>
      <c r="X235" s="31">
        <v>0</v>
      </c>
      <c r="Y235" s="31">
        <v>0</v>
      </c>
      <c r="Z235" s="31">
        <v>0</v>
      </c>
      <c r="AA235" s="31">
        <v>0</v>
      </c>
      <c r="AB235" s="31">
        <v>0</v>
      </c>
      <c r="AC235" s="31">
        <v>0</v>
      </c>
      <c r="AD235" s="31">
        <v>0</v>
      </c>
      <c r="AE235" s="31">
        <v>0</v>
      </c>
      <c r="AF235" s="31">
        <v>0</v>
      </c>
      <c r="AG235" s="31">
        <v>0</v>
      </c>
      <c r="AH235" s="31">
        <v>0</v>
      </c>
    </row>
    <row r="236" spans="1:34" x14ac:dyDescent="0.25">
      <c r="A236" s="31">
        <v>16</v>
      </c>
      <c r="B236" s="31">
        <v>24604</v>
      </c>
      <c r="C236" s="31">
        <v>1</v>
      </c>
      <c r="D236" s="31" t="s">
        <v>650</v>
      </c>
      <c r="E236" s="31"/>
      <c r="F236" s="31">
        <v>0</v>
      </c>
      <c r="G236" s="31">
        <v>0</v>
      </c>
      <c r="H236" s="31">
        <v>0</v>
      </c>
      <c r="I236" s="31">
        <v>0</v>
      </c>
      <c r="J236" s="31">
        <v>0</v>
      </c>
      <c r="K236" s="31" t="s">
        <v>882</v>
      </c>
      <c r="L236" s="31">
        <v>0</v>
      </c>
      <c r="M236" s="31">
        <v>0</v>
      </c>
      <c r="N236" s="31">
        <v>0</v>
      </c>
      <c r="O236" s="31">
        <v>0</v>
      </c>
      <c r="P236" s="31">
        <v>0</v>
      </c>
      <c r="Q236" s="31">
        <v>0</v>
      </c>
      <c r="R236" s="31">
        <v>0</v>
      </c>
      <c r="S236" s="31">
        <v>0</v>
      </c>
      <c r="T236" s="31">
        <v>0</v>
      </c>
      <c r="U236" s="31">
        <v>0</v>
      </c>
      <c r="V236" s="31">
        <v>0</v>
      </c>
      <c r="W236" s="31">
        <v>0</v>
      </c>
      <c r="X236" s="31">
        <v>0</v>
      </c>
      <c r="Y236" s="31">
        <v>0</v>
      </c>
      <c r="Z236" s="31">
        <v>0</v>
      </c>
      <c r="AA236" s="31">
        <v>0</v>
      </c>
      <c r="AB236" s="31">
        <v>0</v>
      </c>
      <c r="AC236" s="31">
        <v>0</v>
      </c>
      <c r="AD236" s="31">
        <v>0</v>
      </c>
      <c r="AE236" s="31">
        <v>0</v>
      </c>
      <c r="AF236" s="31">
        <v>0</v>
      </c>
      <c r="AG236" s="31">
        <v>0</v>
      </c>
      <c r="AH236" s="31">
        <v>0</v>
      </c>
    </row>
    <row r="237" spans="1:34" x14ac:dyDescent="0.25">
      <c r="A237" s="31">
        <v>16</v>
      </c>
      <c r="B237" s="31">
        <v>24645</v>
      </c>
      <c r="C237" s="31" t="s">
        <v>213</v>
      </c>
      <c r="D237" s="31" t="s">
        <v>651</v>
      </c>
      <c r="E237" s="31"/>
      <c r="F237" s="31">
        <v>0</v>
      </c>
      <c r="G237" s="31">
        <v>0</v>
      </c>
      <c r="H237" s="31">
        <v>0</v>
      </c>
      <c r="I237" s="31">
        <v>0</v>
      </c>
      <c r="J237" s="31">
        <v>0</v>
      </c>
      <c r="K237" s="31" t="s">
        <v>882</v>
      </c>
      <c r="L237" s="31">
        <v>0</v>
      </c>
      <c r="M237" s="31">
        <v>0</v>
      </c>
      <c r="N237" s="31">
        <v>0</v>
      </c>
      <c r="O237" s="31">
        <v>0</v>
      </c>
      <c r="P237" s="31">
        <v>0</v>
      </c>
      <c r="Q237" s="31">
        <v>0</v>
      </c>
      <c r="R237" s="31">
        <v>0</v>
      </c>
      <c r="S237" s="31">
        <v>0</v>
      </c>
      <c r="T237" s="31">
        <v>0</v>
      </c>
      <c r="U237" s="31">
        <v>0</v>
      </c>
      <c r="V237" s="31">
        <v>0</v>
      </c>
      <c r="W237" s="31">
        <v>0</v>
      </c>
      <c r="X237" s="31">
        <v>0</v>
      </c>
      <c r="Y237" s="31">
        <v>0</v>
      </c>
      <c r="Z237" s="31">
        <v>0</v>
      </c>
      <c r="AA237" s="31">
        <v>0</v>
      </c>
      <c r="AB237" s="31">
        <v>0</v>
      </c>
      <c r="AC237" s="31">
        <v>0</v>
      </c>
      <c r="AD237" s="31">
        <v>0</v>
      </c>
      <c r="AE237" s="31">
        <v>0</v>
      </c>
      <c r="AF237" s="31">
        <v>0</v>
      </c>
      <c r="AG237" s="31">
        <v>0</v>
      </c>
      <c r="AH237" s="31">
        <v>0</v>
      </c>
    </row>
    <row r="238" spans="1:34" x14ac:dyDescent="0.25">
      <c r="A238" s="31">
        <v>15</v>
      </c>
      <c r="B238" s="31">
        <v>13875</v>
      </c>
      <c r="C238" s="31" t="s">
        <v>421</v>
      </c>
      <c r="D238" s="31" t="s">
        <v>652</v>
      </c>
      <c r="E238" s="31">
        <v>1</v>
      </c>
      <c r="F238" s="31">
        <v>4.7810001373291016</v>
      </c>
      <c r="G238" s="31">
        <v>0.30099999904632568</v>
      </c>
      <c r="H238" s="31">
        <v>0</v>
      </c>
      <c r="I238" s="31">
        <v>0</v>
      </c>
      <c r="J238" s="31">
        <v>5.0819997787475586</v>
      </c>
      <c r="K238" s="31">
        <v>11.800000190734863</v>
      </c>
      <c r="L238" s="31">
        <v>2</v>
      </c>
      <c r="M238" s="31">
        <v>0</v>
      </c>
      <c r="N238" s="31">
        <v>0</v>
      </c>
      <c r="O238" s="31">
        <v>4</v>
      </c>
      <c r="P238" s="31">
        <v>0</v>
      </c>
      <c r="Q238" s="31">
        <v>0</v>
      </c>
      <c r="R238" s="31">
        <v>0</v>
      </c>
      <c r="S238" s="31">
        <v>0</v>
      </c>
      <c r="T238" s="31">
        <v>0</v>
      </c>
      <c r="U238" s="31">
        <v>2</v>
      </c>
      <c r="V238" s="31">
        <v>0</v>
      </c>
      <c r="W238" s="31">
        <v>0</v>
      </c>
      <c r="X238" s="31">
        <v>1</v>
      </c>
      <c r="Y238" s="31">
        <v>0</v>
      </c>
      <c r="Z238" s="31">
        <v>0</v>
      </c>
      <c r="AA238" s="31">
        <v>1</v>
      </c>
      <c r="AB238" s="31">
        <v>0</v>
      </c>
      <c r="AC238" s="31">
        <v>0</v>
      </c>
      <c r="AD238" s="31">
        <v>10</v>
      </c>
      <c r="AE238" s="31">
        <v>0</v>
      </c>
      <c r="AF238" s="31">
        <v>0</v>
      </c>
      <c r="AG238" s="31">
        <v>0</v>
      </c>
      <c r="AH238" s="31">
        <v>17</v>
      </c>
    </row>
    <row r="239" spans="1:34" x14ac:dyDescent="0.25">
      <c r="A239" s="31">
        <v>5</v>
      </c>
      <c r="B239" s="31">
        <v>25001</v>
      </c>
      <c r="C239" s="31" t="s">
        <v>421</v>
      </c>
      <c r="D239" s="31" t="s">
        <v>653</v>
      </c>
      <c r="E239" s="31"/>
      <c r="F239" s="31">
        <v>0</v>
      </c>
      <c r="G239" s="31">
        <v>0</v>
      </c>
      <c r="H239" s="31">
        <v>0</v>
      </c>
      <c r="I239" s="31">
        <v>0</v>
      </c>
      <c r="J239" s="31">
        <v>0</v>
      </c>
      <c r="K239" s="31" t="s">
        <v>882</v>
      </c>
      <c r="L239" s="31">
        <v>0</v>
      </c>
      <c r="M239" s="31">
        <v>0</v>
      </c>
      <c r="N239" s="31">
        <v>0</v>
      </c>
      <c r="O239" s="31">
        <v>0</v>
      </c>
      <c r="P239" s="31">
        <v>0</v>
      </c>
      <c r="Q239" s="31">
        <v>0</v>
      </c>
      <c r="R239" s="31">
        <v>0</v>
      </c>
      <c r="S239" s="31">
        <v>0</v>
      </c>
      <c r="T239" s="31">
        <v>0</v>
      </c>
      <c r="U239" s="31">
        <v>0</v>
      </c>
      <c r="V239" s="31">
        <v>0</v>
      </c>
      <c r="W239" s="31">
        <v>0</v>
      </c>
      <c r="X239" s="31">
        <v>0</v>
      </c>
      <c r="Y239" s="31">
        <v>0</v>
      </c>
      <c r="Z239" s="31">
        <v>0</v>
      </c>
      <c r="AA239" s="31">
        <v>0</v>
      </c>
      <c r="AB239" s="31">
        <v>0</v>
      </c>
      <c r="AC239" s="31">
        <v>0</v>
      </c>
      <c r="AD239" s="31">
        <v>0</v>
      </c>
      <c r="AE239" s="31">
        <v>0</v>
      </c>
      <c r="AF239" s="31">
        <v>0</v>
      </c>
      <c r="AG239" s="31">
        <v>0</v>
      </c>
      <c r="AH239" s="31">
        <v>0</v>
      </c>
    </row>
    <row r="240" spans="1:34" x14ac:dyDescent="0.25">
      <c r="A240" s="31">
        <v>15</v>
      </c>
      <c r="B240" s="31">
        <v>25001</v>
      </c>
      <c r="C240" s="31" t="s">
        <v>421</v>
      </c>
      <c r="D240" s="31" t="s">
        <v>653</v>
      </c>
      <c r="E240" s="31"/>
      <c r="F240" s="31">
        <v>0</v>
      </c>
      <c r="G240" s="31">
        <v>0</v>
      </c>
      <c r="H240" s="31">
        <v>0</v>
      </c>
      <c r="I240" s="31">
        <v>0</v>
      </c>
      <c r="J240" s="31">
        <v>0</v>
      </c>
      <c r="K240" s="31" t="s">
        <v>882</v>
      </c>
      <c r="L240" s="31">
        <v>0</v>
      </c>
      <c r="M240" s="31">
        <v>0</v>
      </c>
      <c r="N240" s="31">
        <v>0</v>
      </c>
      <c r="O240" s="31">
        <v>0</v>
      </c>
      <c r="P240" s="31">
        <v>0</v>
      </c>
      <c r="Q240" s="31">
        <v>0</v>
      </c>
      <c r="R240" s="31">
        <v>0</v>
      </c>
      <c r="S240" s="31">
        <v>0</v>
      </c>
      <c r="T240" s="31">
        <v>0</v>
      </c>
      <c r="U240" s="31">
        <v>0</v>
      </c>
      <c r="V240" s="31">
        <v>0</v>
      </c>
      <c r="W240" s="31">
        <v>0</v>
      </c>
      <c r="X240" s="31">
        <v>0</v>
      </c>
      <c r="Y240" s="31">
        <v>0</v>
      </c>
      <c r="Z240" s="31">
        <v>0</v>
      </c>
      <c r="AA240" s="31">
        <v>0</v>
      </c>
      <c r="AB240" s="31">
        <v>0</v>
      </c>
      <c r="AC240" s="31">
        <v>0</v>
      </c>
      <c r="AD240" s="31">
        <v>0</v>
      </c>
      <c r="AE240" s="31">
        <v>0</v>
      </c>
      <c r="AF240" s="31">
        <v>0</v>
      </c>
      <c r="AG240" s="31">
        <v>0</v>
      </c>
      <c r="AH240" s="31">
        <v>0</v>
      </c>
    </row>
    <row r="241" spans="1:34" x14ac:dyDescent="0.25">
      <c r="A241" s="31">
        <v>15</v>
      </c>
      <c r="B241" s="31">
        <v>25001</v>
      </c>
      <c r="C241" s="31" t="s">
        <v>421</v>
      </c>
      <c r="D241" s="31" t="s">
        <v>654</v>
      </c>
      <c r="E241" s="31" t="s">
        <v>881</v>
      </c>
      <c r="F241" s="31">
        <v>8.0069999694824219</v>
      </c>
      <c r="G241" s="31">
        <v>1</v>
      </c>
      <c r="H241" s="31">
        <v>0</v>
      </c>
      <c r="I241" s="31">
        <v>0</v>
      </c>
      <c r="J241" s="31">
        <v>9.0069999694824219</v>
      </c>
      <c r="K241" s="31">
        <v>13.300000190734863</v>
      </c>
      <c r="L241" s="31">
        <v>3</v>
      </c>
      <c r="M241" s="31">
        <v>0</v>
      </c>
      <c r="N241" s="31">
        <v>0</v>
      </c>
      <c r="O241" s="31">
        <v>0</v>
      </c>
      <c r="P241" s="31">
        <v>0</v>
      </c>
      <c r="Q241" s="31">
        <v>0</v>
      </c>
      <c r="R241" s="31">
        <v>0</v>
      </c>
      <c r="S241" s="31">
        <v>0</v>
      </c>
      <c r="T241" s="31">
        <v>0</v>
      </c>
      <c r="U241" s="31">
        <v>13</v>
      </c>
      <c r="V241" s="31">
        <v>0</v>
      </c>
      <c r="W241" s="31">
        <v>0</v>
      </c>
      <c r="X241" s="31">
        <v>7</v>
      </c>
      <c r="Y241" s="31">
        <v>0</v>
      </c>
      <c r="Z241" s="31">
        <v>0</v>
      </c>
      <c r="AA241" s="31">
        <v>6</v>
      </c>
      <c r="AB241" s="31">
        <v>0</v>
      </c>
      <c r="AC241" s="31">
        <v>0</v>
      </c>
      <c r="AD241" s="31">
        <v>29</v>
      </c>
      <c r="AE241" s="31">
        <v>0</v>
      </c>
      <c r="AF241" s="31">
        <v>0</v>
      </c>
      <c r="AG241" s="31">
        <v>0</v>
      </c>
      <c r="AH241" s="31">
        <v>0</v>
      </c>
    </row>
    <row r="242" spans="1:34" x14ac:dyDescent="0.25">
      <c r="A242" s="31">
        <v>15</v>
      </c>
      <c r="B242" s="31">
        <v>25001</v>
      </c>
      <c r="C242" s="31" t="s">
        <v>421</v>
      </c>
      <c r="D242" s="31" t="s">
        <v>655</v>
      </c>
      <c r="E242" s="31">
        <v>2</v>
      </c>
      <c r="F242" s="31">
        <v>8</v>
      </c>
      <c r="G242" s="31">
        <v>1</v>
      </c>
      <c r="H242" s="31">
        <v>1</v>
      </c>
      <c r="I242" s="31">
        <v>0</v>
      </c>
      <c r="J242" s="31">
        <v>10</v>
      </c>
      <c r="K242" s="31">
        <v>27</v>
      </c>
      <c r="L242" s="31">
        <v>9</v>
      </c>
      <c r="M242" s="31">
        <v>1</v>
      </c>
      <c r="N242" s="31">
        <v>0</v>
      </c>
      <c r="O242" s="31">
        <v>0</v>
      </c>
      <c r="P242" s="31">
        <v>0</v>
      </c>
      <c r="Q242" s="31">
        <v>0</v>
      </c>
      <c r="R242" s="31">
        <v>0</v>
      </c>
      <c r="S242" s="31">
        <v>0</v>
      </c>
      <c r="T242" s="31">
        <v>0</v>
      </c>
      <c r="U242" s="31">
        <v>6</v>
      </c>
      <c r="V242" s="31">
        <v>0</v>
      </c>
      <c r="W242" s="31">
        <v>0</v>
      </c>
      <c r="X242" s="31">
        <v>3</v>
      </c>
      <c r="Y242" s="31">
        <v>0</v>
      </c>
      <c r="Z242" s="31">
        <v>0</v>
      </c>
      <c r="AA242" s="31">
        <v>10</v>
      </c>
      <c r="AB242" s="31">
        <v>0</v>
      </c>
      <c r="AC242" s="31">
        <v>0</v>
      </c>
      <c r="AD242" s="31">
        <v>28</v>
      </c>
      <c r="AE242" s="31">
        <v>1</v>
      </c>
      <c r="AF242" s="31">
        <v>0</v>
      </c>
      <c r="AG242" s="31">
        <v>0</v>
      </c>
      <c r="AH242" s="31">
        <v>0</v>
      </c>
    </row>
    <row r="243" spans="1:34" x14ac:dyDescent="0.25">
      <c r="A243" s="31">
        <v>15</v>
      </c>
      <c r="B243" s="31">
        <v>25001</v>
      </c>
      <c r="C243" s="31" t="s">
        <v>421</v>
      </c>
      <c r="D243" s="31" t="s">
        <v>656</v>
      </c>
      <c r="E243" s="31" t="s">
        <v>883</v>
      </c>
      <c r="F243" s="31">
        <v>9.5120000839233398</v>
      </c>
      <c r="G243" s="31">
        <v>8.0039997100830078</v>
      </c>
      <c r="H243" s="31">
        <v>0</v>
      </c>
      <c r="I243" s="31">
        <v>0</v>
      </c>
      <c r="J243" s="31">
        <v>17.516000747680664</v>
      </c>
      <c r="K243" s="31">
        <v>23.700000762939453</v>
      </c>
      <c r="L243" s="31">
        <v>16</v>
      </c>
      <c r="M243" s="31">
        <v>0</v>
      </c>
      <c r="N243" s="31">
        <v>0</v>
      </c>
      <c r="O243" s="31">
        <v>0</v>
      </c>
      <c r="P243" s="31">
        <v>0</v>
      </c>
      <c r="Q243" s="31">
        <v>0</v>
      </c>
      <c r="R243" s="31">
        <v>2</v>
      </c>
      <c r="S243" s="31">
        <v>0</v>
      </c>
      <c r="T243" s="31">
        <v>0</v>
      </c>
      <c r="U243" s="31">
        <v>27</v>
      </c>
      <c r="V243" s="31">
        <v>0</v>
      </c>
      <c r="W243" s="31">
        <v>0</v>
      </c>
      <c r="X243" s="31">
        <v>16</v>
      </c>
      <c r="Y243" s="31">
        <v>0</v>
      </c>
      <c r="Z243" s="31">
        <v>0</v>
      </c>
      <c r="AA243" s="31">
        <v>48</v>
      </c>
      <c r="AB243" s="31">
        <v>0</v>
      </c>
      <c r="AC243" s="31">
        <v>0</v>
      </c>
      <c r="AD243" s="31">
        <v>109</v>
      </c>
      <c r="AE243" s="31">
        <v>0</v>
      </c>
      <c r="AF243" s="31">
        <v>0</v>
      </c>
      <c r="AG243" s="31">
        <v>0</v>
      </c>
      <c r="AH243" s="31">
        <v>0</v>
      </c>
    </row>
    <row r="244" spans="1:34" x14ac:dyDescent="0.25">
      <c r="A244" s="31">
        <v>15</v>
      </c>
      <c r="B244" s="31">
        <v>25001</v>
      </c>
      <c r="C244" s="31" t="s">
        <v>421</v>
      </c>
      <c r="D244" s="31" t="s">
        <v>657</v>
      </c>
      <c r="E244" s="31">
        <v>3</v>
      </c>
      <c r="F244" s="31">
        <v>11.968000411987305</v>
      </c>
      <c r="G244" s="31">
        <v>2.7929999828338623</v>
      </c>
      <c r="H244" s="31">
        <v>0.99000000953674316</v>
      </c>
      <c r="I244" s="31">
        <v>0</v>
      </c>
      <c r="J244" s="31">
        <v>15.75100040435791</v>
      </c>
      <c r="K244" s="31">
        <v>24.100000381469727</v>
      </c>
      <c r="L244" s="31">
        <v>29</v>
      </c>
      <c r="M244" s="31">
        <v>1</v>
      </c>
      <c r="N244" s="31">
        <v>0</v>
      </c>
      <c r="O244" s="31">
        <v>0</v>
      </c>
      <c r="P244" s="31">
        <v>0</v>
      </c>
      <c r="Q244" s="31">
        <v>0</v>
      </c>
      <c r="R244" s="31">
        <v>0</v>
      </c>
      <c r="S244" s="31">
        <v>0</v>
      </c>
      <c r="T244" s="31">
        <v>0</v>
      </c>
      <c r="U244" s="31">
        <v>10</v>
      </c>
      <c r="V244" s="31">
        <v>0</v>
      </c>
      <c r="W244" s="31">
        <v>0</v>
      </c>
      <c r="X244" s="31">
        <v>10</v>
      </c>
      <c r="Y244" s="31">
        <v>0</v>
      </c>
      <c r="Z244" s="31">
        <v>0</v>
      </c>
      <c r="AA244" s="31">
        <v>28</v>
      </c>
      <c r="AB244" s="31">
        <v>0</v>
      </c>
      <c r="AC244" s="31">
        <v>0</v>
      </c>
      <c r="AD244" s="31">
        <v>77</v>
      </c>
      <c r="AE244" s="31">
        <v>1</v>
      </c>
      <c r="AF244" s="31">
        <v>0</v>
      </c>
      <c r="AG244" s="31">
        <v>0</v>
      </c>
      <c r="AH244" s="31">
        <v>0</v>
      </c>
    </row>
    <row r="245" spans="1:34" x14ac:dyDescent="0.25">
      <c r="A245" s="31">
        <v>15</v>
      </c>
      <c r="B245" s="31">
        <v>25001</v>
      </c>
      <c r="C245" s="31" t="s">
        <v>421</v>
      </c>
      <c r="D245" s="31" t="s">
        <v>658</v>
      </c>
      <c r="E245" s="31" t="s">
        <v>884</v>
      </c>
      <c r="F245" s="31">
        <v>5.1570000648498535</v>
      </c>
      <c r="G245" s="31">
        <v>6</v>
      </c>
      <c r="H245" s="31">
        <v>2.0060000419616699</v>
      </c>
      <c r="I245" s="31">
        <v>1</v>
      </c>
      <c r="J245" s="31">
        <v>14.163000106811523</v>
      </c>
      <c r="K245" s="31">
        <v>77.099998474121094</v>
      </c>
      <c r="L245" s="31">
        <v>12</v>
      </c>
      <c r="M245" s="31">
        <v>1</v>
      </c>
      <c r="N245" s="31">
        <v>0</v>
      </c>
      <c r="O245" s="31">
        <v>0</v>
      </c>
      <c r="P245" s="31">
        <v>0</v>
      </c>
      <c r="Q245" s="31">
        <v>0</v>
      </c>
      <c r="R245" s="31">
        <v>0</v>
      </c>
      <c r="S245" s="31">
        <v>0</v>
      </c>
      <c r="T245" s="31">
        <v>0</v>
      </c>
      <c r="U245" s="31">
        <v>34</v>
      </c>
      <c r="V245" s="31">
        <v>0</v>
      </c>
      <c r="W245" s="31">
        <v>0</v>
      </c>
      <c r="X245" s="31">
        <v>39</v>
      </c>
      <c r="Y245" s="31">
        <v>1</v>
      </c>
      <c r="Z245" s="31">
        <v>0</v>
      </c>
      <c r="AA245" s="31">
        <v>62</v>
      </c>
      <c r="AB245" s="31">
        <v>0</v>
      </c>
      <c r="AC245" s="31">
        <v>0</v>
      </c>
      <c r="AD245" s="31">
        <v>147</v>
      </c>
      <c r="AE245" s="31">
        <v>2</v>
      </c>
      <c r="AF245" s="31">
        <v>0</v>
      </c>
      <c r="AG245" s="31">
        <v>0</v>
      </c>
      <c r="AH245" s="31">
        <v>1</v>
      </c>
    </row>
    <row r="246" spans="1:34" x14ac:dyDescent="0.25">
      <c r="A246" s="31">
        <v>15</v>
      </c>
      <c r="B246" s="31">
        <v>25001</v>
      </c>
      <c r="C246" s="31" t="s">
        <v>421</v>
      </c>
      <c r="D246" s="31" t="s">
        <v>659</v>
      </c>
      <c r="E246" s="31">
        <v>4</v>
      </c>
      <c r="F246" s="31">
        <v>8.0950002670288086</v>
      </c>
      <c r="G246" s="31">
        <v>6.005000114440918</v>
      </c>
      <c r="H246" s="31">
        <v>1.0010000467300415</v>
      </c>
      <c r="I246" s="31">
        <v>0</v>
      </c>
      <c r="J246" s="31">
        <v>15.10099983215332</v>
      </c>
      <c r="K246" s="31">
        <v>31.200000762939453</v>
      </c>
      <c r="L246" s="31">
        <v>18</v>
      </c>
      <c r="M246" s="31">
        <v>0</v>
      </c>
      <c r="N246" s="31">
        <v>0</v>
      </c>
      <c r="O246" s="31">
        <v>1</v>
      </c>
      <c r="P246" s="31">
        <v>0</v>
      </c>
      <c r="Q246" s="31">
        <v>0</v>
      </c>
      <c r="R246" s="31">
        <v>2</v>
      </c>
      <c r="S246" s="31">
        <v>0</v>
      </c>
      <c r="T246" s="31">
        <v>0</v>
      </c>
      <c r="U246" s="31">
        <v>11</v>
      </c>
      <c r="V246" s="31">
        <v>0</v>
      </c>
      <c r="W246" s="31">
        <v>0</v>
      </c>
      <c r="X246" s="31">
        <v>19</v>
      </c>
      <c r="Y246" s="31">
        <v>0</v>
      </c>
      <c r="Z246" s="31">
        <v>0</v>
      </c>
      <c r="AA246" s="31">
        <v>33</v>
      </c>
      <c r="AB246" s="31">
        <v>0</v>
      </c>
      <c r="AC246" s="31">
        <v>0</v>
      </c>
      <c r="AD246" s="31">
        <v>84</v>
      </c>
      <c r="AE246" s="31">
        <v>0</v>
      </c>
      <c r="AF246" s="31">
        <v>0</v>
      </c>
      <c r="AG246" s="31">
        <v>0</v>
      </c>
      <c r="AH246" s="31">
        <v>0</v>
      </c>
    </row>
    <row r="247" spans="1:34" x14ac:dyDescent="0.25">
      <c r="A247" s="31">
        <v>15</v>
      </c>
      <c r="B247" s="31">
        <v>25001</v>
      </c>
      <c r="C247" s="31" t="s">
        <v>421</v>
      </c>
      <c r="D247" s="31" t="s">
        <v>660</v>
      </c>
      <c r="E247" s="31" t="s">
        <v>885</v>
      </c>
      <c r="F247" s="31">
        <v>5.625999927520752</v>
      </c>
      <c r="G247" s="31">
        <v>6</v>
      </c>
      <c r="H247" s="31">
        <v>0</v>
      </c>
      <c r="I247" s="31">
        <v>0</v>
      </c>
      <c r="J247" s="31">
        <v>11.62600040435791</v>
      </c>
      <c r="K247" s="31">
        <v>25.5</v>
      </c>
      <c r="L247" s="31">
        <v>33</v>
      </c>
      <c r="M247" s="31">
        <v>0</v>
      </c>
      <c r="N247" s="31">
        <v>0</v>
      </c>
      <c r="O247" s="31">
        <v>2</v>
      </c>
      <c r="P247" s="31">
        <v>0</v>
      </c>
      <c r="Q247" s="31">
        <v>0</v>
      </c>
      <c r="R247" s="31">
        <v>4</v>
      </c>
      <c r="S247" s="31">
        <v>0</v>
      </c>
      <c r="T247" s="31">
        <v>0</v>
      </c>
      <c r="U247" s="31">
        <v>11</v>
      </c>
      <c r="V247" s="31">
        <v>0</v>
      </c>
      <c r="W247" s="31">
        <v>0</v>
      </c>
      <c r="X247" s="31">
        <v>7</v>
      </c>
      <c r="Y247" s="31">
        <v>0</v>
      </c>
      <c r="Z247" s="31">
        <v>0</v>
      </c>
      <c r="AA247" s="31">
        <v>25</v>
      </c>
      <c r="AB247" s="31">
        <v>0</v>
      </c>
      <c r="AC247" s="31">
        <v>0</v>
      </c>
      <c r="AD247" s="31">
        <v>82</v>
      </c>
      <c r="AE247" s="31">
        <v>0</v>
      </c>
      <c r="AF247" s="31">
        <v>0</v>
      </c>
      <c r="AG247" s="31">
        <v>0</v>
      </c>
      <c r="AH247" s="31">
        <v>0</v>
      </c>
    </row>
    <row r="248" spans="1:34" x14ac:dyDescent="0.25">
      <c r="A248" s="31">
        <v>15</v>
      </c>
      <c r="B248" s="31">
        <v>25001</v>
      </c>
      <c r="C248" s="31" t="s">
        <v>421</v>
      </c>
      <c r="D248" s="31" t="s">
        <v>661</v>
      </c>
      <c r="E248" s="31">
        <v>5</v>
      </c>
      <c r="F248" s="31">
        <v>4.5170001983642578</v>
      </c>
      <c r="G248" s="31">
        <v>2.000999927520752</v>
      </c>
      <c r="H248" s="31">
        <v>1.5190000534057617</v>
      </c>
      <c r="I248" s="31">
        <v>0</v>
      </c>
      <c r="J248" s="31">
        <v>8.0369997024536133</v>
      </c>
      <c r="K248" s="31">
        <v>43.900001525878906</v>
      </c>
      <c r="L248" s="31">
        <v>14</v>
      </c>
      <c r="M248" s="31">
        <v>3</v>
      </c>
      <c r="N248" s="31">
        <v>0</v>
      </c>
      <c r="O248" s="31">
        <v>0</v>
      </c>
      <c r="P248" s="31">
        <v>0</v>
      </c>
      <c r="Q248" s="31">
        <v>0</v>
      </c>
      <c r="R248" s="31">
        <v>0</v>
      </c>
      <c r="S248" s="31">
        <v>0</v>
      </c>
      <c r="T248" s="31">
        <v>0</v>
      </c>
      <c r="U248" s="31">
        <v>19</v>
      </c>
      <c r="V248" s="31">
        <v>0</v>
      </c>
      <c r="W248" s="31">
        <v>0</v>
      </c>
      <c r="X248" s="31">
        <v>12</v>
      </c>
      <c r="Y248" s="31">
        <v>1</v>
      </c>
      <c r="Z248" s="31">
        <v>0</v>
      </c>
      <c r="AA248" s="31">
        <v>21</v>
      </c>
      <c r="AB248" s="31">
        <v>0</v>
      </c>
      <c r="AC248" s="31">
        <v>0</v>
      </c>
      <c r="AD248" s="31">
        <v>66</v>
      </c>
      <c r="AE248" s="31">
        <v>4</v>
      </c>
      <c r="AF248" s="31">
        <v>0</v>
      </c>
      <c r="AG248" s="31">
        <v>0</v>
      </c>
      <c r="AH248" s="31">
        <v>0</v>
      </c>
    </row>
    <row r="249" spans="1:34" x14ac:dyDescent="0.25">
      <c r="A249" s="31">
        <v>15</v>
      </c>
      <c r="B249" s="31">
        <v>25001</v>
      </c>
      <c r="C249" s="31" t="s">
        <v>421</v>
      </c>
      <c r="D249" s="31" t="s">
        <v>662</v>
      </c>
      <c r="E249" s="31" t="s">
        <v>886</v>
      </c>
      <c r="F249" s="31">
        <v>5.054999828338623</v>
      </c>
      <c r="G249" s="31">
        <v>9.0039997100830078</v>
      </c>
      <c r="H249" s="31">
        <v>1.2170000076293945</v>
      </c>
      <c r="I249" s="31">
        <v>2.000999927520752</v>
      </c>
      <c r="J249" s="31">
        <v>17.277000427246094</v>
      </c>
      <c r="K249" s="31">
        <v>92.199996948242187</v>
      </c>
      <c r="L249" s="31">
        <v>47</v>
      </c>
      <c r="M249" s="31">
        <v>2</v>
      </c>
      <c r="N249" s="31">
        <v>4030</v>
      </c>
      <c r="O249" s="31">
        <v>1</v>
      </c>
      <c r="P249" s="31">
        <v>1</v>
      </c>
      <c r="Q249" s="31">
        <v>4030</v>
      </c>
      <c r="R249" s="31">
        <v>3</v>
      </c>
      <c r="S249" s="31">
        <v>0</v>
      </c>
      <c r="T249" s="31">
        <v>4030</v>
      </c>
      <c r="U249" s="31">
        <v>24</v>
      </c>
      <c r="V249" s="31">
        <v>0</v>
      </c>
      <c r="W249" s="31">
        <v>4030</v>
      </c>
      <c r="X249" s="31">
        <v>13</v>
      </c>
      <c r="Y249" s="31">
        <v>0</v>
      </c>
      <c r="Z249" s="31">
        <v>4030</v>
      </c>
      <c r="AA249" s="31">
        <v>27</v>
      </c>
      <c r="AB249" s="31">
        <v>0</v>
      </c>
      <c r="AC249" s="31">
        <v>4030</v>
      </c>
      <c r="AD249" s="31">
        <v>115</v>
      </c>
      <c r="AE249" s="31">
        <v>3</v>
      </c>
      <c r="AF249" s="31">
        <v>2</v>
      </c>
      <c r="AG249" s="31">
        <v>0</v>
      </c>
      <c r="AH249" s="31">
        <v>0</v>
      </c>
    </row>
    <row r="250" spans="1:34" x14ac:dyDescent="0.25">
      <c r="A250" s="31">
        <v>15</v>
      </c>
      <c r="B250" s="31">
        <v>25001</v>
      </c>
      <c r="C250" s="31" t="s">
        <v>421</v>
      </c>
      <c r="D250" s="31" t="s">
        <v>663</v>
      </c>
      <c r="E250" s="31" t="s">
        <v>887</v>
      </c>
      <c r="F250" s="31">
        <v>6.435999870300293</v>
      </c>
      <c r="G250" s="31">
        <v>10.590000152587891</v>
      </c>
      <c r="H250" s="31">
        <v>0</v>
      </c>
      <c r="I250" s="31">
        <v>0</v>
      </c>
      <c r="J250" s="31">
        <v>17.025999069213867</v>
      </c>
      <c r="K250" s="31">
        <v>28.700000762939453</v>
      </c>
      <c r="L250" s="31">
        <v>20</v>
      </c>
      <c r="M250" s="31">
        <v>0</v>
      </c>
      <c r="N250" s="31">
        <v>0</v>
      </c>
      <c r="O250" s="31">
        <v>1</v>
      </c>
      <c r="P250" s="31">
        <v>0</v>
      </c>
      <c r="Q250" s="31">
        <v>0</v>
      </c>
      <c r="R250" s="31">
        <v>0</v>
      </c>
      <c r="S250" s="31">
        <v>0</v>
      </c>
      <c r="T250" s="31">
        <v>0</v>
      </c>
      <c r="U250" s="31">
        <v>17</v>
      </c>
      <c r="V250" s="31">
        <v>0</v>
      </c>
      <c r="W250" s="31">
        <v>0</v>
      </c>
      <c r="X250" s="31">
        <v>5</v>
      </c>
      <c r="Y250" s="31">
        <v>0</v>
      </c>
      <c r="Z250" s="31">
        <v>0</v>
      </c>
      <c r="AA250" s="31">
        <v>40</v>
      </c>
      <c r="AB250" s="31">
        <v>0</v>
      </c>
      <c r="AC250" s="31">
        <v>0</v>
      </c>
      <c r="AD250" s="31">
        <v>83</v>
      </c>
      <c r="AE250" s="31">
        <v>0</v>
      </c>
      <c r="AF250" s="31">
        <v>0</v>
      </c>
      <c r="AG250" s="31">
        <v>0</v>
      </c>
      <c r="AH250" s="31">
        <v>0</v>
      </c>
    </row>
    <row r="251" spans="1:34" x14ac:dyDescent="0.25">
      <c r="A251" s="31">
        <v>15</v>
      </c>
      <c r="B251" s="31">
        <v>25001</v>
      </c>
      <c r="C251" s="31" t="s">
        <v>421</v>
      </c>
      <c r="D251" s="31" t="s">
        <v>664</v>
      </c>
      <c r="E251" s="31">
        <v>7</v>
      </c>
      <c r="F251" s="31">
        <v>6.000999927520752</v>
      </c>
      <c r="G251" s="31">
        <v>7.9939999580383301</v>
      </c>
      <c r="H251" s="31">
        <v>0</v>
      </c>
      <c r="I251" s="31">
        <v>0</v>
      </c>
      <c r="J251" s="31">
        <v>13.994999885559082</v>
      </c>
      <c r="K251" s="31">
        <v>27.100000381469727</v>
      </c>
      <c r="L251" s="31">
        <v>18</v>
      </c>
      <c r="M251" s="31">
        <v>0</v>
      </c>
      <c r="N251" s="31">
        <v>0</v>
      </c>
      <c r="O251" s="31">
        <v>5</v>
      </c>
      <c r="P251" s="31">
        <v>0</v>
      </c>
      <c r="Q251" s="31">
        <v>0</v>
      </c>
      <c r="R251" s="31">
        <v>0</v>
      </c>
      <c r="S251" s="31">
        <v>0</v>
      </c>
      <c r="T251" s="31">
        <v>0</v>
      </c>
      <c r="U251" s="31">
        <v>21</v>
      </c>
      <c r="V251" s="31">
        <v>0</v>
      </c>
      <c r="W251" s="31">
        <v>0</v>
      </c>
      <c r="X251" s="31">
        <v>19</v>
      </c>
      <c r="Y251" s="31">
        <v>0</v>
      </c>
      <c r="Z251" s="31">
        <v>0</v>
      </c>
      <c r="AA251" s="31">
        <v>28</v>
      </c>
      <c r="AB251" s="31">
        <v>0</v>
      </c>
      <c r="AC251" s="31">
        <v>0</v>
      </c>
      <c r="AD251" s="31">
        <v>91</v>
      </c>
      <c r="AE251" s="31">
        <v>0</v>
      </c>
      <c r="AF251" s="31">
        <v>0</v>
      </c>
      <c r="AG251" s="31">
        <v>0</v>
      </c>
      <c r="AH251" s="31">
        <v>0</v>
      </c>
    </row>
    <row r="252" spans="1:34" x14ac:dyDescent="0.25">
      <c r="A252" s="31">
        <v>15</v>
      </c>
      <c r="B252" s="31">
        <v>25001</v>
      </c>
      <c r="C252" s="31" t="s">
        <v>421</v>
      </c>
      <c r="D252" s="31" t="s">
        <v>951</v>
      </c>
      <c r="E252" s="31" t="s">
        <v>891</v>
      </c>
      <c r="F252" s="31">
        <v>9.1689996719360352</v>
      </c>
      <c r="G252" s="31">
        <v>9.8680000305175781</v>
      </c>
      <c r="H252" s="31">
        <v>1</v>
      </c>
      <c r="I252" s="31">
        <v>0</v>
      </c>
      <c r="J252" s="31">
        <v>20.03700065612793</v>
      </c>
      <c r="K252" s="31">
        <v>31.799999237060547</v>
      </c>
      <c r="L252" s="31">
        <v>26</v>
      </c>
      <c r="M252" s="31">
        <v>0</v>
      </c>
      <c r="N252" s="31">
        <v>0</v>
      </c>
      <c r="O252" s="31">
        <v>6</v>
      </c>
      <c r="P252" s="31">
        <v>0</v>
      </c>
      <c r="Q252" s="31">
        <v>0</v>
      </c>
      <c r="R252" s="31">
        <v>2</v>
      </c>
      <c r="S252" s="31">
        <v>0</v>
      </c>
      <c r="T252" s="31">
        <v>0</v>
      </c>
      <c r="U252" s="31">
        <v>39</v>
      </c>
      <c r="V252" s="31">
        <v>0</v>
      </c>
      <c r="W252" s="31">
        <v>0</v>
      </c>
      <c r="X252" s="31">
        <v>10</v>
      </c>
      <c r="Y252" s="31">
        <v>0</v>
      </c>
      <c r="Z252" s="31">
        <v>0</v>
      </c>
      <c r="AA252" s="31">
        <v>53</v>
      </c>
      <c r="AB252" s="31">
        <v>0</v>
      </c>
      <c r="AC252" s="31">
        <v>0</v>
      </c>
      <c r="AD252" s="31">
        <v>136</v>
      </c>
      <c r="AE252" s="31">
        <v>0</v>
      </c>
      <c r="AF252" s="31">
        <v>0</v>
      </c>
      <c r="AG252" s="31">
        <v>0</v>
      </c>
      <c r="AH252" s="31">
        <v>0</v>
      </c>
    </row>
    <row r="253" spans="1:34" x14ac:dyDescent="0.25">
      <c r="A253" s="31">
        <v>15</v>
      </c>
      <c r="B253" s="31">
        <v>25001</v>
      </c>
      <c r="C253" s="31" t="s">
        <v>421</v>
      </c>
      <c r="D253" s="31" t="s">
        <v>952</v>
      </c>
      <c r="E253" s="31" t="s">
        <v>888</v>
      </c>
      <c r="F253" s="31">
        <v>3</v>
      </c>
      <c r="G253" s="31">
        <v>6.7639999389648437</v>
      </c>
      <c r="H253" s="31">
        <v>0</v>
      </c>
      <c r="I253" s="31">
        <v>0</v>
      </c>
      <c r="J253" s="31">
        <v>9.7639999389648437</v>
      </c>
      <c r="K253" s="31">
        <v>30.799999237060547</v>
      </c>
      <c r="L253" s="31">
        <v>21</v>
      </c>
      <c r="M253" s="31">
        <v>0</v>
      </c>
      <c r="N253" s="31">
        <v>0</v>
      </c>
      <c r="O253" s="31">
        <v>3</v>
      </c>
      <c r="P253" s="31">
        <v>0</v>
      </c>
      <c r="Q253" s="31">
        <v>0</v>
      </c>
      <c r="R253" s="31">
        <v>0</v>
      </c>
      <c r="S253" s="31">
        <v>0</v>
      </c>
      <c r="T253" s="31">
        <v>0</v>
      </c>
      <c r="U253" s="31">
        <v>17</v>
      </c>
      <c r="V253" s="31">
        <v>0</v>
      </c>
      <c r="W253" s="31">
        <v>0</v>
      </c>
      <c r="X253" s="31">
        <v>5</v>
      </c>
      <c r="Y253" s="31">
        <v>0</v>
      </c>
      <c r="Z253" s="31">
        <v>0</v>
      </c>
      <c r="AA253" s="31">
        <v>19</v>
      </c>
      <c r="AB253" s="31">
        <v>0</v>
      </c>
      <c r="AC253" s="31">
        <v>0</v>
      </c>
      <c r="AD253" s="31">
        <v>65</v>
      </c>
      <c r="AE253" s="31">
        <v>0</v>
      </c>
      <c r="AF253" s="31">
        <v>0</v>
      </c>
      <c r="AG253" s="31">
        <v>0</v>
      </c>
      <c r="AH253" s="31">
        <v>0</v>
      </c>
    </row>
    <row r="254" spans="1:34" x14ac:dyDescent="0.25">
      <c r="A254" s="31">
        <v>15</v>
      </c>
      <c r="B254" s="31">
        <v>25001</v>
      </c>
      <c r="C254" s="31" t="s">
        <v>421</v>
      </c>
      <c r="D254" s="31" t="s">
        <v>665</v>
      </c>
      <c r="E254" s="31">
        <v>9</v>
      </c>
      <c r="F254" s="31">
        <v>8.0010004043579102</v>
      </c>
      <c r="G254" s="31">
        <v>11.003999710083008</v>
      </c>
      <c r="H254" s="31">
        <v>1</v>
      </c>
      <c r="I254" s="31">
        <v>0</v>
      </c>
      <c r="J254" s="31">
        <v>20.004999160766602</v>
      </c>
      <c r="K254" s="31">
        <v>33.5</v>
      </c>
      <c r="L254" s="31">
        <v>45</v>
      </c>
      <c r="M254" s="31">
        <v>1</v>
      </c>
      <c r="N254" s="31">
        <v>0</v>
      </c>
      <c r="O254" s="31">
        <v>3</v>
      </c>
      <c r="P254" s="31">
        <v>0</v>
      </c>
      <c r="Q254" s="31">
        <v>0</v>
      </c>
      <c r="R254" s="31">
        <v>0</v>
      </c>
      <c r="S254" s="31">
        <v>0</v>
      </c>
      <c r="T254" s="31">
        <v>0</v>
      </c>
      <c r="U254" s="31">
        <v>17</v>
      </c>
      <c r="V254" s="31">
        <v>0</v>
      </c>
      <c r="W254" s="31">
        <v>0</v>
      </c>
      <c r="X254" s="31">
        <v>27</v>
      </c>
      <c r="Y254" s="31">
        <v>0</v>
      </c>
      <c r="Z254" s="31">
        <v>0</v>
      </c>
      <c r="AA254" s="31">
        <v>61</v>
      </c>
      <c r="AB254" s="31">
        <v>0</v>
      </c>
      <c r="AC254" s="31">
        <v>0</v>
      </c>
      <c r="AD254" s="31">
        <v>153</v>
      </c>
      <c r="AE254" s="31">
        <v>1</v>
      </c>
      <c r="AF254" s="31">
        <v>0</v>
      </c>
      <c r="AG254" s="31">
        <v>0</v>
      </c>
      <c r="AH254" s="31">
        <v>0</v>
      </c>
    </row>
    <row r="255" spans="1:34" x14ac:dyDescent="0.25">
      <c r="A255" s="31">
        <v>15</v>
      </c>
      <c r="B255" s="31">
        <v>25001</v>
      </c>
      <c r="C255" s="31" t="s">
        <v>421</v>
      </c>
      <c r="D255" s="31" t="s">
        <v>666</v>
      </c>
      <c r="E255" s="31">
        <v>9</v>
      </c>
      <c r="F255" s="31">
        <v>1.0010000467300415</v>
      </c>
      <c r="G255" s="31">
        <v>2</v>
      </c>
      <c r="H255" s="31">
        <v>1</v>
      </c>
      <c r="I255" s="31">
        <v>0</v>
      </c>
      <c r="J255" s="31">
        <v>4.000999927520752</v>
      </c>
      <c r="K255" s="31">
        <v>60</v>
      </c>
      <c r="L255" s="31">
        <v>9</v>
      </c>
      <c r="M255" s="31">
        <v>1</v>
      </c>
      <c r="N255" s="31">
        <v>0</v>
      </c>
      <c r="O255" s="31">
        <v>0</v>
      </c>
      <c r="P255" s="31">
        <v>0</v>
      </c>
      <c r="Q255" s="31">
        <v>0</v>
      </c>
      <c r="R255" s="31">
        <v>0</v>
      </c>
      <c r="S255" s="31">
        <v>0</v>
      </c>
      <c r="T255" s="31">
        <v>0</v>
      </c>
      <c r="U255" s="31">
        <v>8</v>
      </c>
      <c r="V255" s="31">
        <v>0</v>
      </c>
      <c r="W255" s="31">
        <v>0</v>
      </c>
      <c r="X255" s="31">
        <v>3</v>
      </c>
      <c r="Y255" s="31">
        <v>0</v>
      </c>
      <c r="Z255" s="31">
        <v>0</v>
      </c>
      <c r="AA255" s="31">
        <v>21</v>
      </c>
      <c r="AB255" s="31">
        <v>0</v>
      </c>
      <c r="AC255" s="31">
        <v>0</v>
      </c>
      <c r="AD255" s="31">
        <v>41</v>
      </c>
      <c r="AE255" s="31">
        <v>1</v>
      </c>
      <c r="AF255" s="31">
        <v>0</v>
      </c>
      <c r="AG255" s="31">
        <v>0</v>
      </c>
      <c r="AH255" s="31">
        <v>0</v>
      </c>
    </row>
    <row r="256" spans="1:34" x14ac:dyDescent="0.25">
      <c r="A256" s="31">
        <v>16</v>
      </c>
      <c r="B256" s="31">
        <v>25001</v>
      </c>
      <c r="C256" s="31" t="s">
        <v>421</v>
      </c>
      <c r="D256" s="31" t="s">
        <v>666</v>
      </c>
      <c r="E256" s="31">
        <v>1</v>
      </c>
      <c r="F256" s="31">
        <v>2.9920001029968262</v>
      </c>
      <c r="G256" s="31">
        <v>7.7750000953674316</v>
      </c>
      <c r="H256" s="31">
        <v>1</v>
      </c>
      <c r="I256" s="31">
        <v>1</v>
      </c>
      <c r="J256" s="31">
        <v>12.767000198364258</v>
      </c>
      <c r="K256" s="31">
        <v>77.599998474121094</v>
      </c>
      <c r="L256" s="31">
        <v>27</v>
      </c>
      <c r="M256" s="31">
        <v>0</v>
      </c>
      <c r="N256" s="31">
        <v>2015</v>
      </c>
      <c r="O256" s="31">
        <v>2</v>
      </c>
      <c r="P256" s="31">
        <v>0</v>
      </c>
      <c r="Q256" s="31">
        <v>2015</v>
      </c>
      <c r="R256" s="31">
        <v>0</v>
      </c>
      <c r="S256" s="31">
        <v>0</v>
      </c>
      <c r="T256" s="31">
        <v>2015</v>
      </c>
      <c r="U256" s="31">
        <v>36</v>
      </c>
      <c r="V256" s="31">
        <v>0</v>
      </c>
      <c r="W256" s="31">
        <v>2015</v>
      </c>
      <c r="X256" s="31">
        <v>8</v>
      </c>
      <c r="Y256" s="31">
        <v>1</v>
      </c>
      <c r="Z256" s="31">
        <v>2015</v>
      </c>
      <c r="AA256" s="31">
        <v>41</v>
      </c>
      <c r="AB256" s="31">
        <v>0</v>
      </c>
      <c r="AC256" s="31">
        <v>2015</v>
      </c>
      <c r="AD256" s="31">
        <v>114</v>
      </c>
      <c r="AE256" s="31">
        <v>1</v>
      </c>
      <c r="AF256" s="31">
        <v>1</v>
      </c>
      <c r="AG256" s="31">
        <v>0</v>
      </c>
      <c r="AH256" s="31">
        <v>1</v>
      </c>
    </row>
    <row r="257" spans="1:34" x14ac:dyDescent="0.25">
      <c r="A257" s="31">
        <v>16</v>
      </c>
      <c r="B257" s="31">
        <v>25001</v>
      </c>
      <c r="C257" s="31" t="s">
        <v>421</v>
      </c>
      <c r="D257" s="31" t="s">
        <v>667</v>
      </c>
      <c r="E257" s="31" t="s">
        <v>881</v>
      </c>
      <c r="F257" s="31">
        <v>4.1479997634887695</v>
      </c>
      <c r="G257" s="31">
        <v>11.928999900817871</v>
      </c>
      <c r="H257" s="31">
        <v>1</v>
      </c>
      <c r="I257" s="31">
        <v>0</v>
      </c>
      <c r="J257" s="31">
        <v>17.076999664306641</v>
      </c>
      <c r="K257" s="31">
        <v>39.200000762939453</v>
      </c>
      <c r="L257" s="31">
        <v>53</v>
      </c>
      <c r="M257" s="31">
        <v>1</v>
      </c>
      <c r="N257" s="31">
        <v>0</v>
      </c>
      <c r="O257" s="31">
        <v>7</v>
      </c>
      <c r="P257" s="31">
        <v>0</v>
      </c>
      <c r="Q257" s="31">
        <v>0</v>
      </c>
      <c r="R257" s="31">
        <v>0</v>
      </c>
      <c r="S257" s="31">
        <v>0</v>
      </c>
      <c r="T257" s="31">
        <v>0</v>
      </c>
      <c r="U257" s="31">
        <v>28</v>
      </c>
      <c r="V257" s="31">
        <v>0</v>
      </c>
      <c r="W257" s="31">
        <v>0</v>
      </c>
      <c r="X257" s="31">
        <v>21</v>
      </c>
      <c r="Y257" s="31">
        <v>0</v>
      </c>
      <c r="Z257" s="31">
        <v>0</v>
      </c>
      <c r="AA257" s="31">
        <v>48</v>
      </c>
      <c r="AB257" s="31">
        <v>0</v>
      </c>
      <c r="AC257" s="31">
        <v>0</v>
      </c>
      <c r="AD257" s="31">
        <v>157</v>
      </c>
      <c r="AE257" s="31">
        <v>1</v>
      </c>
      <c r="AF257" s="31">
        <v>0</v>
      </c>
      <c r="AG257" s="31">
        <v>0</v>
      </c>
      <c r="AH257" s="31">
        <v>0</v>
      </c>
    </row>
    <row r="258" spans="1:34" x14ac:dyDescent="0.25">
      <c r="A258" s="31">
        <v>16</v>
      </c>
      <c r="B258" s="31">
        <v>25001</v>
      </c>
      <c r="C258" s="31" t="s">
        <v>421</v>
      </c>
      <c r="D258" s="31" t="s">
        <v>668</v>
      </c>
      <c r="E258" s="31">
        <v>2</v>
      </c>
      <c r="F258" s="31">
        <v>3.0209999084472656</v>
      </c>
      <c r="G258" s="31">
        <v>2.5959999561309814</v>
      </c>
      <c r="H258" s="31">
        <v>1</v>
      </c>
      <c r="I258" s="31">
        <v>0</v>
      </c>
      <c r="J258" s="31">
        <v>6.6170001029968262</v>
      </c>
      <c r="K258" s="31">
        <v>42.900001525878906</v>
      </c>
      <c r="L258" s="31">
        <v>5</v>
      </c>
      <c r="M258" s="31">
        <v>0</v>
      </c>
      <c r="N258" s="31">
        <v>0</v>
      </c>
      <c r="O258" s="31">
        <v>0</v>
      </c>
      <c r="P258" s="31">
        <v>0</v>
      </c>
      <c r="Q258" s="31">
        <v>0</v>
      </c>
      <c r="R258" s="31">
        <v>0</v>
      </c>
      <c r="S258" s="31">
        <v>0</v>
      </c>
      <c r="T258" s="31">
        <v>0</v>
      </c>
      <c r="U258" s="31">
        <v>9</v>
      </c>
      <c r="V258" s="31">
        <v>0</v>
      </c>
      <c r="W258" s="31">
        <v>0</v>
      </c>
      <c r="X258" s="31">
        <v>2</v>
      </c>
      <c r="Y258" s="31">
        <v>0</v>
      </c>
      <c r="Z258" s="31">
        <v>0</v>
      </c>
      <c r="AA258" s="31">
        <v>48</v>
      </c>
      <c r="AB258" s="31">
        <v>0</v>
      </c>
      <c r="AC258" s="31">
        <v>0</v>
      </c>
      <c r="AD258" s="31">
        <v>64</v>
      </c>
      <c r="AE258" s="31">
        <v>0</v>
      </c>
      <c r="AF258" s="31">
        <v>0</v>
      </c>
      <c r="AG258" s="31">
        <v>0</v>
      </c>
      <c r="AH258" s="31">
        <v>0</v>
      </c>
    </row>
    <row r="259" spans="1:34" x14ac:dyDescent="0.25">
      <c r="A259" s="31">
        <v>16</v>
      </c>
      <c r="B259" s="31">
        <v>25001</v>
      </c>
      <c r="C259" s="31" t="s">
        <v>421</v>
      </c>
      <c r="D259" s="31" t="s">
        <v>669</v>
      </c>
      <c r="E259" s="31" t="s">
        <v>883</v>
      </c>
      <c r="F259" s="31">
        <v>1.4670000076293945</v>
      </c>
      <c r="G259" s="31">
        <v>4.6409997940063477</v>
      </c>
      <c r="H259" s="31">
        <v>1.0010000467300415</v>
      </c>
      <c r="I259" s="31">
        <v>1</v>
      </c>
      <c r="J259" s="31">
        <v>8.1090002059936523</v>
      </c>
      <c r="K259" s="31">
        <v>104.90000152587891</v>
      </c>
      <c r="L259" s="31">
        <v>18</v>
      </c>
      <c r="M259" s="31">
        <v>1</v>
      </c>
      <c r="N259" s="31">
        <v>2015</v>
      </c>
      <c r="O259" s="31">
        <v>7</v>
      </c>
      <c r="P259" s="31">
        <v>0</v>
      </c>
      <c r="Q259" s="31">
        <v>2015</v>
      </c>
      <c r="R259" s="31">
        <v>0</v>
      </c>
      <c r="S259" s="31">
        <v>0</v>
      </c>
      <c r="T259" s="31">
        <v>2015</v>
      </c>
      <c r="U259" s="31">
        <v>26</v>
      </c>
      <c r="V259" s="31">
        <v>0</v>
      </c>
      <c r="W259" s="31">
        <v>2015</v>
      </c>
      <c r="X259" s="31">
        <v>16</v>
      </c>
      <c r="Y259" s="31">
        <v>0</v>
      </c>
      <c r="Z259" s="31">
        <v>2015</v>
      </c>
      <c r="AA259" s="31">
        <v>29</v>
      </c>
      <c r="AB259" s="31">
        <v>0</v>
      </c>
      <c r="AC259" s="31">
        <v>2015</v>
      </c>
      <c r="AD259" s="31">
        <v>96</v>
      </c>
      <c r="AE259" s="31">
        <v>1</v>
      </c>
      <c r="AF259" s="31">
        <v>1</v>
      </c>
      <c r="AG259" s="31">
        <v>0</v>
      </c>
      <c r="AH259" s="31">
        <v>0</v>
      </c>
    </row>
    <row r="260" spans="1:34" x14ac:dyDescent="0.25">
      <c r="A260" s="31">
        <v>16</v>
      </c>
      <c r="B260" s="31">
        <v>25001</v>
      </c>
      <c r="C260" s="31" t="s">
        <v>421</v>
      </c>
      <c r="D260" s="31" t="s">
        <v>670</v>
      </c>
      <c r="E260" s="31" t="s">
        <v>884</v>
      </c>
      <c r="F260" s="31">
        <v>4.9819998741149902</v>
      </c>
      <c r="G260" s="31">
        <v>14.97599983215332</v>
      </c>
      <c r="H260" s="31">
        <v>0</v>
      </c>
      <c r="I260" s="31">
        <v>0</v>
      </c>
      <c r="J260" s="31">
        <v>19.958000183105469</v>
      </c>
      <c r="K260" s="31">
        <v>32.5</v>
      </c>
      <c r="L260" s="31">
        <v>34</v>
      </c>
      <c r="M260" s="31">
        <v>0</v>
      </c>
      <c r="N260" s="31">
        <v>0</v>
      </c>
      <c r="O260" s="31">
        <v>1</v>
      </c>
      <c r="P260" s="31">
        <v>0</v>
      </c>
      <c r="Q260" s="31">
        <v>0</v>
      </c>
      <c r="R260" s="31">
        <v>1</v>
      </c>
      <c r="S260" s="31">
        <v>0</v>
      </c>
      <c r="T260" s="31">
        <v>0</v>
      </c>
      <c r="U260" s="31">
        <v>47</v>
      </c>
      <c r="V260" s="31">
        <v>0</v>
      </c>
      <c r="W260" s="31">
        <v>0</v>
      </c>
      <c r="X260" s="31">
        <v>13</v>
      </c>
      <c r="Y260" s="31">
        <v>0</v>
      </c>
      <c r="Z260" s="31">
        <v>0</v>
      </c>
      <c r="AA260" s="31">
        <v>106</v>
      </c>
      <c r="AB260" s="31">
        <v>0</v>
      </c>
      <c r="AC260" s="31">
        <v>0</v>
      </c>
      <c r="AD260" s="31">
        <v>202</v>
      </c>
      <c r="AE260" s="31">
        <v>0</v>
      </c>
      <c r="AF260" s="31">
        <v>0</v>
      </c>
      <c r="AG260" s="31">
        <v>0</v>
      </c>
      <c r="AH260" s="31">
        <v>0</v>
      </c>
    </row>
    <row r="261" spans="1:34" x14ac:dyDescent="0.25">
      <c r="A261" s="31">
        <v>16</v>
      </c>
      <c r="B261" s="31">
        <v>25001</v>
      </c>
      <c r="C261" s="31" t="s">
        <v>421</v>
      </c>
      <c r="D261" s="31" t="s">
        <v>671</v>
      </c>
      <c r="E261" s="31">
        <v>4</v>
      </c>
      <c r="F261" s="31">
        <v>2</v>
      </c>
      <c r="G261" s="31">
        <v>4.0139999389648437</v>
      </c>
      <c r="H261" s="31">
        <v>0.98100000619888306</v>
      </c>
      <c r="I261" s="31">
        <v>0</v>
      </c>
      <c r="J261" s="31">
        <v>6.994999885559082</v>
      </c>
      <c r="K261" s="31">
        <v>46.799999237060547</v>
      </c>
      <c r="L261" s="31">
        <v>2</v>
      </c>
      <c r="M261" s="31">
        <v>0</v>
      </c>
      <c r="N261" s="31">
        <v>0</v>
      </c>
      <c r="O261" s="31">
        <v>2</v>
      </c>
      <c r="P261" s="31">
        <v>0</v>
      </c>
      <c r="Q261" s="31">
        <v>0</v>
      </c>
      <c r="R261" s="31">
        <v>28</v>
      </c>
      <c r="S261" s="31">
        <v>0</v>
      </c>
      <c r="T261" s="31">
        <v>0</v>
      </c>
      <c r="U261" s="31">
        <v>1</v>
      </c>
      <c r="V261" s="31">
        <v>0</v>
      </c>
      <c r="W261" s="31">
        <v>0</v>
      </c>
      <c r="X261" s="31">
        <v>2</v>
      </c>
      <c r="Y261" s="31">
        <v>0</v>
      </c>
      <c r="Z261" s="31">
        <v>0</v>
      </c>
      <c r="AA261" s="31">
        <v>3</v>
      </c>
      <c r="AB261" s="31">
        <v>0</v>
      </c>
      <c r="AC261" s="31">
        <v>0</v>
      </c>
      <c r="AD261" s="31">
        <v>38</v>
      </c>
      <c r="AE261" s="31">
        <v>0</v>
      </c>
      <c r="AF261" s="31">
        <v>0</v>
      </c>
      <c r="AG261" s="31">
        <v>0</v>
      </c>
      <c r="AH261" s="31">
        <v>0</v>
      </c>
    </row>
    <row r="262" spans="1:34" x14ac:dyDescent="0.25">
      <c r="A262" s="31">
        <v>16</v>
      </c>
      <c r="B262" s="31">
        <v>25001</v>
      </c>
      <c r="C262" s="31" t="s">
        <v>421</v>
      </c>
      <c r="D262" s="31" t="s">
        <v>672</v>
      </c>
      <c r="E262" s="31" t="s">
        <v>885</v>
      </c>
      <c r="F262" s="31">
        <v>12.395000457763672</v>
      </c>
      <c r="G262" s="31">
        <v>1</v>
      </c>
      <c r="H262" s="31">
        <v>0</v>
      </c>
      <c r="I262" s="31">
        <v>0</v>
      </c>
      <c r="J262" s="31">
        <v>13.395000457763672</v>
      </c>
      <c r="K262" s="31">
        <v>12.199999809265137</v>
      </c>
      <c r="L262" s="31">
        <v>1</v>
      </c>
      <c r="M262" s="31">
        <v>0</v>
      </c>
      <c r="N262" s="31">
        <v>0</v>
      </c>
      <c r="O262" s="31">
        <v>1</v>
      </c>
      <c r="P262" s="31">
        <v>0</v>
      </c>
      <c r="Q262" s="31">
        <v>0</v>
      </c>
      <c r="R262" s="31">
        <v>0</v>
      </c>
      <c r="S262" s="31">
        <v>0</v>
      </c>
      <c r="T262" s="31">
        <v>0</v>
      </c>
      <c r="U262" s="31">
        <v>0</v>
      </c>
      <c r="V262" s="31">
        <v>0</v>
      </c>
      <c r="W262" s="31">
        <v>0</v>
      </c>
      <c r="X262" s="31">
        <v>2</v>
      </c>
      <c r="Y262" s="31">
        <v>0</v>
      </c>
      <c r="Z262" s="31">
        <v>0</v>
      </c>
      <c r="AA262" s="31">
        <v>5</v>
      </c>
      <c r="AB262" s="31">
        <v>0</v>
      </c>
      <c r="AC262" s="31">
        <v>0</v>
      </c>
      <c r="AD262" s="31">
        <v>9</v>
      </c>
      <c r="AE262" s="31">
        <v>0</v>
      </c>
      <c r="AF262" s="31">
        <v>0</v>
      </c>
      <c r="AG262" s="31">
        <v>0</v>
      </c>
      <c r="AH262" s="31">
        <v>0</v>
      </c>
    </row>
    <row r="263" spans="1:34" x14ac:dyDescent="0.25">
      <c r="A263" s="31">
        <v>16</v>
      </c>
      <c r="B263" s="31">
        <v>25001</v>
      </c>
      <c r="C263" s="31" t="s">
        <v>421</v>
      </c>
      <c r="D263" s="31" t="s">
        <v>673</v>
      </c>
      <c r="E263" s="31">
        <v>5</v>
      </c>
      <c r="F263" s="31">
        <v>10.008999824523926</v>
      </c>
      <c r="G263" s="31">
        <v>3.5469999313354492</v>
      </c>
      <c r="H263" s="31">
        <v>0</v>
      </c>
      <c r="I263" s="31">
        <v>0</v>
      </c>
      <c r="J263" s="31">
        <v>13.555999755859375</v>
      </c>
      <c r="K263" s="31">
        <v>17.799999237060547</v>
      </c>
      <c r="L263" s="31">
        <v>10</v>
      </c>
      <c r="M263" s="31">
        <v>0</v>
      </c>
      <c r="N263" s="31">
        <v>0</v>
      </c>
      <c r="O263" s="31">
        <v>7</v>
      </c>
      <c r="P263" s="31">
        <v>0</v>
      </c>
      <c r="Q263" s="31">
        <v>0</v>
      </c>
      <c r="R263" s="31">
        <v>0</v>
      </c>
      <c r="S263" s="31">
        <v>0</v>
      </c>
      <c r="T263" s="31">
        <v>0</v>
      </c>
      <c r="U263" s="31">
        <v>19</v>
      </c>
      <c r="V263" s="31">
        <v>0</v>
      </c>
      <c r="W263" s="31">
        <v>0</v>
      </c>
      <c r="X263" s="31">
        <v>7</v>
      </c>
      <c r="Y263" s="31">
        <v>0</v>
      </c>
      <c r="Z263" s="31">
        <v>0</v>
      </c>
      <c r="AA263" s="31">
        <v>13</v>
      </c>
      <c r="AB263" s="31">
        <v>0</v>
      </c>
      <c r="AC263" s="31">
        <v>0</v>
      </c>
      <c r="AD263" s="31">
        <v>56</v>
      </c>
      <c r="AE263" s="31">
        <v>0</v>
      </c>
      <c r="AF263" s="31">
        <v>0</v>
      </c>
      <c r="AG263" s="31">
        <v>0</v>
      </c>
      <c r="AH263" s="31">
        <v>0</v>
      </c>
    </row>
    <row r="264" spans="1:34" x14ac:dyDescent="0.25">
      <c r="A264" s="31">
        <v>16</v>
      </c>
      <c r="B264" s="31">
        <v>25001</v>
      </c>
      <c r="C264" s="31" t="s">
        <v>239</v>
      </c>
      <c r="D264" s="31" t="s">
        <v>674</v>
      </c>
      <c r="E264" s="31"/>
      <c r="F264" s="31">
        <v>0</v>
      </c>
      <c r="G264" s="31">
        <v>0</v>
      </c>
      <c r="H264" s="31">
        <v>0</v>
      </c>
      <c r="I264" s="31">
        <v>0</v>
      </c>
      <c r="J264" s="31">
        <v>0</v>
      </c>
      <c r="K264" s="31" t="s">
        <v>882</v>
      </c>
      <c r="L264" s="31">
        <v>0</v>
      </c>
      <c r="M264" s="31">
        <v>0</v>
      </c>
      <c r="N264" s="31">
        <v>0</v>
      </c>
      <c r="O264" s="31">
        <v>0</v>
      </c>
      <c r="P264" s="31">
        <v>0</v>
      </c>
      <c r="Q264" s="31">
        <v>0</v>
      </c>
      <c r="R264" s="31">
        <v>0</v>
      </c>
      <c r="S264" s="31">
        <v>0</v>
      </c>
      <c r="T264" s="31">
        <v>0</v>
      </c>
      <c r="U264" s="31">
        <v>0</v>
      </c>
      <c r="V264" s="31">
        <v>0</v>
      </c>
      <c r="W264" s="31">
        <v>0</v>
      </c>
      <c r="X264" s="31">
        <v>0</v>
      </c>
      <c r="Y264" s="31">
        <v>0</v>
      </c>
      <c r="Z264" s="31">
        <v>0</v>
      </c>
      <c r="AA264" s="31">
        <v>0</v>
      </c>
      <c r="AB264" s="31">
        <v>0</v>
      </c>
      <c r="AC264" s="31">
        <v>0</v>
      </c>
      <c r="AD264" s="31">
        <v>0</v>
      </c>
      <c r="AE264" s="31">
        <v>0</v>
      </c>
      <c r="AF264" s="31">
        <v>0</v>
      </c>
      <c r="AG264" s="31">
        <v>0</v>
      </c>
      <c r="AH264" s="31">
        <v>0</v>
      </c>
    </row>
    <row r="265" spans="1:34" x14ac:dyDescent="0.25">
      <c r="A265" s="31">
        <v>16</v>
      </c>
      <c r="B265" s="31">
        <v>25001</v>
      </c>
      <c r="C265" s="31" t="s">
        <v>239</v>
      </c>
      <c r="D265" s="31" t="s">
        <v>675</v>
      </c>
      <c r="E265" s="31"/>
      <c r="F265" s="31">
        <v>0</v>
      </c>
      <c r="G265" s="31">
        <v>0</v>
      </c>
      <c r="H265" s="31">
        <v>0</v>
      </c>
      <c r="I265" s="31">
        <v>0</v>
      </c>
      <c r="J265" s="31">
        <v>0</v>
      </c>
      <c r="K265" s="31" t="s">
        <v>882</v>
      </c>
      <c r="L265" s="31">
        <v>0</v>
      </c>
      <c r="M265" s="31">
        <v>0</v>
      </c>
      <c r="N265" s="31">
        <v>0</v>
      </c>
      <c r="O265" s="31">
        <v>0</v>
      </c>
      <c r="P265" s="31">
        <v>0</v>
      </c>
      <c r="Q265" s="31">
        <v>0</v>
      </c>
      <c r="R265" s="31">
        <v>0</v>
      </c>
      <c r="S265" s="31">
        <v>0</v>
      </c>
      <c r="T265" s="31">
        <v>0</v>
      </c>
      <c r="U265" s="31">
        <v>0</v>
      </c>
      <c r="V265" s="31">
        <v>0</v>
      </c>
      <c r="W265" s="31">
        <v>0</v>
      </c>
      <c r="X265" s="31">
        <v>0</v>
      </c>
      <c r="Y265" s="31">
        <v>0</v>
      </c>
      <c r="Z265" s="31">
        <v>0</v>
      </c>
      <c r="AA265" s="31">
        <v>0</v>
      </c>
      <c r="AB265" s="31">
        <v>0</v>
      </c>
      <c r="AC265" s="31">
        <v>0</v>
      </c>
      <c r="AD265" s="31">
        <v>0</v>
      </c>
      <c r="AE265" s="31">
        <v>0</v>
      </c>
      <c r="AF265" s="31">
        <v>0</v>
      </c>
      <c r="AG265" s="31">
        <v>0</v>
      </c>
      <c r="AH265" s="31">
        <v>0</v>
      </c>
    </row>
    <row r="266" spans="1:34" x14ac:dyDescent="0.25">
      <c r="A266" s="31">
        <v>16</v>
      </c>
      <c r="B266" s="31">
        <v>25001</v>
      </c>
      <c r="C266" s="31" t="s">
        <v>239</v>
      </c>
      <c r="D266" s="31" t="s">
        <v>676</v>
      </c>
      <c r="E266" s="31">
        <v>9</v>
      </c>
      <c r="F266" s="31">
        <v>1.9859999418258667</v>
      </c>
      <c r="G266" s="31">
        <v>0.33700001239776611</v>
      </c>
      <c r="H266" s="31">
        <v>0</v>
      </c>
      <c r="I266" s="31">
        <v>0</v>
      </c>
      <c r="J266" s="31">
        <v>2.3229999542236328</v>
      </c>
      <c r="K266" s="31">
        <v>14.399999618530273</v>
      </c>
      <c r="L266" s="31">
        <v>5</v>
      </c>
      <c r="M266" s="31">
        <v>0</v>
      </c>
      <c r="N266" s="31">
        <v>0</v>
      </c>
      <c r="O266" s="31">
        <v>0</v>
      </c>
      <c r="P266" s="31">
        <v>0</v>
      </c>
      <c r="Q266" s="31">
        <v>0</v>
      </c>
      <c r="R266" s="31">
        <v>4</v>
      </c>
      <c r="S266" s="31">
        <v>0</v>
      </c>
      <c r="T266" s="31">
        <v>0</v>
      </c>
      <c r="U266" s="31">
        <v>2</v>
      </c>
      <c r="V266" s="31">
        <v>0</v>
      </c>
      <c r="W266" s="31">
        <v>0</v>
      </c>
      <c r="X266" s="31">
        <v>1</v>
      </c>
      <c r="Y266" s="31">
        <v>0</v>
      </c>
      <c r="Z266" s="31">
        <v>0</v>
      </c>
      <c r="AA266" s="31">
        <v>0</v>
      </c>
      <c r="AB266" s="31">
        <v>0</v>
      </c>
      <c r="AC266" s="31">
        <v>0</v>
      </c>
      <c r="AD266" s="31">
        <v>12</v>
      </c>
      <c r="AE266" s="31">
        <v>0</v>
      </c>
      <c r="AF266" s="31">
        <v>0</v>
      </c>
      <c r="AG266" s="31">
        <v>0</v>
      </c>
      <c r="AH266" s="31">
        <v>0</v>
      </c>
    </row>
    <row r="267" spans="1:34" x14ac:dyDescent="0.25">
      <c r="A267" s="31">
        <v>16</v>
      </c>
      <c r="B267" s="31">
        <v>25001</v>
      </c>
      <c r="C267" s="31" t="s">
        <v>399</v>
      </c>
      <c r="D267" s="31" t="s">
        <v>674</v>
      </c>
      <c r="E267" s="31" t="s">
        <v>908</v>
      </c>
      <c r="F267" s="31">
        <v>3.4159998893737793</v>
      </c>
      <c r="G267" s="31">
        <v>4.6180000305175781</v>
      </c>
      <c r="H267" s="31">
        <v>0</v>
      </c>
      <c r="I267" s="31">
        <v>0</v>
      </c>
      <c r="J267" s="31">
        <v>8.0340003967285156</v>
      </c>
      <c r="K267" s="31">
        <v>27.200000762939453</v>
      </c>
      <c r="L267" s="31">
        <v>16</v>
      </c>
      <c r="M267" s="31">
        <v>0</v>
      </c>
      <c r="N267" s="31">
        <v>0</v>
      </c>
      <c r="O267" s="31">
        <v>7</v>
      </c>
      <c r="P267" s="31">
        <v>0</v>
      </c>
      <c r="Q267" s="31">
        <v>0</v>
      </c>
      <c r="R267" s="31">
        <v>0</v>
      </c>
      <c r="S267" s="31">
        <v>0</v>
      </c>
      <c r="T267" s="31">
        <v>0</v>
      </c>
      <c r="U267" s="31">
        <v>4</v>
      </c>
      <c r="V267" s="31">
        <v>0</v>
      </c>
      <c r="W267" s="31">
        <v>0</v>
      </c>
      <c r="X267" s="31">
        <v>6</v>
      </c>
      <c r="Y267" s="31">
        <v>0</v>
      </c>
      <c r="Z267" s="31">
        <v>0</v>
      </c>
      <c r="AA267" s="31">
        <v>15</v>
      </c>
      <c r="AB267" s="31">
        <v>0</v>
      </c>
      <c r="AC267" s="31">
        <v>0</v>
      </c>
      <c r="AD267" s="31">
        <v>48</v>
      </c>
      <c r="AE267" s="31">
        <v>0</v>
      </c>
      <c r="AF267" s="31">
        <v>0</v>
      </c>
      <c r="AG267" s="31">
        <v>0</v>
      </c>
      <c r="AH267" s="31">
        <v>0</v>
      </c>
    </row>
    <row r="268" spans="1:34" x14ac:dyDescent="0.25">
      <c r="A268" s="31">
        <v>16</v>
      </c>
      <c r="B268" s="31">
        <v>25001</v>
      </c>
      <c r="C268" s="31" t="s">
        <v>399</v>
      </c>
      <c r="D268" s="31" t="s">
        <v>675</v>
      </c>
      <c r="E268" s="31" t="s">
        <v>907</v>
      </c>
      <c r="F268" s="31">
        <v>7.7319998741149902</v>
      </c>
      <c r="G268" s="31">
        <v>3.315000057220459</v>
      </c>
      <c r="H268" s="31">
        <v>0</v>
      </c>
      <c r="I268" s="31">
        <v>0</v>
      </c>
      <c r="J268" s="31">
        <v>11.046999931335449</v>
      </c>
      <c r="K268" s="31">
        <v>19</v>
      </c>
      <c r="L268" s="31">
        <v>20</v>
      </c>
      <c r="M268" s="31">
        <v>0</v>
      </c>
      <c r="N268" s="31">
        <v>0</v>
      </c>
      <c r="O268" s="31">
        <v>3</v>
      </c>
      <c r="P268" s="31">
        <v>0</v>
      </c>
      <c r="Q268" s="31">
        <v>0</v>
      </c>
      <c r="R268" s="31">
        <v>0</v>
      </c>
      <c r="S268" s="31">
        <v>0</v>
      </c>
      <c r="T268" s="31">
        <v>0</v>
      </c>
      <c r="U268" s="31">
        <v>18</v>
      </c>
      <c r="V268" s="31">
        <v>0</v>
      </c>
      <c r="W268" s="31">
        <v>0</v>
      </c>
      <c r="X268" s="31">
        <v>4</v>
      </c>
      <c r="Y268" s="31">
        <v>0</v>
      </c>
      <c r="Z268" s="31">
        <v>0</v>
      </c>
      <c r="AA268" s="31">
        <v>13</v>
      </c>
      <c r="AB268" s="31">
        <v>0</v>
      </c>
      <c r="AC268" s="31">
        <v>0</v>
      </c>
      <c r="AD268" s="31">
        <v>58</v>
      </c>
      <c r="AE268" s="31">
        <v>0</v>
      </c>
      <c r="AF268" s="31">
        <v>0</v>
      </c>
      <c r="AG268" s="31">
        <v>0</v>
      </c>
      <c r="AH268" s="31">
        <v>0</v>
      </c>
    </row>
    <row r="269" spans="1:34" x14ac:dyDescent="0.25">
      <c r="A269" s="31">
        <v>16</v>
      </c>
      <c r="B269" s="31">
        <v>25001</v>
      </c>
      <c r="C269" s="31" t="s">
        <v>402</v>
      </c>
      <c r="D269" s="31" t="s">
        <v>677</v>
      </c>
      <c r="E269" s="31"/>
      <c r="F269" s="31">
        <v>0</v>
      </c>
      <c r="G269" s="31">
        <v>0</v>
      </c>
      <c r="H269" s="31">
        <v>0</v>
      </c>
      <c r="I269" s="31">
        <v>0</v>
      </c>
      <c r="J269" s="31">
        <v>0</v>
      </c>
      <c r="K269" s="31" t="s">
        <v>882</v>
      </c>
      <c r="L269" s="31">
        <v>0</v>
      </c>
      <c r="M269" s="31">
        <v>0</v>
      </c>
      <c r="N269" s="31">
        <v>0</v>
      </c>
      <c r="O269" s="31">
        <v>0</v>
      </c>
      <c r="P269" s="31">
        <v>0</v>
      </c>
      <c r="Q269" s="31">
        <v>0</v>
      </c>
      <c r="R269" s="31">
        <v>0</v>
      </c>
      <c r="S269" s="31">
        <v>0</v>
      </c>
      <c r="T269" s="31">
        <v>0</v>
      </c>
      <c r="U269" s="31">
        <v>0</v>
      </c>
      <c r="V269" s="31">
        <v>0</v>
      </c>
      <c r="W269" s="31">
        <v>0</v>
      </c>
      <c r="X269" s="31">
        <v>0</v>
      </c>
      <c r="Y269" s="31">
        <v>0</v>
      </c>
      <c r="Z269" s="31">
        <v>0</v>
      </c>
      <c r="AA269" s="31">
        <v>0</v>
      </c>
      <c r="AB269" s="31">
        <v>0</v>
      </c>
      <c r="AC269" s="31">
        <v>0</v>
      </c>
      <c r="AD269" s="31">
        <v>0</v>
      </c>
      <c r="AE269" s="31">
        <v>0</v>
      </c>
      <c r="AF269" s="31">
        <v>0</v>
      </c>
      <c r="AG269" s="31">
        <v>0</v>
      </c>
      <c r="AH269" s="31">
        <v>0</v>
      </c>
    </row>
    <row r="270" spans="1:34" x14ac:dyDescent="0.25">
      <c r="A270" s="31">
        <v>16</v>
      </c>
      <c r="B270" s="31">
        <v>25001</v>
      </c>
      <c r="C270" s="31" t="s">
        <v>402</v>
      </c>
      <c r="D270" s="31" t="s">
        <v>678</v>
      </c>
      <c r="E270" s="31"/>
      <c r="F270" s="31">
        <v>0</v>
      </c>
      <c r="G270" s="31">
        <v>0</v>
      </c>
      <c r="H270" s="31">
        <v>0</v>
      </c>
      <c r="I270" s="31">
        <v>0</v>
      </c>
      <c r="J270" s="31">
        <v>0</v>
      </c>
      <c r="K270" s="31" t="s">
        <v>882</v>
      </c>
      <c r="L270" s="31">
        <v>0</v>
      </c>
      <c r="M270" s="31">
        <v>0</v>
      </c>
      <c r="N270" s="31">
        <v>0</v>
      </c>
      <c r="O270" s="31">
        <v>0</v>
      </c>
      <c r="P270" s="31">
        <v>0</v>
      </c>
      <c r="Q270" s="31">
        <v>0</v>
      </c>
      <c r="R270" s="31">
        <v>0</v>
      </c>
      <c r="S270" s="31">
        <v>0</v>
      </c>
      <c r="T270" s="31">
        <v>0</v>
      </c>
      <c r="U270" s="31">
        <v>0</v>
      </c>
      <c r="V270" s="31">
        <v>0</v>
      </c>
      <c r="W270" s="31">
        <v>0</v>
      </c>
      <c r="X270" s="31">
        <v>0</v>
      </c>
      <c r="Y270" s="31">
        <v>0</v>
      </c>
      <c r="Z270" s="31">
        <v>0</v>
      </c>
      <c r="AA270" s="31">
        <v>0</v>
      </c>
      <c r="AB270" s="31">
        <v>0</v>
      </c>
      <c r="AC270" s="31">
        <v>0</v>
      </c>
      <c r="AD270" s="31">
        <v>0</v>
      </c>
      <c r="AE270" s="31">
        <v>0</v>
      </c>
      <c r="AF270" s="31">
        <v>0</v>
      </c>
      <c r="AG270" s="31">
        <v>0</v>
      </c>
      <c r="AH270" s="31">
        <v>0</v>
      </c>
    </row>
    <row r="271" spans="1:34" x14ac:dyDescent="0.25">
      <c r="A271" s="31">
        <v>16</v>
      </c>
      <c r="B271" s="31">
        <v>24605</v>
      </c>
      <c r="C271" s="31" t="s">
        <v>404</v>
      </c>
      <c r="D271" s="31" t="s">
        <v>674</v>
      </c>
      <c r="E271" s="31"/>
      <c r="F271" s="31">
        <v>0</v>
      </c>
      <c r="G271" s="31">
        <v>0</v>
      </c>
      <c r="H271" s="31">
        <v>0</v>
      </c>
      <c r="I271" s="31">
        <v>0</v>
      </c>
      <c r="J271" s="31">
        <v>0</v>
      </c>
      <c r="K271" s="31" t="s">
        <v>882</v>
      </c>
      <c r="L271" s="31">
        <v>0</v>
      </c>
      <c r="M271" s="31">
        <v>0</v>
      </c>
      <c r="N271" s="31">
        <v>0</v>
      </c>
      <c r="O271" s="31">
        <v>0</v>
      </c>
      <c r="P271" s="31">
        <v>0</v>
      </c>
      <c r="Q271" s="31">
        <v>0</v>
      </c>
      <c r="R271" s="31">
        <v>0</v>
      </c>
      <c r="S271" s="31">
        <v>0</v>
      </c>
      <c r="T271" s="31">
        <v>0</v>
      </c>
      <c r="U271" s="31">
        <v>0</v>
      </c>
      <c r="V271" s="31">
        <v>0</v>
      </c>
      <c r="W271" s="31">
        <v>0</v>
      </c>
      <c r="X271" s="31">
        <v>0</v>
      </c>
      <c r="Y271" s="31">
        <v>0</v>
      </c>
      <c r="Z271" s="31">
        <v>0</v>
      </c>
      <c r="AA271" s="31">
        <v>0</v>
      </c>
      <c r="AB271" s="31">
        <v>0</v>
      </c>
      <c r="AC271" s="31">
        <v>0</v>
      </c>
      <c r="AD271" s="31">
        <v>0</v>
      </c>
      <c r="AE271" s="31">
        <v>0</v>
      </c>
      <c r="AF271" s="31">
        <v>0</v>
      </c>
      <c r="AG271" s="31">
        <v>0</v>
      </c>
      <c r="AH271" s="31">
        <v>0</v>
      </c>
    </row>
    <row r="272" spans="1:34" x14ac:dyDescent="0.25">
      <c r="A272" s="31">
        <v>16</v>
      </c>
      <c r="B272" s="31">
        <v>24605</v>
      </c>
      <c r="C272" s="31">
        <v>1</v>
      </c>
      <c r="D272" s="31" t="s">
        <v>679</v>
      </c>
      <c r="E272" s="31"/>
      <c r="F272" s="31">
        <v>0</v>
      </c>
      <c r="G272" s="31">
        <v>0</v>
      </c>
      <c r="H272" s="31">
        <v>0</v>
      </c>
      <c r="I272" s="31">
        <v>0</v>
      </c>
      <c r="J272" s="31">
        <v>0</v>
      </c>
      <c r="K272" s="31" t="s">
        <v>882</v>
      </c>
      <c r="L272" s="31">
        <v>0</v>
      </c>
      <c r="M272" s="31">
        <v>0</v>
      </c>
      <c r="N272" s="31">
        <v>0</v>
      </c>
      <c r="O272" s="31">
        <v>0</v>
      </c>
      <c r="P272" s="31">
        <v>0</v>
      </c>
      <c r="Q272" s="31">
        <v>0</v>
      </c>
      <c r="R272" s="31">
        <v>0</v>
      </c>
      <c r="S272" s="31">
        <v>0</v>
      </c>
      <c r="T272" s="31">
        <v>0</v>
      </c>
      <c r="U272" s="31">
        <v>0</v>
      </c>
      <c r="V272" s="31">
        <v>0</v>
      </c>
      <c r="W272" s="31">
        <v>0</v>
      </c>
      <c r="X272" s="31">
        <v>0</v>
      </c>
      <c r="Y272" s="31">
        <v>0</v>
      </c>
      <c r="Z272" s="31">
        <v>0</v>
      </c>
      <c r="AA272" s="31">
        <v>0</v>
      </c>
      <c r="AB272" s="31">
        <v>0</v>
      </c>
      <c r="AC272" s="31">
        <v>0</v>
      </c>
      <c r="AD272" s="31">
        <v>0</v>
      </c>
      <c r="AE272" s="31">
        <v>0</v>
      </c>
      <c r="AF272" s="31">
        <v>0</v>
      </c>
      <c r="AG272" s="31">
        <v>0</v>
      </c>
      <c r="AH272" s="31">
        <v>0</v>
      </c>
    </row>
    <row r="273" spans="1:34" x14ac:dyDescent="0.25">
      <c r="A273" s="31">
        <v>16</v>
      </c>
      <c r="B273" s="31">
        <v>24605</v>
      </c>
      <c r="C273" s="31">
        <v>1</v>
      </c>
      <c r="D273" s="31" t="s">
        <v>680</v>
      </c>
      <c r="E273" s="31"/>
      <c r="F273" s="31">
        <v>0</v>
      </c>
      <c r="G273" s="31">
        <v>0</v>
      </c>
      <c r="H273" s="31">
        <v>0</v>
      </c>
      <c r="I273" s="31">
        <v>0</v>
      </c>
      <c r="J273" s="31">
        <v>0</v>
      </c>
      <c r="K273" s="31" t="s">
        <v>882</v>
      </c>
      <c r="L273" s="31">
        <v>0</v>
      </c>
      <c r="M273" s="31">
        <v>0</v>
      </c>
      <c r="N273" s="31">
        <v>0</v>
      </c>
      <c r="O273" s="31">
        <v>0</v>
      </c>
      <c r="P273" s="31">
        <v>0</v>
      </c>
      <c r="Q273" s="31">
        <v>0</v>
      </c>
      <c r="R273" s="31">
        <v>0</v>
      </c>
      <c r="S273" s="31">
        <v>0</v>
      </c>
      <c r="T273" s="31">
        <v>0</v>
      </c>
      <c r="U273" s="31">
        <v>0</v>
      </c>
      <c r="V273" s="31">
        <v>0</v>
      </c>
      <c r="W273" s="31">
        <v>0</v>
      </c>
      <c r="X273" s="31">
        <v>0</v>
      </c>
      <c r="Y273" s="31">
        <v>0</v>
      </c>
      <c r="Z273" s="31">
        <v>0</v>
      </c>
      <c r="AA273" s="31">
        <v>0</v>
      </c>
      <c r="AB273" s="31">
        <v>0</v>
      </c>
      <c r="AC273" s="31">
        <v>0</v>
      </c>
      <c r="AD273" s="31">
        <v>0</v>
      </c>
      <c r="AE273" s="31">
        <v>0</v>
      </c>
      <c r="AF273" s="31">
        <v>0</v>
      </c>
      <c r="AG273" s="31">
        <v>0</v>
      </c>
      <c r="AH273" s="31">
        <v>0</v>
      </c>
    </row>
    <row r="274" spans="1:34" x14ac:dyDescent="0.25">
      <c r="A274" s="31">
        <v>16</v>
      </c>
      <c r="B274" s="31">
        <v>24605</v>
      </c>
      <c r="C274" s="31">
        <v>1</v>
      </c>
      <c r="D274" s="31" t="s">
        <v>681</v>
      </c>
      <c r="E274" s="31"/>
      <c r="F274" s="31">
        <v>0</v>
      </c>
      <c r="G274" s="31">
        <v>0</v>
      </c>
      <c r="H274" s="31">
        <v>0</v>
      </c>
      <c r="I274" s="31">
        <v>0</v>
      </c>
      <c r="J274" s="31">
        <v>0</v>
      </c>
      <c r="K274" s="31" t="s">
        <v>882</v>
      </c>
      <c r="L274" s="31">
        <v>0</v>
      </c>
      <c r="M274" s="31">
        <v>0</v>
      </c>
      <c r="N274" s="31">
        <v>0</v>
      </c>
      <c r="O274" s="31">
        <v>0</v>
      </c>
      <c r="P274" s="31">
        <v>0</v>
      </c>
      <c r="Q274" s="31">
        <v>0</v>
      </c>
      <c r="R274" s="31">
        <v>0</v>
      </c>
      <c r="S274" s="31">
        <v>0</v>
      </c>
      <c r="T274" s="31">
        <v>0</v>
      </c>
      <c r="U274" s="31">
        <v>0</v>
      </c>
      <c r="V274" s="31">
        <v>0</v>
      </c>
      <c r="W274" s="31">
        <v>0</v>
      </c>
      <c r="X274" s="31">
        <v>0</v>
      </c>
      <c r="Y274" s="31">
        <v>0</v>
      </c>
      <c r="Z274" s="31">
        <v>0</v>
      </c>
      <c r="AA274" s="31">
        <v>0</v>
      </c>
      <c r="AB274" s="31">
        <v>0</v>
      </c>
      <c r="AC274" s="31">
        <v>0</v>
      </c>
      <c r="AD274" s="31">
        <v>0</v>
      </c>
      <c r="AE274" s="31">
        <v>0</v>
      </c>
      <c r="AF274" s="31">
        <v>0</v>
      </c>
      <c r="AG274" s="31">
        <v>0</v>
      </c>
      <c r="AH274" s="31">
        <v>0</v>
      </c>
    </row>
    <row r="275" spans="1:34" x14ac:dyDescent="0.25">
      <c r="A275" s="31">
        <v>16</v>
      </c>
      <c r="B275" s="31">
        <v>24605</v>
      </c>
      <c r="C275" s="31">
        <v>2</v>
      </c>
      <c r="D275" s="31" t="s">
        <v>682</v>
      </c>
      <c r="E275" s="31"/>
      <c r="F275" s="31">
        <v>0</v>
      </c>
      <c r="G275" s="31">
        <v>0</v>
      </c>
      <c r="H275" s="31">
        <v>0</v>
      </c>
      <c r="I275" s="31">
        <v>0</v>
      </c>
      <c r="J275" s="31">
        <v>0</v>
      </c>
      <c r="K275" s="31" t="s">
        <v>882</v>
      </c>
      <c r="L275" s="31">
        <v>0</v>
      </c>
      <c r="M275" s="31">
        <v>0</v>
      </c>
      <c r="N275" s="31">
        <v>0</v>
      </c>
      <c r="O275" s="31">
        <v>0</v>
      </c>
      <c r="P275" s="31">
        <v>0</v>
      </c>
      <c r="Q275" s="31">
        <v>0</v>
      </c>
      <c r="R275" s="31">
        <v>0</v>
      </c>
      <c r="S275" s="31">
        <v>0</v>
      </c>
      <c r="T275" s="31">
        <v>0</v>
      </c>
      <c r="U275" s="31">
        <v>0</v>
      </c>
      <c r="V275" s="31">
        <v>0</v>
      </c>
      <c r="W275" s="31">
        <v>0</v>
      </c>
      <c r="X275" s="31">
        <v>0</v>
      </c>
      <c r="Y275" s="31">
        <v>0</v>
      </c>
      <c r="Z275" s="31">
        <v>0</v>
      </c>
      <c r="AA275" s="31">
        <v>0</v>
      </c>
      <c r="AB275" s="31">
        <v>0</v>
      </c>
      <c r="AC275" s="31">
        <v>0</v>
      </c>
      <c r="AD275" s="31">
        <v>0</v>
      </c>
      <c r="AE275" s="31">
        <v>0</v>
      </c>
      <c r="AF275" s="31">
        <v>0</v>
      </c>
      <c r="AG275" s="31">
        <v>0</v>
      </c>
      <c r="AH275" s="31">
        <v>0</v>
      </c>
    </row>
    <row r="276" spans="1:34" x14ac:dyDescent="0.25">
      <c r="A276" s="31">
        <v>16</v>
      </c>
      <c r="B276" s="31">
        <v>24606</v>
      </c>
      <c r="C276" s="31">
        <v>2</v>
      </c>
      <c r="D276" s="31" t="s">
        <v>683</v>
      </c>
      <c r="E276" s="31">
        <v>9</v>
      </c>
      <c r="F276" s="31">
        <v>0</v>
      </c>
      <c r="G276" s="31">
        <v>5</v>
      </c>
      <c r="H276" s="31">
        <v>3.999000072479248</v>
      </c>
      <c r="I276" s="31">
        <v>0</v>
      </c>
      <c r="J276" s="31">
        <v>8.9989995956420898</v>
      </c>
      <c r="K276" s="31">
        <v>88.900001525878906</v>
      </c>
      <c r="L276" s="31">
        <v>7</v>
      </c>
      <c r="M276" s="31">
        <v>0</v>
      </c>
      <c r="N276" s="31">
        <v>0</v>
      </c>
      <c r="O276" s="31">
        <v>2</v>
      </c>
      <c r="P276" s="31">
        <v>0</v>
      </c>
      <c r="Q276" s="31">
        <v>0</v>
      </c>
      <c r="R276" s="31">
        <v>0</v>
      </c>
      <c r="S276" s="31">
        <v>0</v>
      </c>
      <c r="T276" s="31">
        <v>0</v>
      </c>
      <c r="U276" s="31">
        <v>68</v>
      </c>
      <c r="V276" s="31">
        <v>0</v>
      </c>
      <c r="W276" s="31">
        <v>0</v>
      </c>
      <c r="X276" s="31">
        <v>38</v>
      </c>
      <c r="Y276" s="31">
        <v>2</v>
      </c>
      <c r="Z276" s="31">
        <v>0</v>
      </c>
      <c r="AA276" s="31">
        <v>47</v>
      </c>
      <c r="AB276" s="31">
        <v>0</v>
      </c>
      <c r="AC276" s="31">
        <v>0</v>
      </c>
      <c r="AD276" s="31">
        <v>162</v>
      </c>
      <c r="AE276" s="31">
        <v>2</v>
      </c>
      <c r="AF276" s="31">
        <v>0</v>
      </c>
      <c r="AG276" s="31">
        <v>0</v>
      </c>
      <c r="AH276" s="31">
        <v>0</v>
      </c>
    </row>
    <row r="277" spans="1:34" x14ac:dyDescent="0.25">
      <c r="A277" s="31">
        <v>16</v>
      </c>
      <c r="B277" s="31">
        <v>24606</v>
      </c>
      <c r="C277" s="31">
        <v>1</v>
      </c>
      <c r="D277" s="31" t="s">
        <v>683</v>
      </c>
      <c r="E277" s="31">
        <v>9</v>
      </c>
      <c r="F277" s="31">
        <v>0</v>
      </c>
      <c r="G277" s="31">
        <v>0.27099999785423279</v>
      </c>
      <c r="H277" s="31">
        <v>0</v>
      </c>
      <c r="I277" s="31">
        <v>0</v>
      </c>
      <c r="J277" s="31">
        <v>0.27099999785423279</v>
      </c>
      <c r="K277" s="31">
        <v>40</v>
      </c>
      <c r="L277" s="31">
        <v>1</v>
      </c>
      <c r="M277" s="31">
        <v>0</v>
      </c>
      <c r="N277" s="31">
        <v>0</v>
      </c>
      <c r="O277" s="31">
        <v>0</v>
      </c>
      <c r="P277" s="31">
        <v>0</v>
      </c>
      <c r="Q277" s="31">
        <v>0</v>
      </c>
      <c r="R277" s="31">
        <v>0</v>
      </c>
      <c r="S277" s="31">
        <v>0</v>
      </c>
      <c r="T277" s="31">
        <v>0</v>
      </c>
      <c r="U277" s="31">
        <v>2</v>
      </c>
      <c r="V277" s="31">
        <v>0</v>
      </c>
      <c r="W277" s="31">
        <v>0</v>
      </c>
      <c r="X277" s="31">
        <v>2</v>
      </c>
      <c r="Y277" s="31">
        <v>0</v>
      </c>
      <c r="Z277" s="31">
        <v>0</v>
      </c>
      <c r="AA277" s="31">
        <v>0</v>
      </c>
      <c r="AB277" s="31">
        <v>0</v>
      </c>
      <c r="AC277" s="31">
        <v>0</v>
      </c>
      <c r="AD277" s="31">
        <v>5</v>
      </c>
      <c r="AE277" s="31">
        <v>0</v>
      </c>
      <c r="AF277" s="31">
        <v>0</v>
      </c>
      <c r="AG277" s="31">
        <v>0</v>
      </c>
      <c r="AH277" s="31">
        <v>0</v>
      </c>
    </row>
    <row r="278" spans="1:34" x14ac:dyDescent="0.25">
      <c r="A278" s="31">
        <v>16</v>
      </c>
      <c r="B278" s="31">
        <v>24606</v>
      </c>
      <c r="C278" s="31">
        <v>1</v>
      </c>
      <c r="D278" s="31" t="s">
        <v>953</v>
      </c>
      <c r="E278" s="31">
        <v>9</v>
      </c>
      <c r="F278" s="31">
        <v>0</v>
      </c>
      <c r="G278" s="31">
        <v>5</v>
      </c>
      <c r="H278" s="31">
        <v>5</v>
      </c>
      <c r="I278" s="31">
        <v>0</v>
      </c>
      <c r="J278" s="31">
        <v>10</v>
      </c>
      <c r="K278" s="31">
        <v>95</v>
      </c>
      <c r="L278" s="31">
        <v>7</v>
      </c>
      <c r="M278" s="31">
        <v>0</v>
      </c>
      <c r="N278" s="31">
        <v>0</v>
      </c>
      <c r="O278" s="31">
        <v>47</v>
      </c>
      <c r="P278" s="31">
        <v>0</v>
      </c>
      <c r="Q278" s="31">
        <v>0</v>
      </c>
      <c r="R278" s="31">
        <v>0</v>
      </c>
      <c r="S278" s="31">
        <v>0</v>
      </c>
      <c r="T278" s="31">
        <v>0</v>
      </c>
      <c r="U278" s="31">
        <v>38</v>
      </c>
      <c r="V278" s="31">
        <v>0</v>
      </c>
      <c r="W278" s="31">
        <v>0</v>
      </c>
      <c r="X278" s="31">
        <v>37</v>
      </c>
      <c r="Y278" s="31">
        <v>0</v>
      </c>
      <c r="Z278" s="31">
        <v>0</v>
      </c>
      <c r="AA278" s="31">
        <v>42</v>
      </c>
      <c r="AB278" s="31">
        <v>0</v>
      </c>
      <c r="AC278" s="31">
        <v>0</v>
      </c>
      <c r="AD278" s="31">
        <v>171</v>
      </c>
      <c r="AE278" s="31">
        <v>0</v>
      </c>
      <c r="AF278" s="31">
        <v>0</v>
      </c>
      <c r="AG278" s="31">
        <v>0</v>
      </c>
      <c r="AH278" s="31">
        <v>0</v>
      </c>
    </row>
    <row r="279" spans="1:34" x14ac:dyDescent="0.25">
      <c r="A279" s="31">
        <v>16</v>
      </c>
      <c r="B279" s="31">
        <v>24606</v>
      </c>
      <c r="C279" s="31">
        <v>1</v>
      </c>
      <c r="D279" s="31" t="s">
        <v>684</v>
      </c>
      <c r="E279" s="31">
        <v>9</v>
      </c>
      <c r="F279" s="31">
        <v>0</v>
      </c>
      <c r="G279" s="31">
        <v>4</v>
      </c>
      <c r="H279" s="31">
        <v>5</v>
      </c>
      <c r="I279" s="31">
        <v>1</v>
      </c>
      <c r="J279" s="31">
        <v>10</v>
      </c>
      <c r="K279" s="31">
        <v>141</v>
      </c>
      <c r="L279" s="31">
        <v>10</v>
      </c>
      <c r="M279" s="31">
        <v>0</v>
      </c>
      <c r="N279" s="31">
        <v>0</v>
      </c>
      <c r="O279" s="31">
        <v>422</v>
      </c>
      <c r="P279" s="31">
        <v>15</v>
      </c>
      <c r="Q279" s="31">
        <v>0</v>
      </c>
      <c r="R279" s="31">
        <v>0</v>
      </c>
      <c r="S279" s="31">
        <v>0</v>
      </c>
      <c r="T279" s="31">
        <v>0</v>
      </c>
      <c r="U279" s="31">
        <v>52</v>
      </c>
      <c r="V279" s="31">
        <v>0</v>
      </c>
      <c r="W279" s="31">
        <v>0</v>
      </c>
      <c r="X279" s="31">
        <v>40</v>
      </c>
      <c r="Y279" s="31">
        <v>1</v>
      </c>
      <c r="Z279" s="31">
        <v>0</v>
      </c>
      <c r="AA279" s="31">
        <v>46</v>
      </c>
      <c r="AB279" s="31">
        <v>1</v>
      </c>
      <c r="AC279" s="31">
        <v>0</v>
      </c>
      <c r="AD279" s="31">
        <v>570</v>
      </c>
      <c r="AE279" s="31">
        <v>17</v>
      </c>
      <c r="AF279" s="31">
        <v>0</v>
      </c>
      <c r="AG279" s="31">
        <v>0</v>
      </c>
      <c r="AH279" s="31">
        <v>1</v>
      </c>
    </row>
    <row r="280" spans="1:34" x14ac:dyDescent="0.25">
      <c r="A280" s="31">
        <v>16</v>
      </c>
      <c r="B280" s="31">
        <v>24606</v>
      </c>
      <c r="C280" s="31">
        <v>1</v>
      </c>
      <c r="D280" s="31" t="s">
        <v>685</v>
      </c>
      <c r="E280" s="31">
        <v>9</v>
      </c>
      <c r="F280" s="31">
        <v>2</v>
      </c>
      <c r="G280" s="31">
        <v>8</v>
      </c>
      <c r="H280" s="31">
        <v>2</v>
      </c>
      <c r="I280" s="31">
        <v>0</v>
      </c>
      <c r="J280" s="31">
        <v>12</v>
      </c>
      <c r="K280" s="31">
        <v>53.299999237060547</v>
      </c>
      <c r="L280" s="31">
        <v>1</v>
      </c>
      <c r="M280" s="31">
        <v>0</v>
      </c>
      <c r="N280" s="31">
        <v>0</v>
      </c>
      <c r="O280" s="31">
        <v>14</v>
      </c>
      <c r="P280" s="31">
        <v>0</v>
      </c>
      <c r="Q280" s="31">
        <v>0</v>
      </c>
      <c r="R280" s="31">
        <v>0</v>
      </c>
      <c r="S280" s="31">
        <v>0</v>
      </c>
      <c r="T280" s="31">
        <v>0</v>
      </c>
      <c r="U280" s="31">
        <v>111</v>
      </c>
      <c r="V280" s="31">
        <v>0</v>
      </c>
      <c r="W280" s="31">
        <v>0</v>
      </c>
      <c r="X280" s="31">
        <v>27</v>
      </c>
      <c r="Y280" s="31">
        <v>0</v>
      </c>
      <c r="Z280" s="31">
        <v>0</v>
      </c>
      <c r="AA280" s="31">
        <v>28</v>
      </c>
      <c r="AB280" s="31">
        <v>0</v>
      </c>
      <c r="AC280" s="31">
        <v>0</v>
      </c>
      <c r="AD280" s="31">
        <v>181</v>
      </c>
      <c r="AE280" s="31">
        <v>0</v>
      </c>
      <c r="AF280" s="31">
        <v>0</v>
      </c>
      <c r="AG280" s="31">
        <v>0</v>
      </c>
      <c r="AH280" s="31">
        <v>0</v>
      </c>
    </row>
    <row r="281" spans="1:34" x14ac:dyDescent="0.25">
      <c r="A281" s="31">
        <v>16</v>
      </c>
      <c r="B281" s="31">
        <v>24606</v>
      </c>
      <c r="C281" s="31">
        <v>1</v>
      </c>
      <c r="D281" s="31" t="s">
        <v>686</v>
      </c>
      <c r="E281" s="31">
        <v>9</v>
      </c>
      <c r="F281" s="31">
        <v>1</v>
      </c>
      <c r="G281" s="31">
        <v>8</v>
      </c>
      <c r="H281" s="31">
        <v>2</v>
      </c>
      <c r="I281" s="31">
        <v>0</v>
      </c>
      <c r="J281" s="31">
        <v>11</v>
      </c>
      <c r="K281" s="31">
        <v>57.299999237060547</v>
      </c>
      <c r="L281" s="31">
        <v>2</v>
      </c>
      <c r="M281" s="31">
        <v>0</v>
      </c>
      <c r="N281" s="31">
        <v>0</v>
      </c>
      <c r="O281" s="31">
        <v>1</v>
      </c>
      <c r="P281" s="31">
        <v>0</v>
      </c>
      <c r="Q281" s="31">
        <v>0</v>
      </c>
      <c r="R281" s="31">
        <v>0</v>
      </c>
      <c r="S281" s="31">
        <v>0</v>
      </c>
      <c r="T281" s="31">
        <v>0</v>
      </c>
      <c r="U281" s="31">
        <v>121</v>
      </c>
      <c r="V281" s="31">
        <v>0</v>
      </c>
      <c r="W281" s="31">
        <v>0</v>
      </c>
      <c r="X281" s="31">
        <v>29</v>
      </c>
      <c r="Y281" s="31">
        <v>0</v>
      </c>
      <c r="Z281" s="31">
        <v>0</v>
      </c>
      <c r="AA281" s="31">
        <v>35</v>
      </c>
      <c r="AB281" s="31">
        <v>0</v>
      </c>
      <c r="AC281" s="31">
        <v>0</v>
      </c>
      <c r="AD281" s="31">
        <v>188</v>
      </c>
      <c r="AE281" s="31">
        <v>0</v>
      </c>
      <c r="AF281" s="31">
        <v>0</v>
      </c>
      <c r="AG281" s="31">
        <v>0</v>
      </c>
      <c r="AH281" s="31">
        <v>0</v>
      </c>
    </row>
    <row r="282" spans="1:34" x14ac:dyDescent="0.25">
      <c r="A282" s="31">
        <v>16</v>
      </c>
      <c r="B282" s="31">
        <v>24606</v>
      </c>
      <c r="C282" s="31">
        <v>1</v>
      </c>
      <c r="D282" s="31" t="s">
        <v>687</v>
      </c>
      <c r="E282" s="31">
        <v>9</v>
      </c>
      <c r="F282" s="31">
        <v>1</v>
      </c>
      <c r="G282" s="31">
        <v>3</v>
      </c>
      <c r="H282" s="31">
        <v>7</v>
      </c>
      <c r="I282" s="31">
        <v>0</v>
      </c>
      <c r="J282" s="31">
        <v>11</v>
      </c>
      <c r="K282" s="31">
        <v>107.30000305175781</v>
      </c>
      <c r="L282" s="31">
        <v>12</v>
      </c>
      <c r="M282" s="31">
        <v>0</v>
      </c>
      <c r="N282" s="31">
        <v>0</v>
      </c>
      <c r="O282" s="31">
        <v>126</v>
      </c>
      <c r="P282" s="31">
        <v>0</v>
      </c>
      <c r="Q282" s="31">
        <v>0</v>
      </c>
      <c r="R282" s="31">
        <v>0</v>
      </c>
      <c r="S282" s="31">
        <v>0</v>
      </c>
      <c r="T282" s="31">
        <v>0</v>
      </c>
      <c r="U282" s="31">
        <v>45</v>
      </c>
      <c r="V282" s="31">
        <v>0</v>
      </c>
      <c r="W282" s="31">
        <v>0</v>
      </c>
      <c r="X282" s="31">
        <v>36</v>
      </c>
      <c r="Y282" s="31">
        <v>0</v>
      </c>
      <c r="Z282" s="31">
        <v>0</v>
      </c>
      <c r="AA282" s="31">
        <v>58</v>
      </c>
      <c r="AB282" s="31">
        <v>0</v>
      </c>
      <c r="AC282" s="31">
        <v>0</v>
      </c>
      <c r="AD282" s="31">
        <v>277</v>
      </c>
      <c r="AE282" s="31">
        <v>0</v>
      </c>
      <c r="AF282" s="31">
        <v>0</v>
      </c>
      <c r="AG282" s="31">
        <v>0</v>
      </c>
      <c r="AH282" s="31">
        <v>0</v>
      </c>
    </row>
    <row r="283" spans="1:34" x14ac:dyDescent="0.25">
      <c r="A283" s="31">
        <v>16</v>
      </c>
      <c r="B283" s="31">
        <v>24606</v>
      </c>
      <c r="C283" s="31">
        <v>1</v>
      </c>
      <c r="D283" s="31" t="s">
        <v>688</v>
      </c>
      <c r="E283" s="31">
        <v>9</v>
      </c>
      <c r="F283" s="31">
        <v>0</v>
      </c>
      <c r="G283" s="31">
        <v>1</v>
      </c>
      <c r="H283" s="31">
        <v>9</v>
      </c>
      <c r="I283" s="31">
        <v>0</v>
      </c>
      <c r="J283" s="31">
        <v>10</v>
      </c>
      <c r="K283" s="31">
        <v>139</v>
      </c>
      <c r="L283" s="31">
        <v>12</v>
      </c>
      <c r="M283" s="31">
        <v>0</v>
      </c>
      <c r="N283" s="31">
        <v>0</v>
      </c>
      <c r="O283" s="31">
        <v>5</v>
      </c>
      <c r="P283" s="31">
        <v>0</v>
      </c>
      <c r="Q283" s="31">
        <v>0</v>
      </c>
      <c r="R283" s="31">
        <v>0</v>
      </c>
      <c r="S283" s="31">
        <v>0</v>
      </c>
      <c r="T283" s="31">
        <v>0</v>
      </c>
      <c r="U283" s="31">
        <v>60</v>
      </c>
      <c r="V283" s="31">
        <v>1</v>
      </c>
      <c r="W283" s="31">
        <v>0</v>
      </c>
      <c r="X283" s="31">
        <v>69</v>
      </c>
      <c r="Y283" s="31">
        <v>2</v>
      </c>
      <c r="Z283" s="31">
        <v>0</v>
      </c>
      <c r="AA283" s="31">
        <v>76</v>
      </c>
      <c r="AB283" s="31">
        <v>0</v>
      </c>
      <c r="AC283" s="31">
        <v>0</v>
      </c>
      <c r="AD283" s="31">
        <v>222</v>
      </c>
      <c r="AE283" s="31">
        <v>3</v>
      </c>
      <c r="AF283" s="31">
        <v>0</v>
      </c>
      <c r="AG283" s="31">
        <v>0</v>
      </c>
      <c r="AH283" s="31">
        <v>0</v>
      </c>
    </row>
    <row r="284" spans="1:34" x14ac:dyDescent="0.25">
      <c r="A284" s="31">
        <v>16</v>
      </c>
      <c r="B284" s="31">
        <v>24606</v>
      </c>
      <c r="C284" s="31">
        <v>1</v>
      </c>
      <c r="D284" s="31" t="s">
        <v>689</v>
      </c>
      <c r="E284" s="31">
        <v>9</v>
      </c>
      <c r="F284" s="31">
        <v>0</v>
      </c>
      <c r="G284" s="31">
        <v>3</v>
      </c>
      <c r="H284" s="31">
        <v>5.4010000228881836</v>
      </c>
      <c r="I284" s="31">
        <v>0</v>
      </c>
      <c r="J284" s="31">
        <v>8.4010000228881836</v>
      </c>
      <c r="K284" s="31">
        <v>110.69999694824219</v>
      </c>
      <c r="L284" s="31">
        <v>4</v>
      </c>
      <c r="M284" s="31">
        <v>0</v>
      </c>
      <c r="N284" s="31">
        <v>0</v>
      </c>
      <c r="O284" s="31">
        <v>8</v>
      </c>
      <c r="P284" s="31">
        <v>0</v>
      </c>
      <c r="Q284" s="31">
        <v>0</v>
      </c>
      <c r="R284" s="31">
        <v>0</v>
      </c>
      <c r="S284" s="31">
        <v>0</v>
      </c>
      <c r="T284" s="31">
        <v>0</v>
      </c>
      <c r="U284" s="31">
        <v>113</v>
      </c>
      <c r="V284" s="31">
        <v>2</v>
      </c>
      <c r="W284" s="31">
        <v>0</v>
      </c>
      <c r="X284" s="31">
        <v>41</v>
      </c>
      <c r="Y284" s="31">
        <v>0</v>
      </c>
      <c r="Z284" s="31">
        <v>0</v>
      </c>
      <c r="AA284" s="31">
        <v>73</v>
      </c>
      <c r="AB284" s="31">
        <v>0</v>
      </c>
      <c r="AC284" s="31">
        <v>0</v>
      </c>
      <c r="AD284" s="31">
        <v>239</v>
      </c>
      <c r="AE284" s="31">
        <v>2</v>
      </c>
      <c r="AF284" s="31">
        <v>0</v>
      </c>
      <c r="AG284" s="31">
        <v>0</v>
      </c>
      <c r="AH284" s="31">
        <v>0</v>
      </c>
    </row>
    <row r="285" spans="1:34" x14ac:dyDescent="0.25">
      <c r="A285" s="31">
        <v>16</v>
      </c>
      <c r="B285" s="31">
        <v>24606</v>
      </c>
      <c r="C285" s="31">
        <v>1</v>
      </c>
      <c r="D285" s="31" t="s">
        <v>690</v>
      </c>
      <c r="E285" s="31">
        <v>9</v>
      </c>
      <c r="F285" s="31">
        <v>9.7999997437000275E-2</v>
      </c>
      <c r="G285" s="31">
        <v>4.9050002098083496</v>
      </c>
      <c r="H285" s="31">
        <v>4</v>
      </c>
      <c r="I285" s="31">
        <v>1</v>
      </c>
      <c r="J285" s="31">
        <v>10.003000259399414</v>
      </c>
      <c r="K285" s="31">
        <v>129.69999694824219</v>
      </c>
      <c r="L285" s="31">
        <v>5</v>
      </c>
      <c r="M285" s="31">
        <v>0</v>
      </c>
      <c r="N285" s="31">
        <v>0</v>
      </c>
      <c r="O285" s="31">
        <v>71</v>
      </c>
      <c r="P285" s="31">
        <v>14</v>
      </c>
      <c r="Q285" s="31">
        <v>0</v>
      </c>
      <c r="R285" s="31">
        <v>0</v>
      </c>
      <c r="S285" s="31">
        <v>0</v>
      </c>
      <c r="T285" s="31">
        <v>0</v>
      </c>
      <c r="U285" s="31">
        <v>62</v>
      </c>
      <c r="V285" s="31">
        <v>0</v>
      </c>
      <c r="W285" s="31">
        <v>0</v>
      </c>
      <c r="X285" s="31">
        <v>61</v>
      </c>
      <c r="Y285" s="31">
        <v>1</v>
      </c>
      <c r="Z285" s="31">
        <v>0</v>
      </c>
      <c r="AA285" s="31">
        <v>69</v>
      </c>
      <c r="AB285" s="31">
        <v>0</v>
      </c>
      <c r="AC285" s="31">
        <v>0</v>
      </c>
      <c r="AD285" s="31">
        <v>268</v>
      </c>
      <c r="AE285" s="31">
        <v>15</v>
      </c>
      <c r="AF285" s="31">
        <v>0</v>
      </c>
      <c r="AG285" s="31">
        <v>0</v>
      </c>
      <c r="AH285" s="31">
        <v>1</v>
      </c>
    </row>
    <row r="286" spans="1:34" x14ac:dyDescent="0.25">
      <c r="A286" s="31">
        <v>16</v>
      </c>
      <c r="B286" s="31">
        <v>24606</v>
      </c>
      <c r="C286" s="31">
        <v>2</v>
      </c>
      <c r="D286" s="31" t="s">
        <v>690</v>
      </c>
      <c r="E286" s="31"/>
      <c r="F286" s="31">
        <v>0</v>
      </c>
      <c r="G286" s="31">
        <v>0</v>
      </c>
      <c r="H286" s="31">
        <v>0</v>
      </c>
      <c r="I286" s="31">
        <v>0</v>
      </c>
      <c r="J286" s="31">
        <v>0</v>
      </c>
      <c r="K286" s="31" t="s">
        <v>882</v>
      </c>
      <c r="L286" s="31">
        <v>0</v>
      </c>
      <c r="M286" s="31">
        <v>0</v>
      </c>
      <c r="N286" s="31">
        <v>0</v>
      </c>
      <c r="O286" s="31">
        <v>0</v>
      </c>
      <c r="P286" s="31">
        <v>0</v>
      </c>
      <c r="Q286" s="31">
        <v>0</v>
      </c>
      <c r="R286" s="31">
        <v>0</v>
      </c>
      <c r="S286" s="31">
        <v>0</v>
      </c>
      <c r="T286" s="31">
        <v>0</v>
      </c>
      <c r="U286" s="31">
        <v>0</v>
      </c>
      <c r="V286" s="31">
        <v>0</v>
      </c>
      <c r="W286" s="31">
        <v>0</v>
      </c>
      <c r="X286" s="31">
        <v>0</v>
      </c>
      <c r="Y286" s="31">
        <v>0</v>
      </c>
      <c r="Z286" s="31">
        <v>0</v>
      </c>
      <c r="AA286" s="31">
        <v>0</v>
      </c>
      <c r="AB286" s="31">
        <v>0</v>
      </c>
      <c r="AC286" s="31">
        <v>0</v>
      </c>
      <c r="AD286" s="31">
        <v>0</v>
      </c>
      <c r="AE286" s="31">
        <v>0</v>
      </c>
      <c r="AF286" s="31">
        <v>0</v>
      </c>
      <c r="AG286" s="31">
        <v>0</v>
      </c>
      <c r="AH286" s="31">
        <v>0</v>
      </c>
    </row>
    <row r="287" spans="1:34" x14ac:dyDescent="0.25">
      <c r="A287" s="31">
        <v>16</v>
      </c>
      <c r="B287" s="31">
        <v>24606</v>
      </c>
      <c r="C287" s="31">
        <v>1</v>
      </c>
      <c r="D287" s="31" t="s">
        <v>691</v>
      </c>
      <c r="E287" s="31">
        <v>9</v>
      </c>
      <c r="F287" s="31">
        <v>0</v>
      </c>
      <c r="G287" s="31">
        <v>0</v>
      </c>
      <c r="H287" s="31">
        <v>2</v>
      </c>
      <c r="I287" s="31">
        <v>0</v>
      </c>
      <c r="J287" s="31">
        <v>2</v>
      </c>
      <c r="K287" s="31">
        <v>150</v>
      </c>
      <c r="L287" s="31">
        <v>1</v>
      </c>
      <c r="M287" s="31">
        <v>0</v>
      </c>
      <c r="N287" s="31">
        <v>0</v>
      </c>
      <c r="O287" s="31">
        <v>2</v>
      </c>
      <c r="P287" s="31">
        <v>0</v>
      </c>
      <c r="Q287" s="31">
        <v>0</v>
      </c>
      <c r="R287" s="31">
        <v>0</v>
      </c>
      <c r="S287" s="31">
        <v>0</v>
      </c>
      <c r="T287" s="31">
        <v>0</v>
      </c>
      <c r="U287" s="31">
        <v>24</v>
      </c>
      <c r="V287" s="31">
        <v>0</v>
      </c>
      <c r="W287" s="31">
        <v>0</v>
      </c>
      <c r="X287" s="31">
        <v>6</v>
      </c>
      <c r="Y287" s="31">
        <v>0</v>
      </c>
      <c r="Z287" s="31">
        <v>0</v>
      </c>
      <c r="AA287" s="31">
        <v>5</v>
      </c>
      <c r="AB287" s="31">
        <v>0</v>
      </c>
      <c r="AC287" s="31">
        <v>0</v>
      </c>
      <c r="AD287" s="31">
        <v>38</v>
      </c>
      <c r="AE287" s="31">
        <v>0</v>
      </c>
      <c r="AF287" s="31">
        <v>0</v>
      </c>
      <c r="AG287" s="31">
        <v>0</v>
      </c>
      <c r="AH287" s="31">
        <v>0</v>
      </c>
    </row>
    <row r="288" spans="1:34" x14ac:dyDescent="0.25">
      <c r="A288" s="31">
        <v>18</v>
      </c>
      <c r="B288" s="31">
        <v>24606</v>
      </c>
      <c r="C288" s="31">
        <v>1</v>
      </c>
      <c r="D288" s="31" t="s">
        <v>691</v>
      </c>
      <c r="E288" s="31">
        <v>9</v>
      </c>
      <c r="F288" s="31">
        <v>0</v>
      </c>
      <c r="G288" s="31">
        <v>6.9910001754760742</v>
      </c>
      <c r="H288" s="31">
        <v>1</v>
      </c>
      <c r="I288" s="31">
        <v>0</v>
      </c>
      <c r="J288" s="31">
        <v>7.9910001754760742</v>
      </c>
      <c r="K288" s="31">
        <v>53.799999237060547</v>
      </c>
      <c r="L288" s="31">
        <v>13</v>
      </c>
      <c r="M288" s="31">
        <v>0</v>
      </c>
      <c r="N288" s="31">
        <v>0</v>
      </c>
      <c r="O288" s="31">
        <v>1</v>
      </c>
      <c r="P288" s="31">
        <v>0</v>
      </c>
      <c r="Q288" s="31">
        <v>0</v>
      </c>
      <c r="R288" s="31">
        <v>0</v>
      </c>
      <c r="S288" s="31">
        <v>0</v>
      </c>
      <c r="T288" s="31">
        <v>0</v>
      </c>
      <c r="U288" s="31">
        <v>16</v>
      </c>
      <c r="V288" s="31">
        <v>0</v>
      </c>
      <c r="W288" s="31">
        <v>0</v>
      </c>
      <c r="X288" s="31">
        <v>32</v>
      </c>
      <c r="Y288" s="31">
        <v>0</v>
      </c>
      <c r="Z288" s="31">
        <v>0</v>
      </c>
      <c r="AA288" s="31">
        <v>10</v>
      </c>
      <c r="AB288" s="31">
        <v>0</v>
      </c>
      <c r="AC288" s="31">
        <v>0</v>
      </c>
      <c r="AD288" s="31">
        <v>72</v>
      </c>
      <c r="AE288" s="31">
        <v>0</v>
      </c>
      <c r="AF288" s="31">
        <v>0</v>
      </c>
      <c r="AG288" s="31">
        <v>0</v>
      </c>
      <c r="AH288" s="31">
        <v>0</v>
      </c>
    </row>
    <row r="289" spans="1:34" x14ac:dyDescent="0.25">
      <c r="A289" s="31">
        <v>18</v>
      </c>
      <c r="B289" s="31">
        <v>24606</v>
      </c>
      <c r="C289" s="31">
        <v>1</v>
      </c>
      <c r="D289" s="31" t="s">
        <v>692</v>
      </c>
      <c r="E289" s="31">
        <v>9</v>
      </c>
      <c r="F289" s="31">
        <v>1</v>
      </c>
      <c r="G289" s="31">
        <v>7</v>
      </c>
      <c r="H289" s="31">
        <v>0</v>
      </c>
      <c r="I289" s="31">
        <v>0</v>
      </c>
      <c r="J289" s="31">
        <v>8</v>
      </c>
      <c r="K289" s="31">
        <v>36.200000762939453</v>
      </c>
      <c r="L289" s="31">
        <v>4</v>
      </c>
      <c r="M289" s="31">
        <v>0</v>
      </c>
      <c r="N289" s="31">
        <v>0</v>
      </c>
      <c r="O289" s="31">
        <v>7</v>
      </c>
      <c r="P289" s="31">
        <v>0</v>
      </c>
      <c r="Q289" s="31">
        <v>0</v>
      </c>
      <c r="R289" s="31">
        <v>0</v>
      </c>
      <c r="S289" s="31">
        <v>0</v>
      </c>
      <c r="T289" s="31">
        <v>0</v>
      </c>
      <c r="U289" s="31">
        <v>28</v>
      </c>
      <c r="V289" s="31">
        <v>0</v>
      </c>
      <c r="W289" s="31">
        <v>0</v>
      </c>
      <c r="X289" s="31">
        <v>23</v>
      </c>
      <c r="Y289" s="31">
        <v>0</v>
      </c>
      <c r="Z289" s="31">
        <v>0</v>
      </c>
      <c r="AA289" s="31">
        <v>10</v>
      </c>
      <c r="AB289" s="31">
        <v>0</v>
      </c>
      <c r="AC289" s="31">
        <v>0</v>
      </c>
      <c r="AD289" s="31">
        <v>72</v>
      </c>
      <c r="AE289" s="31">
        <v>0</v>
      </c>
      <c r="AF289" s="31">
        <v>0</v>
      </c>
      <c r="AG289" s="31">
        <v>0</v>
      </c>
      <c r="AH289" s="31">
        <v>0</v>
      </c>
    </row>
    <row r="290" spans="1:34" x14ac:dyDescent="0.25">
      <c r="A290" s="31">
        <v>18</v>
      </c>
      <c r="B290" s="31">
        <v>24606</v>
      </c>
      <c r="C290" s="31">
        <v>1</v>
      </c>
      <c r="D290" s="31" t="s">
        <v>693</v>
      </c>
      <c r="E290" s="31">
        <v>9</v>
      </c>
      <c r="F290" s="31">
        <v>1</v>
      </c>
      <c r="G290" s="31">
        <v>7</v>
      </c>
      <c r="H290" s="31">
        <v>4</v>
      </c>
      <c r="I290" s="31">
        <v>0</v>
      </c>
      <c r="J290" s="31">
        <v>12</v>
      </c>
      <c r="K290" s="31">
        <v>74.199996948242188</v>
      </c>
      <c r="L290" s="31">
        <v>11</v>
      </c>
      <c r="M290" s="31">
        <v>0</v>
      </c>
      <c r="N290" s="31">
        <v>0</v>
      </c>
      <c r="O290" s="31">
        <v>6</v>
      </c>
      <c r="P290" s="31">
        <v>0</v>
      </c>
      <c r="Q290" s="31">
        <v>0</v>
      </c>
      <c r="R290" s="31">
        <v>0</v>
      </c>
      <c r="S290" s="31">
        <v>0</v>
      </c>
      <c r="T290" s="31">
        <v>0</v>
      </c>
      <c r="U290" s="31">
        <v>42</v>
      </c>
      <c r="V290" s="31">
        <v>0</v>
      </c>
      <c r="W290" s="31">
        <v>0</v>
      </c>
      <c r="X290" s="31">
        <v>43</v>
      </c>
      <c r="Y290" s="31">
        <v>1</v>
      </c>
      <c r="Z290" s="31">
        <v>0</v>
      </c>
      <c r="AA290" s="31">
        <v>51</v>
      </c>
      <c r="AB290" s="31">
        <v>0</v>
      </c>
      <c r="AC290" s="31">
        <v>0</v>
      </c>
      <c r="AD290" s="31">
        <v>153</v>
      </c>
      <c r="AE290" s="31">
        <v>1</v>
      </c>
      <c r="AF290" s="31">
        <v>0</v>
      </c>
      <c r="AG290" s="31">
        <v>0</v>
      </c>
      <c r="AH290" s="31">
        <v>0</v>
      </c>
    </row>
    <row r="291" spans="1:34" x14ac:dyDescent="0.25">
      <c r="A291" s="31">
        <v>18</v>
      </c>
      <c r="B291" s="31">
        <v>24606</v>
      </c>
      <c r="C291" s="31">
        <v>1</v>
      </c>
      <c r="D291" s="31" t="s">
        <v>694</v>
      </c>
      <c r="E291" s="31">
        <v>9</v>
      </c>
      <c r="F291" s="31">
        <v>1</v>
      </c>
      <c r="G291" s="31">
        <v>4</v>
      </c>
      <c r="H291" s="31">
        <v>2</v>
      </c>
      <c r="I291" s="31">
        <v>0</v>
      </c>
      <c r="J291" s="31">
        <v>7</v>
      </c>
      <c r="K291" s="31">
        <v>67.099998474121094</v>
      </c>
      <c r="L291" s="31">
        <v>0</v>
      </c>
      <c r="M291" s="31">
        <v>0</v>
      </c>
      <c r="N291" s="31">
        <v>0</v>
      </c>
      <c r="O291" s="31">
        <v>0</v>
      </c>
      <c r="P291" s="31">
        <v>0</v>
      </c>
      <c r="Q291" s="31">
        <v>0</v>
      </c>
      <c r="R291" s="31">
        <v>0</v>
      </c>
      <c r="S291" s="31">
        <v>0</v>
      </c>
      <c r="T291" s="31">
        <v>0</v>
      </c>
      <c r="U291" s="31">
        <v>96</v>
      </c>
      <c r="V291" s="31">
        <v>0</v>
      </c>
      <c r="W291" s="31">
        <v>0</v>
      </c>
      <c r="X291" s="31">
        <v>9</v>
      </c>
      <c r="Y291" s="31">
        <v>1</v>
      </c>
      <c r="Z291" s="31">
        <v>0</v>
      </c>
      <c r="AA291" s="31">
        <v>7</v>
      </c>
      <c r="AB291" s="31">
        <v>0</v>
      </c>
      <c r="AC291" s="31">
        <v>0</v>
      </c>
      <c r="AD291" s="31">
        <v>112</v>
      </c>
      <c r="AE291" s="31">
        <v>1</v>
      </c>
      <c r="AF291" s="31">
        <v>0</v>
      </c>
      <c r="AG291" s="31">
        <v>0</v>
      </c>
      <c r="AH291" s="31">
        <v>0</v>
      </c>
    </row>
    <row r="292" spans="1:34" x14ac:dyDescent="0.25">
      <c r="A292" s="31">
        <v>18</v>
      </c>
      <c r="B292" s="31">
        <v>24606</v>
      </c>
      <c r="C292" s="31">
        <v>1</v>
      </c>
      <c r="D292" s="31" t="s">
        <v>695</v>
      </c>
      <c r="E292" s="31">
        <v>9</v>
      </c>
      <c r="F292" s="31">
        <v>3</v>
      </c>
      <c r="G292" s="31">
        <v>3</v>
      </c>
      <c r="H292" s="31">
        <v>1</v>
      </c>
      <c r="I292" s="31">
        <v>0</v>
      </c>
      <c r="J292" s="31">
        <v>7</v>
      </c>
      <c r="K292" s="31">
        <v>42.900001525878906</v>
      </c>
      <c r="L292" s="31">
        <v>2</v>
      </c>
      <c r="M292" s="31">
        <v>0</v>
      </c>
      <c r="N292" s="31">
        <v>0</v>
      </c>
      <c r="O292" s="31">
        <v>0</v>
      </c>
      <c r="P292" s="31">
        <v>0</v>
      </c>
      <c r="Q292" s="31">
        <v>0</v>
      </c>
      <c r="R292" s="31">
        <v>0</v>
      </c>
      <c r="S292" s="31">
        <v>0</v>
      </c>
      <c r="T292" s="31">
        <v>0</v>
      </c>
      <c r="U292" s="31">
        <v>36</v>
      </c>
      <c r="V292" s="31">
        <v>0</v>
      </c>
      <c r="W292" s="31">
        <v>0</v>
      </c>
      <c r="X292" s="31">
        <v>19</v>
      </c>
      <c r="Y292" s="31">
        <v>1</v>
      </c>
      <c r="Z292" s="31">
        <v>0</v>
      </c>
      <c r="AA292" s="31">
        <v>6</v>
      </c>
      <c r="AB292" s="31">
        <v>0</v>
      </c>
      <c r="AC292" s="31">
        <v>0</v>
      </c>
      <c r="AD292" s="31">
        <v>63</v>
      </c>
      <c r="AE292" s="31">
        <v>1</v>
      </c>
      <c r="AF292" s="31">
        <v>0</v>
      </c>
      <c r="AG292" s="31">
        <v>0</v>
      </c>
      <c r="AH292" s="31">
        <v>0</v>
      </c>
    </row>
    <row r="293" spans="1:34" x14ac:dyDescent="0.25">
      <c r="A293" s="31">
        <v>18</v>
      </c>
      <c r="B293" s="31">
        <v>24606</v>
      </c>
      <c r="C293" s="31">
        <v>1</v>
      </c>
      <c r="D293" s="31" t="s">
        <v>696</v>
      </c>
      <c r="E293" s="31">
        <v>9</v>
      </c>
      <c r="F293" s="31">
        <v>3</v>
      </c>
      <c r="G293" s="31">
        <v>6</v>
      </c>
      <c r="H293" s="31">
        <v>0</v>
      </c>
      <c r="I293" s="31">
        <v>0</v>
      </c>
      <c r="J293" s="31">
        <v>9</v>
      </c>
      <c r="K293" s="31">
        <v>30</v>
      </c>
      <c r="L293" s="31">
        <v>3</v>
      </c>
      <c r="M293" s="31">
        <v>0</v>
      </c>
      <c r="N293" s="31">
        <v>0</v>
      </c>
      <c r="O293" s="31">
        <v>5</v>
      </c>
      <c r="P293" s="31">
        <v>0</v>
      </c>
      <c r="Q293" s="31">
        <v>0</v>
      </c>
      <c r="R293" s="31">
        <v>0</v>
      </c>
      <c r="S293" s="31">
        <v>0</v>
      </c>
      <c r="T293" s="31">
        <v>0</v>
      </c>
      <c r="U293" s="31">
        <v>36</v>
      </c>
      <c r="V293" s="31">
        <v>0</v>
      </c>
      <c r="W293" s="31">
        <v>0</v>
      </c>
      <c r="X293" s="31">
        <v>21</v>
      </c>
      <c r="Y293" s="31">
        <v>0</v>
      </c>
      <c r="Z293" s="31">
        <v>0</v>
      </c>
      <c r="AA293" s="31">
        <v>14</v>
      </c>
      <c r="AB293" s="31">
        <v>0</v>
      </c>
      <c r="AC293" s="31">
        <v>0</v>
      </c>
      <c r="AD293" s="31">
        <v>79</v>
      </c>
      <c r="AE293" s="31">
        <v>0</v>
      </c>
      <c r="AF293" s="31">
        <v>0</v>
      </c>
      <c r="AG293" s="31">
        <v>0</v>
      </c>
      <c r="AH293" s="31">
        <v>0</v>
      </c>
    </row>
    <row r="294" spans="1:34" x14ac:dyDescent="0.25">
      <c r="A294" s="31">
        <v>18</v>
      </c>
      <c r="B294" s="31">
        <v>24606</v>
      </c>
      <c r="C294" s="31">
        <v>1</v>
      </c>
      <c r="D294" s="31" t="s">
        <v>697</v>
      </c>
      <c r="E294" s="31">
        <v>9</v>
      </c>
      <c r="F294" s="31">
        <v>0</v>
      </c>
      <c r="G294" s="31">
        <v>5</v>
      </c>
      <c r="H294" s="31">
        <v>2</v>
      </c>
      <c r="I294" s="31">
        <v>0</v>
      </c>
      <c r="J294" s="31">
        <v>7</v>
      </c>
      <c r="K294" s="31">
        <v>71.400001525878906</v>
      </c>
      <c r="L294" s="31">
        <v>9</v>
      </c>
      <c r="M294" s="31">
        <v>0</v>
      </c>
      <c r="N294" s="31">
        <v>0</v>
      </c>
      <c r="O294" s="31">
        <v>13</v>
      </c>
      <c r="P294" s="31">
        <v>0</v>
      </c>
      <c r="Q294" s="31">
        <v>0</v>
      </c>
      <c r="R294" s="31">
        <v>0</v>
      </c>
      <c r="S294" s="31">
        <v>0</v>
      </c>
      <c r="T294" s="31">
        <v>0</v>
      </c>
      <c r="U294" s="31">
        <v>21</v>
      </c>
      <c r="V294" s="31">
        <v>0</v>
      </c>
      <c r="W294" s="31">
        <v>0</v>
      </c>
      <c r="X294" s="31">
        <v>25</v>
      </c>
      <c r="Y294" s="31">
        <v>2</v>
      </c>
      <c r="Z294" s="31">
        <v>0</v>
      </c>
      <c r="AA294" s="31">
        <v>19</v>
      </c>
      <c r="AB294" s="31">
        <v>0</v>
      </c>
      <c r="AC294" s="31">
        <v>0</v>
      </c>
      <c r="AD294" s="31">
        <v>87</v>
      </c>
      <c r="AE294" s="31">
        <v>2</v>
      </c>
      <c r="AF294" s="31">
        <v>0</v>
      </c>
      <c r="AG294" s="31">
        <v>0</v>
      </c>
      <c r="AH294" s="31">
        <v>0</v>
      </c>
    </row>
    <row r="295" spans="1:34" x14ac:dyDescent="0.25">
      <c r="A295" s="31">
        <v>18</v>
      </c>
      <c r="B295" s="31">
        <v>24606</v>
      </c>
      <c r="C295" s="31">
        <v>1</v>
      </c>
      <c r="D295" s="31" t="s">
        <v>698</v>
      </c>
      <c r="E295" s="31">
        <v>9</v>
      </c>
      <c r="F295" s="31">
        <v>2</v>
      </c>
      <c r="G295" s="31">
        <v>3</v>
      </c>
      <c r="H295" s="31">
        <v>3</v>
      </c>
      <c r="I295" s="31">
        <v>0</v>
      </c>
      <c r="J295" s="31">
        <v>8</v>
      </c>
      <c r="K295" s="31">
        <v>73.800003051757812</v>
      </c>
      <c r="L295" s="31">
        <v>2</v>
      </c>
      <c r="M295" s="31">
        <v>0</v>
      </c>
      <c r="N295" s="31">
        <v>0</v>
      </c>
      <c r="O295" s="31">
        <v>69</v>
      </c>
      <c r="P295" s="31">
        <v>0</v>
      </c>
      <c r="Q295" s="31">
        <v>0</v>
      </c>
      <c r="R295" s="31">
        <v>0</v>
      </c>
      <c r="S295" s="31">
        <v>0</v>
      </c>
      <c r="T295" s="31">
        <v>0</v>
      </c>
      <c r="U295" s="31">
        <v>61</v>
      </c>
      <c r="V295" s="31">
        <v>0</v>
      </c>
      <c r="W295" s="31">
        <v>0</v>
      </c>
      <c r="X295" s="31">
        <v>11</v>
      </c>
      <c r="Y295" s="31">
        <v>0</v>
      </c>
      <c r="Z295" s="31">
        <v>0</v>
      </c>
      <c r="AA295" s="31">
        <v>9</v>
      </c>
      <c r="AB295" s="31">
        <v>0</v>
      </c>
      <c r="AC295" s="31">
        <v>0</v>
      </c>
      <c r="AD295" s="31">
        <v>152</v>
      </c>
      <c r="AE295" s="31">
        <v>0</v>
      </c>
      <c r="AF295" s="31">
        <v>0</v>
      </c>
      <c r="AG295" s="31">
        <v>0</v>
      </c>
      <c r="AH295" s="31">
        <v>0</v>
      </c>
    </row>
    <row r="296" spans="1:34" x14ac:dyDescent="0.25">
      <c r="A296" s="31">
        <v>18</v>
      </c>
      <c r="B296" s="31">
        <v>24606</v>
      </c>
      <c r="C296" s="31">
        <v>1</v>
      </c>
      <c r="D296" s="31" t="s">
        <v>699</v>
      </c>
      <c r="E296" s="31">
        <v>9</v>
      </c>
      <c r="F296" s="31">
        <v>4</v>
      </c>
      <c r="G296" s="31">
        <v>5.5929999351501465</v>
      </c>
      <c r="H296" s="31">
        <v>1.4049999713897705</v>
      </c>
      <c r="I296" s="31">
        <v>0</v>
      </c>
      <c r="J296" s="31">
        <v>10.998000144958496</v>
      </c>
      <c r="K296" s="31">
        <v>43.099998474121094</v>
      </c>
      <c r="L296" s="31">
        <v>5</v>
      </c>
      <c r="M296" s="31">
        <v>0</v>
      </c>
      <c r="N296" s="31">
        <v>0</v>
      </c>
      <c r="O296" s="31">
        <v>2</v>
      </c>
      <c r="P296" s="31">
        <v>0</v>
      </c>
      <c r="Q296" s="31">
        <v>0</v>
      </c>
      <c r="R296" s="31">
        <v>0</v>
      </c>
      <c r="S296" s="31">
        <v>0</v>
      </c>
      <c r="T296" s="31">
        <v>0</v>
      </c>
      <c r="U296" s="31">
        <v>66</v>
      </c>
      <c r="V296" s="31">
        <v>0</v>
      </c>
      <c r="W296" s="31">
        <v>0</v>
      </c>
      <c r="X296" s="31">
        <v>22</v>
      </c>
      <c r="Y296" s="31">
        <v>0</v>
      </c>
      <c r="Z296" s="31">
        <v>0</v>
      </c>
      <c r="AA296" s="31">
        <v>9</v>
      </c>
      <c r="AB296" s="31">
        <v>0</v>
      </c>
      <c r="AC296" s="31">
        <v>0</v>
      </c>
      <c r="AD296" s="31">
        <v>104</v>
      </c>
      <c r="AE296" s="31">
        <v>0</v>
      </c>
      <c r="AF296" s="31">
        <v>0</v>
      </c>
      <c r="AG296" s="31">
        <v>0</v>
      </c>
      <c r="AH296" s="31">
        <v>0</v>
      </c>
    </row>
    <row r="297" spans="1:34" x14ac:dyDescent="0.25">
      <c r="A297" s="31">
        <v>18</v>
      </c>
      <c r="B297" s="31">
        <v>24606</v>
      </c>
      <c r="C297" s="31">
        <v>1</v>
      </c>
      <c r="D297" s="31" t="s">
        <v>700</v>
      </c>
      <c r="E297" s="31">
        <v>9</v>
      </c>
      <c r="F297" s="31">
        <v>3.0639998912811279</v>
      </c>
      <c r="G297" s="31">
        <v>5.9800000190734863</v>
      </c>
      <c r="H297" s="31">
        <v>0</v>
      </c>
      <c r="I297" s="31">
        <v>0</v>
      </c>
      <c r="J297" s="31">
        <v>9.0439996719360352</v>
      </c>
      <c r="K297" s="31">
        <v>29.799999237060547</v>
      </c>
      <c r="L297" s="31">
        <v>2</v>
      </c>
      <c r="M297" s="31">
        <v>0</v>
      </c>
      <c r="N297" s="31">
        <v>0</v>
      </c>
      <c r="O297" s="31">
        <v>0</v>
      </c>
      <c r="P297" s="31">
        <v>0</v>
      </c>
      <c r="Q297" s="31">
        <v>0</v>
      </c>
      <c r="R297" s="31">
        <v>0</v>
      </c>
      <c r="S297" s="31">
        <v>0</v>
      </c>
      <c r="T297" s="31">
        <v>0</v>
      </c>
      <c r="U297" s="31">
        <v>36</v>
      </c>
      <c r="V297" s="31">
        <v>0</v>
      </c>
      <c r="W297" s="31">
        <v>0</v>
      </c>
      <c r="X297" s="31">
        <v>25</v>
      </c>
      <c r="Y297" s="31">
        <v>0</v>
      </c>
      <c r="Z297" s="31">
        <v>0</v>
      </c>
      <c r="AA297" s="31">
        <v>10</v>
      </c>
      <c r="AB297" s="31">
        <v>0</v>
      </c>
      <c r="AC297" s="31">
        <v>0</v>
      </c>
      <c r="AD297" s="31">
        <v>73</v>
      </c>
      <c r="AE297" s="31">
        <v>0</v>
      </c>
      <c r="AF297" s="31">
        <v>0</v>
      </c>
      <c r="AG297" s="31">
        <v>0</v>
      </c>
      <c r="AH297" s="31">
        <v>0</v>
      </c>
    </row>
    <row r="298" spans="1:34" x14ac:dyDescent="0.25">
      <c r="A298" s="31">
        <v>18</v>
      </c>
      <c r="B298" s="31">
        <v>24606</v>
      </c>
      <c r="C298" s="31">
        <v>1</v>
      </c>
      <c r="D298" s="31" t="s">
        <v>701</v>
      </c>
      <c r="E298" s="31">
        <v>9</v>
      </c>
      <c r="F298" s="31">
        <v>1</v>
      </c>
      <c r="G298" s="31">
        <v>3</v>
      </c>
      <c r="H298" s="31">
        <v>2</v>
      </c>
      <c r="I298" s="31">
        <v>0</v>
      </c>
      <c r="J298" s="31">
        <v>6</v>
      </c>
      <c r="K298" s="31">
        <v>71.699996948242188</v>
      </c>
      <c r="L298" s="31">
        <v>3</v>
      </c>
      <c r="M298" s="31">
        <v>0</v>
      </c>
      <c r="N298" s="31">
        <v>0</v>
      </c>
      <c r="O298" s="31">
        <v>0</v>
      </c>
      <c r="P298" s="31">
        <v>0</v>
      </c>
      <c r="Q298" s="31">
        <v>0</v>
      </c>
      <c r="R298" s="31">
        <v>4</v>
      </c>
      <c r="S298" s="31">
        <v>0</v>
      </c>
      <c r="T298" s="31">
        <v>0</v>
      </c>
      <c r="U298" s="31">
        <v>24</v>
      </c>
      <c r="V298" s="31">
        <v>0</v>
      </c>
      <c r="W298" s="31">
        <v>0</v>
      </c>
      <c r="X298" s="31">
        <v>19</v>
      </c>
      <c r="Y298" s="31">
        <v>0</v>
      </c>
      <c r="Z298" s="31">
        <v>0</v>
      </c>
      <c r="AA298" s="31">
        <v>10</v>
      </c>
      <c r="AB298" s="31">
        <v>0</v>
      </c>
      <c r="AC298" s="31">
        <v>0</v>
      </c>
      <c r="AD298" s="31">
        <v>60</v>
      </c>
      <c r="AE298" s="31">
        <v>0</v>
      </c>
      <c r="AF298" s="31">
        <v>0</v>
      </c>
      <c r="AG298" s="31">
        <v>0</v>
      </c>
      <c r="AH298" s="31">
        <v>0</v>
      </c>
    </row>
    <row r="299" spans="1:34" x14ac:dyDescent="0.25">
      <c r="A299" s="31">
        <v>18</v>
      </c>
      <c r="B299" s="31">
        <v>24606</v>
      </c>
      <c r="C299" s="31">
        <v>1</v>
      </c>
      <c r="D299" s="31" t="s">
        <v>702</v>
      </c>
      <c r="E299" s="31">
        <v>9</v>
      </c>
      <c r="F299" s="31">
        <v>0.21400000154972076</v>
      </c>
      <c r="G299" s="31">
        <v>3.7839999198913574</v>
      </c>
      <c r="H299" s="31">
        <v>3</v>
      </c>
      <c r="I299" s="31">
        <v>0</v>
      </c>
      <c r="J299" s="31">
        <v>6.9980001449584961</v>
      </c>
      <c r="K299" s="31">
        <v>86.199996948242188</v>
      </c>
      <c r="L299" s="31">
        <v>11</v>
      </c>
      <c r="M299" s="31">
        <v>0</v>
      </c>
      <c r="N299" s="31">
        <v>0</v>
      </c>
      <c r="O299" s="31">
        <v>0</v>
      </c>
      <c r="P299" s="31">
        <v>0</v>
      </c>
      <c r="Q299" s="31">
        <v>0</v>
      </c>
      <c r="R299" s="31">
        <v>0</v>
      </c>
      <c r="S299" s="31">
        <v>0</v>
      </c>
      <c r="T299" s="31">
        <v>0</v>
      </c>
      <c r="U299" s="31">
        <v>58</v>
      </c>
      <c r="V299" s="31">
        <v>0</v>
      </c>
      <c r="W299" s="31">
        <v>0</v>
      </c>
      <c r="X299" s="31">
        <v>26</v>
      </c>
      <c r="Y299" s="31">
        <v>0</v>
      </c>
      <c r="Z299" s="31">
        <v>0</v>
      </c>
      <c r="AA299" s="31">
        <v>19</v>
      </c>
      <c r="AB299" s="31">
        <v>0</v>
      </c>
      <c r="AC299" s="31">
        <v>0</v>
      </c>
      <c r="AD299" s="31">
        <v>114</v>
      </c>
      <c r="AE299" s="31">
        <v>0</v>
      </c>
      <c r="AF299" s="31">
        <v>0</v>
      </c>
      <c r="AG299" s="31">
        <v>0</v>
      </c>
      <c r="AH299" s="31">
        <v>0</v>
      </c>
    </row>
    <row r="300" spans="1:34" x14ac:dyDescent="0.25">
      <c r="A300" s="31">
        <v>18</v>
      </c>
      <c r="B300" s="31">
        <v>24606</v>
      </c>
      <c r="C300" s="31">
        <v>1</v>
      </c>
      <c r="D300" s="31" t="s">
        <v>703</v>
      </c>
      <c r="E300" s="31">
        <v>9</v>
      </c>
      <c r="F300" s="31">
        <v>0.63599997758865356</v>
      </c>
      <c r="G300" s="31">
        <v>5.5219998359680176</v>
      </c>
      <c r="H300" s="31">
        <v>2</v>
      </c>
      <c r="I300" s="31">
        <v>0</v>
      </c>
      <c r="J300" s="31">
        <v>8.1579999923706055</v>
      </c>
      <c r="K300" s="31">
        <v>64.599998474121094</v>
      </c>
      <c r="L300" s="31">
        <v>24</v>
      </c>
      <c r="M300" s="31">
        <v>0</v>
      </c>
      <c r="N300" s="31">
        <v>0</v>
      </c>
      <c r="O300" s="31">
        <v>21</v>
      </c>
      <c r="P300" s="31">
        <v>0</v>
      </c>
      <c r="Q300" s="31">
        <v>0</v>
      </c>
      <c r="R300" s="31">
        <v>0</v>
      </c>
      <c r="S300" s="31">
        <v>0</v>
      </c>
      <c r="T300" s="31">
        <v>0</v>
      </c>
      <c r="U300" s="31">
        <v>18</v>
      </c>
      <c r="V300" s="31">
        <v>0</v>
      </c>
      <c r="W300" s="31">
        <v>0</v>
      </c>
      <c r="X300" s="31">
        <v>14</v>
      </c>
      <c r="Y300" s="31">
        <v>0</v>
      </c>
      <c r="Z300" s="31">
        <v>0</v>
      </c>
      <c r="AA300" s="31">
        <v>5</v>
      </c>
      <c r="AB300" s="31">
        <v>0</v>
      </c>
      <c r="AC300" s="31">
        <v>0</v>
      </c>
      <c r="AD300" s="31">
        <v>82</v>
      </c>
      <c r="AE300" s="31">
        <v>0</v>
      </c>
      <c r="AF300" s="31">
        <v>0</v>
      </c>
      <c r="AG300" s="31">
        <v>0</v>
      </c>
      <c r="AH300" s="31">
        <v>0</v>
      </c>
    </row>
    <row r="301" spans="1:34" x14ac:dyDescent="0.25">
      <c r="A301" s="31">
        <v>18</v>
      </c>
      <c r="B301" s="31">
        <v>24606</v>
      </c>
      <c r="C301" s="31">
        <v>1</v>
      </c>
      <c r="D301" s="31" t="s">
        <v>704</v>
      </c>
      <c r="E301" s="31">
        <v>9</v>
      </c>
      <c r="F301" s="31">
        <v>0</v>
      </c>
      <c r="G301" s="31">
        <v>3</v>
      </c>
      <c r="H301" s="31">
        <v>3</v>
      </c>
      <c r="I301" s="31">
        <v>0</v>
      </c>
      <c r="J301" s="31">
        <v>6</v>
      </c>
      <c r="K301" s="31">
        <v>95</v>
      </c>
      <c r="L301" s="31">
        <v>18</v>
      </c>
      <c r="M301" s="31">
        <v>1</v>
      </c>
      <c r="N301" s="31">
        <v>0</v>
      </c>
      <c r="O301" s="31">
        <v>3</v>
      </c>
      <c r="P301" s="31">
        <v>0</v>
      </c>
      <c r="Q301" s="31">
        <v>0</v>
      </c>
      <c r="R301" s="31">
        <v>0</v>
      </c>
      <c r="S301" s="31">
        <v>0</v>
      </c>
      <c r="T301" s="31">
        <v>0</v>
      </c>
      <c r="U301" s="31">
        <v>16</v>
      </c>
      <c r="V301" s="31">
        <v>0</v>
      </c>
      <c r="W301" s="31">
        <v>0</v>
      </c>
      <c r="X301" s="31">
        <v>14</v>
      </c>
      <c r="Y301" s="31">
        <v>0</v>
      </c>
      <c r="Z301" s="31">
        <v>0</v>
      </c>
      <c r="AA301" s="31">
        <v>8</v>
      </c>
      <c r="AB301" s="31">
        <v>0</v>
      </c>
      <c r="AC301" s="31">
        <v>0</v>
      </c>
      <c r="AD301" s="31">
        <v>59</v>
      </c>
      <c r="AE301" s="31">
        <v>1</v>
      </c>
      <c r="AF301" s="31">
        <v>0</v>
      </c>
      <c r="AG301" s="31">
        <v>0</v>
      </c>
      <c r="AH301" s="31">
        <v>0</v>
      </c>
    </row>
    <row r="302" spans="1:34" x14ac:dyDescent="0.25">
      <c r="A302" s="31">
        <v>18</v>
      </c>
      <c r="B302" s="31">
        <v>24606</v>
      </c>
      <c r="C302" s="31">
        <v>1</v>
      </c>
      <c r="D302" s="31" t="s">
        <v>705</v>
      </c>
      <c r="E302" s="31">
        <v>9</v>
      </c>
      <c r="F302" s="31">
        <v>2.6630001068115234</v>
      </c>
      <c r="G302" s="31">
        <v>5.5920000076293945</v>
      </c>
      <c r="H302" s="31">
        <v>2</v>
      </c>
      <c r="I302" s="31">
        <v>0</v>
      </c>
      <c r="J302" s="31">
        <v>10.255000114440918</v>
      </c>
      <c r="K302" s="31">
        <v>53.700000762939453</v>
      </c>
      <c r="L302" s="31">
        <v>16</v>
      </c>
      <c r="M302" s="31">
        <v>1</v>
      </c>
      <c r="N302" s="31">
        <v>0</v>
      </c>
      <c r="O302" s="31">
        <v>8</v>
      </c>
      <c r="P302" s="31">
        <v>0</v>
      </c>
      <c r="Q302" s="31">
        <v>0</v>
      </c>
      <c r="R302" s="31">
        <v>0</v>
      </c>
      <c r="S302" s="31">
        <v>0</v>
      </c>
      <c r="T302" s="31">
        <v>0</v>
      </c>
      <c r="U302" s="31">
        <v>37</v>
      </c>
      <c r="V302" s="31">
        <v>0</v>
      </c>
      <c r="W302" s="31">
        <v>0</v>
      </c>
      <c r="X302" s="31">
        <v>28</v>
      </c>
      <c r="Y302" s="31">
        <v>1</v>
      </c>
      <c r="Z302" s="31">
        <v>0</v>
      </c>
      <c r="AA302" s="31">
        <v>26</v>
      </c>
      <c r="AB302" s="31">
        <v>0</v>
      </c>
      <c r="AC302" s="31">
        <v>0</v>
      </c>
      <c r="AD302" s="31">
        <v>115</v>
      </c>
      <c r="AE302" s="31">
        <v>2</v>
      </c>
      <c r="AF302" s="31">
        <v>0</v>
      </c>
      <c r="AG302" s="31">
        <v>0</v>
      </c>
      <c r="AH302" s="31">
        <v>0</v>
      </c>
    </row>
    <row r="303" spans="1:34" x14ac:dyDescent="0.25">
      <c r="A303" s="31">
        <v>18</v>
      </c>
      <c r="B303" s="31">
        <v>24606</v>
      </c>
      <c r="C303" s="31">
        <v>1</v>
      </c>
      <c r="D303" s="31" t="s">
        <v>707</v>
      </c>
      <c r="E303" s="31">
        <v>9</v>
      </c>
      <c r="F303" s="31">
        <v>2</v>
      </c>
      <c r="G303" s="31">
        <v>5</v>
      </c>
      <c r="H303" s="31">
        <v>1</v>
      </c>
      <c r="I303" s="31">
        <v>0</v>
      </c>
      <c r="J303" s="31">
        <v>8</v>
      </c>
      <c r="K303" s="31">
        <v>46.200000762939453</v>
      </c>
      <c r="L303" s="31">
        <v>5</v>
      </c>
      <c r="M303" s="31">
        <v>0</v>
      </c>
      <c r="N303" s="31">
        <v>0</v>
      </c>
      <c r="O303" s="31">
        <v>0</v>
      </c>
      <c r="P303" s="31">
        <v>0</v>
      </c>
      <c r="Q303" s="31">
        <v>0</v>
      </c>
      <c r="R303" s="31">
        <v>0</v>
      </c>
      <c r="S303" s="31">
        <v>0</v>
      </c>
      <c r="T303" s="31">
        <v>0</v>
      </c>
      <c r="U303" s="31">
        <v>46</v>
      </c>
      <c r="V303" s="31">
        <v>2</v>
      </c>
      <c r="W303" s="31">
        <v>0</v>
      </c>
      <c r="X303" s="31">
        <v>20</v>
      </c>
      <c r="Y303" s="31">
        <v>0</v>
      </c>
      <c r="Z303" s="31">
        <v>0</v>
      </c>
      <c r="AA303" s="31">
        <v>21</v>
      </c>
      <c r="AB303" s="31">
        <v>0</v>
      </c>
      <c r="AC303" s="31">
        <v>0</v>
      </c>
      <c r="AD303" s="31">
        <v>92</v>
      </c>
      <c r="AE303" s="31">
        <v>2</v>
      </c>
      <c r="AF303" s="31">
        <v>0</v>
      </c>
      <c r="AG303" s="31">
        <v>0</v>
      </c>
      <c r="AH303" s="31">
        <v>0</v>
      </c>
    </row>
    <row r="304" spans="1:34" x14ac:dyDescent="0.25">
      <c r="A304" s="31">
        <v>18</v>
      </c>
      <c r="B304" s="31">
        <v>24606</v>
      </c>
      <c r="C304" s="31">
        <v>1</v>
      </c>
      <c r="D304" s="31" t="s">
        <v>708</v>
      </c>
      <c r="E304" s="31">
        <v>9</v>
      </c>
      <c r="F304" s="31">
        <v>0</v>
      </c>
      <c r="G304" s="31">
        <v>7</v>
      </c>
      <c r="H304" s="31">
        <v>5</v>
      </c>
      <c r="I304" s="31">
        <v>0</v>
      </c>
      <c r="J304" s="31">
        <v>12</v>
      </c>
      <c r="K304" s="31">
        <v>85.800003051757812</v>
      </c>
      <c r="L304" s="31">
        <v>11</v>
      </c>
      <c r="M304" s="31">
        <v>0</v>
      </c>
      <c r="N304" s="31">
        <v>0</v>
      </c>
      <c r="O304" s="31">
        <v>0</v>
      </c>
      <c r="P304" s="31">
        <v>0</v>
      </c>
      <c r="Q304" s="31">
        <v>0</v>
      </c>
      <c r="R304" s="31">
        <v>0</v>
      </c>
      <c r="S304" s="31">
        <v>0</v>
      </c>
      <c r="T304" s="31">
        <v>0</v>
      </c>
      <c r="U304" s="31">
        <v>88</v>
      </c>
      <c r="V304" s="31">
        <v>0</v>
      </c>
      <c r="W304" s="31">
        <v>0</v>
      </c>
      <c r="X304" s="31">
        <v>45</v>
      </c>
      <c r="Y304" s="31">
        <v>0</v>
      </c>
      <c r="Z304" s="31">
        <v>0</v>
      </c>
      <c r="AA304" s="31">
        <v>31</v>
      </c>
      <c r="AB304" s="31">
        <v>0</v>
      </c>
      <c r="AC304" s="31">
        <v>0</v>
      </c>
      <c r="AD304" s="31">
        <v>175</v>
      </c>
      <c r="AE304" s="31">
        <v>0</v>
      </c>
      <c r="AF304" s="31">
        <v>0</v>
      </c>
      <c r="AG304" s="31">
        <v>0</v>
      </c>
      <c r="AH304" s="31">
        <v>0</v>
      </c>
    </row>
    <row r="305" spans="1:34" x14ac:dyDescent="0.25">
      <c r="A305" s="31">
        <v>18</v>
      </c>
      <c r="B305" s="31">
        <v>24606</v>
      </c>
      <c r="C305" s="31">
        <v>1</v>
      </c>
      <c r="D305" s="31" t="s">
        <v>709</v>
      </c>
      <c r="E305" s="31">
        <v>9</v>
      </c>
      <c r="F305" s="31">
        <v>0</v>
      </c>
      <c r="G305" s="31">
        <v>7</v>
      </c>
      <c r="H305" s="31">
        <v>3</v>
      </c>
      <c r="I305" s="31">
        <v>0</v>
      </c>
      <c r="J305" s="31">
        <v>10</v>
      </c>
      <c r="K305" s="31">
        <v>73</v>
      </c>
      <c r="L305" s="31">
        <v>12</v>
      </c>
      <c r="M305" s="31">
        <v>0</v>
      </c>
      <c r="N305" s="31">
        <v>0</v>
      </c>
      <c r="O305" s="31">
        <v>61</v>
      </c>
      <c r="P305" s="31">
        <v>12</v>
      </c>
      <c r="Q305" s="31">
        <v>0</v>
      </c>
      <c r="R305" s="31">
        <v>0</v>
      </c>
      <c r="S305" s="31">
        <v>0</v>
      </c>
      <c r="T305" s="31">
        <v>0</v>
      </c>
      <c r="U305" s="31">
        <v>30</v>
      </c>
      <c r="V305" s="31">
        <v>0</v>
      </c>
      <c r="W305" s="31">
        <v>0</v>
      </c>
      <c r="X305" s="31">
        <v>18</v>
      </c>
      <c r="Y305" s="31">
        <v>0</v>
      </c>
      <c r="Z305" s="31">
        <v>0</v>
      </c>
      <c r="AA305" s="31">
        <v>22</v>
      </c>
      <c r="AB305" s="31">
        <v>0</v>
      </c>
      <c r="AC305" s="31">
        <v>0</v>
      </c>
      <c r="AD305" s="31">
        <v>143</v>
      </c>
      <c r="AE305" s="31">
        <v>12</v>
      </c>
      <c r="AF305" s="31">
        <v>0</v>
      </c>
      <c r="AG305" s="31">
        <v>0</v>
      </c>
      <c r="AH305" s="31">
        <v>0</v>
      </c>
    </row>
    <row r="306" spans="1:34" x14ac:dyDescent="0.25">
      <c r="A306" s="31">
        <v>18</v>
      </c>
      <c r="B306" s="31">
        <v>24606</v>
      </c>
      <c r="C306" s="31">
        <v>1</v>
      </c>
      <c r="D306" s="31" t="s">
        <v>710</v>
      </c>
      <c r="E306" s="31">
        <v>9</v>
      </c>
      <c r="F306" s="31">
        <v>0.18199999630451202</v>
      </c>
      <c r="G306" s="31">
        <v>5.8169999122619629</v>
      </c>
      <c r="H306" s="31">
        <v>4</v>
      </c>
      <c r="I306" s="31">
        <v>1</v>
      </c>
      <c r="J306" s="31">
        <v>10.99899959564209</v>
      </c>
      <c r="K306" s="31">
        <v>121.30000305175781</v>
      </c>
      <c r="L306" s="31">
        <v>13</v>
      </c>
      <c r="M306" s="31">
        <v>1</v>
      </c>
      <c r="N306" s="31">
        <v>0</v>
      </c>
      <c r="O306" s="31">
        <v>51</v>
      </c>
      <c r="P306" s="31">
        <v>16</v>
      </c>
      <c r="Q306" s="31">
        <v>3</v>
      </c>
      <c r="R306" s="31">
        <v>0</v>
      </c>
      <c r="S306" s="31">
        <v>0</v>
      </c>
      <c r="T306" s="31">
        <v>0</v>
      </c>
      <c r="U306" s="31">
        <v>50</v>
      </c>
      <c r="V306" s="31">
        <v>0</v>
      </c>
      <c r="W306" s="31">
        <v>0</v>
      </c>
      <c r="X306" s="31">
        <v>33</v>
      </c>
      <c r="Y306" s="31">
        <v>0</v>
      </c>
      <c r="Z306" s="31">
        <v>0</v>
      </c>
      <c r="AA306" s="31">
        <v>15</v>
      </c>
      <c r="AB306" s="31">
        <v>0</v>
      </c>
      <c r="AC306" s="31">
        <v>0</v>
      </c>
      <c r="AD306" s="31">
        <v>162</v>
      </c>
      <c r="AE306" s="31">
        <v>17</v>
      </c>
      <c r="AF306" s="31">
        <v>3</v>
      </c>
      <c r="AG306" s="31">
        <v>0</v>
      </c>
      <c r="AH306" s="31">
        <v>0</v>
      </c>
    </row>
    <row r="307" spans="1:34" x14ac:dyDescent="0.25">
      <c r="A307" s="31">
        <v>18</v>
      </c>
      <c r="B307" s="31">
        <v>24606</v>
      </c>
      <c r="C307" s="31">
        <v>1</v>
      </c>
      <c r="D307" s="31" t="s">
        <v>711</v>
      </c>
      <c r="E307" s="31">
        <v>9</v>
      </c>
      <c r="F307" s="31">
        <v>0</v>
      </c>
      <c r="G307" s="31">
        <v>4</v>
      </c>
      <c r="H307" s="31">
        <v>7.9270000457763672</v>
      </c>
      <c r="I307" s="31">
        <v>1</v>
      </c>
      <c r="J307" s="31">
        <v>12.927000045776367</v>
      </c>
      <c r="K307" s="31">
        <v>143</v>
      </c>
      <c r="L307" s="31">
        <v>33</v>
      </c>
      <c r="M307" s="31">
        <v>0</v>
      </c>
      <c r="N307" s="31">
        <v>0</v>
      </c>
      <c r="O307" s="31">
        <v>41</v>
      </c>
      <c r="P307" s="31">
        <v>10</v>
      </c>
      <c r="Q307" s="31">
        <v>1</v>
      </c>
      <c r="R307" s="31">
        <v>0</v>
      </c>
      <c r="S307" s="31">
        <v>0</v>
      </c>
      <c r="T307" s="31">
        <v>0</v>
      </c>
      <c r="U307" s="31">
        <v>35</v>
      </c>
      <c r="V307" s="31">
        <v>0</v>
      </c>
      <c r="W307" s="31">
        <v>0</v>
      </c>
      <c r="X307" s="31">
        <v>52</v>
      </c>
      <c r="Y307" s="31">
        <v>0</v>
      </c>
      <c r="Z307" s="31">
        <v>0</v>
      </c>
      <c r="AA307" s="31">
        <v>20</v>
      </c>
      <c r="AB307" s="31">
        <v>0</v>
      </c>
      <c r="AC307" s="31">
        <v>0</v>
      </c>
      <c r="AD307" s="31">
        <v>181</v>
      </c>
      <c r="AE307" s="31">
        <v>10</v>
      </c>
      <c r="AF307" s="31">
        <v>1</v>
      </c>
      <c r="AG307" s="31">
        <v>0</v>
      </c>
      <c r="AH307" s="31">
        <v>0</v>
      </c>
    </row>
    <row r="308" spans="1:34" x14ac:dyDescent="0.25">
      <c r="A308" s="31">
        <v>18</v>
      </c>
      <c r="B308" s="31">
        <v>24606</v>
      </c>
      <c r="C308" s="31">
        <v>1</v>
      </c>
      <c r="D308" s="31" t="s">
        <v>712</v>
      </c>
      <c r="E308" s="31">
        <v>9</v>
      </c>
      <c r="F308" s="31">
        <v>1</v>
      </c>
      <c r="G308" s="31">
        <v>2</v>
      </c>
      <c r="H308" s="31">
        <v>11</v>
      </c>
      <c r="I308" s="31">
        <v>0</v>
      </c>
      <c r="J308" s="31">
        <v>14</v>
      </c>
      <c r="K308" s="31">
        <v>124.30000305175781</v>
      </c>
      <c r="L308" s="31">
        <v>37</v>
      </c>
      <c r="M308" s="31">
        <v>0</v>
      </c>
      <c r="N308" s="31">
        <v>0</v>
      </c>
      <c r="O308" s="31">
        <v>131</v>
      </c>
      <c r="P308" s="31">
        <v>14</v>
      </c>
      <c r="Q308" s="31">
        <v>0</v>
      </c>
      <c r="R308" s="31">
        <v>0</v>
      </c>
      <c r="S308" s="31">
        <v>0</v>
      </c>
      <c r="T308" s="31">
        <v>0</v>
      </c>
      <c r="U308" s="31">
        <v>70</v>
      </c>
      <c r="V308" s="31">
        <v>0</v>
      </c>
      <c r="W308" s="31">
        <v>0</v>
      </c>
      <c r="X308" s="31">
        <v>40</v>
      </c>
      <c r="Y308" s="31">
        <v>0</v>
      </c>
      <c r="Z308" s="31">
        <v>0</v>
      </c>
      <c r="AA308" s="31">
        <v>20</v>
      </c>
      <c r="AB308" s="31">
        <v>0</v>
      </c>
      <c r="AC308" s="31">
        <v>0</v>
      </c>
      <c r="AD308" s="31">
        <v>298</v>
      </c>
      <c r="AE308" s="31">
        <v>14</v>
      </c>
      <c r="AF308" s="31">
        <v>0</v>
      </c>
      <c r="AG308" s="31">
        <v>0</v>
      </c>
      <c r="AH308" s="31">
        <v>0</v>
      </c>
    </row>
    <row r="309" spans="1:34" x14ac:dyDescent="0.25">
      <c r="A309" s="31">
        <v>18</v>
      </c>
      <c r="B309" s="31">
        <v>24606</v>
      </c>
      <c r="C309" s="31">
        <v>1</v>
      </c>
      <c r="D309" s="31" t="s">
        <v>713</v>
      </c>
      <c r="E309" s="31">
        <v>9</v>
      </c>
      <c r="F309" s="31">
        <v>0</v>
      </c>
      <c r="G309" s="31">
        <v>6</v>
      </c>
      <c r="H309" s="31">
        <v>1</v>
      </c>
      <c r="I309" s="31">
        <v>0</v>
      </c>
      <c r="J309" s="31">
        <v>7</v>
      </c>
      <c r="K309" s="31">
        <v>55.700000762939453</v>
      </c>
      <c r="L309" s="31">
        <v>6</v>
      </c>
      <c r="M309" s="31">
        <v>0</v>
      </c>
      <c r="N309" s="31">
        <v>0</v>
      </c>
      <c r="O309" s="31">
        <v>4</v>
      </c>
      <c r="P309" s="31">
        <v>0</v>
      </c>
      <c r="Q309" s="31">
        <v>0</v>
      </c>
      <c r="R309" s="31">
        <v>0</v>
      </c>
      <c r="S309" s="31">
        <v>0</v>
      </c>
      <c r="T309" s="31">
        <v>0</v>
      </c>
      <c r="U309" s="31">
        <v>17</v>
      </c>
      <c r="V309" s="31">
        <v>0</v>
      </c>
      <c r="W309" s="31">
        <v>0</v>
      </c>
      <c r="X309" s="31">
        <v>12</v>
      </c>
      <c r="Y309" s="31">
        <v>0</v>
      </c>
      <c r="Z309" s="31">
        <v>0</v>
      </c>
      <c r="AA309" s="31">
        <v>17</v>
      </c>
      <c r="AB309" s="31">
        <v>1</v>
      </c>
      <c r="AC309" s="31">
        <v>0</v>
      </c>
      <c r="AD309" s="31">
        <v>56</v>
      </c>
      <c r="AE309" s="31">
        <v>1</v>
      </c>
      <c r="AF309" s="31">
        <v>0</v>
      </c>
      <c r="AG309" s="31">
        <v>0</v>
      </c>
      <c r="AH309" s="31">
        <v>0</v>
      </c>
    </row>
    <row r="310" spans="1:34" x14ac:dyDescent="0.25">
      <c r="A310" s="31">
        <v>18</v>
      </c>
      <c r="B310" s="31">
        <v>24606</v>
      </c>
      <c r="C310" s="31">
        <v>1</v>
      </c>
      <c r="D310" s="31" t="s">
        <v>714</v>
      </c>
      <c r="E310" s="31">
        <v>9</v>
      </c>
      <c r="F310" s="31">
        <v>2</v>
      </c>
      <c r="G310" s="31">
        <v>5</v>
      </c>
      <c r="H310" s="31">
        <v>2</v>
      </c>
      <c r="I310" s="31">
        <v>0</v>
      </c>
      <c r="J310" s="31">
        <v>9</v>
      </c>
      <c r="K310" s="31">
        <v>57.799999237060547</v>
      </c>
      <c r="L310" s="31">
        <v>3</v>
      </c>
      <c r="M310" s="31">
        <v>0</v>
      </c>
      <c r="N310" s="31">
        <v>0</v>
      </c>
      <c r="O310" s="31">
        <v>0</v>
      </c>
      <c r="P310" s="31">
        <v>0</v>
      </c>
      <c r="Q310" s="31">
        <v>0</v>
      </c>
      <c r="R310" s="31">
        <v>0</v>
      </c>
      <c r="S310" s="31">
        <v>0</v>
      </c>
      <c r="T310" s="31">
        <v>0</v>
      </c>
      <c r="U310" s="31">
        <v>48</v>
      </c>
      <c r="V310" s="31">
        <v>0</v>
      </c>
      <c r="W310" s="31">
        <v>0</v>
      </c>
      <c r="X310" s="31">
        <v>8</v>
      </c>
      <c r="Y310" s="31">
        <v>0</v>
      </c>
      <c r="Z310" s="31">
        <v>0</v>
      </c>
      <c r="AA310" s="31">
        <v>15</v>
      </c>
      <c r="AB310" s="31">
        <v>0</v>
      </c>
      <c r="AC310" s="31">
        <v>0</v>
      </c>
      <c r="AD310" s="31">
        <v>74</v>
      </c>
      <c r="AE310" s="31">
        <v>0</v>
      </c>
      <c r="AF310" s="31">
        <v>0</v>
      </c>
      <c r="AG310" s="31">
        <v>0</v>
      </c>
      <c r="AH310" s="31">
        <v>0</v>
      </c>
    </row>
    <row r="311" spans="1:34" x14ac:dyDescent="0.25">
      <c r="A311" s="31">
        <v>18</v>
      </c>
      <c r="B311" s="31">
        <v>24606</v>
      </c>
      <c r="C311" s="31">
        <v>1</v>
      </c>
      <c r="D311" s="31" t="s">
        <v>715</v>
      </c>
      <c r="E311" s="31">
        <v>9</v>
      </c>
      <c r="F311" s="31">
        <v>1</v>
      </c>
      <c r="G311" s="31">
        <v>11</v>
      </c>
      <c r="H311" s="31">
        <v>2</v>
      </c>
      <c r="I311" s="31">
        <v>0</v>
      </c>
      <c r="J311" s="31">
        <v>14</v>
      </c>
      <c r="K311" s="31">
        <v>53.599998474121094</v>
      </c>
      <c r="L311" s="31">
        <v>10</v>
      </c>
      <c r="M311" s="31">
        <v>0</v>
      </c>
      <c r="N311" s="31">
        <v>0</v>
      </c>
      <c r="O311" s="31">
        <v>22</v>
      </c>
      <c r="P311" s="31">
        <v>0</v>
      </c>
      <c r="Q311" s="31">
        <v>0</v>
      </c>
      <c r="R311" s="31">
        <v>0</v>
      </c>
      <c r="S311" s="31">
        <v>0</v>
      </c>
      <c r="T311" s="31">
        <v>0</v>
      </c>
      <c r="U311" s="31">
        <v>49</v>
      </c>
      <c r="V311" s="31">
        <v>0</v>
      </c>
      <c r="W311" s="31">
        <v>0</v>
      </c>
      <c r="X311" s="31">
        <v>33</v>
      </c>
      <c r="Y311" s="31">
        <v>0</v>
      </c>
      <c r="Z311" s="31">
        <v>0</v>
      </c>
      <c r="AA311" s="31">
        <v>36</v>
      </c>
      <c r="AB311" s="31">
        <v>0</v>
      </c>
      <c r="AC311" s="31">
        <v>0</v>
      </c>
      <c r="AD311" s="31">
        <v>150</v>
      </c>
      <c r="AE311" s="31">
        <v>0</v>
      </c>
      <c r="AF311" s="31">
        <v>0</v>
      </c>
      <c r="AG311" s="31">
        <v>0</v>
      </c>
      <c r="AH311" s="31">
        <v>0</v>
      </c>
    </row>
    <row r="312" spans="1:34" x14ac:dyDescent="0.25">
      <c r="A312" s="31">
        <v>18</v>
      </c>
      <c r="B312" s="31">
        <v>24606</v>
      </c>
      <c r="C312" s="31">
        <v>1</v>
      </c>
      <c r="D312" s="31" t="s">
        <v>716</v>
      </c>
      <c r="E312" s="31">
        <v>9</v>
      </c>
      <c r="F312" s="31">
        <v>1</v>
      </c>
      <c r="G312" s="31">
        <v>4</v>
      </c>
      <c r="H312" s="31">
        <v>1</v>
      </c>
      <c r="I312" s="31">
        <v>0</v>
      </c>
      <c r="J312" s="31">
        <v>6</v>
      </c>
      <c r="K312" s="31">
        <v>53.299999237060547</v>
      </c>
      <c r="L312" s="31">
        <v>3</v>
      </c>
      <c r="M312" s="31">
        <v>0</v>
      </c>
      <c r="N312" s="31">
        <v>0</v>
      </c>
      <c r="O312" s="31">
        <v>0</v>
      </c>
      <c r="P312" s="31">
        <v>0</v>
      </c>
      <c r="Q312" s="31">
        <v>0</v>
      </c>
      <c r="R312" s="31">
        <v>0</v>
      </c>
      <c r="S312" s="31">
        <v>0</v>
      </c>
      <c r="T312" s="31">
        <v>0</v>
      </c>
      <c r="U312" s="31">
        <v>12</v>
      </c>
      <c r="V312" s="31">
        <v>0</v>
      </c>
      <c r="W312" s="31">
        <v>0</v>
      </c>
      <c r="X312" s="31">
        <v>19</v>
      </c>
      <c r="Y312" s="31">
        <v>0</v>
      </c>
      <c r="Z312" s="31">
        <v>0</v>
      </c>
      <c r="AA312" s="31">
        <v>22</v>
      </c>
      <c r="AB312" s="31">
        <v>0</v>
      </c>
      <c r="AC312" s="31">
        <v>0</v>
      </c>
      <c r="AD312" s="31">
        <v>56</v>
      </c>
      <c r="AE312" s="31">
        <v>0</v>
      </c>
      <c r="AF312" s="31">
        <v>0</v>
      </c>
      <c r="AG312" s="31">
        <v>0</v>
      </c>
      <c r="AH312" s="31">
        <v>0</v>
      </c>
    </row>
    <row r="313" spans="1:34" x14ac:dyDescent="0.25">
      <c r="A313" s="31">
        <v>18</v>
      </c>
      <c r="B313" s="31">
        <v>24606</v>
      </c>
      <c r="C313" s="31">
        <v>1</v>
      </c>
      <c r="D313" s="31" t="s">
        <v>717</v>
      </c>
      <c r="E313" s="31">
        <v>9</v>
      </c>
      <c r="F313" s="31">
        <v>0</v>
      </c>
      <c r="G313" s="31">
        <v>6</v>
      </c>
      <c r="H313" s="31">
        <v>4</v>
      </c>
      <c r="I313" s="31">
        <v>0</v>
      </c>
      <c r="J313" s="31">
        <v>10</v>
      </c>
      <c r="K313" s="31">
        <v>84</v>
      </c>
      <c r="L313" s="31">
        <v>3</v>
      </c>
      <c r="M313" s="31">
        <v>0</v>
      </c>
      <c r="N313" s="31">
        <v>0</v>
      </c>
      <c r="O313" s="31">
        <v>1</v>
      </c>
      <c r="P313" s="31">
        <v>0</v>
      </c>
      <c r="Q313" s="31">
        <v>0</v>
      </c>
      <c r="R313" s="31">
        <v>0</v>
      </c>
      <c r="S313" s="31">
        <v>0</v>
      </c>
      <c r="T313" s="31">
        <v>0</v>
      </c>
      <c r="U313" s="31">
        <v>13</v>
      </c>
      <c r="V313" s="31">
        <v>0</v>
      </c>
      <c r="W313" s="31">
        <v>0</v>
      </c>
      <c r="X313" s="31">
        <v>34</v>
      </c>
      <c r="Y313" s="31">
        <v>0</v>
      </c>
      <c r="Z313" s="31">
        <v>0</v>
      </c>
      <c r="AA313" s="31">
        <v>50</v>
      </c>
      <c r="AB313" s="31">
        <v>0</v>
      </c>
      <c r="AC313" s="31">
        <v>0</v>
      </c>
      <c r="AD313" s="31">
        <v>101</v>
      </c>
      <c r="AE313" s="31">
        <v>0</v>
      </c>
      <c r="AF313" s="31">
        <v>0</v>
      </c>
      <c r="AG313" s="31">
        <v>0</v>
      </c>
      <c r="AH313" s="31">
        <v>0</v>
      </c>
    </row>
    <row r="314" spans="1:34" x14ac:dyDescent="0.25">
      <c r="A314" s="31">
        <v>18</v>
      </c>
      <c r="B314" s="31">
        <v>24607</v>
      </c>
      <c r="C314" s="31">
        <v>1</v>
      </c>
      <c r="D314" s="31" t="s">
        <v>718</v>
      </c>
      <c r="E314" s="31"/>
      <c r="F314" s="31">
        <v>0</v>
      </c>
      <c r="G314" s="31">
        <v>0</v>
      </c>
      <c r="H314" s="31">
        <v>0</v>
      </c>
      <c r="I314" s="31">
        <v>0</v>
      </c>
      <c r="J314" s="31">
        <v>0</v>
      </c>
      <c r="K314" s="31" t="s">
        <v>882</v>
      </c>
      <c r="L314" s="31">
        <v>0</v>
      </c>
      <c r="M314" s="31">
        <v>0</v>
      </c>
      <c r="N314" s="31">
        <v>0</v>
      </c>
      <c r="O314" s="31">
        <v>0</v>
      </c>
      <c r="P314" s="31">
        <v>0</v>
      </c>
      <c r="Q314" s="31">
        <v>0</v>
      </c>
      <c r="R314" s="31">
        <v>0</v>
      </c>
      <c r="S314" s="31">
        <v>0</v>
      </c>
      <c r="T314" s="31">
        <v>0</v>
      </c>
      <c r="U314" s="31">
        <v>0</v>
      </c>
      <c r="V314" s="31">
        <v>0</v>
      </c>
      <c r="W314" s="31">
        <v>0</v>
      </c>
      <c r="X314" s="31">
        <v>0</v>
      </c>
      <c r="Y314" s="31">
        <v>0</v>
      </c>
      <c r="Z314" s="31">
        <v>0</v>
      </c>
      <c r="AA314" s="31">
        <v>0</v>
      </c>
      <c r="AB314" s="31">
        <v>0</v>
      </c>
      <c r="AC314" s="31">
        <v>0</v>
      </c>
      <c r="AD314" s="31">
        <v>0</v>
      </c>
      <c r="AE314" s="31">
        <v>0</v>
      </c>
      <c r="AF314" s="31">
        <v>0</v>
      </c>
      <c r="AG314" s="31">
        <v>0</v>
      </c>
      <c r="AH314" s="31">
        <v>0</v>
      </c>
    </row>
    <row r="315" spans="1:34" x14ac:dyDescent="0.25">
      <c r="A315" s="31">
        <v>18</v>
      </c>
      <c r="B315" s="31">
        <v>24607</v>
      </c>
      <c r="C315" s="31">
        <v>1</v>
      </c>
      <c r="D315" s="31" t="s">
        <v>719</v>
      </c>
      <c r="E315" s="31"/>
      <c r="F315" s="31">
        <v>0</v>
      </c>
      <c r="G315" s="31">
        <v>0</v>
      </c>
      <c r="H315" s="31">
        <v>0</v>
      </c>
      <c r="I315" s="31">
        <v>0</v>
      </c>
      <c r="J315" s="31">
        <v>0</v>
      </c>
      <c r="K315" s="31" t="s">
        <v>882</v>
      </c>
      <c r="L315" s="31">
        <v>0</v>
      </c>
      <c r="M315" s="31">
        <v>0</v>
      </c>
      <c r="N315" s="31">
        <v>0</v>
      </c>
      <c r="O315" s="31">
        <v>0</v>
      </c>
      <c r="P315" s="31">
        <v>0</v>
      </c>
      <c r="Q315" s="31">
        <v>0</v>
      </c>
      <c r="R315" s="31">
        <v>0</v>
      </c>
      <c r="S315" s="31">
        <v>0</v>
      </c>
      <c r="T315" s="31">
        <v>0</v>
      </c>
      <c r="U315" s="31">
        <v>0</v>
      </c>
      <c r="V315" s="31">
        <v>0</v>
      </c>
      <c r="W315" s="31">
        <v>0</v>
      </c>
      <c r="X315" s="31">
        <v>0</v>
      </c>
      <c r="Y315" s="31">
        <v>0</v>
      </c>
      <c r="Z315" s="31">
        <v>0</v>
      </c>
      <c r="AA315" s="31">
        <v>0</v>
      </c>
      <c r="AB315" s="31">
        <v>0</v>
      </c>
      <c r="AC315" s="31">
        <v>0</v>
      </c>
      <c r="AD315" s="31">
        <v>0</v>
      </c>
      <c r="AE315" s="31">
        <v>0</v>
      </c>
      <c r="AF315" s="31">
        <v>0</v>
      </c>
      <c r="AG315" s="31">
        <v>0</v>
      </c>
      <c r="AH315" s="31">
        <v>0</v>
      </c>
    </row>
    <row r="316" spans="1:34" x14ac:dyDescent="0.25">
      <c r="A316" s="31">
        <v>18</v>
      </c>
      <c r="B316" s="31">
        <v>24607</v>
      </c>
      <c r="C316" s="31">
        <v>2</v>
      </c>
      <c r="D316" s="31" t="s">
        <v>720</v>
      </c>
      <c r="E316" s="31">
        <v>9</v>
      </c>
      <c r="F316" s="31">
        <v>2.9470000267028809</v>
      </c>
      <c r="G316" s="31">
        <v>6</v>
      </c>
      <c r="H316" s="31">
        <v>2</v>
      </c>
      <c r="I316" s="31">
        <v>0</v>
      </c>
      <c r="J316" s="31">
        <v>10.946999549865723</v>
      </c>
      <c r="K316" s="31">
        <v>52</v>
      </c>
      <c r="L316" s="31">
        <v>5</v>
      </c>
      <c r="M316" s="31">
        <v>0</v>
      </c>
      <c r="N316" s="31">
        <v>0</v>
      </c>
      <c r="O316" s="31">
        <v>1</v>
      </c>
      <c r="P316" s="31">
        <v>0</v>
      </c>
      <c r="Q316" s="31">
        <v>0</v>
      </c>
      <c r="R316" s="31">
        <v>0</v>
      </c>
      <c r="S316" s="31">
        <v>0</v>
      </c>
      <c r="T316" s="31">
        <v>0</v>
      </c>
      <c r="U316" s="31">
        <v>27</v>
      </c>
      <c r="V316" s="31">
        <v>0</v>
      </c>
      <c r="W316" s="31">
        <v>0</v>
      </c>
      <c r="X316" s="31">
        <v>22</v>
      </c>
      <c r="Y316" s="31">
        <v>0</v>
      </c>
      <c r="Z316" s="31">
        <v>0</v>
      </c>
      <c r="AA316" s="31">
        <v>16</v>
      </c>
      <c r="AB316" s="31">
        <v>0</v>
      </c>
      <c r="AC316" s="31">
        <v>0</v>
      </c>
      <c r="AD316" s="31">
        <v>71</v>
      </c>
      <c r="AE316" s="31">
        <v>0</v>
      </c>
      <c r="AF316" s="31">
        <v>0</v>
      </c>
      <c r="AG316" s="31">
        <v>0</v>
      </c>
      <c r="AH316" s="31">
        <v>0</v>
      </c>
    </row>
    <row r="317" spans="1:34" x14ac:dyDescent="0.25">
      <c r="A317" s="31">
        <v>18</v>
      </c>
      <c r="B317" s="31">
        <v>24607</v>
      </c>
      <c r="C317" s="31">
        <v>2</v>
      </c>
      <c r="D317" s="31" t="s">
        <v>718</v>
      </c>
      <c r="E317" s="31">
        <v>9</v>
      </c>
      <c r="F317" s="31">
        <v>4</v>
      </c>
      <c r="G317" s="31">
        <v>2</v>
      </c>
      <c r="H317" s="31">
        <v>0</v>
      </c>
      <c r="I317" s="31">
        <v>0</v>
      </c>
      <c r="J317" s="31">
        <v>6</v>
      </c>
      <c r="K317" s="31">
        <v>20</v>
      </c>
      <c r="L317" s="31">
        <v>1</v>
      </c>
      <c r="M317" s="31">
        <v>0</v>
      </c>
      <c r="N317" s="31">
        <v>0</v>
      </c>
      <c r="O317" s="31">
        <v>0</v>
      </c>
      <c r="P317" s="31">
        <v>0</v>
      </c>
      <c r="Q317" s="31">
        <v>0</v>
      </c>
      <c r="R317" s="31">
        <v>0</v>
      </c>
      <c r="S317" s="31">
        <v>0</v>
      </c>
      <c r="T317" s="31">
        <v>0</v>
      </c>
      <c r="U317" s="31">
        <v>2</v>
      </c>
      <c r="V317" s="31">
        <v>0</v>
      </c>
      <c r="W317" s="31">
        <v>0</v>
      </c>
      <c r="X317" s="31">
        <v>6</v>
      </c>
      <c r="Y317" s="31">
        <v>0</v>
      </c>
      <c r="Z317" s="31">
        <v>0</v>
      </c>
      <c r="AA317" s="31">
        <v>11</v>
      </c>
      <c r="AB317" s="31">
        <v>0</v>
      </c>
      <c r="AC317" s="31">
        <v>0</v>
      </c>
      <c r="AD317" s="31">
        <v>20</v>
      </c>
      <c r="AE317" s="31">
        <v>0</v>
      </c>
      <c r="AF317" s="31">
        <v>0</v>
      </c>
      <c r="AG317" s="31">
        <v>0</v>
      </c>
      <c r="AH317" s="31">
        <v>0</v>
      </c>
    </row>
    <row r="318" spans="1:34" x14ac:dyDescent="0.25">
      <c r="A318" s="31">
        <v>18</v>
      </c>
      <c r="B318" s="31">
        <v>24607</v>
      </c>
      <c r="C318" s="31">
        <v>2</v>
      </c>
      <c r="D318" s="31" t="s">
        <v>955</v>
      </c>
      <c r="E318" s="31">
        <v>9</v>
      </c>
      <c r="F318" s="31">
        <v>5</v>
      </c>
      <c r="G318" s="31">
        <v>0</v>
      </c>
      <c r="H318" s="31">
        <v>0</v>
      </c>
      <c r="I318" s="31">
        <v>0</v>
      </c>
      <c r="J318" s="31">
        <v>5</v>
      </c>
      <c r="K318" s="31">
        <v>10</v>
      </c>
      <c r="L318" s="31">
        <v>1</v>
      </c>
      <c r="M318" s="31">
        <v>0</v>
      </c>
      <c r="N318" s="31">
        <v>0</v>
      </c>
      <c r="O318" s="31">
        <v>1</v>
      </c>
      <c r="P318" s="31">
        <v>0</v>
      </c>
      <c r="Q318" s="31">
        <v>0</v>
      </c>
      <c r="R318" s="31">
        <v>0</v>
      </c>
      <c r="S318" s="31">
        <v>0</v>
      </c>
      <c r="T318" s="31">
        <v>0</v>
      </c>
      <c r="U318" s="31">
        <v>4</v>
      </c>
      <c r="V318" s="31">
        <v>0</v>
      </c>
      <c r="W318" s="31">
        <v>0</v>
      </c>
      <c r="X318" s="31">
        <v>2</v>
      </c>
      <c r="Y318" s="31">
        <v>0</v>
      </c>
      <c r="Z318" s="31">
        <v>0</v>
      </c>
      <c r="AA318" s="31">
        <v>3</v>
      </c>
      <c r="AB318" s="31">
        <v>0</v>
      </c>
      <c r="AC318" s="31">
        <v>0</v>
      </c>
      <c r="AD318" s="31">
        <v>11</v>
      </c>
      <c r="AE318" s="31">
        <v>0</v>
      </c>
      <c r="AF318" s="31">
        <v>0</v>
      </c>
      <c r="AG318" s="31">
        <v>0</v>
      </c>
      <c r="AH318" s="31">
        <v>0</v>
      </c>
    </row>
    <row r="319" spans="1:34" x14ac:dyDescent="0.25">
      <c r="A319" s="31">
        <v>18</v>
      </c>
      <c r="B319" s="31">
        <v>24607</v>
      </c>
      <c r="C319" s="31">
        <v>2</v>
      </c>
      <c r="D319" s="31" t="s">
        <v>719</v>
      </c>
      <c r="E319" s="31">
        <v>9</v>
      </c>
      <c r="F319" s="31">
        <v>2</v>
      </c>
      <c r="G319" s="31">
        <v>3</v>
      </c>
      <c r="H319" s="31">
        <v>1</v>
      </c>
      <c r="I319" s="31">
        <v>0</v>
      </c>
      <c r="J319" s="31">
        <v>6</v>
      </c>
      <c r="K319" s="31">
        <v>48.299999237060547</v>
      </c>
      <c r="L319" s="31">
        <v>0</v>
      </c>
      <c r="M319" s="31">
        <v>0</v>
      </c>
      <c r="N319" s="31">
        <v>0</v>
      </c>
      <c r="O319" s="31">
        <v>8</v>
      </c>
      <c r="P319" s="31">
        <v>0</v>
      </c>
      <c r="Q319" s="31">
        <v>0</v>
      </c>
      <c r="R319" s="31">
        <v>0</v>
      </c>
      <c r="S319" s="31">
        <v>0</v>
      </c>
      <c r="T319" s="31">
        <v>0</v>
      </c>
      <c r="U319" s="31">
        <v>13</v>
      </c>
      <c r="V319" s="31">
        <v>0</v>
      </c>
      <c r="W319" s="31">
        <v>0</v>
      </c>
      <c r="X319" s="31">
        <v>8</v>
      </c>
      <c r="Y319" s="31">
        <v>0</v>
      </c>
      <c r="Z319" s="31">
        <v>0</v>
      </c>
      <c r="AA319" s="31">
        <v>10</v>
      </c>
      <c r="AB319" s="31">
        <v>0</v>
      </c>
      <c r="AC319" s="31">
        <v>0</v>
      </c>
      <c r="AD319" s="31">
        <v>39</v>
      </c>
      <c r="AE319" s="31">
        <v>0</v>
      </c>
      <c r="AF319" s="31">
        <v>0</v>
      </c>
      <c r="AG319" s="31">
        <v>0</v>
      </c>
      <c r="AH319" s="31">
        <v>0</v>
      </c>
    </row>
    <row r="320" spans="1:34" x14ac:dyDescent="0.25">
      <c r="A320" s="31">
        <v>18</v>
      </c>
      <c r="B320" s="31">
        <v>24607</v>
      </c>
      <c r="C320" s="31">
        <v>3</v>
      </c>
      <c r="D320" s="31" t="s">
        <v>706</v>
      </c>
      <c r="E320" s="31"/>
      <c r="F320" s="31">
        <v>0</v>
      </c>
      <c r="G320" s="31">
        <v>0</v>
      </c>
      <c r="H320" s="31">
        <v>0</v>
      </c>
      <c r="I320" s="31">
        <v>0</v>
      </c>
      <c r="J320" s="31">
        <v>0</v>
      </c>
      <c r="K320" s="31" t="s">
        <v>882</v>
      </c>
      <c r="L320" s="31">
        <v>0</v>
      </c>
      <c r="M320" s="31">
        <v>0</v>
      </c>
      <c r="N320" s="31">
        <v>0</v>
      </c>
      <c r="O320" s="31">
        <v>0</v>
      </c>
      <c r="P320" s="31">
        <v>0</v>
      </c>
      <c r="Q320" s="31">
        <v>0</v>
      </c>
      <c r="R320" s="31">
        <v>0</v>
      </c>
      <c r="S320" s="31">
        <v>0</v>
      </c>
      <c r="T320" s="31">
        <v>0</v>
      </c>
      <c r="U320" s="31">
        <v>0</v>
      </c>
      <c r="V320" s="31">
        <v>0</v>
      </c>
      <c r="W320" s="31">
        <v>0</v>
      </c>
      <c r="X320" s="31">
        <v>0</v>
      </c>
      <c r="Y320" s="31">
        <v>0</v>
      </c>
      <c r="Z320" s="31">
        <v>0</v>
      </c>
      <c r="AA320" s="31">
        <v>0</v>
      </c>
      <c r="AB320" s="31">
        <v>0</v>
      </c>
      <c r="AC320" s="31">
        <v>0</v>
      </c>
      <c r="AD320" s="31">
        <v>0</v>
      </c>
      <c r="AE320" s="31">
        <v>0</v>
      </c>
      <c r="AF320" s="31">
        <v>0</v>
      </c>
      <c r="AG320" s="31">
        <v>0</v>
      </c>
      <c r="AH320" s="31">
        <v>0</v>
      </c>
    </row>
    <row r="321" spans="1:34" x14ac:dyDescent="0.25">
      <c r="A321" s="31">
        <v>19</v>
      </c>
      <c r="B321" s="31">
        <v>24606</v>
      </c>
      <c r="C321" s="31">
        <v>1</v>
      </c>
      <c r="D321" s="31" t="s">
        <v>721</v>
      </c>
      <c r="E321" s="31">
        <v>9</v>
      </c>
      <c r="F321" s="31">
        <v>1</v>
      </c>
      <c r="G321" s="31">
        <v>3</v>
      </c>
      <c r="H321" s="31">
        <v>3</v>
      </c>
      <c r="I321" s="31">
        <v>0</v>
      </c>
      <c r="J321" s="31">
        <v>7</v>
      </c>
      <c r="K321" s="31">
        <v>82.900001525878906</v>
      </c>
      <c r="L321" s="31">
        <v>5</v>
      </c>
      <c r="M321" s="31">
        <v>0</v>
      </c>
      <c r="N321" s="31">
        <v>0</v>
      </c>
      <c r="O321" s="31">
        <v>9</v>
      </c>
      <c r="P321" s="31">
        <v>0</v>
      </c>
      <c r="Q321" s="31">
        <v>0</v>
      </c>
      <c r="R321" s="31">
        <v>0</v>
      </c>
      <c r="S321" s="31">
        <v>0</v>
      </c>
      <c r="T321" s="31">
        <v>0</v>
      </c>
      <c r="U321" s="31">
        <v>55</v>
      </c>
      <c r="V321" s="31">
        <v>0</v>
      </c>
      <c r="W321" s="31">
        <v>0</v>
      </c>
      <c r="X321" s="31">
        <v>31</v>
      </c>
      <c r="Y321" s="31">
        <v>0</v>
      </c>
      <c r="Z321" s="31">
        <v>0</v>
      </c>
      <c r="AA321" s="31">
        <v>48</v>
      </c>
      <c r="AB321" s="31">
        <v>1</v>
      </c>
      <c r="AC321" s="31">
        <v>0</v>
      </c>
      <c r="AD321" s="31">
        <v>148</v>
      </c>
      <c r="AE321" s="31">
        <v>1</v>
      </c>
      <c r="AF321" s="31">
        <v>0</v>
      </c>
      <c r="AG321" s="31">
        <v>0</v>
      </c>
      <c r="AH321" s="31">
        <v>0</v>
      </c>
    </row>
    <row r="322" spans="1:34" x14ac:dyDescent="0.25">
      <c r="A322" s="31">
        <v>19</v>
      </c>
      <c r="B322" s="31">
        <v>24606</v>
      </c>
      <c r="C322" s="31">
        <v>1</v>
      </c>
      <c r="D322" s="31" t="s">
        <v>722</v>
      </c>
      <c r="E322" s="31">
        <v>9</v>
      </c>
      <c r="F322" s="31">
        <v>1</v>
      </c>
      <c r="G322" s="31">
        <v>8.6870002746582031</v>
      </c>
      <c r="H322" s="31">
        <v>3.4289999008178711</v>
      </c>
      <c r="I322" s="31">
        <v>0</v>
      </c>
      <c r="J322" s="31">
        <v>13.116000175476074</v>
      </c>
      <c r="K322" s="31">
        <v>66.5</v>
      </c>
      <c r="L322" s="31">
        <v>1</v>
      </c>
      <c r="M322" s="31">
        <v>0</v>
      </c>
      <c r="N322" s="31">
        <v>0</v>
      </c>
      <c r="O322" s="31">
        <v>2</v>
      </c>
      <c r="P322" s="31">
        <v>0</v>
      </c>
      <c r="Q322" s="31">
        <v>0</v>
      </c>
      <c r="R322" s="31">
        <v>0</v>
      </c>
      <c r="S322" s="31">
        <v>0</v>
      </c>
      <c r="T322" s="31">
        <v>0</v>
      </c>
      <c r="U322" s="31">
        <v>139</v>
      </c>
      <c r="V322" s="31">
        <v>0</v>
      </c>
      <c r="W322" s="31">
        <v>0</v>
      </c>
      <c r="X322" s="31">
        <v>38</v>
      </c>
      <c r="Y322" s="31">
        <v>1</v>
      </c>
      <c r="Z322" s="31">
        <v>0</v>
      </c>
      <c r="AA322" s="31">
        <v>55</v>
      </c>
      <c r="AB322" s="31">
        <v>1</v>
      </c>
      <c r="AC322" s="31">
        <v>0</v>
      </c>
      <c r="AD322" s="31">
        <v>235</v>
      </c>
      <c r="AE322" s="31">
        <v>2</v>
      </c>
      <c r="AF322" s="31">
        <v>0</v>
      </c>
      <c r="AG322" s="31">
        <v>0</v>
      </c>
      <c r="AH322" s="31">
        <v>0</v>
      </c>
    </row>
    <row r="323" spans="1:34" x14ac:dyDescent="0.25">
      <c r="A323" s="31">
        <v>19</v>
      </c>
      <c r="B323" s="31">
        <v>24606</v>
      </c>
      <c r="C323" s="31">
        <v>1</v>
      </c>
      <c r="D323" s="31" t="s">
        <v>723</v>
      </c>
      <c r="E323" s="31">
        <v>9</v>
      </c>
      <c r="F323" s="31">
        <v>0</v>
      </c>
      <c r="G323" s="31">
        <v>11</v>
      </c>
      <c r="H323" s="31">
        <v>1</v>
      </c>
      <c r="I323" s="31">
        <v>0</v>
      </c>
      <c r="J323" s="31">
        <v>12</v>
      </c>
      <c r="K323" s="31">
        <v>49.200000762939453</v>
      </c>
      <c r="L323" s="31">
        <v>12</v>
      </c>
      <c r="M323" s="31">
        <v>0</v>
      </c>
      <c r="N323" s="31">
        <v>0</v>
      </c>
      <c r="O323" s="31">
        <v>18</v>
      </c>
      <c r="P323" s="31">
        <v>0</v>
      </c>
      <c r="Q323" s="31">
        <v>0</v>
      </c>
      <c r="R323" s="31">
        <v>0</v>
      </c>
      <c r="S323" s="31">
        <v>0</v>
      </c>
      <c r="T323" s="31">
        <v>0</v>
      </c>
      <c r="U323" s="31">
        <v>69</v>
      </c>
      <c r="V323" s="31">
        <v>0</v>
      </c>
      <c r="W323" s="31">
        <v>0</v>
      </c>
      <c r="X323" s="31">
        <v>50</v>
      </c>
      <c r="Y323" s="31">
        <v>0</v>
      </c>
      <c r="Z323" s="31">
        <v>0</v>
      </c>
      <c r="AA323" s="31">
        <v>54</v>
      </c>
      <c r="AB323" s="31">
        <v>0</v>
      </c>
      <c r="AC323" s="31">
        <v>0</v>
      </c>
      <c r="AD323" s="31">
        <v>203</v>
      </c>
      <c r="AE323" s="31">
        <v>0</v>
      </c>
      <c r="AF323" s="31">
        <v>0</v>
      </c>
      <c r="AG323" s="31">
        <v>0</v>
      </c>
      <c r="AH323" s="31">
        <v>0</v>
      </c>
    </row>
    <row r="324" spans="1:34" x14ac:dyDescent="0.25">
      <c r="A324" s="31">
        <v>19</v>
      </c>
      <c r="B324" s="31">
        <v>24606</v>
      </c>
      <c r="C324" s="31">
        <v>1</v>
      </c>
      <c r="D324" s="31" t="s">
        <v>724</v>
      </c>
      <c r="E324" s="31">
        <v>9</v>
      </c>
      <c r="F324" s="31">
        <v>1</v>
      </c>
      <c r="G324" s="31">
        <v>3</v>
      </c>
      <c r="H324" s="31">
        <v>5.9050002098083496</v>
      </c>
      <c r="I324" s="31">
        <v>0</v>
      </c>
      <c r="J324" s="31">
        <v>9.9049997329711914</v>
      </c>
      <c r="K324" s="31">
        <v>102.5</v>
      </c>
      <c r="L324" s="31">
        <v>7</v>
      </c>
      <c r="M324" s="31">
        <v>0</v>
      </c>
      <c r="N324" s="31">
        <v>0</v>
      </c>
      <c r="O324" s="31">
        <v>0</v>
      </c>
      <c r="P324" s="31">
        <v>0</v>
      </c>
      <c r="Q324" s="31">
        <v>0</v>
      </c>
      <c r="R324" s="31">
        <v>2</v>
      </c>
      <c r="S324" s="31">
        <v>0</v>
      </c>
      <c r="T324" s="31">
        <v>0</v>
      </c>
      <c r="U324" s="31">
        <v>70</v>
      </c>
      <c r="V324" s="31">
        <v>0</v>
      </c>
      <c r="W324" s="31">
        <v>0</v>
      </c>
      <c r="X324" s="31">
        <v>68</v>
      </c>
      <c r="Y324" s="31">
        <v>0</v>
      </c>
      <c r="Z324" s="31">
        <v>0</v>
      </c>
      <c r="AA324" s="31">
        <v>99</v>
      </c>
      <c r="AB324" s="31">
        <v>1</v>
      </c>
      <c r="AC324" s="31">
        <v>0</v>
      </c>
      <c r="AD324" s="31">
        <v>246</v>
      </c>
      <c r="AE324" s="31">
        <v>1</v>
      </c>
      <c r="AF324" s="31">
        <v>0</v>
      </c>
      <c r="AG324" s="31">
        <v>0</v>
      </c>
      <c r="AH324" s="31">
        <v>0</v>
      </c>
    </row>
    <row r="325" spans="1:34" x14ac:dyDescent="0.25">
      <c r="A325" s="31">
        <v>19</v>
      </c>
      <c r="B325" s="31">
        <v>24606</v>
      </c>
      <c r="C325" s="31">
        <v>1</v>
      </c>
      <c r="D325" s="31" t="s">
        <v>725</v>
      </c>
      <c r="E325" s="31">
        <v>9</v>
      </c>
      <c r="F325" s="31">
        <v>0.20900000631809235</v>
      </c>
      <c r="G325" s="31">
        <v>0</v>
      </c>
      <c r="H325" s="31">
        <v>1</v>
      </c>
      <c r="I325" s="31">
        <v>0</v>
      </c>
      <c r="J325" s="31">
        <v>1.2089999914169312</v>
      </c>
      <c r="K325" s="31">
        <v>125.80000305175781</v>
      </c>
      <c r="L325" s="31">
        <v>3</v>
      </c>
      <c r="M325" s="31">
        <v>0</v>
      </c>
      <c r="N325" s="31">
        <v>0</v>
      </c>
      <c r="O325" s="31">
        <v>0</v>
      </c>
      <c r="P325" s="31">
        <v>0</v>
      </c>
      <c r="Q325" s="31">
        <v>0</v>
      </c>
      <c r="R325" s="31">
        <v>0</v>
      </c>
      <c r="S325" s="31">
        <v>0</v>
      </c>
      <c r="T325" s="31">
        <v>0</v>
      </c>
      <c r="U325" s="31">
        <v>1</v>
      </c>
      <c r="V325" s="31">
        <v>0</v>
      </c>
      <c r="W325" s="31">
        <v>0</v>
      </c>
      <c r="X325" s="31">
        <v>8</v>
      </c>
      <c r="Y325" s="31">
        <v>0</v>
      </c>
      <c r="Z325" s="31">
        <v>0</v>
      </c>
      <c r="AA325" s="31">
        <v>6</v>
      </c>
      <c r="AB325" s="31">
        <v>0</v>
      </c>
      <c r="AC325" s="31">
        <v>0</v>
      </c>
      <c r="AD325" s="31">
        <v>18</v>
      </c>
      <c r="AE325" s="31">
        <v>0</v>
      </c>
      <c r="AF325" s="31">
        <v>0</v>
      </c>
      <c r="AG325" s="31">
        <v>0</v>
      </c>
      <c r="AH325" s="31">
        <v>0</v>
      </c>
    </row>
    <row r="326" spans="1:34" x14ac:dyDescent="0.25">
      <c r="A326" s="31">
        <v>19</v>
      </c>
      <c r="B326" s="31">
        <v>24606</v>
      </c>
      <c r="C326" s="31">
        <v>1</v>
      </c>
      <c r="D326" s="31" t="s">
        <v>726</v>
      </c>
      <c r="E326" s="31">
        <v>9</v>
      </c>
      <c r="F326" s="31">
        <v>0</v>
      </c>
      <c r="G326" s="31">
        <v>8</v>
      </c>
      <c r="H326" s="31">
        <v>2</v>
      </c>
      <c r="I326" s="31">
        <v>0</v>
      </c>
      <c r="J326" s="31">
        <v>10</v>
      </c>
      <c r="K326" s="31">
        <v>62</v>
      </c>
      <c r="L326" s="31">
        <v>4</v>
      </c>
      <c r="M326" s="31">
        <v>0</v>
      </c>
      <c r="N326" s="31">
        <v>0</v>
      </c>
      <c r="O326" s="31">
        <v>5</v>
      </c>
      <c r="P326" s="31">
        <v>0</v>
      </c>
      <c r="Q326" s="31">
        <v>0</v>
      </c>
      <c r="R326" s="31">
        <v>0</v>
      </c>
      <c r="S326" s="31">
        <v>0</v>
      </c>
      <c r="T326" s="31">
        <v>0</v>
      </c>
      <c r="U326" s="31">
        <v>27</v>
      </c>
      <c r="V326" s="31">
        <v>0</v>
      </c>
      <c r="W326" s="31">
        <v>0</v>
      </c>
      <c r="X326" s="31">
        <v>44</v>
      </c>
      <c r="Y326" s="31">
        <v>0</v>
      </c>
      <c r="Z326" s="31">
        <v>0</v>
      </c>
      <c r="AA326" s="31">
        <v>32</v>
      </c>
      <c r="AB326" s="31">
        <v>0</v>
      </c>
      <c r="AC326" s="31">
        <v>0</v>
      </c>
      <c r="AD326" s="31">
        <v>112</v>
      </c>
      <c r="AE326" s="31">
        <v>0</v>
      </c>
      <c r="AF326" s="31">
        <v>0</v>
      </c>
      <c r="AG326" s="31">
        <v>0</v>
      </c>
      <c r="AH326" s="31">
        <v>0</v>
      </c>
    </row>
    <row r="327" spans="1:34" x14ac:dyDescent="0.25">
      <c r="A327" s="31">
        <v>19</v>
      </c>
      <c r="B327" s="31">
        <v>24606</v>
      </c>
      <c r="C327" s="31">
        <v>1</v>
      </c>
      <c r="D327" s="31" t="s">
        <v>727</v>
      </c>
      <c r="E327" s="31">
        <v>9</v>
      </c>
      <c r="F327" s="31">
        <v>9.9999997764825821E-3</v>
      </c>
      <c r="G327" s="31">
        <v>4</v>
      </c>
      <c r="H327" s="31">
        <v>3</v>
      </c>
      <c r="I327" s="31">
        <v>0</v>
      </c>
      <c r="J327" s="31">
        <v>7.0100002288818359</v>
      </c>
      <c r="K327" s="31">
        <v>87</v>
      </c>
      <c r="L327" s="31">
        <v>5</v>
      </c>
      <c r="M327" s="31">
        <v>0</v>
      </c>
      <c r="N327" s="31">
        <v>0</v>
      </c>
      <c r="O327" s="31">
        <v>2</v>
      </c>
      <c r="P327" s="31">
        <v>0</v>
      </c>
      <c r="Q327" s="31">
        <v>0</v>
      </c>
      <c r="R327" s="31">
        <v>0</v>
      </c>
      <c r="S327" s="31">
        <v>0</v>
      </c>
      <c r="T327" s="31">
        <v>0</v>
      </c>
      <c r="U327" s="31">
        <v>42</v>
      </c>
      <c r="V327" s="31">
        <v>0</v>
      </c>
      <c r="W327" s="31">
        <v>0</v>
      </c>
      <c r="X327" s="31">
        <v>26</v>
      </c>
      <c r="Y327" s="31">
        <v>1</v>
      </c>
      <c r="Z327" s="31">
        <v>0</v>
      </c>
      <c r="AA327" s="31">
        <v>16</v>
      </c>
      <c r="AB327" s="31">
        <v>0</v>
      </c>
      <c r="AC327" s="31">
        <v>0</v>
      </c>
      <c r="AD327" s="31">
        <v>91</v>
      </c>
      <c r="AE327" s="31">
        <v>1</v>
      </c>
      <c r="AF327" s="31">
        <v>0</v>
      </c>
      <c r="AG327" s="31">
        <v>0</v>
      </c>
      <c r="AH327" s="31">
        <v>0</v>
      </c>
    </row>
    <row r="328" spans="1:34" x14ac:dyDescent="0.25">
      <c r="A328" s="31">
        <v>19</v>
      </c>
      <c r="B328" s="31">
        <v>24606</v>
      </c>
      <c r="C328" s="31">
        <v>1</v>
      </c>
      <c r="D328" s="31" t="s">
        <v>728</v>
      </c>
      <c r="E328" s="31"/>
      <c r="F328" s="31">
        <v>0</v>
      </c>
      <c r="G328" s="31">
        <v>0</v>
      </c>
      <c r="H328" s="31">
        <v>0</v>
      </c>
      <c r="I328" s="31">
        <v>0</v>
      </c>
      <c r="J328" s="31">
        <v>0</v>
      </c>
      <c r="K328" s="31" t="s">
        <v>882</v>
      </c>
      <c r="L328" s="31">
        <v>0</v>
      </c>
      <c r="M328" s="31">
        <v>0</v>
      </c>
      <c r="N328" s="31">
        <v>0</v>
      </c>
      <c r="O328" s="31">
        <v>0</v>
      </c>
      <c r="P328" s="31">
        <v>0</v>
      </c>
      <c r="Q328" s="31">
        <v>0</v>
      </c>
      <c r="R328" s="31">
        <v>0</v>
      </c>
      <c r="S328" s="31">
        <v>0</v>
      </c>
      <c r="T328" s="31">
        <v>0</v>
      </c>
      <c r="U328" s="31">
        <v>0</v>
      </c>
      <c r="V328" s="31">
        <v>0</v>
      </c>
      <c r="W328" s="31">
        <v>0</v>
      </c>
      <c r="X328" s="31">
        <v>0</v>
      </c>
      <c r="Y328" s="31">
        <v>0</v>
      </c>
      <c r="Z328" s="31">
        <v>0</v>
      </c>
      <c r="AA328" s="31">
        <v>0</v>
      </c>
      <c r="AB328" s="31">
        <v>0</v>
      </c>
      <c r="AC328" s="31">
        <v>0</v>
      </c>
      <c r="AD328" s="31">
        <v>0</v>
      </c>
      <c r="AE328" s="31">
        <v>0</v>
      </c>
      <c r="AF328" s="31">
        <v>0</v>
      </c>
      <c r="AG328" s="31">
        <v>0</v>
      </c>
      <c r="AH328" s="31">
        <v>0</v>
      </c>
    </row>
    <row r="329" spans="1:34" x14ac:dyDescent="0.25">
      <c r="A329" s="31">
        <v>19</v>
      </c>
      <c r="B329" s="31">
        <v>24606</v>
      </c>
      <c r="C329" s="31">
        <v>2</v>
      </c>
      <c r="D329" s="31" t="s">
        <v>728</v>
      </c>
      <c r="E329" s="31">
        <v>9</v>
      </c>
      <c r="F329" s="31">
        <v>4</v>
      </c>
      <c r="G329" s="31">
        <v>1.9989999532699585</v>
      </c>
      <c r="H329" s="31">
        <v>0</v>
      </c>
      <c r="I329" s="31">
        <v>0</v>
      </c>
      <c r="J329" s="31">
        <v>5.999000072479248</v>
      </c>
      <c r="K329" s="31">
        <v>20</v>
      </c>
      <c r="L329" s="31">
        <v>0</v>
      </c>
      <c r="M329" s="31">
        <v>0</v>
      </c>
      <c r="N329" s="31">
        <v>0</v>
      </c>
      <c r="O329" s="31">
        <v>0</v>
      </c>
      <c r="P329" s="31">
        <v>0</v>
      </c>
      <c r="Q329" s="31">
        <v>0</v>
      </c>
      <c r="R329" s="31">
        <v>2</v>
      </c>
      <c r="S329" s="31">
        <v>0</v>
      </c>
      <c r="T329" s="31">
        <v>0</v>
      </c>
      <c r="U329" s="31">
        <v>7</v>
      </c>
      <c r="V329" s="31">
        <v>0</v>
      </c>
      <c r="W329" s="31">
        <v>0</v>
      </c>
      <c r="X329" s="31">
        <v>4</v>
      </c>
      <c r="Y329" s="31">
        <v>0</v>
      </c>
      <c r="Z329" s="31">
        <v>0</v>
      </c>
      <c r="AA329" s="31">
        <v>1</v>
      </c>
      <c r="AB329" s="31">
        <v>0</v>
      </c>
      <c r="AC329" s="31">
        <v>0</v>
      </c>
      <c r="AD329" s="31">
        <v>14</v>
      </c>
      <c r="AE329" s="31">
        <v>0</v>
      </c>
      <c r="AF329" s="31">
        <v>0</v>
      </c>
      <c r="AG329" s="31">
        <v>0</v>
      </c>
      <c r="AH329" s="31">
        <v>0</v>
      </c>
    </row>
    <row r="330" spans="1:34" x14ac:dyDescent="0.25">
      <c r="A330" s="31">
        <v>19</v>
      </c>
      <c r="B330" s="31">
        <v>77777</v>
      </c>
      <c r="C330" s="31">
        <v>1</v>
      </c>
      <c r="D330" s="31" t="s">
        <v>915</v>
      </c>
      <c r="E330" s="31"/>
      <c r="F330" s="31">
        <v>0</v>
      </c>
      <c r="G330" s="31">
        <v>0</v>
      </c>
      <c r="H330" s="31">
        <v>0</v>
      </c>
      <c r="I330" s="31">
        <v>0</v>
      </c>
      <c r="J330" s="31">
        <v>0</v>
      </c>
      <c r="K330" s="31" t="s">
        <v>882</v>
      </c>
      <c r="L330" s="31">
        <v>0</v>
      </c>
      <c r="M330" s="31">
        <v>0</v>
      </c>
      <c r="N330" s="31">
        <v>0</v>
      </c>
      <c r="O330" s="31">
        <v>0</v>
      </c>
      <c r="P330" s="31">
        <v>0</v>
      </c>
      <c r="Q330" s="31">
        <v>0</v>
      </c>
      <c r="R330" s="31">
        <v>0</v>
      </c>
      <c r="S330" s="31">
        <v>0</v>
      </c>
      <c r="T330" s="31">
        <v>0</v>
      </c>
      <c r="U330" s="31">
        <v>0</v>
      </c>
      <c r="V330" s="31">
        <v>0</v>
      </c>
      <c r="W330" s="31">
        <v>0</v>
      </c>
      <c r="X330" s="31">
        <v>0</v>
      </c>
      <c r="Y330" s="31">
        <v>0</v>
      </c>
      <c r="Z330" s="31">
        <v>0</v>
      </c>
      <c r="AA330" s="31">
        <v>0</v>
      </c>
      <c r="AB330" s="31">
        <v>0</v>
      </c>
      <c r="AC330" s="31">
        <v>0</v>
      </c>
      <c r="AD330" s="31">
        <v>0</v>
      </c>
      <c r="AE330" s="31">
        <v>0</v>
      </c>
      <c r="AF330" s="31">
        <v>0</v>
      </c>
      <c r="AG330" s="31">
        <v>0</v>
      </c>
      <c r="AH330" s="31">
        <v>0</v>
      </c>
    </row>
    <row r="331" spans="1:34" x14ac:dyDescent="0.25">
      <c r="A331" s="31">
        <v>19</v>
      </c>
      <c r="B331" s="31">
        <v>24606</v>
      </c>
      <c r="C331" s="31">
        <v>1</v>
      </c>
      <c r="D331" s="31" t="s">
        <v>729</v>
      </c>
      <c r="E331" s="31">
        <v>9</v>
      </c>
      <c r="F331" s="31">
        <v>0.15700000524520874</v>
      </c>
      <c r="G331" s="31">
        <v>0.42199999094009399</v>
      </c>
      <c r="H331" s="31">
        <v>5.8330001831054687</v>
      </c>
      <c r="I331" s="31">
        <v>2</v>
      </c>
      <c r="J331" s="31">
        <v>8.4119997024536133</v>
      </c>
      <c r="K331" s="31">
        <v>225.10000610351562</v>
      </c>
      <c r="L331" s="31">
        <v>34</v>
      </c>
      <c r="M331" s="31">
        <v>1</v>
      </c>
      <c r="N331" s="31">
        <v>0</v>
      </c>
      <c r="O331" s="31">
        <v>44</v>
      </c>
      <c r="P331" s="31">
        <v>6</v>
      </c>
      <c r="Q331" s="31">
        <v>4</v>
      </c>
      <c r="R331" s="31">
        <v>0</v>
      </c>
      <c r="S331" s="31">
        <v>0</v>
      </c>
      <c r="T331" s="31">
        <v>0</v>
      </c>
      <c r="U331" s="31">
        <v>42</v>
      </c>
      <c r="V331" s="31">
        <v>0</v>
      </c>
      <c r="W331" s="31">
        <v>0</v>
      </c>
      <c r="X331" s="31">
        <v>59</v>
      </c>
      <c r="Y331" s="31">
        <v>2</v>
      </c>
      <c r="Z331" s="31">
        <v>1</v>
      </c>
      <c r="AA331" s="31">
        <v>49</v>
      </c>
      <c r="AB331" s="31">
        <v>0</v>
      </c>
      <c r="AC331" s="31">
        <v>0</v>
      </c>
      <c r="AD331" s="31">
        <v>228</v>
      </c>
      <c r="AE331" s="31">
        <v>9</v>
      </c>
      <c r="AF331" s="31">
        <v>5</v>
      </c>
      <c r="AG331" s="31">
        <v>0</v>
      </c>
      <c r="AH331" s="31">
        <v>0</v>
      </c>
    </row>
    <row r="332" spans="1:34" x14ac:dyDescent="0.25">
      <c r="A332" s="31">
        <v>19</v>
      </c>
      <c r="B332" s="31">
        <v>24606</v>
      </c>
      <c r="C332" s="31">
        <v>1</v>
      </c>
      <c r="D332" s="31" t="s">
        <v>730</v>
      </c>
      <c r="E332" s="31">
        <v>9</v>
      </c>
      <c r="F332" s="31">
        <v>5</v>
      </c>
      <c r="G332" s="31">
        <v>4</v>
      </c>
      <c r="H332" s="31">
        <v>1</v>
      </c>
      <c r="I332" s="31">
        <v>1</v>
      </c>
      <c r="J332" s="31">
        <v>11</v>
      </c>
      <c r="K332" s="31">
        <v>78.199996948242188</v>
      </c>
      <c r="L332" s="31">
        <v>7</v>
      </c>
      <c r="M332" s="31">
        <v>1</v>
      </c>
      <c r="N332" s="31">
        <v>1</v>
      </c>
      <c r="O332" s="31">
        <v>20</v>
      </c>
      <c r="P332" s="31">
        <v>0</v>
      </c>
      <c r="Q332" s="31">
        <v>0</v>
      </c>
      <c r="R332" s="31">
        <v>1</v>
      </c>
      <c r="S332" s="31">
        <v>0</v>
      </c>
      <c r="T332" s="31">
        <v>0</v>
      </c>
      <c r="U332" s="31">
        <v>18</v>
      </c>
      <c r="V332" s="31">
        <v>0</v>
      </c>
      <c r="W332" s="31">
        <v>0</v>
      </c>
      <c r="X332" s="31">
        <v>17</v>
      </c>
      <c r="Y332" s="31">
        <v>0</v>
      </c>
      <c r="Z332" s="31">
        <v>0</v>
      </c>
      <c r="AA332" s="31">
        <v>14</v>
      </c>
      <c r="AB332" s="31">
        <v>0</v>
      </c>
      <c r="AC332" s="31">
        <v>0</v>
      </c>
      <c r="AD332" s="31">
        <v>77</v>
      </c>
      <c r="AE332" s="31">
        <v>1</v>
      </c>
      <c r="AF332" s="31">
        <v>0</v>
      </c>
      <c r="AG332" s="31">
        <v>0</v>
      </c>
      <c r="AH332" s="31">
        <v>0</v>
      </c>
    </row>
    <row r="333" spans="1:34" x14ac:dyDescent="0.25">
      <c r="A333" s="31">
        <v>19</v>
      </c>
      <c r="B333" s="31">
        <v>24606</v>
      </c>
      <c r="C333" s="31">
        <v>1</v>
      </c>
      <c r="D333" s="31" t="s">
        <v>731</v>
      </c>
      <c r="E333" s="31">
        <v>9</v>
      </c>
      <c r="F333" s="31">
        <v>3</v>
      </c>
      <c r="G333" s="31">
        <v>3</v>
      </c>
      <c r="H333" s="31">
        <v>0</v>
      </c>
      <c r="I333" s="31">
        <v>0</v>
      </c>
      <c r="J333" s="31">
        <v>6</v>
      </c>
      <c r="K333" s="31">
        <v>25</v>
      </c>
      <c r="L333" s="31">
        <v>9</v>
      </c>
      <c r="M333" s="31">
        <v>0</v>
      </c>
      <c r="N333" s="31">
        <v>0</v>
      </c>
      <c r="O333" s="31">
        <v>0</v>
      </c>
      <c r="P333" s="31">
        <v>0</v>
      </c>
      <c r="Q333" s="31">
        <v>0</v>
      </c>
      <c r="R333" s="31">
        <v>5</v>
      </c>
      <c r="S333" s="31">
        <v>0</v>
      </c>
      <c r="T333" s="31">
        <v>0</v>
      </c>
      <c r="U333" s="31">
        <v>2</v>
      </c>
      <c r="V333" s="31">
        <v>0</v>
      </c>
      <c r="W333" s="31">
        <v>0</v>
      </c>
      <c r="X333" s="31">
        <v>6</v>
      </c>
      <c r="Y333" s="31">
        <v>0</v>
      </c>
      <c r="Z333" s="31">
        <v>0</v>
      </c>
      <c r="AA333" s="31">
        <v>1</v>
      </c>
      <c r="AB333" s="31">
        <v>0</v>
      </c>
      <c r="AC333" s="31">
        <v>0</v>
      </c>
      <c r="AD333" s="31">
        <v>23</v>
      </c>
      <c r="AE333" s="31">
        <v>0</v>
      </c>
      <c r="AF333" s="31">
        <v>0</v>
      </c>
      <c r="AG333" s="31">
        <v>0</v>
      </c>
      <c r="AH333" s="31">
        <v>0</v>
      </c>
    </row>
    <row r="334" spans="1:34" x14ac:dyDescent="0.25">
      <c r="A334" s="31">
        <v>19</v>
      </c>
      <c r="B334" s="31">
        <v>24606</v>
      </c>
      <c r="C334" s="31">
        <v>1</v>
      </c>
      <c r="D334" s="31" t="s">
        <v>732</v>
      </c>
      <c r="E334" s="31">
        <v>9</v>
      </c>
      <c r="F334" s="31">
        <v>1</v>
      </c>
      <c r="G334" s="31">
        <v>3</v>
      </c>
      <c r="H334" s="31">
        <v>0</v>
      </c>
      <c r="I334" s="31">
        <v>0</v>
      </c>
      <c r="J334" s="31">
        <v>4</v>
      </c>
      <c r="K334" s="31">
        <v>32.5</v>
      </c>
      <c r="L334" s="31">
        <v>2</v>
      </c>
      <c r="M334" s="31">
        <v>0</v>
      </c>
      <c r="N334" s="31">
        <v>0</v>
      </c>
      <c r="O334" s="31">
        <v>0</v>
      </c>
      <c r="P334" s="31">
        <v>0</v>
      </c>
      <c r="Q334" s="31">
        <v>0</v>
      </c>
      <c r="R334" s="31">
        <v>0</v>
      </c>
      <c r="S334" s="31">
        <v>0</v>
      </c>
      <c r="T334" s="31">
        <v>0</v>
      </c>
      <c r="U334" s="31">
        <v>12</v>
      </c>
      <c r="V334" s="31">
        <v>0</v>
      </c>
      <c r="W334" s="31">
        <v>0</v>
      </c>
      <c r="X334" s="31">
        <v>4</v>
      </c>
      <c r="Y334" s="31">
        <v>0</v>
      </c>
      <c r="Z334" s="31">
        <v>0</v>
      </c>
      <c r="AA334" s="31">
        <v>2</v>
      </c>
      <c r="AB334" s="31">
        <v>0</v>
      </c>
      <c r="AC334" s="31">
        <v>0</v>
      </c>
      <c r="AD334" s="31">
        <v>20</v>
      </c>
      <c r="AE334" s="31">
        <v>0</v>
      </c>
      <c r="AF334" s="31">
        <v>0</v>
      </c>
      <c r="AG334" s="31">
        <v>0</v>
      </c>
      <c r="AH334" s="31">
        <v>0</v>
      </c>
    </row>
    <row r="335" spans="1:34" x14ac:dyDescent="0.25">
      <c r="A335" s="31">
        <v>19</v>
      </c>
      <c r="B335" s="31">
        <v>24606</v>
      </c>
      <c r="C335" s="31">
        <v>1</v>
      </c>
      <c r="D335" s="31" t="s">
        <v>733</v>
      </c>
      <c r="E335" s="31">
        <v>9</v>
      </c>
      <c r="F335" s="31">
        <v>5</v>
      </c>
      <c r="G335" s="31">
        <v>2.6340000629425049</v>
      </c>
      <c r="H335" s="31">
        <v>0</v>
      </c>
      <c r="I335" s="31">
        <v>0</v>
      </c>
      <c r="J335" s="31">
        <v>7.6339998245239258</v>
      </c>
      <c r="K335" s="31">
        <v>20.399999618530273</v>
      </c>
      <c r="L335" s="31">
        <v>4</v>
      </c>
      <c r="M335" s="31">
        <v>0</v>
      </c>
      <c r="N335" s="31">
        <v>0</v>
      </c>
      <c r="O335" s="31">
        <v>6</v>
      </c>
      <c r="P335" s="31">
        <v>0</v>
      </c>
      <c r="Q335" s="31">
        <v>0</v>
      </c>
      <c r="R335" s="31">
        <v>0</v>
      </c>
      <c r="S335" s="31">
        <v>0</v>
      </c>
      <c r="T335" s="31">
        <v>0</v>
      </c>
      <c r="U335" s="31">
        <v>4</v>
      </c>
      <c r="V335" s="31">
        <v>0</v>
      </c>
      <c r="W335" s="31">
        <v>0</v>
      </c>
      <c r="X335" s="31">
        <v>10</v>
      </c>
      <c r="Y335" s="31">
        <v>0</v>
      </c>
      <c r="Z335" s="31">
        <v>0</v>
      </c>
      <c r="AA335" s="31">
        <v>6</v>
      </c>
      <c r="AB335" s="31">
        <v>0</v>
      </c>
      <c r="AC335" s="31">
        <v>0</v>
      </c>
      <c r="AD335" s="31">
        <v>30</v>
      </c>
      <c r="AE335" s="31">
        <v>0</v>
      </c>
      <c r="AF335" s="31">
        <v>0</v>
      </c>
      <c r="AG335" s="31">
        <v>0</v>
      </c>
      <c r="AH335" s="31">
        <v>0</v>
      </c>
    </row>
    <row r="336" spans="1:34" x14ac:dyDescent="0.25">
      <c r="A336" s="31">
        <v>19</v>
      </c>
      <c r="B336" s="31">
        <v>24606</v>
      </c>
      <c r="C336" s="31">
        <v>1</v>
      </c>
      <c r="D336" s="31" t="s">
        <v>916</v>
      </c>
      <c r="E336" s="31"/>
      <c r="F336" s="31">
        <v>0</v>
      </c>
      <c r="G336" s="31">
        <v>0</v>
      </c>
      <c r="H336" s="31">
        <v>0</v>
      </c>
      <c r="I336" s="31">
        <v>0</v>
      </c>
      <c r="J336" s="31">
        <v>0</v>
      </c>
      <c r="K336" s="31" t="s">
        <v>882</v>
      </c>
      <c r="L336" s="31">
        <v>0</v>
      </c>
      <c r="M336" s="31">
        <v>0</v>
      </c>
      <c r="N336" s="31">
        <v>0</v>
      </c>
      <c r="O336" s="31">
        <v>0</v>
      </c>
      <c r="P336" s="31">
        <v>0</v>
      </c>
      <c r="Q336" s="31">
        <v>0</v>
      </c>
      <c r="R336" s="31">
        <v>0</v>
      </c>
      <c r="S336" s="31">
        <v>0</v>
      </c>
      <c r="T336" s="31">
        <v>0</v>
      </c>
      <c r="U336" s="31">
        <v>0</v>
      </c>
      <c r="V336" s="31">
        <v>0</v>
      </c>
      <c r="W336" s="31">
        <v>0</v>
      </c>
      <c r="X336" s="31">
        <v>0</v>
      </c>
      <c r="Y336" s="31">
        <v>0</v>
      </c>
      <c r="Z336" s="31">
        <v>0</v>
      </c>
      <c r="AA336" s="31">
        <v>0</v>
      </c>
      <c r="AB336" s="31">
        <v>0</v>
      </c>
      <c r="AC336" s="31">
        <v>0</v>
      </c>
      <c r="AD336" s="31">
        <v>0</v>
      </c>
      <c r="AE336" s="31">
        <v>0</v>
      </c>
      <c r="AF336" s="31">
        <v>0</v>
      </c>
      <c r="AG336" s="31">
        <v>0</v>
      </c>
      <c r="AH336" s="31">
        <v>0</v>
      </c>
    </row>
    <row r="337" spans="1:34" x14ac:dyDescent="0.25">
      <c r="A337" s="31">
        <v>19</v>
      </c>
      <c r="B337" s="31">
        <v>24606</v>
      </c>
      <c r="C337" s="31">
        <v>1</v>
      </c>
      <c r="D337" s="31" t="s">
        <v>917</v>
      </c>
      <c r="E337" s="31"/>
      <c r="F337" s="31">
        <v>0</v>
      </c>
      <c r="G337" s="31">
        <v>0</v>
      </c>
      <c r="H337" s="31">
        <v>0</v>
      </c>
      <c r="I337" s="31">
        <v>0</v>
      </c>
      <c r="J337" s="31">
        <v>0</v>
      </c>
      <c r="K337" s="31" t="s">
        <v>882</v>
      </c>
      <c r="L337" s="31">
        <v>0</v>
      </c>
      <c r="M337" s="31">
        <v>0</v>
      </c>
      <c r="N337" s="31">
        <v>0</v>
      </c>
      <c r="O337" s="31">
        <v>0</v>
      </c>
      <c r="P337" s="31">
        <v>0</v>
      </c>
      <c r="Q337" s="31">
        <v>0</v>
      </c>
      <c r="R337" s="31">
        <v>0</v>
      </c>
      <c r="S337" s="31">
        <v>0</v>
      </c>
      <c r="T337" s="31">
        <v>0</v>
      </c>
      <c r="U337" s="31">
        <v>0</v>
      </c>
      <c r="V337" s="31">
        <v>0</v>
      </c>
      <c r="W337" s="31">
        <v>0</v>
      </c>
      <c r="X337" s="31">
        <v>0</v>
      </c>
      <c r="Y337" s="31">
        <v>0</v>
      </c>
      <c r="Z337" s="31">
        <v>0</v>
      </c>
      <c r="AA337" s="31">
        <v>0</v>
      </c>
      <c r="AB337" s="31">
        <v>0</v>
      </c>
      <c r="AC337" s="31">
        <v>0</v>
      </c>
      <c r="AD337" s="31">
        <v>0</v>
      </c>
      <c r="AE337" s="31">
        <v>0</v>
      </c>
      <c r="AF337" s="31">
        <v>0</v>
      </c>
      <c r="AG337" s="31">
        <v>0</v>
      </c>
      <c r="AH337" s="31">
        <v>0</v>
      </c>
    </row>
    <row r="338" spans="1:34" x14ac:dyDescent="0.25">
      <c r="A338" s="31">
        <v>19</v>
      </c>
      <c r="B338" s="31">
        <v>24606</v>
      </c>
      <c r="C338" s="31">
        <v>1</v>
      </c>
      <c r="D338" s="31" t="s">
        <v>918</v>
      </c>
      <c r="E338" s="31"/>
      <c r="F338" s="31">
        <v>0</v>
      </c>
      <c r="G338" s="31">
        <v>0</v>
      </c>
      <c r="H338" s="31">
        <v>0</v>
      </c>
      <c r="I338" s="31">
        <v>0</v>
      </c>
      <c r="J338" s="31">
        <v>0</v>
      </c>
      <c r="K338" s="31" t="s">
        <v>882</v>
      </c>
      <c r="L338" s="31">
        <v>0</v>
      </c>
      <c r="M338" s="31">
        <v>0</v>
      </c>
      <c r="N338" s="31">
        <v>0</v>
      </c>
      <c r="O338" s="31">
        <v>0</v>
      </c>
      <c r="P338" s="31">
        <v>0</v>
      </c>
      <c r="Q338" s="31">
        <v>0</v>
      </c>
      <c r="R338" s="31">
        <v>0</v>
      </c>
      <c r="S338" s="31">
        <v>0</v>
      </c>
      <c r="T338" s="31">
        <v>0</v>
      </c>
      <c r="U338" s="31">
        <v>0</v>
      </c>
      <c r="V338" s="31">
        <v>0</v>
      </c>
      <c r="W338" s="31">
        <v>0</v>
      </c>
      <c r="X338" s="31">
        <v>0</v>
      </c>
      <c r="Y338" s="31">
        <v>0</v>
      </c>
      <c r="Z338" s="31">
        <v>0</v>
      </c>
      <c r="AA338" s="31">
        <v>0</v>
      </c>
      <c r="AB338" s="31">
        <v>0</v>
      </c>
      <c r="AC338" s="31">
        <v>0</v>
      </c>
      <c r="AD338" s="31">
        <v>0</v>
      </c>
      <c r="AE338" s="31">
        <v>0</v>
      </c>
      <c r="AF338" s="31">
        <v>0</v>
      </c>
      <c r="AG338" s="31">
        <v>0</v>
      </c>
      <c r="AH338" s="31">
        <v>0</v>
      </c>
    </row>
    <row r="339" spans="1:34" x14ac:dyDescent="0.25">
      <c r="A339" s="31">
        <v>19</v>
      </c>
      <c r="B339" s="31">
        <v>24606</v>
      </c>
      <c r="C339" s="31">
        <v>1</v>
      </c>
      <c r="D339" s="31" t="s">
        <v>919</v>
      </c>
      <c r="E339" s="31"/>
      <c r="F339" s="31">
        <v>0</v>
      </c>
      <c r="G339" s="31">
        <v>0</v>
      </c>
      <c r="H339" s="31">
        <v>0</v>
      </c>
      <c r="I339" s="31">
        <v>0</v>
      </c>
      <c r="J339" s="31">
        <v>0</v>
      </c>
      <c r="K339" s="31" t="s">
        <v>882</v>
      </c>
      <c r="L339" s="31">
        <v>0</v>
      </c>
      <c r="M339" s="31">
        <v>0</v>
      </c>
      <c r="N339" s="31">
        <v>0</v>
      </c>
      <c r="O339" s="31">
        <v>0</v>
      </c>
      <c r="P339" s="31">
        <v>0</v>
      </c>
      <c r="Q339" s="31">
        <v>0</v>
      </c>
      <c r="R339" s="31">
        <v>0</v>
      </c>
      <c r="S339" s="31">
        <v>0</v>
      </c>
      <c r="T339" s="31">
        <v>0</v>
      </c>
      <c r="U339" s="31">
        <v>0</v>
      </c>
      <c r="V339" s="31">
        <v>0</v>
      </c>
      <c r="W339" s="31">
        <v>0</v>
      </c>
      <c r="X339" s="31">
        <v>0</v>
      </c>
      <c r="Y339" s="31">
        <v>0</v>
      </c>
      <c r="Z339" s="31">
        <v>0</v>
      </c>
      <c r="AA339" s="31">
        <v>0</v>
      </c>
      <c r="AB339" s="31">
        <v>0</v>
      </c>
      <c r="AC339" s="31">
        <v>0</v>
      </c>
      <c r="AD339" s="31">
        <v>0</v>
      </c>
      <c r="AE339" s="31">
        <v>0</v>
      </c>
      <c r="AF339" s="31">
        <v>0</v>
      </c>
      <c r="AG339" s="31">
        <v>0</v>
      </c>
      <c r="AH339" s="31">
        <v>0</v>
      </c>
    </row>
    <row r="340" spans="1:34" x14ac:dyDescent="0.25">
      <c r="A340" s="31">
        <v>19</v>
      </c>
      <c r="B340" s="31">
        <v>24646</v>
      </c>
      <c r="C340" s="31">
        <v>1</v>
      </c>
      <c r="D340" s="31" t="s">
        <v>920</v>
      </c>
      <c r="E340" s="31"/>
      <c r="F340" s="31">
        <v>0</v>
      </c>
      <c r="G340" s="31">
        <v>0</v>
      </c>
      <c r="H340" s="31">
        <v>0</v>
      </c>
      <c r="I340" s="31">
        <v>0</v>
      </c>
      <c r="J340" s="31">
        <v>0</v>
      </c>
      <c r="K340" s="31" t="s">
        <v>882</v>
      </c>
      <c r="L340" s="31">
        <v>0</v>
      </c>
      <c r="M340" s="31">
        <v>0</v>
      </c>
      <c r="N340" s="31">
        <v>0</v>
      </c>
      <c r="O340" s="31">
        <v>0</v>
      </c>
      <c r="P340" s="31">
        <v>0</v>
      </c>
      <c r="Q340" s="31">
        <v>0</v>
      </c>
      <c r="R340" s="31">
        <v>0</v>
      </c>
      <c r="S340" s="31">
        <v>0</v>
      </c>
      <c r="T340" s="31">
        <v>0</v>
      </c>
      <c r="U340" s="31">
        <v>0</v>
      </c>
      <c r="V340" s="31">
        <v>0</v>
      </c>
      <c r="W340" s="31">
        <v>0</v>
      </c>
      <c r="X340" s="31">
        <v>0</v>
      </c>
      <c r="Y340" s="31">
        <v>0</v>
      </c>
      <c r="Z340" s="31">
        <v>0</v>
      </c>
      <c r="AA340" s="31">
        <v>0</v>
      </c>
      <c r="AB340" s="31">
        <v>0</v>
      </c>
      <c r="AC340" s="31">
        <v>0</v>
      </c>
      <c r="AD340" s="31">
        <v>0</v>
      </c>
      <c r="AE340" s="31">
        <v>0</v>
      </c>
      <c r="AF340" s="31">
        <v>0</v>
      </c>
      <c r="AG340" s="31">
        <v>0</v>
      </c>
      <c r="AH340" s="31">
        <v>0</v>
      </c>
    </row>
    <row r="341" spans="1:34" x14ac:dyDescent="0.25">
      <c r="A341" s="31">
        <v>19</v>
      </c>
      <c r="B341" s="31">
        <v>24646</v>
      </c>
      <c r="C341" s="31">
        <v>1</v>
      </c>
      <c r="D341" s="31" t="s">
        <v>731</v>
      </c>
      <c r="E341" s="31"/>
      <c r="F341" s="31">
        <v>0</v>
      </c>
      <c r="G341" s="31">
        <v>0</v>
      </c>
      <c r="H341" s="31">
        <v>0</v>
      </c>
      <c r="I341" s="31">
        <v>0</v>
      </c>
      <c r="J341" s="31">
        <v>0</v>
      </c>
      <c r="K341" s="31" t="s">
        <v>882</v>
      </c>
      <c r="L341" s="31">
        <v>0</v>
      </c>
      <c r="M341" s="31">
        <v>0</v>
      </c>
      <c r="N341" s="31">
        <v>0</v>
      </c>
      <c r="O341" s="31">
        <v>0</v>
      </c>
      <c r="P341" s="31">
        <v>0</v>
      </c>
      <c r="Q341" s="31">
        <v>0</v>
      </c>
      <c r="R341" s="31">
        <v>0</v>
      </c>
      <c r="S341" s="31">
        <v>0</v>
      </c>
      <c r="T341" s="31">
        <v>0</v>
      </c>
      <c r="U341" s="31">
        <v>0</v>
      </c>
      <c r="V341" s="31">
        <v>0</v>
      </c>
      <c r="W341" s="31">
        <v>0</v>
      </c>
      <c r="X341" s="31">
        <v>0</v>
      </c>
      <c r="Y341" s="31">
        <v>0</v>
      </c>
      <c r="Z341" s="31">
        <v>0</v>
      </c>
      <c r="AA341" s="31">
        <v>0</v>
      </c>
      <c r="AB341" s="31">
        <v>0</v>
      </c>
      <c r="AC341" s="31">
        <v>0</v>
      </c>
      <c r="AD341" s="31">
        <v>0</v>
      </c>
      <c r="AE341" s="31">
        <v>0</v>
      </c>
      <c r="AF341" s="31">
        <v>0</v>
      </c>
      <c r="AG341" s="31">
        <v>0</v>
      </c>
      <c r="AH341" s="31">
        <v>0</v>
      </c>
    </row>
    <row r="342" spans="1:34" x14ac:dyDescent="0.25">
      <c r="A342" s="31">
        <v>19</v>
      </c>
      <c r="B342" s="31">
        <v>24646</v>
      </c>
      <c r="C342" s="31">
        <v>1</v>
      </c>
      <c r="D342" s="31" t="s">
        <v>732</v>
      </c>
      <c r="E342" s="31"/>
      <c r="F342" s="31">
        <v>0</v>
      </c>
      <c r="G342" s="31">
        <v>0</v>
      </c>
      <c r="H342" s="31">
        <v>0</v>
      </c>
      <c r="I342" s="31">
        <v>0</v>
      </c>
      <c r="J342" s="31">
        <v>0</v>
      </c>
      <c r="K342" s="31" t="s">
        <v>882</v>
      </c>
      <c r="L342" s="31">
        <v>0</v>
      </c>
      <c r="M342" s="31">
        <v>0</v>
      </c>
      <c r="N342" s="31">
        <v>0</v>
      </c>
      <c r="O342" s="31">
        <v>0</v>
      </c>
      <c r="P342" s="31">
        <v>0</v>
      </c>
      <c r="Q342" s="31">
        <v>0</v>
      </c>
      <c r="R342" s="31">
        <v>0</v>
      </c>
      <c r="S342" s="31">
        <v>0</v>
      </c>
      <c r="T342" s="31">
        <v>0</v>
      </c>
      <c r="U342" s="31">
        <v>0</v>
      </c>
      <c r="V342" s="31">
        <v>0</v>
      </c>
      <c r="W342" s="31">
        <v>0</v>
      </c>
      <c r="X342" s="31">
        <v>0</v>
      </c>
      <c r="Y342" s="31">
        <v>0</v>
      </c>
      <c r="Z342" s="31">
        <v>0</v>
      </c>
      <c r="AA342" s="31">
        <v>0</v>
      </c>
      <c r="AB342" s="31">
        <v>0</v>
      </c>
      <c r="AC342" s="31">
        <v>0</v>
      </c>
      <c r="AD342" s="31">
        <v>0</v>
      </c>
      <c r="AE342" s="31">
        <v>0</v>
      </c>
      <c r="AF342" s="31">
        <v>0</v>
      </c>
      <c r="AG342" s="31">
        <v>0</v>
      </c>
      <c r="AH342" s="31">
        <v>0</v>
      </c>
    </row>
    <row r="343" spans="1:34" x14ac:dyDescent="0.25">
      <c r="A343" s="31">
        <v>5</v>
      </c>
      <c r="B343" s="31">
        <v>13808</v>
      </c>
      <c r="C343" s="31">
        <v>1</v>
      </c>
      <c r="D343" s="31" t="s">
        <v>734</v>
      </c>
      <c r="E343" s="31"/>
      <c r="F343" s="31">
        <v>0</v>
      </c>
      <c r="G343" s="31">
        <v>0</v>
      </c>
      <c r="H343" s="31">
        <v>0</v>
      </c>
      <c r="I343" s="31">
        <v>0</v>
      </c>
      <c r="J343" s="31">
        <v>0</v>
      </c>
      <c r="K343" s="31" t="s">
        <v>882</v>
      </c>
      <c r="L343" s="31">
        <v>0</v>
      </c>
      <c r="M343" s="31">
        <v>0</v>
      </c>
      <c r="N343" s="31">
        <v>0</v>
      </c>
      <c r="O343" s="31">
        <v>0</v>
      </c>
      <c r="P343" s="31">
        <v>0</v>
      </c>
      <c r="Q343" s="31">
        <v>0</v>
      </c>
      <c r="R343" s="31">
        <v>0</v>
      </c>
      <c r="S343" s="31">
        <v>0</v>
      </c>
      <c r="T343" s="31">
        <v>0</v>
      </c>
      <c r="U343" s="31">
        <v>0</v>
      </c>
      <c r="V343" s="31">
        <v>0</v>
      </c>
      <c r="W343" s="31">
        <v>0</v>
      </c>
      <c r="X343" s="31">
        <v>0</v>
      </c>
      <c r="Y343" s="31">
        <v>0</v>
      </c>
      <c r="Z343" s="31">
        <v>0</v>
      </c>
      <c r="AA343" s="31">
        <v>0</v>
      </c>
      <c r="AB343" s="31">
        <v>0</v>
      </c>
      <c r="AC343" s="31">
        <v>0</v>
      </c>
      <c r="AD343" s="31">
        <v>0</v>
      </c>
      <c r="AE343" s="31">
        <v>0</v>
      </c>
      <c r="AF343" s="31">
        <v>0</v>
      </c>
      <c r="AG343" s="31">
        <v>0</v>
      </c>
      <c r="AH343" s="31">
        <v>0</v>
      </c>
    </row>
    <row r="344" spans="1:34" x14ac:dyDescent="0.25">
      <c r="A344" s="31">
        <v>5</v>
      </c>
      <c r="B344" s="31">
        <v>13808</v>
      </c>
      <c r="C344" s="31">
        <v>1</v>
      </c>
      <c r="D344" s="31" t="s">
        <v>735</v>
      </c>
      <c r="E344" s="31"/>
      <c r="F344" s="31">
        <v>0</v>
      </c>
      <c r="G344" s="31">
        <v>0</v>
      </c>
      <c r="H344" s="31">
        <v>0</v>
      </c>
      <c r="I344" s="31">
        <v>0</v>
      </c>
      <c r="J344" s="31">
        <v>0</v>
      </c>
      <c r="K344" s="31" t="s">
        <v>882</v>
      </c>
      <c r="L344" s="31">
        <v>0</v>
      </c>
      <c r="M344" s="31">
        <v>0</v>
      </c>
      <c r="N344" s="31">
        <v>0</v>
      </c>
      <c r="O344" s="31">
        <v>0</v>
      </c>
      <c r="P344" s="31">
        <v>0</v>
      </c>
      <c r="Q344" s="31">
        <v>0</v>
      </c>
      <c r="R344" s="31">
        <v>0</v>
      </c>
      <c r="S344" s="31">
        <v>0</v>
      </c>
      <c r="T344" s="31">
        <v>0</v>
      </c>
      <c r="U344" s="31">
        <v>0</v>
      </c>
      <c r="V344" s="31">
        <v>0</v>
      </c>
      <c r="W344" s="31">
        <v>0</v>
      </c>
      <c r="X344" s="31">
        <v>0</v>
      </c>
      <c r="Y344" s="31">
        <v>0</v>
      </c>
      <c r="Z344" s="31">
        <v>0</v>
      </c>
      <c r="AA344" s="31">
        <v>0</v>
      </c>
      <c r="AB344" s="31">
        <v>0</v>
      </c>
      <c r="AC344" s="31">
        <v>0</v>
      </c>
      <c r="AD344" s="31">
        <v>0</v>
      </c>
      <c r="AE344" s="31">
        <v>0</v>
      </c>
      <c r="AF344" s="31">
        <v>0</v>
      </c>
      <c r="AG344" s="31">
        <v>0</v>
      </c>
      <c r="AH344" s="31">
        <v>0</v>
      </c>
    </row>
    <row r="345" spans="1:34" x14ac:dyDescent="0.25">
      <c r="A345" s="31">
        <v>5</v>
      </c>
      <c r="B345" s="31">
        <v>13808</v>
      </c>
      <c r="C345" s="31">
        <v>1</v>
      </c>
      <c r="D345" s="31" t="s">
        <v>736</v>
      </c>
      <c r="E345" s="31"/>
      <c r="F345" s="31">
        <v>0</v>
      </c>
      <c r="G345" s="31">
        <v>0</v>
      </c>
      <c r="H345" s="31">
        <v>0</v>
      </c>
      <c r="I345" s="31">
        <v>0</v>
      </c>
      <c r="J345" s="31">
        <v>0</v>
      </c>
      <c r="K345" s="31" t="s">
        <v>882</v>
      </c>
      <c r="L345" s="31">
        <v>0</v>
      </c>
      <c r="M345" s="31">
        <v>0</v>
      </c>
      <c r="N345" s="31">
        <v>0</v>
      </c>
      <c r="O345" s="31">
        <v>0</v>
      </c>
      <c r="P345" s="31">
        <v>0</v>
      </c>
      <c r="Q345" s="31">
        <v>0</v>
      </c>
      <c r="R345" s="31">
        <v>0</v>
      </c>
      <c r="S345" s="31">
        <v>0</v>
      </c>
      <c r="T345" s="31">
        <v>0</v>
      </c>
      <c r="U345" s="31">
        <v>0</v>
      </c>
      <c r="V345" s="31">
        <v>0</v>
      </c>
      <c r="W345" s="31">
        <v>0</v>
      </c>
      <c r="X345" s="31">
        <v>0</v>
      </c>
      <c r="Y345" s="31">
        <v>0</v>
      </c>
      <c r="Z345" s="31">
        <v>0</v>
      </c>
      <c r="AA345" s="31">
        <v>0</v>
      </c>
      <c r="AB345" s="31">
        <v>0</v>
      </c>
      <c r="AC345" s="31">
        <v>0</v>
      </c>
      <c r="AD345" s="31">
        <v>0</v>
      </c>
      <c r="AE345" s="31">
        <v>0</v>
      </c>
      <c r="AF345" s="31">
        <v>0</v>
      </c>
      <c r="AG345" s="31">
        <v>0</v>
      </c>
      <c r="AH345" s="31">
        <v>0</v>
      </c>
    </row>
    <row r="346" spans="1:34" x14ac:dyDescent="0.25">
      <c r="A346" s="31">
        <v>5</v>
      </c>
      <c r="B346" s="31">
        <v>13808</v>
      </c>
      <c r="C346" s="31">
        <v>1</v>
      </c>
      <c r="D346" s="31" t="s">
        <v>737</v>
      </c>
      <c r="E346" s="31"/>
      <c r="F346" s="31">
        <v>0</v>
      </c>
      <c r="G346" s="31">
        <v>0</v>
      </c>
      <c r="H346" s="31">
        <v>0</v>
      </c>
      <c r="I346" s="31">
        <v>0</v>
      </c>
      <c r="J346" s="31">
        <v>0</v>
      </c>
      <c r="K346" s="31" t="s">
        <v>882</v>
      </c>
      <c r="L346" s="31">
        <v>0</v>
      </c>
      <c r="M346" s="31">
        <v>0</v>
      </c>
      <c r="N346" s="31">
        <v>0</v>
      </c>
      <c r="O346" s="31">
        <v>0</v>
      </c>
      <c r="P346" s="31">
        <v>0</v>
      </c>
      <c r="Q346" s="31">
        <v>0</v>
      </c>
      <c r="R346" s="31">
        <v>0</v>
      </c>
      <c r="S346" s="31">
        <v>0</v>
      </c>
      <c r="T346" s="31">
        <v>0</v>
      </c>
      <c r="U346" s="31">
        <v>0</v>
      </c>
      <c r="V346" s="31">
        <v>0</v>
      </c>
      <c r="W346" s="31">
        <v>0</v>
      </c>
      <c r="X346" s="31">
        <v>0</v>
      </c>
      <c r="Y346" s="31">
        <v>0</v>
      </c>
      <c r="Z346" s="31">
        <v>0</v>
      </c>
      <c r="AA346" s="31">
        <v>0</v>
      </c>
      <c r="AB346" s="31">
        <v>0</v>
      </c>
      <c r="AC346" s="31">
        <v>0</v>
      </c>
      <c r="AD346" s="31">
        <v>0</v>
      </c>
      <c r="AE346" s="31">
        <v>0</v>
      </c>
      <c r="AF346" s="31">
        <v>0</v>
      </c>
      <c r="AG346" s="31">
        <v>0</v>
      </c>
      <c r="AH346" s="31">
        <v>0</v>
      </c>
    </row>
    <row r="347" spans="1:34" x14ac:dyDescent="0.25">
      <c r="A347" s="31">
        <v>5</v>
      </c>
      <c r="B347" s="31">
        <v>13808</v>
      </c>
      <c r="C347" s="31">
        <v>1</v>
      </c>
      <c r="D347" s="31" t="s">
        <v>738</v>
      </c>
      <c r="E347" s="31"/>
      <c r="F347" s="31">
        <v>0</v>
      </c>
      <c r="G347" s="31">
        <v>0</v>
      </c>
      <c r="H347" s="31">
        <v>0</v>
      </c>
      <c r="I347" s="31">
        <v>0</v>
      </c>
      <c r="J347" s="31">
        <v>0</v>
      </c>
      <c r="K347" s="31" t="s">
        <v>882</v>
      </c>
      <c r="L347" s="31">
        <v>0</v>
      </c>
      <c r="M347" s="31">
        <v>0</v>
      </c>
      <c r="N347" s="31">
        <v>0</v>
      </c>
      <c r="O347" s="31">
        <v>0</v>
      </c>
      <c r="P347" s="31">
        <v>0</v>
      </c>
      <c r="Q347" s="31">
        <v>0</v>
      </c>
      <c r="R347" s="31">
        <v>0</v>
      </c>
      <c r="S347" s="31">
        <v>0</v>
      </c>
      <c r="T347" s="31">
        <v>0</v>
      </c>
      <c r="U347" s="31">
        <v>0</v>
      </c>
      <c r="V347" s="31">
        <v>0</v>
      </c>
      <c r="W347" s="31">
        <v>0</v>
      </c>
      <c r="X347" s="31">
        <v>0</v>
      </c>
      <c r="Y347" s="31">
        <v>0</v>
      </c>
      <c r="Z347" s="31">
        <v>0</v>
      </c>
      <c r="AA347" s="31">
        <v>0</v>
      </c>
      <c r="AB347" s="31">
        <v>0</v>
      </c>
      <c r="AC347" s="31">
        <v>0</v>
      </c>
      <c r="AD347" s="31">
        <v>0</v>
      </c>
      <c r="AE347" s="31">
        <v>0</v>
      </c>
      <c r="AF347" s="31">
        <v>0</v>
      </c>
      <c r="AG347" s="31">
        <v>0</v>
      </c>
      <c r="AH347" s="31">
        <v>0</v>
      </c>
    </row>
    <row r="348" spans="1:34" x14ac:dyDescent="0.25">
      <c r="A348" s="31">
        <v>5</v>
      </c>
      <c r="B348" s="31">
        <v>13808</v>
      </c>
      <c r="C348" s="31">
        <v>1</v>
      </c>
      <c r="D348" s="31" t="s">
        <v>739</v>
      </c>
      <c r="E348" s="31"/>
      <c r="F348" s="31">
        <v>0</v>
      </c>
      <c r="G348" s="31">
        <v>0</v>
      </c>
      <c r="H348" s="31">
        <v>0</v>
      </c>
      <c r="I348" s="31">
        <v>0</v>
      </c>
      <c r="J348" s="31">
        <v>0</v>
      </c>
      <c r="K348" s="31" t="s">
        <v>882</v>
      </c>
      <c r="L348" s="31">
        <v>0</v>
      </c>
      <c r="M348" s="31">
        <v>0</v>
      </c>
      <c r="N348" s="31">
        <v>0</v>
      </c>
      <c r="O348" s="31">
        <v>0</v>
      </c>
      <c r="P348" s="31">
        <v>0</v>
      </c>
      <c r="Q348" s="31">
        <v>0</v>
      </c>
      <c r="R348" s="31">
        <v>0</v>
      </c>
      <c r="S348" s="31">
        <v>0</v>
      </c>
      <c r="T348" s="31">
        <v>0</v>
      </c>
      <c r="U348" s="31">
        <v>0</v>
      </c>
      <c r="V348" s="31">
        <v>0</v>
      </c>
      <c r="W348" s="31">
        <v>0</v>
      </c>
      <c r="X348" s="31">
        <v>0</v>
      </c>
      <c r="Y348" s="31">
        <v>0</v>
      </c>
      <c r="Z348" s="31">
        <v>0</v>
      </c>
      <c r="AA348" s="31">
        <v>0</v>
      </c>
      <c r="AB348" s="31">
        <v>0</v>
      </c>
      <c r="AC348" s="31">
        <v>0</v>
      </c>
      <c r="AD348" s="31">
        <v>0</v>
      </c>
      <c r="AE348" s="31">
        <v>0</v>
      </c>
      <c r="AF348" s="31">
        <v>0</v>
      </c>
      <c r="AG348" s="31">
        <v>0</v>
      </c>
      <c r="AH348" s="31">
        <v>0</v>
      </c>
    </row>
    <row r="349" spans="1:34" x14ac:dyDescent="0.25">
      <c r="A349" s="31">
        <v>5</v>
      </c>
      <c r="B349" s="31">
        <v>13808</v>
      </c>
      <c r="C349" s="31">
        <v>1</v>
      </c>
      <c r="D349" s="31" t="s">
        <v>740</v>
      </c>
      <c r="E349" s="31"/>
      <c r="F349" s="31">
        <v>0</v>
      </c>
      <c r="G349" s="31">
        <v>0</v>
      </c>
      <c r="H349" s="31">
        <v>0</v>
      </c>
      <c r="I349" s="31">
        <v>0</v>
      </c>
      <c r="J349" s="31">
        <v>0</v>
      </c>
      <c r="K349" s="31" t="s">
        <v>882</v>
      </c>
      <c r="L349" s="31">
        <v>0</v>
      </c>
      <c r="M349" s="31">
        <v>0</v>
      </c>
      <c r="N349" s="31">
        <v>0</v>
      </c>
      <c r="O349" s="31">
        <v>0</v>
      </c>
      <c r="P349" s="31">
        <v>0</v>
      </c>
      <c r="Q349" s="31">
        <v>0</v>
      </c>
      <c r="R349" s="31">
        <v>0</v>
      </c>
      <c r="S349" s="31">
        <v>0</v>
      </c>
      <c r="T349" s="31">
        <v>0</v>
      </c>
      <c r="U349" s="31">
        <v>0</v>
      </c>
      <c r="V349" s="31">
        <v>0</v>
      </c>
      <c r="W349" s="31">
        <v>0</v>
      </c>
      <c r="X349" s="31">
        <v>0</v>
      </c>
      <c r="Y349" s="31">
        <v>0</v>
      </c>
      <c r="Z349" s="31">
        <v>0</v>
      </c>
      <c r="AA349" s="31">
        <v>0</v>
      </c>
      <c r="AB349" s="31">
        <v>0</v>
      </c>
      <c r="AC349" s="31">
        <v>0</v>
      </c>
      <c r="AD349" s="31">
        <v>0</v>
      </c>
      <c r="AE349" s="31">
        <v>0</v>
      </c>
      <c r="AF349" s="31">
        <v>0</v>
      </c>
      <c r="AG349" s="31">
        <v>0</v>
      </c>
      <c r="AH349" s="31">
        <v>0</v>
      </c>
    </row>
    <row r="350" spans="1:34" x14ac:dyDescent="0.25">
      <c r="A350" s="31">
        <v>5</v>
      </c>
      <c r="B350" s="31">
        <v>13808</v>
      </c>
      <c r="C350" s="31">
        <v>1</v>
      </c>
      <c r="D350" s="31" t="s">
        <v>741</v>
      </c>
      <c r="E350" s="31"/>
      <c r="F350" s="31">
        <v>0</v>
      </c>
      <c r="G350" s="31">
        <v>0</v>
      </c>
      <c r="H350" s="31">
        <v>0</v>
      </c>
      <c r="I350" s="31">
        <v>0</v>
      </c>
      <c r="J350" s="31">
        <v>0</v>
      </c>
      <c r="K350" s="31" t="s">
        <v>882</v>
      </c>
      <c r="L350" s="31">
        <v>0</v>
      </c>
      <c r="M350" s="31">
        <v>0</v>
      </c>
      <c r="N350" s="31">
        <v>0</v>
      </c>
      <c r="O350" s="31">
        <v>0</v>
      </c>
      <c r="P350" s="31">
        <v>0</v>
      </c>
      <c r="Q350" s="31">
        <v>0</v>
      </c>
      <c r="R350" s="31">
        <v>0</v>
      </c>
      <c r="S350" s="31">
        <v>0</v>
      </c>
      <c r="T350" s="31">
        <v>0</v>
      </c>
      <c r="U350" s="31">
        <v>0</v>
      </c>
      <c r="V350" s="31">
        <v>0</v>
      </c>
      <c r="W350" s="31">
        <v>0</v>
      </c>
      <c r="X350" s="31">
        <v>0</v>
      </c>
      <c r="Y350" s="31">
        <v>0</v>
      </c>
      <c r="Z350" s="31">
        <v>0</v>
      </c>
      <c r="AA350" s="31">
        <v>0</v>
      </c>
      <c r="AB350" s="31">
        <v>0</v>
      </c>
      <c r="AC350" s="31">
        <v>0</v>
      </c>
      <c r="AD350" s="31">
        <v>0</v>
      </c>
      <c r="AE350" s="31">
        <v>0</v>
      </c>
      <c r="AF350" s="31">
        <v>0</v>
      </c>
      <c r="AG350" s="31">
        <v>0</v>
      </c>
      <c r="AH350" s="31">
        <v>0</v>
      </c>
    </row>
    <row r="351" spans="1:34" x14ac:dyDescent="0.25">
      <c r="A351" s="31">
        <v>5</v>
      </c>
      <c r="B351" s="31">
        <v>13808</v>
      </c>
      <c r="C351" s="31">
        <v>1</v>
      </c>
      <c r="D351" s="31" t="s">
        <v>742</v>
      </c>
      <c r="E351" s="31"/>
      <c r="F351" s="31">
        <v>0</v>
      </c>
      <c r="G351" s="31">
        <v>0</v>
      </c>
      <c r="H351" s="31">
        <v>0</v>
      </c>
      <c r="I351" s="31">
        <v>0</v>
      </c>
      <c r="J351" s="31">
        <v>0</v>
      </c>
      <c r="K351" s="31" t="s">
        <v>882</v>
      </c>
      <c r="L351" s="31">
        <v>0</v>
      </c>
      <c r="M351" s="31">
        <v>0</v>
      </c>
      <c r="N351" s="31">
        <v>0</v>
      </c>
      <c r="O351" s="31">
        <v>0</v>
      </c>
      <c r="P351" s="31">
        <v>0</v>
      </c>
      <c r="Q351" s="31">
        <v>0</v>
      </c>
      <c r="R351" s="31">
        <v>0</v>
      </c>
      <c r="S351" s="31">
        <v>0</v>
      </c>
      <c r="T351" s="31">
        <v>0</v>
      </c>
      <c r="U351" s="31">
        <v>0</v>
      </c>
      <c r="V351" s="31">
        <v>0</v>
      </c>
      <c r="W351" s="31">
        <v>0</v>
      </c>
      <c r="X351" s="31">
        <v>0</v>
      </c>
      <c r="Y351" s="31">
        <v>0</v>
      </c>
      <c r="Z351" s="31">
        <v>0</v>
      </c>
      <c r="AA351" s="31">
        <v>0</v>
      </c>
      <c r="AB351" s="31">
        <v>0</v>
      </c>
      <c r="AC351" s="31">
        <v>0</v>
      </c>
      <c r="AD351" s="31">
        <v>0</v>
      </c>
      <c r="AE351" s="31">
        <v>0</v>
      </c>
      <c r="AF351" s="31">
        <v>0</v>
      </c>
      <c r="AG351" s="31">
        <v>0</v>
      </c>
      <c r="AH351" s="31">
        <v>0</v>
      </c>
    </row>
    <row r="352" spans="1:34" x14ac:dyDescent="0.25">
      <c r="A352" s="31">
        <v>5</v>
      </c>
      <c r="B352" s="31">
        <v>13808</v>
      </c>
      <c r="C352" s="31">
        <v>1</v>
      </c>
      <c r="D352" s="31" t="s">
        <v>743</v>
      </c>
      <c r="E352" s="31"/>
      <c r="F352" s="31">
        <v>0</v>
      </c>
      <c r="G352" s="31">
        <v>0</v>
      </c>
      <c r="H352" s="31">
        <v>0</v>
      </c>
      <c r="I352" s="31">
        <v>0</v>
      </c>
      <c r="J352" s="31">
        <v>0</v>
      </c>
      <c r="K352" s="31" t="s">
        <v>882</v>
      </c>
      <c r="L352" s="31">
        <v>0</v>
      </c>
      <c r="M352" s="31">
        <v>0</v>
      </c>
      <c r="N352" s="31">
        <v>0</v>
      </c>
      <c r="O352" s="31">
        <v>0</v>
      </c>
      <c r="P352" s="31">
        <v>0</v>
      </c>
      <c r="Q352" s="31">
        <v>0</v>
      </c>
      <c r="R352" s="31">
        <v>0</v>
      </c>
      <c r="S352" s="31">
        <v>0</v>
      </c>
      <c r="T352" s="31">
        <v>0</v>
      </c>
      <c r="U352" s="31">
        <v>0</v>
      </c>
      <c r="V352" s="31">
        <v>0</v>
      </c>
      <c r="W352" s="31">
        <v>0</v>
      </c>
      <c r="X352" s="31">
        <v>0</v>
      </c>
      <c r="Y352" s="31">
        <v>0</v>
      </c>
      <c r="Z352" s="31">
        <v>0</v>
      </c>
      <c r="AA352" s="31">
        <v>0</v>
      </c>
      <c r="AB352" s="31">
        <v>0</v>
      </c>
      <c r="AC352" s="31">
        <v>0</v>
      </c>
      <c r="AD352" s="31">
        <v>0</v>
      </c>
      <c r="AE352" s="31">
        <v>0</v>
      </c>
      <c r="AF352" s="31">
        <v>0</v>
      </c>
      <c r="AG352" s="31">
        <v>0</v>
      </c>
      <c r="AH352" s="31">
        <v>0</v>
      </c>
    </row>
    <row r="353" spans="1:34" x14ac:dyDescent="0.25">
      <c r="A353" s="31">
        <v>5</v>
      </c>
      <c r="B353" s="31">
        <v>13808</v>
      </c>
      <c r="C353" s="31">
        <v>1</v>
      </c>
      <c r="D353" s="31" t="s">
        <v>744</v>
      </c>
      <c r="E353" s="31"/>
      <c r="F353" s="31">
        <v>0</v>
      </c>
      <c r="G353" s="31">
        <v>0</v>
      </c>
      <c r="H353" s="31">
        <v>0</v>
      </c>
      <c r="I353" s="31">
        <v>0</v>
      </c>
      <c r="J353" s="31">
        <v>0</v>
      </c>
      <c r="K353" s="31" t="s">
        <v>882</v>
      </c>
      <c r="L353" s="31">
        <v>0</v>
      </c>
      <c r="M353" s="31">
        <v>0</v>
      </c>
      <c r="N353" s="31">
        <v>0</v>
      </c>
      <c r="O353" s="31">
        <v>0</v>
      </c>
      <c r="P353" s="31">
        <v>0</v>
      </c>
      <c r="Q353" s="31">
        <v>0</v>
      </c>
      <c r="R353" s="31">
        <v>0</v>
      </c>
      <c r="S353" s="31">
        <v>0</v>
      </c>
      <c r="T353" s="31">
        <v>0</v>
      </c>
      <c r="U353" s="31">
        <v>0</v>
      </c>
      <c r="V353" s="31">
        <v>0</v>
      </c>
      <c r="W353" s="31">
        <v>0</v>
      </c>
      <c r="X353" s="31">
        <v>0</v>
      </c>
      <c r="Y353" s="31">
        <v>0</v>
      </c>
      <c r="Z353" s="31">
        <v>0</v>
      </c>
      <c r="AA353" s="31">
        <v>0</v>
      </c>
      <c r="AB353" s="31">
        <v>0</v>
      </c>
      <c r="AC353" s="31">
        <v>0</v>
      </c>
      <c r="AD353" s="31">
        <v>0</v>
      </c>
      <c r="AE353" s="31">
        <v>0</v>
      </c>
      <c r="AF353" s="31">
        <v>0</v>
      </c>
      <c r="AG353" s="31">
        <v>0</v>
      </c>
      <c r="AH353" s="31">
        <v>0</v>
      </c>
    </row>
    <row r="354" spans="1:34" x14ac:dyDescent="0.25">
      <c r="A354" s="31">
        <v>5</v>
      </c>
      <c r="B354" s="31">
        <v>13808</v>
      </c>
      <c r="C354" s="31">
        <v>1</v>
      </c>
      <c r="D354" s="31" t="s">
        <v>745</v>
      </c>
      <c r="E354" s="31"/>
      <c r="F354" s="31">
        <v>0</v>
      </c>
      <c r="G354" s="31">
        <v>0</v>
      </c>
      <c r="H354" s="31">
        <v>0</v>
      </c>
      <c r="I354" s="31">
        <v>0</v>
      </c>
      <c r="J354" s="31">
        <v>0</v>
      </c>
      <c r="K354" s="31" t="s">
        <v>882</v>
      </c>
      <c r="L354" s="31">
        <v>0</v>
      </c>
      <c r="M354" s="31">
        <v>0</v>
      </c>
      <c r="N354" s="31">
        <v>0</v>
      </c>
      <c r="O354" s="31">
        <v>0</v>
      </c>
      <c r="P354" s="31">
        <v>0</v>
      </c>
      <c r="Q354" s="31">
        <v>0</v>
      </c>
      <c r="R354" s="31">
        <v>0</v>
      </c>
      <c r="S354" s="31">
        <v>0</v>
      </c>
      <c r="T354" s="31">
        <v>0</v>
      </c>
      <c r="U354" s="31">
        <v>0</v>
      </c>
      <c r="V354" s="31">
        <v>0</v>
      </c>
      <c r="W354" s="31">
        <v>0</v>
      </c>
      <c r="X354" s="31">
        <v>0</v>
      </c>
      <c r="Y354" s="31">
        <v>0</v>
      </c>
      <c r="Z354" s="31">
        <v>0</v>
      </c>
      <c r="AA354" s="31">
        <v>0</v>
      </c>
      <c r="AB354" s="31">
        <v>0</v>
      </c>
      <c r="AC354" s="31">
        <v>0</v>
      </c>
      <c r="AD354" s="31">
        <v>0</v>
      </c>
      <c r="AE354" s="31">
        <v>0</v>
      </c>
      <c r="AF354" s="31">
        <v>0</v>
      </c>
      <c r="AG354" s="31">
        <v>0</v>
      </c>
      <c r="AH354" s="31">
        <v>0</v>
      </c>
    </row>
    <row r="355" spans="1:34" x14ac:dyDescent="0.25">
      <c r="A355" s="31">
        <v>5</v>
      </c>
      <c r="B355" s="31">
        <v>13808</v>
      </c>
      <c r="C355" s="31">
        <v>2</v>
      </c>
      <c r="D355" s="31" t="s">
        <v>734</v>
      </c>
      <c r="E355" s="31"/>
      <c r="F355" s="31">
        <v>0</v>
      </c>
      <c r="G355" s="31">
        <v>0</v>
      </c>
      <c r="H355" s="31">
        <v>0</v>
      </c>
      <c r="I355" s="31">
        <v>0</v>
      </c>
      <c r="J355" s="31">
        <v>0</v>
      </c>
      <c r="K355" s="31" t="s">
        <v>882</v>
      </c>
      <c r="L355" s="31">
        <v>0</v>
      </c>
      <c r="M355" s="31">
        <v>0</v>
      </c>
      <c r="N355" s="31">
        <v>0</v>
      </c>
      <c r="O355" s="31">
        <v>0</v>
      </c>
      <c r="P355" s="31">
        <v>0</v>
      </c>
      <c r="Q355" s="31">
        <v>0</v>
      </c>
      <c r="R355" s="31">
        <v>0</v>
      </c>
      <c r="S355" s="31">
        <v>0</v>
      </c>
      <c r="T355" s="31">
        <v>0</v>
      </c>
      <c r="U355" s="31">
        <v>0</v>
      </c>
      <c r="V355" s="31">
        <v>0</v>
      </c>
      <c r="W355" s="31">
        <v>0</v>
      </c>
      <c r="X355" s="31">
        <v>0</v>
      </c>
      <c r="Y355" s="31">
        <v>0</v>
      </c>
      <c r="Z355" s="31">
        <v>0</v>
      </c>
      <c r="AA355" s="31">
        <v>0</v>
      </c>
      <c r="AB355" s="31">
        <v>0</v>
      </c>
      <c r="AC355" s="31">
        <v>0</v>
      </c>
      <c r="AD355" s="31">
        <v>0</v>
      </c>
      <c r="AE355" s="31">
        <v>0</v>
      </c>
      <c r="AF355" s="31">
        <v>0</v>
      </c>
      <c r="AG355" s="31">
        <v>0</v>
      </c>
      <c r="AH355" s="31">
        <v>0</v>
      </c>
    </row>
    <row r="356" spans="1:34" x14ac:dyDescent="0.25">
      <c r="A356" s="31">
        <v>5</v>
      </c>
      <c r="B356" s="31">
        <v>13808</v>
      </c>
      <c r="C356" s="31">
        <v>2</v>
      </c>
      <c r="D356" s="31" t="s">
        <v>735</v>
      </c>
      <c r="E356" s="31"/>
      <c r="F356" s="31">
        <v>0</v>
      </c>
      <c r="G356" s="31">
        <v>0</v>
      </c>
      <c r="H356" s="31">
        <v>0</v>
      </c>
      <c r="I356" s="31">
        <v>0</v>
      </c>
      <c r="J356" s="31">
        <v>0</v>
      </c>
      <c r="K356" s="31" t="s">
        <v>882</v>
      </c>
      <c r="L356" s="31">
        <v>0</v>
      </c>
      <c r="M356" s="31">
        <v>0</v>
      </c>
      <c r="N356" s="31">
        <v>0</v>
      </c>
      <c r="O356" s="31">
        <v>0</v>
      </c>
      <c r="P356" s="31">
        <v>0</v>
      </c>
      <c r="Q356" s="31">
        <v>0</v>
      </c>
      <c r="R356" s="31">
        <v>0</v>
      </c>
      <c r="S356" s="31">
        <v>0</v>
      </c>
      <c r="T356" s="31">
        <v>0</v>
      </c>
      <c r="U356" s="31">
        <v>0</v>
      </c>
      <c r="V356" s="31">
        <v>0</v>
      </c>
      <c r="W356" s="31">
        <v>0</v>
      </c>
      <c r="X356" s="31">
        <v>0</v>
      </c>
      <c r="Y356" s="31">
        <v>0</v>
      </c>
      <c r="Z356" s="31">
        <v>0</v>
      </c>
      <c r="AA356" s="31">
        <v>0</v>
      </c>
      <c r="AB356" s="31">
        <v>0</v>
      </c>
      <c r="AC356" s="31">
        <v>0</v>
      </c>
      <c r="AD356" s="31">
        <v>0</v>
      </c>
      <c r="AE356" s="31">
        <v>0</v>
      </c>
      <c r="AF356" s="31">
        <v>0</v>
      </c>
      <c r="AG356" s="31">
        <v>0</v>
      </c>
      <c r="AH356" s="31">
        <v>0</v>
      </c>
    </row>
    <row r="357" spans="1:34" x14ac:dyDescent="0.25">
      <c r="A357" s="31">
        <v>5</v>
      </c>
      <c r="B357" s="31">
        <v>13808</v>
      </c>
      <c r="C357" s="31">
        <v>2</v>
      </c>
      <c r="D357" s="31" t="s">
        <v>736</v>
      </c>
      <c r="E357" s="31"/>
      <c r="F357" s="31">
        <v>0</v>
      </c>
      <c r="G357" s="31">
        <v>0</v>
      </c>
      <c r="H357" s="31">
        <v>0</v>
      </c>
      <c r="I357" s="31">
        <v>0</v>
      </c>
      <c r="J357" s="31">
        <v>0</v>
      </c>
      <c r="K357" s="31" t="s">
        <v>882</v>
      </c>
      <c r="L357" s="31">
        <v>0</v>
      </c>
      <c r="M357" s="31">
        <v>0</v>
      </c>
      <c r="N357" s="31">
        <v>0</v>
      </c>
      <c r="O357" s="31">
        <v>0</v>
      </c>
      <c r="P357" s="31">
        <v>0</v>
      </c>
      <c r="Q357" s="31">
        <v>0</v>
      </c>
      <c r="R357" s="31">
        <v>0</v>
      </c>
      <c r="S357" s="31">
        <v>0</v>
      </c>
      <c r="T357" s="31">
        <v>0</v>
      </c>
      <c r="U357" s="31">
        <v>0</v>
      </c>
      <c r="V357" s="31">
        <v>0</v>
      </c>
      <c r="W357" s="31">
        <v>0</v>
      </c>
      <c r="X357" s="31">
        <v>0</v>
      </c>
      <c r="Y357" s="31">
        <v>0</v>
      </c>
      <c r="Z357" s="31">
        <v>0</v>
      </c>
      <c r="AA357" s="31">
        <v>0</v>
      </c>
      <c r="AB357" s="31">
        <v>0</v>
      </c>
      <c r="AC357" s="31">
        <v>0</v>
      </c>
      <c r="AD357" s="31">
        <v>0</v>
      </c>
      <c r="AE357" s="31">
        <v>0</v>
      </c>
      <c r="AF357" s="31">
        <v>0</v>
      </c>
      <c r="AG357" s="31">
        <v>0</v>
      </c>
      <c r="AH357" s="31">
        <v>0</v>
      </c>
    </row>
    <row r="358" spans="1:34" x14ac:dyDescent="0.25">
      <c r="A358" s="31">
        <v>5</v>
      </c>
      <c r="B358" s="31">
        <v>13808</v>
      </c>
      <c r="C358" s="31">
        <v>2</v>
      </c>
      <c r="D358" s="31" t="s">
        <v>737</v>
      </c>
      <c r="E358" s="31"/>
      <c r="F358" s="31">
        <v>0</v>
      </c>
      <c r="G358" s="31">
        <v>0</v>
      </c>
      <c r="H358" s="31">
        <v>0</v>
      </c>
      <c r="I358" s="31">
        <v>0</v>
      </c>
      <c r="J358" s="31">
        <v>0</v>
      </c>
      <c r="K358" s="31" t="s">
        <v>882</v>
      </c>
      <c r="L358" s="31">
        <v>0</v>
      </c>
      <c r="M358" s="31">
        <v>0</v>
      </c>
      <c r="N358" s="31">
        <v>0</v>
      </c>
      <c r="O358" s="31">
        <v>0</v>
      </c>
      <c r="P358" s="31">
        <v>0</v>
      </c>
      <c r="Q358" s="31">
        <v>0</v>
      </c>
      <c r="R358" s="31">
        <v>0</v>
      </c>
      <c r="S358" s="31">
        <v>0</v>
      </c>
      <c r="T358" s="31">
        <v>0</v>
      </c>
      <c r="U358" s="31">
        <v>0</v>
      </c>
      <c r="V358" s="31">
        <v>0</v>
      </c>
      <c r="W358" s="31">
        <v>0</v>
      </c>
      <c r="X358" s="31">
        <v>0</v>
      </c>
      <c r="Y358" s="31">
        <v>0</v>
      </c>
      <c r="Z358" s="31">
        <v>0</v>
      </c>
      <c r="AA358" s="31">
        <v>0</v>
      </c>
      <c r="AB358" s="31">
        <v>0</v>
      </c>
      <c r="AC358" s="31">
        <v>0</v>
      </c>
      <c r="AD358" s="31">
        <v>0</v>
      </c>
      <c r="AE358" s="31">
        <v>0</v>
      </c>
      <c r="AF358" s="31">
        <v>0</v>
      </c>
      <c r="AG358" s="31">
        <v>0</v>
      </c>
      <c r="AH358" s="31">
        <v>0</v>
      </c>
    </row>
    <row r="359" spans="1:34" x14ac:dyDescent="0.25">
      <c r="A359" s="31">
        <v>5</v>
      </c>
      <c r="B359" s="31">
        <v>13808</v>
      </c>
      <c r="C359" s="31">
        <v>2</v>
      </c>
      <c r="D359" s="31" t="s">
        <v>738</v>
      </c>
      <c r="E359" s="31"/>
      <c r="F359" s="31">
        <v>0</v>
      </c>
      <c r="G359" s="31">
        <v>0</v>
      </c>
      <c r="H359" s="31">
        <v>0</v>
      </c>
      <c r="I359" s="31">
        <v>0</v>
      </c>
      <c r="J359" s="31">
        <v>0</v>
      </c>
      <c r="K359" s="31" t="s">
        <v>882</v>
      </c>
      <c r="L359" s="31">
        <v>0</v>
      </c>
      <c r="M359" s="31">
        <v>0</v>
      </c>
      <c r="N359" s="31">
        <v>0</v>
      </c>
      <c r="O359" s="31">
        <v>0</v>
      </c>
      <c r="P359" s="31">
        <v>0</v>
      </c>
      <c r="Q359" s="31">
        <v>0</v>
      </c>
      <c r="R359" s="31">
        <v>0</v>
      </c>
      <c r="S359" s="31">
        <v>0</v>
      </c>
      <c r="T359" s="31">
        <v>0</v>
      </c>
      <c r="U359" s="31">
        <v>0</v>
      </c>
      <c r="V359" s="31">
        <v>0</v>
      </c>
      <c r="W359" s="31">
        <v>0</v>
      </c>
      <c r="X359" s="31">
        <v>0</v>
      </c>
      <c r="Y359" s="31">
        <v>0</v>
      </c>
      <c r="Z359" s="31">
        <v>0</v>
      </c>
      <c r="AA359" s="31">
        <v>0</v>
      </c>
      <c r="AB359" s="31">
        <v>0</v>
      </c>
      <c r="AC359" s="31">
        <v>0</v>
      </c>
      <c r="AD359" s="31">
        <v>0</v>
      </c>
      <c r="AE359" s="31">
        <v>0</v>
      </c>
      <c r="AF359" s="31">
        <v>0</v>
      </c>
      <c r="AG359" s="31">
        <v>0</v>
      </c>
      <c r="AH359" s="31">
        <v>0</v>
      </c>
    </row>
    <row r="360" spans="1:34" x14ac:dyDescent="0.25">
      <c r="A360" s="31">
        <v>5</v>
      </c>
      <c r="B360" s="31">
        <v>13808</v>
      </c>
      <c r="C360" s="31">
        <v>2</v>
      </c>
      <c r="D360" s="31" t="s">
        <v>739</v>
      </c>
      <c r="E360" s="31"/>
      <c r="F360" s="31">
        <v>0</v>
      </c>
      <c r="G360" s="31">
        <v>0</v>
      </c>
      <c r="H360" s="31">
        <v>0</v>
      </c>
      <c r="I360" s="31">
        <v>0</v>
      </c>
      <c r="J360" s="31">
        <v>0</v>
      </c>
      <c r="K360" s="31" t="s">
        <v>882</v>
      </c>
      <c r="L360" s="31">
        <v>0</v>
      </c>
      <c r="M360" s="31">
        <v>0</v>
      </c>
      <c r="N360" s="31">
        <v>0</v>
      </c>
      <c r="O360" s="31">
        <v>0</v>
      </c>
      <c r="P360" s="31">
        <v>0</v>
      </c>
      <c r="Q360" s="31">
        <v>0</v>
      </c>
      <c r="R360" s="31">
        <v>0</v>
      </c>
      <c r="S360" s="31">
        <v>0</v>
      </c>
      <c r="T360" s="31">
        <v>0</v>
      </c>
      <c r="U360" s="31">
        <v>0</v>
      </c>
      <c r="V360" s="31">
        <v>0</v>
      </c>
      <c r="W360" s="31">
        <v>0</v>
      </c>
      <c r="X360" s="31">
        <v>0</v>
      </c>
      <c r="Y360" s="31">
        <v>0</v>
      </c>
      <c r="Z360" s="31">
        <v>0</v>
      </c>
      <c r="AA360" s="31">
        <v>0</v>
      </c>
      <c r="AB360" s="31">
        <v>0</v>
      </c>
      <c r="AC360" s="31">
        <v>0</v>
      </c>
      <c r="AD360" s="31">
        <v>0</v>
      </c>
      <c r="AE360" s="31">
        <v>0</v>
      </c>
      <c r="AF360" s="31">
        <v>0</v>
      </c>
      <c r="AG360" s="31">
        <v>0</v>
      </c>
      <c r="AH360" s="31">
        <v>0</v>
      </c>
    </row>
    <row r="361" spans="1:34" x14ac:dyDescent="0.25">
      <c r="A361" s="31">
        <v>5</v>
      </c>
      <c r="B361" s="31">
        <v>13808</v>
      </c>
      <c r="C361" s="31">
        <v>2</v>
      </c>
      <c r="D361" s="31" t="s">
        <v>740</v>
      </c>
      <c r="E361" s="31"/>
      <c r="F361" s="31">
        <v>0</v>
      </c>
      <c r="G361" s="31">
        <v>0</v>
      </c>
      <c r="H361" s="31">
        <v>0</v>
      </c>
      <c r="I361" s="31">
        <v>0</v>
      </c>
      <c r="J361" s="31">
        <v>0</v>
      </c>
      <c r="K361" s="31" t="s">
        <v>882</v>
      </c>
      <c r="L361" s="31">
        <v>0</v>
      </c>
      <c r="M361" s="31">
        <v>0</v>
      </c>
      <c r="N361" s="31">
        <v>0</v>
      </c>
      <c r="O361" s="31">
        <v>0</v>
      </c>
      <c r="P361" s="31">
        <v>0</v>
      </c>
      <c r="Q361" s="31">
        <v>0</v>
      </c>
      <c r="R361" s="31">
        <v>0</v>
      </c>
      <c r="S361" s="31">
        <v>0</v>
      </c>
      <c r="T361" s="31">
        <v>0</v>
      </c>
      <c r="U361" s="31">
        <v>0</v>
      </c>
      <c r="V361" s="31">
        <v>0</v>
      </c>
      <c r="W361" s="31">
        <v>0</v>
      </c>
      <c r="X361" s="31">
        <v>0</v>
      </c>
      <c r="Y361" s="31">
        <v>0</v>
      </c>
      <c r="Z361" s="31">
        <v>0</v>
      </c>
      <c r="AA361" s="31">
        <v>0</v>
      </c>
      <c r="AB361" s="31">
        <v>0</v>
      </c>
      <c r="AC361" s="31">
        <v>0</v>
      </c>
      <c r="AD361" s="31">
        <v>0</v>
      </c>
      <c r="AE361" s="31">
        <v>0</v>
      </c>
      <c r="AF361" s="31">
        <v>0</v>
      </c>
      <c r="AG361" s="31">
        <v>0</v>
      </c>
      <c r="AH361" s="31">
        <v>0</v>
      </c>
    </row>
    <row r="362" spans="1:34" x14ac:dyDescent="0.25">
      <c r="A362" s="31">
        <v>5</v>
      </c>
      <c r="B362" s="31">
        <v>13808</v>
      </c>
      <c r="C362" s="31">
        <v>2</v>
      </c>
      <c r="D362" s="31" t="s">
        <v>741</v>
      </c>
      <c r="E362" s="31"/>
      <c r="F362" s="31">
        <v>0</v>
      </c>
      <c r="G362" s="31">
        <v>0</v>
      </c>
      <c r="H362" s="31">
        <v>0</v>
      </c>
      <c r="I362" s="31">
        <v>0</v>
      </c>
      <c r="J362" s="31">
        <v>0</v>
      </c>
      <c r="K362" s="31" t="s">
        <v>882</v>
      </c>
      <c r="L362" s="31">
        <v>0</v>
      </c>
      <c r="M362" s="31">
        <v>0</v>
      </c>
      <c r="N362" s="31">
        <v>0</v>
      </c>
      <c r="O362" s="31">
        <v>0</v>
      </c>
      <c r="P362" s="31">
        <v>0</v>
      </c>
      <c r="Q362" s="31">
        <v>0</v>
      </c>
      <c r="R362" s="31">
        <v>0</v>
      </c>
      <c r="S362" s="31">
        <v>0</v>
      </c>
      <c r="T362" s="31">
        <v>0</v>
      </c>
      <c r="U362" s="31">
        <v>0</v>
      </c>
      <c r="V362" s="31">
        <v>0</v>
      </c>
      <c r="W362" s="31">
        <v>0</v>
      </c>
      <c r="X362" s="31">
        <v>0</v>
      </c>
      <c r="Y362" s="31">
        <v>0</v>
      </c>
      <c r="Z362" s="31">
        <v>0</v>
      </c>
      <c r="AA362" s="31">
        <v>0</v>
      </c>
      <c r="AB362" s="31">
        <v>0</v>
      </c>
      <c r="AC362" s="31">
        <v>0</v>
      </c>
      <c r="AD362" s="31">
        <v>0</v>
      </c>
      <c r="AE362" s="31">
        <v>0</v>
      </c>
      <c r="AF362" s="31">
        <v>0</v>
      </c>
      <c r="AG362" s="31">
        <v>0</v>
      </c>
      <c r="AH362" s="31">
        <v>0</v>
      </c>
    </row>
    <row r="363" spans="1:34" x14ac:dyDescent="0.25">
      <c r="A363" s="31">
        <v>5</v>
      </c>
      <c r="B363" s="31">
        <v>13808</v>
      </c>
      <c r="C363" s="31">
        <v>2</v>
      </c>
      <c r="D363" s="31" t="s">
        <v>742</v>
      </c>
      <c r="E363" s="31"/>
      <c r="F363" s="31">
        <v>0</v>
      </c>
      <c r="G363" s="31">
        <v>0</v>
      </c>
      <c r="H363" s="31">
        <v>0</v>
      </c>
      <c r="I363" s="31">
        <v>0</v>
      </c>
      <c r="J363" s="31">
        <v>0</v>
      </c>
      <c r="K363" s="31" t="s">
        <v>882</v>
      </c>
      <c r="L363" s="31">
        <v>0</v>
      </c>
      <c r="M363" s="31">
        <v>0</v>
      </c>
      <c r="N363" s="31">
        <v>0</v>
      </c>
      <c r="O363" s="31">
        <v>0</v>
      </c>
      <c r="P363" s="31">
        <v>0</v>
      </c>
      <c r="Q363" s="31">
        <v>0</v>
      </c>
      <c r="R363" s="31">
        <v>0</v>
      </c>
      <c r="S363" s="31">
        <v>0</v>
      </c>
      <c r="T363" s="31">
        <v>0</v>
      </c>
      <c r="U363" s="31">
        <v>0</v>
      </c>
      <c r="V363" s="31">
        <v>0</v>
      </c>
      <c r="W363" s="31">
        <v>0</v>
      </c>
      <c r="X363" s="31">
        <v>0</v>
      </c>
      <c r="Y363" s="31">
        <v>0</v>
      </c>
      <c r="Z363" s="31">
        <v>0</v>
      </c>
      <c r="AA363" s="31">
        <v>0</v>
      </c>
      <c r="AB363" s="31">
        <v>0</v>
      </c>
      <c r="AC363" s="31">
        <v>0</v>
      </c>
      <c r="AD363" s="31">
        <v>0</v>
      </c>
      <c r="AE363" s="31">
        <v>0</v>
      </c>
      <c r="AF363" s="31">
        <v>0</v>
      </c>
      <c r="AG363" s="31">
        <v>0</v>
      </c>
      <c r="AH363" s="31">
        <v>0</v>
      </c>
    </row>
    <row r="364" spans="1:34" x14ac:dyDescent="0.25">
      <c r="A364" s="31">
        <v>5</v>
      </c>
      <c r="B364" s="31">
        <v>13808</v>
      </c>
      <c r="C364" s="31">
        <v>2</v>
      </c>
      <c r="D364" s="31" t="s">
        <v>743</v>
      </c>
      <c r="E364" s="31"/>
      <c r="F364" s="31">
        <v>0</v>
      </c>
      <c r="G364" s="31">
        <v>0</v>
      </c>
      <c r="H364" s="31">
        <v>0</v>
      </c>
      <c r="I364" s="31">
        <v>0</v>
      </c>
      <c r="J364" s="31">
        <v>0</v>
      </c>
      <c r="K364" s="31" t="s">
        <v>882</v>
      </c>
      <c r="L364" s="31">
        <v>0</v>
      </c>
      <c r="M364" s="31">
        <v>0</v>
      </c>
      <c r="N364" s="31">
        <v>0</v>
      </c>
      <c r="O364" s="31">
        <v>0</v>
      </c>
      <c r="P364" s="31">
        <v>0</v>
      </c>
      <c r="Q364" s="31">
        <v>0</v>
      </c>
      <c r="R364" s="31">
        <v>0</v>
      </c>
      <c r="S364" s="31">
        <v>0</v>
      </c>
      <c r="T364" s="31">
        <v>0</v>
      </c>
      <c r="U364" s="31">
        <v>0</v>
      </c>
      <c r="V364" s="31">
        <v>0</v>
      </c>
      <c r="W364" s="31">
        <v>0</v>
      </c>
      <c r="X364" s="31">
        <v>0</v>
      </c>
      <c r="Y364" s="31">
        <v>0</v>
      </c>
      <c r="Z364" s="31">
        <v>0</v>
      </c>
      <c r="AA364" s="31">
        <v>0</v>
      </c>
      <c r="AB364" s="31">
        <v>0</v>
      </c>
      <c r="AC364" s="31">
        <v>0</v>
      </c>
      <c r="AD364" s="31">
        <v>0</v>
      </c>
      <c r="AE364" s="31">
        <v>0</v>
      </c>
      <c r="AF364" s="31">
        <v>0</v>
      </c>
      <c r="AG364" s="31">
        <v>0</v>
      </c>
      <c r="AH364" s="31">
        <v>0</v>
      </c>
    </row>
    <row r="365" spans="1:34" x14ac:dyDescent="0.25">
      <c r="A365" s="31">
        <v>5</v>
      </c>
      <c r="B365" s="31">
        <v>13808</v>
      </c>
      <c r="C365" s="31">
        <v>2</v>
      </c>
      <c r="D365" s="31" t="s">
        <v>744</v>
      </c>
      <c r="E365" s="31"/>
      <c r="F365" s="31">
        <v>0</v>
      </c>
      <c r="G365" s="31">
        <v>0</v>
      </c>
      <c r="H365" s="31">
        <v>0</v>
      </c>
      <c r="I365" s="31">
        <v>0</v>
      </c>
      <c r="J365" s="31">
        <v>0</v>
      </c>
      <c r="K365" s="31" t="s">
        <v>882</v>
      </c>
      <c r="L365" s="31">
        <v>0</v>
      </c>
      <c r="M365" s="31">
        <v>0</v>
      </c>
      <c r="N365" s="31">
        <v>0</v>
      </c>
      <c r="O365" s="31">
        <v>0</v>
      </c>
      <c r="P365" s="31">
        <v>0</v>
      </c>
      <c r="Q365" s="31">
        <v>0</v>
      </c>
      <c r="R365" s="31">
        <v>0</v>
      </c>
      <c r="S365" s="31">
        <v>0</v>
      </c>
      <c r="T365" s="31">
        <v>0</v>
      </c>
      <c r="U365" s="31">
        <v>0</v>
      </c>
      <c r="V365" s="31">
        <v>0</v>
      </c>
      <c r="W365" s="31">
        <v>0</v>
      </c>
      <c r="X365" s="31">
        <v>0</v>
      </c>
      <c r="Y365" s="31">
        <v>0</v>
      </c>
      <c r="Z365" s="31">
        <v>0</v>
      </c>
      <c r="AA365" s="31">
        <v>0</v>
      </c>
      <c r="AB365" s="31">
        <v>0</v>
      </c>
      <c r="AC365" s="31">
        <v>0</v>
      </c>
      <c r="AD365" s="31">
        <v>0</v>
      </c>
      <c r="AE365" s="31">
        <v>0</v>
      </c>
      <c r="AF365" s="31">
        <v>0</v>
      </c>
      <c r="AG365" s="31">
        <v>0</v>
      </c>
      <c r="AH365" s="31">
        <v>0</v>
      </c>
    </row>
    <row r="366" spans="1:34" x14ac:dyDescent="0.25">
      <c r="A366" s="31">
        <v>5</v>
      </c>
      <c r="B366" s="31">
        <v>13808</v>
      </c>
      <c r="C366" s="31">
        <v>2</v>
      </c>
      <c r="D366" s="31" t="s">
        <v>745</v>
      </c>
      <c r="E366" s="31"/>
      <c r="F366" s="31">
        <v>0</v>
      </c>
      <c r="G366" s="31">
        <v>0</v>
      </c>
      <c r="H366" s="31">
        <v>0</v>
      </c>
      <c r="I366" s="31">
        <v>0</v>
      </c>
      <c r="J366" s="31">
        <v>0</v>
      </c>
      <c r="K366" s="31" t="s">
        <v>882</v>
      </c>
      <c r="L366" s="31">
        <v>0</v>
      </c>
      <c r="M366" s="31">
        <v>0</v>
      </c>
      <c r="N366" s="31">
        <v>0</v>
      </c>
      <c r="O366" s="31">
        <v>0</v>
      </c>
      <c r="P366" s="31">
        <v>0</v>
      </c>
      <c r="Q366" s="31">
        <v>0</v>
      </c>
      <c r="R366" s="31">
        <v>0</v>
      </c>
      <c r="S366" s="31">
        <v>0</v>
      </c>
      <c r="T366" s="31">
        <v>0</v>
      </c>
      <c r="U366" s="31">
        <v>0</v>
      </c>
      <c r="V366" s="31">
        <v>0</v>
      </c>
      <c r="W366" s="31">
        <v>0</v>
      </c>
      <c r="X366" s="31">
        <v>0</v>
      </c>
      <c r="Y366" s="31">
        <v>0</v>
      </c>
      <c r="Z366" s="31">
        <v>0</v>
      </c>
      <c r="AA366" s="31">
        <v>0</v>
      </c>
      <c r="AB366" s="31">
        <v>0</v>
      </c>
      <c r="AC366" s="31">
        <v>0</v>
      </c>
      <c r="AD366" s="31">
        <v>0</v>
      </c>
      <c r="AE366" s="31">
        <v>0</v>
      </c>
      <c r="AF366" s="31">
        <v>0</v>
      </c>
      <c r="AG366" s="31">
        <v>0</v>
      </c>
      <c r="AH366" s="31">
        <v>0</v>
      </c>
    </row>
    <row r="367" spans="1:34" x14ac:dyDescent="0.25">
      <c r="A367" s="31">
        <v>5</v>
      </c>
      <c r="B367" s="31">
        <v>13808</v>
      </c>
      <c r="C367" s="31" t="s">
        <v>421</v>
      </c>
      <c r="D367" s="31" t="s">
        <v>746</v>
      </c>
      <c r="E367" s="31"/>
      <c r="F367" s="31">
        <v>0</v>
      </c>
      <c r="G367" s="31">
        <v>0</v>
      </c>
      <c r="H367" s="31">
        <v>0</v>
      </c>
      <c r="I367" s="31">
        <v>0</v>
      </c>
      <c r="J367" s="31">
        <v>0</v>
      </c>
      <c r="K367" s="31" t="s">
        <v>882</v>
      </c>
      <c r="L367" s="31">
        <v>0</v>
      </c>
      <c r="M367" s="31">
        <v>0</v>
      </c>
      <c r="N367" s="31">
        <v>0</v>
      </c>
      <c r="O367" s="31">
        <v>0</v>
      </c>
      <c r="P367" s="31">
        <v>0</v>
      </c>
      <c r="Q367" s="31">
        <v>0</v>
      </c>
      <c r="R367" s="31">
        <v>0</v>
      </c>
      <c r="S367" s="31">
        <v>0</v>
      </c>
      <c r="T367" s="31">
        <v>0</v>
      </c>
      <c r="U367" s="31">
        <v>0</v>
      </c>
      <c r="V367" s="31">
        <v>0</v>
      </c>
      <c r="W367" s="31">
        <v>0</v>
      </c>
      <c r="X367" s="31">
        <v>0</v>
      </c>
      <c r="Y367" s="31">
        <v>0</v>
      </c>
      <c r="Z367" s="31">
        <v>0</v>
      </c>
      <c r="AA367" s="31">
        <v>0</v>
      </c>
      <c r="AB367" s="31">
        <v>0</v>
      </c>
      <c r="AC367" s="31">
        <v>0</v>
      </c>
      <c r="AD367" s="31">
        <v>0</v>
      </c>
      <c r="AE367" s="31">
        <v>0</v>
      </c>
      <c r="AF367" s="31">
        <v>0</v>
      </c>
      <c r="AG367" s="31">
        <v>0</v>
      </c>
      <c r="AH367" s="31">
        <v>0</v>
      </c>
    </row>
    <row r="368" spans="1:34" x14ac:dyDescent="0.25">
      <c r="A368" s="31">
        <v>5</v>
      </c>
      <c r="B368" s="31">
        <v>13877</v>
      </c>
      <c r="C368" s="31" t="s">
        <v>421</v>
      </c>
      <c r="D368" s="31" t="s">
        <v>921</v>
      </c>
      <c r="E368" s="31"/>
      <c r="F368" s="31">
        <v>0</v>
      </c>
      <c r="G368" s="31">
        <v>0</v>
      </c>
      <c r="H368" s="31">
        <v>0</v>
      </c>
      <c r="I368" s="31">
        <v>0</v>
      </c>
      <c r="J368" s="31">
        <v>0</v>
      </c>
      <c r="K368" s="31" t="s">
        <v>882</v>
      </c>
      <c r="L368" s="31">
        <v>0</v>
      </c>
      <c r="M368" s="31">
        <v>0</v>
      </c>
      <c r="N368" s="31">
        <v>0</v>
      </c>
      <c r="O368" s="31">
        <v>0</v>
      </c>
      <c r="P368" s="31">
        <v>0</v>
      </c>
      <c r="Q368" s="31">
        <v>0</v>
      </c>
      <c r="R368" s="31">
        <v>0</v>
      </c>
      <c r="S368" s="31">
        <v>0</v>
      </c>
      <c r="T368" s="31">
        <v>0</v>
      </c>
      <c r="U368" s="31">
        <v>0</v>
      </c>
      <c r="V368" s="31">
        <v>0</v>
      </c>
      <c r="W368" s="31">
        <v>0</v>
      </c>
      <c r="X368" s="31">
        <v>0</v>
      </c>
      <c r="Y368" s="31">
        <v>0</v>
      </c>
      <c r="Z368" s="31">
        <v>0</v>
      </c>
      <c r="AA368" s="31">
        <v>0</v>
      </c>
      <c r="AB368" s="31">
        <v>0</v>
      </c>
      <c r="AC368" s="31">
        <v>0</v>
      </c>
      <c r="AD368" s="31">
        <v>0</v>
      </c>
      <c r="AE368" s="31">
        <v>0</v>
      </c>
      <c r="AF368" s="31">
        <v>0</v>
      </c>
      <c r="AG368" s="31">
        <v>0</v>
      </c>
      <c r="AH368" s="31">
        <v>0</v>
      </c>
    </row>
    <row r="369" spans="1:34" x14ac:dyDescent="0.25">
      <c r="A369" s="31">
        <v>5</v>
      </c>
      <c r="B369" s="31">
        <v>13878</v>
      </c>
      <c r="C369" s="31">
        <v>1</v>
      </c>
      <c r="D369" s="31" t="s">
        <v>922</v>
      </c>
      <c r="E369" s="31"/>
      <c r="F369" s="31">
        <v>0</v>
      </c>
      <c r="G369" s="31">
        <v>0</v>
      </c>
      <c r="H369" s="31">
        <v>0</v>
      </c>
      <c r="I369" s="31">
        <v>0</v>
      </c>
      <c r="J369" s="31">
        <v>0</v>
      </c>
      <c r="K369" s="31" t="s">
        <v>882</v>
      </c>
      <c r="L369" s="31">
        <v>0</v>
      </c>
      <c r="M369" s="31">
        <v>0</v>
      </c>
      <c r="N369" s="31">
        <v>0</v>
      </c>
      <c r="O369" s="31">
        <v>0</v>
      </c>
      <c r="P369" s="31">
        <v>0</v>
      </c>
      <c r="Q369" s="31">
        <v>0</v>
      </c>
      <c r="R369" s="31">
        <v>0</v>
      </c>
      <c r="S369" s="31">
        <v>0</v>
      </c>
      <c r="T369" s="31">
        <v>0</v>
      </c>
      <c r="U369" s="31">
        <v>0</v>
      </c>
      <c r="V369" s="31">
        <v>0</v>
      </c>
      <c r="W369" s="31">
        <v>0</v>
      </c>
      <c r="X369" s="31">
        <v>0</v>
      </c>
      <c r="Y369" s="31">
        <v>0</v>
      </c>
      <c r="Z369" s="31">
        <v>0</v>
      </c>
      <c r="AA369" s="31">
        <v>0</v>
      </c>
      <c r="AB369" s="31">
        <v>0</v>
      </c>
      <c r="AC369" s="31">
        <v>0</v>
      </c>
      <c r="AD369" s="31">
        <v>0</v>
      </c>
      <c r="AE369" s="31">
        <v>0</v>
      </c>
      <c r="AF369" s="31">
        <v>0</v>
      </c>
      <c r="AG369" s="31">
        <v>0</v>
      </c>
      <c r="AH369" s="31">
        <v>0</v>
      </c>
    </row>
    <row r="370" spans="1:34" x14ac:dyDescent="0.25">
      <c r="A370" s="31">
        <v>5</v>
      </c>
      <c r="B370" s="31">
        <v>13808</v>
      </c>
      <c r="C370" s="31">
        <v>1</v>
      </c>
      <c r="D370" s="31" t="s">
        <v>747</v>
      </c>
      <c r="E370" s="31"/>
      <c r="F370" s="31">
        <v>0</v>
      </c>
      <c r="G370" s="31">
        <v>0</v>
      </c>
      <c r="H370" s="31">
        <v>0</v>
      </c>
      <c r="I370" s="31">
        <v>0</v>
      </c>
      <c r="J370" s="31">
        <v>0</v>
      </c>
      <c r="K370" s="31" t="s">
        <v>882</v>
      </c>
      <c r="L370" s="31">
        <v>0</v>
      </c>
      <c r="M370" s="31">
        <v>0</v>
      </c>
      <c r="N370" s="31">
        <v>0</v>
      </c>
      <c r="O370" s="31">
        <v>0</v>
      </c>
      <c r="P370" s="31">
        <v>0</v>
      </c>
      <c r="Q370" s="31">
        <v>0</v>
      </c>
      <c r="R370" s="31">
        <v>0</v>
      </c>
      <c r="S370" s="31">
        <v>0</v>
      </c>
      <c r="T370" s="31">
        <v>0</v>
      </c>
      <c r="U370" s="31">
        <v>0</v>
      </c>
      <c r="V370" s="31">
        <v>0</v>
      </c>
      <c r="W370" s="31">
        <v>0</v>
      </c>
      <c r="X370" s="31">
        <v>0</v>
      </c>
      <c r="Y370" s="31">
        <v>0</v>
      </c>
      <c r="Z370" s="31">
        <v>0</v>
      </c>
      <c r="AA370" s="31">
        <v>0</v>
      </c>
      <c r="AB370" s="31">
        <v>0</v>
      </c>
      <c r="AC370" s="31">
        <v>0</v>
      </c>
      <c r="AD370" s="31">
        <v>0</v>
      </c>
      <c r="AE370" s="31">
        <v>0</v>
      </c>
      <c r="AF370" s="31">
        <v>0</v>
      </c>
      <c r="AG370" s="31">
        <v>0</v>
      </c>
      <c r="AH370" s="31">
        <v>0</v>
      </c>
    </row>
    <row r="371" spans="1:34" x14ac:dyDescent="0.25">
      <c r="A371" s="31">
        <v>5</v>
      </c>
      <c r="B371" s="31">
        <v>13808</v>
      </c>
      <c r="C371" s="31">
        <v>2</v>
      </c>
      <c r="D371" s="31" t="s">
        <v>747</v>
      </c>
      <c r="E371" s="31"/>
      <c r="F371" s="31">
        <v>0</v>
      </c>
      <c r="G371" s="31">
        <v>0</v>
      </c>
      <c r="H371" s="31">
        <v>0</v>
      </c>
      <c r="I371" s="31">
        <v>0</v>
      </c>
      <c r="J371" s="31">
        <v>0</v>
      </c>
      <c r="K371" s="31" t="s">
        <v>882</v>
      </c>
      <c r="L371" s="31">
        <v>0</v>
      </c>
      <c r="M371" s="31">
        <v>0</v>
      </c>
      <c r="N371" s="31">
        <v>0</v>
      </c>
      <c r="O371" s="31">
        <v>0</v>
      </c>
      <c r="P371" s="31">
        <v>0</v>
      </c>
      <c r="Q371" s="31">
        <v>0</v>
      </c>
      <c r="R371" s="31">
        <v>0</v>
      </c>
      <c r="S371" s="31">
        <v>0</v>
      </c>
      <c r="T371" s="31">
        <v>0</v>
      </c>
      <c r="U371" s="31">
        <v>0</v>
      </c>
      <c r="V371" s="31">
        <v>0</v>
      </c>
      <c r="W371" s="31">
        <v>0</v>
      </c>
      <c r="X371" s="31">
        <v>0</v>
      </c>
      <c r="Y371" s="31">
        <v>0</v>
      </c>
      <c r="Z371" s="31">
        <v>0</v>
      </c>
      <c r="AA371" s="31">
        <v>0</v>
      </c>
      <c r="AB371" s="31">
        <v>0</v>
      </c>
      <c r="AC371" s="31">
        <v>0</v>
      </c>
      <c r="AD371" s="31">
        <v>0</v>
      </c>
      <c r="AE371" s="31">
        <v>0</v>
      </c>
      <c r="AF371" s="31">
        <v>0</v>
      </c>
      <c r="AG371" s="31">
        <v>0</v>
      </c>
      <c r="AH371" s="31">
        <v>0</v>
      </c>
    </row>
    <row r="372" spans="1:34" x14ac:dyDescent="0.25">
      <c r="A372" s="31">
        <v>6</v>
      </c>
      <c r="B372" s="31">
        <v>13809</v>
      </c>
      <c r="C372" s="31">
        <v>1</v>
      </c>
      <c r="D372" s="31" t="s">
        <v>747</v>
      </c>
      <c r="E372" s="31"/>
      <c r="F372" s="31">
        <v>0</v>
      </c>
      <c r="G372" s="31">
        <v>0</v>
      </c>
      <c r="H372" s="31">
        <v>0</v>
      </c>
      <c r="I372" s="31">
        <v>0</v>
      </c>
      <c r="J372" s="31">
        <v>0</v>
      </c>
      <c r="K372" s="31" t="s">
        <v>882</v>
      </c>
      <c r="L372" s="31">
        <v>0</v>
      </c>
      <c r="M372" s="31">
        <v>0</v>
      </c>
      <c r="N372" s="31">
        <v>0</v>
      </c>
      <c r="O372" s="31">
        <v>0</v>
      </c>
      <c r="P372" s="31">
        <v>0</v>
      </c>
      <c r="Q372" s="31">
        <v>0</v>
      </c>
      <c r="R372" s="31">
        <v>0</v>
      </c>
      <c r="S372" s="31">
        <v>0</v>
      </c>
      <c r="T372" s="31">
        <v>0</v>
      </c>
      <c r="U372" s="31">
        <v>0</v>
      </c>
      <c r="V372" s="31">
        <v>0</v>
      </c>
      <c r="W372" s="31">
        <v>0</v>
      </c>
      <c r="X372" s="31">
        <v>0</v>
      </c>
      <c r="Y372" s="31">
        <v>0</v>
      </c>
      <c r="Z372" s="31">
        <v>0</v>
      </c>
      <c r="AA372" s="31">
        <v>0</v>
      </c>
      <c r="AB372" s="31">
        <v>0</v>
      </c>
      <c r="AC372" s="31">
        <v>0</v>
      </c>
      <c r="AD372" s="31">
        <v>0</v>
      </c>
      <c r="AE372" s="31">
        <v>0</v>
      </c>
      <c r="AF372" s="31">
        <v>0</v>
      </c>
      <c r="AG372" s="31">
        <v>0</v>
      </c>
      <c r="AH372" s="31">
        <v>0</v>
      </c>
    </row>
    <row r="373" spans="1:34" x14ac:dyDescent="0.25">
      <c r="A373" s="31">
        <v>6</v>
      </c>
      <c r="B373" s="31">
        <v>13809</v>
      </c>
      <c r="C373" s="31">
        <v>2</v>
      </c>
      <c r="D373" s="31" t="s">
        <v>747</v>
      </c>
      <c r="E373" s="31"/>
      <c r="F373" s="31">
        <v>0</v>
      </c>
      <c r="G373" s="31">
        <v>0</v>
      </c>
      <c r="H373" s="31">
        <v>0</v>
      </c>
      <c r="I373" s="31">
        <v>0</v>
      </c>
      <c r="J373" s="31">
        <v>0</v>
      </c>
      <c r="K373" s="31" t="s">
        <v>882</v>
      </c>
      <c r="L373" s="31">
        <v>0</v>
      </c>
      <c r="M373" s="31">
        <v>0</v>
      </c>
      <c r="N373" s="31">
        <v>0</v>
      </c>
      <c r="O373" s="31">
        <v>0</v>
      </c>
      <c r="P373" s="31">
        <v>0</v>
      </c>
      <c r="Q373" s="31">
        <v>0</v>
      </c>
      <c r="R373" s="31">
        <v>0</v>
      </c>
      <c r="S373" s="31">
        <v>0</v>
      </c>
      <c r="T373" s="31">
        <v>0</v>
      </c>
      <c r="U373" s="31">
        <v>0</v>
      </c>
      <c r="V373" s="31">
        <v>0</v>
      </c>
      <c r="W373" s="31">
        <v>0</v>
      </c>
      <c r="X373" s="31">
        <v>0</v>
      </c>
      <c r="Y373" s="31">
        <v>0</v>
      </c>
      <c r="Z373" s="31">
        <v>0</v>
      </c>
      <c r="AA373" s="31">
        <v>0</v>
      </c>
      <c r="AB373" s="31">
        <v>0</v>
      </c>
      <c r="AC373" s="31">
        <v>0</v>
      </c>
      <c r="AD373" s="31">
        <v>0</v>
      </c>
      <c r="AE373" s="31">
        <v>0</v>
      </c>
      <c r="AF373" s="31">
        <v>0</v>
      </c>
      <c r="AG373" s="31">
        <v>0</v>
      </c>
      <c r="AH373" s="31">
        <v>0</v>
      </c>
    </row>
    <row r="374" spans="1:34" x14ac:dyDescent="0.25">
      <c r="A374" s="31">
        <v>6</v>
      </c>
      <c r="B374" s="31">
        <v>13809</v>
      </c>
      <c r="C374" s="31">
        <v>1</v>
      </c>
      <c r="D374" s="31" t="s">
        <v>748</v>
      </c>
      <c r="E374" s="31"/>
      <c r="F374" s="31">
        <v>0</v>
      </c>
      <c r="G374" s="31">
        <v>0</v>
      </c>
      <c r="H374" s="31">
        <v>0</v>
      </c>
      <c r="I374" s="31">
        <v>0</v>
      </c>
      <c r="J374" s="31">
        <v>0</v>
      </c>
      <c r="K374" s="31" t="s">
        <v>882</v>
      </c>
      <c r="L374" s="31">
        <v>0</v>
      </c>
      <c r="M374" s="31">
        <v>0</v>
      </c>
      <c r="N374" s="31">
        <v>0</v>
      </c>
      <c r="O374" s="31">
        <v>0</v>
      </c>
      <c r="P374" s="31">
        <v>0</v>
      </c>
      <c r="Q374" s="31">
        <v>0</v>
      </c>
      <c r="R374" s="31">
        <v>0</v>
      </c>
      <c r="S374" s="31">
        <v>0</v>
      </c>
      <c r="T374" s="31">
        <v>0</v>
      </c>
      <c r="U374" s="31">
        <v>0</v>
      </c>
      <c r="V374" s="31">
        <v>0</v>
      </c>
      <c r="W374" s="31">
        <v>0</v>
      </c>
      <c r="X374" s="31">
        <v>0</v>
      </c>
      <c r="Y374" s="31">
        <v>0</v>
      </c>
      <c r="Z374" s="31">
        <v>0</v>
      </c>
      <c r="AA374" s="31">
        <v>0</v>
      </c>
      <c r="AB374" s="31">
        <v>0</v>
      </c>
      <c r="AC374" s="31">
        <v>0</v>
      </c>
      <c r="AD374" s="31">
        <v>0</v>
      </c>
      <c r="AE374" s="31">
        <v>0</v>
      </c>
      <c r="AF374" s="31">
        <v>0</v>
      </c>
      <c r="AG374" s="31">
        <v>0</v>
      </c>
      <c r="AH374" s="31">
        <v>0</v>
      </c>
    </row>
    <row r="375" spans="1:34" x14ac:dyDescent="0.25">
      <c r="A375" s="31">
        <v>6</v>
      </c>
      <c r="B375" s="31">
        <v>13809</v>
      </c>
      <c r="C375" s="31">
        <v>2</v>
      </c>
      <c r="D375" s="31" t="s">
        <v>748</v>
      </c>
      <c r="E375" s="31"/>
      <c r="F375" s="31">
        <v>0</v>
      </c>
      <c r="G375" s="31">
        <v>0</v>
      </c>
      <c r="H375" s="31">
        <v>0</v>
      </c>
      <c r="I375" s="31">
        <v>0</v>
      </c>
      <c r="J375" s="31">
        <v>0</v>
      </c>
      <c r="K375" s="31" t="s">
        <v>882</v>
      </c>
      <c r="L375" s="31">
        <v>0</v>
      </c>
      <c r="M375" s="31">
        <v>0</v>
      </c>
      <c r="N375" s="31">
        <v>0</v>
      </c>
      <c r="O375" s="31">
        <v>0</v>
      </c>
      <c r="P375" s="31">
        <v>0</v>
      </c>
      <c r="Q375" s="31">
        <v>0</v>
      </c>
      <c r="R375" s="31">
        <v>0</v>
      </c>
      <c r="S375" s="31">
        <v>0</v>
      </c>
      <c r="T375" s="31">
        <v>0</v>
      </c>
      <c r="U375" s="31">
        <v>0</v>
      </c>
      <c r="V375" s="31">
        <v>0</v>
      </c>
      <c r="W375" s="31">
        <v>0</v>
      </c>
      <c r="X375" s="31">
        <v>0</v>
      </c>
      <c r="Y375" s="31">
        <v>0</v>
      </c>
      <c r="Z375" s="31">
        <v>0</v>
      </c>
      <c r="AA375" s="31">
        <v>0</v>
      </c>
      <c r="AB375" s="31">
        <v>0</v>
      </c>
      <c r="AC375" s="31">
        <v>0</v>
      </c>
      <c r="AD375" s="31">
        <v>0</v>
      </c>
      <c r="AE375" s="31">
        <v>0</v>
      </c>
      <c r="AF375" s="31">
        <v>0</v>
      </c>
      <c r="AG375" s="31">
        <v>0</v>
      </c>
      <c r="AH375" s="31">
        <v>0</v>
      </c>
    </row>
    <row r="376" spans="1:34" x14ac:dyDescent="0.25">
      <c r="A376" s="31">
        <v>6</v>
      </c>
      <c r="B376" s="31">
        <v>13809</v>
      </c>
      <c r="C376" s="31">
        <v>3</v>
      </c>
      <c r="D376" s="31" t="s">
        <v>748</v>
      </c>
      <c r="E376" s="31"/>
      <c r="F376" s="31">
        <v>0</v>
      </c>
      <c r="G376" s="31">
        <v>0</v>
      </c>
      <c r="H376" s="31">
        <v>0</v>
      </c>
      <c r="I376" s="31">
        <v>0</v>
      </c>
      <c r="J376" s="31">
        <v>0</v>
      </c>
      <c r="K376" s="31" t="s">
        <v>882</v>
      </c>
      <c r="L376" s="31">
        <v>0</v>
      </c>
      <c r="M376" s="31">
        <v>0</v>
      </c>
      <c r="N376" s="31">
        <v>0</v>
      </c>
      <c r="O376" s="31">
        <v>0</v>
      </c>
      <c r="P376" s="31">
        <v>0</v>
      </c>
      <c r="Q376" s="31">
        <v>0</v>
      </c>
      <c r="R376" s="31">
        <v>0</v>
      </c>
      <c r="S376" s="31">
        <v>0</v>
      </c>
      <c r="T376" s="31">
        <v>0</v>
      </c>
      <c r="U376" s="31">
        <v>0</v>
      </c>
      <c r="V376" s="31">
        <v>0</v>
      </c>
      <c r="W376" s="31">
        <v>0</v>
      </c>
      <c r="X376" s="31">
        <v>0</v>
      </c>
      <c r="Y376" s="31">
        <v>0</v>
      </c>
      <c r="Z376" s="31">
        <v>0</v>
      </c>
      <c r="AA376" s="31">
        <v>0</v>
      </c>
      <c r="AB376" s="31">
        <v>0</v>
      </c>
      <c r="AC376" s="31">
        <v>0</v>
      </c>
      <c r="AD376" s="31">
        <v>0</v>
      </c>
      <c r="AE376" s="31">
        <v>0</v>
      </c>
      <c r="AF376" s="31">
        <v>0</v>
      </c>
      <c r="AG376" s="31">
        <v>0</v>
      </c>
      <c r="AH376" s="31">
        <v>0</v>
      </c>
    </row>
    <row r="377" spans="1:34" x14ac:dyDescent="0.25">
      <c r="A377" s="31">
        <v>6</v>
      </c>
      <c r="B377" s="31">
        <v>13809</v>
      </c>
      <c r="C377" s="31">
        <v>1</v>
      </c>
      <c r="D377" s="31" t="s">
        <v>749</v>
      </c>
      <c r="E377" s="31"/>
      <c r="F377" s="31">
        <v>0</v>
      </c>
      <c r="G377" s="31">
        <v>0</v>
      </c>
      <c r="H377" s="31">
        <v>0</v>
      </c>
      <c r="I377" s="31">
        <v>0</v>
      </c>
      <c r="J377" s="31">
        <v>0</v>
      </c>
      <c r="K377" s="31" t="s">
        <v>882</v>
      </c>
      <c r="L377" s="31">
        <v>0</v>
      </c>
      <c r="M377" s="31">
        <v>0</v>
      </c>
      <c r="N377" s="31">
        <v>0</v>
      </c>
      <c r="O377" s="31">
        <v>0</v>
      </c>
      <c r="P377" s="31">
        <v>0</v>
      </c>
      <c r="Q377" s="31">
        <v>0</v>
      </c>
      <c r="R377" s="31">
        <v>0</v>
      </c>
      <c r="S377" s="31">
        <v>0</v>
      </c>
      <c r="T377" s="31">
        <v>0</v>
      </c>
      <c r="U377" s="31">
        <v>0</v>
      </c>
      <c r="V377" s="31">
        <v>0</v>
      </c>
      <c r="W377" s="31">
        <v>0</v>
      </c>
      <c r="X377" s="31">
        <v>0</v>
      </c>
      <c r="Y377" s="31">
        <v>0</v>
      </c>
      <c r="Z377" s="31">
        <v>0</v>
      </c>
      <c r="AA377" s="31">
        <v>0</v>
      </c>
      <c r="AB377" s="31">
        <v>0</v>
      </c>
      <c r="AC377" s="31">
        <v>0</v>
      </c>
      <c r="AD377" s="31">
        <v>0</v>
      </c>
      <c r="AE377" s="31">
        <v>0</v>
      </c>
      <c r="AF377" s="31">
        <v>0</v>
      </c>
      <c r="AG377" s="31">
        <v>0</v>
      </c>
      <c r="AH377" s="31">
        <v>0</v>
      </c>
    </row>
    <row r="378" spans="1:34" x14ac:dyDescent="0.25">
      <c r="A378" s="31">
        <v>6</v>
      </c>
      <c r="B378" s="31">
        <v>13809</v>
      </c>
      <c r="C378" s="31">
        <v>1</v>
      </c>
      <c r="D378" s="31" t="s">
        <v>750</v>
      </c>
      <c r="E378" s="31"/>
      <c r="F378" s="31">
        <v>0</v>
      </c>
      <c r="G378" s="31">
        <v>0</v>
      </c>
      <c r="H378" s="31">
        <v>0</v>
      </c>
      <c r="I378" s="31">
        <v>0</v>
      </c>
      <c r="J378" s="31">
        <v>0</v>
      </c>
      <c r="K378" s="31" t="s">
        <v>882</v>
      </c>
      <c r="L378" s="31">
        <v>0</v>
      </c>
      <c r="M378" s="31">
        <v>0</v>
      </c>
      <c r="N378" s="31">
        <v>0</v>
      </c>
      <c r="O378" s="31">
        <v>0</v>
      </c>
      <c r="P378" s="31">
        <v>0</v>
      </c>
      <c r="Q378" s="31">
        <v>0</v>
      </c>
      <c r="R378" s="31">
        <v>0</v>
      </c>
      <c r="S378" s="31">
        <v>0</v>
      </c>
      <c r="T378" s="31">
        <v>0</v>
      </c>
      <c r="U378" s="31">
        <v>0</v>
      </c>
      <c r="V378" s="31">
        <v>0</v>
      </c>
      <c r="W378" s="31">
        <v>0</v>
      </c>
      <c r="X378" s="31">
        <v>0</v>
      </c>
      <c r="Y378" s="31">
        <v>0</v>
      </c>
      <c r="Z378" s="31">
        <v>0</v>
      </c>
      <c r="AA378" s="31">
        <v>0</v>
      </c>
      <c r="AB378" s="31">
        <v>0</v>
      </c>
      <c r="AC378" s="31">
        <v>0</v>
      </c>
      <c r="AD378" s="31">
        <v>0</v>
      </c>
      <c r="AE378" s="31">
        <v>0</v>
      </c>
      <c r="AF378" s="31">
        <v>0</v>
      </c>
      <c r="AG378" s="31">
        <v>0</v>
      </c>
      <c r="AH378" s="31">
        <v>0</v>
      </c>
    </row>
    <row r="379" spans="1:34" x14ac:dyDescent="0.25">
      <c r="A379" s="31">
        <v>6</v>
      </c>
      <c r="B379" s="31">
        <v>13809</v>
      </c>
      <c r="C379" s="31">
        <v>1</v>
      </c>
      <c r="D379" s="31" t="s">
        <v>751</v>
      </c>
      <c r="E379" s="31"/>
      <c r="F379" s="31">
        <v>0</v>
      </c>
      <c r="G379" s="31">
        <v>0</v>
      </c>
      <c r="H379" s="31">
        <v>0</v>
      </c>
      <c r="I379" s="31">
        <v>0</v>
      </c>
      <c r="J379" s="31">
        <v>0</v>
      </c>
      <c r="K379" s="31" t="s">
        <v>882</v>
      </c>
      <c r="L379" s="31">
        <v>0</v>
      </c>
      <c r="M379" s="31">
        <v>0</v>
      </c>
      <c r="N379" s="31">
        <v>0</v>
      </c>
      <c r="O379" s="31">
        <v>0</v>
      </c>
      <c r="P379" s="31">
        <v>0</v>
      </c>
      <c r="Q379" s="31">
        <v>0</v>
      </c>
      <c r="R379" s="31">
        <v>0</v>
      </c>
      <c r="S379" s="31">
        <v>0</v>
      </c>
      <c r="T379" s="31">
        <v>0</v>
      </c>
      <c r="U379" s="31">
        <v>0</v>
      </c>
      <c r="V379" s="31">
        <v>0</v>
      </c>
      <c r="W379" s="31">
        <v>0</v>
      </c>
      <c r="X379" s="31">
        <v>0</v>
      </c>
      <c r="Y379" s="31">
        <v>0</v>
      </c>
      <c r="Z379" s="31">
        <v>0</v>
      </c>
      <c r="AA379" s="31">
        <v>0</v>
      </c>
      <c r="AB379" s="31">
        <v>0</v>
      </c>
      <c r="AC379" s="31">
        <v>0</v>
      </c>
      <c r="AD379" s="31">
        <v>0</v>
      </c>
      <c r="AE379" s="31">
        <v>0</v>
      </c>
      <c r="AF379" s="31">
        <v>0</v>
      </c>
      <c r="AG379" s="31">
        <v>0</v>
      </c>
      <c r="AH379" s="31">
        <v>0</v>
      </c>
    </row>
    <row r="380" spans="1:34" x14ac:dyDescent="0.25">
      <c r="A380" s="31">
        <v>6</v>
      </c>
      <c r="B380" s="31">
        <v>13809</v>
      </c>
      <c r="C380" s="31">
        <v>1</v>
      </c>
      <c r="D380" s="31" t="s">
        <v>752</v>
      </c>
      <c r="E380" s="31"/>
      <c r="F380" s="31">
        <v>0</v>
      </c>
      <c r="G380" s="31">
        <v>0</v>
      </c>
      <c r="H380" s="31">
        <v>0</v>
      </c>
      <c r="I380" s="31">
        <v>0</v>
      </c>
      <c r="J380" s="31">
        <v>0</v>
      </c>
      <c r="K380" s="31" t="s">
        <v>882</v>
      </c>
      <c r="L380" s="31">
        <v>0</v>
      </c>
      <c r="M380" s="31">
        <v>0</v>
      </c>
      <c r="N380" s="31">
        <v>0</v>
      </c>
      <c r="O380" s="31">
        <v>0</v>
      </c>
      <c r="P380" s="31">
        <v>0</v>
      </c>
      <c r="Q380" s="31">
        <v>0</v>
      </c>
      <c r="R380" s="31">
        <v>0</v>
      </c>
      <c r="S380" s="31">
        <v>0</v>
      </c>
      <c r="T380" s="31">
        <v>0</v>
      </c>
      <c r="U380" s="31">
        <v>0</v>
      </c>
      <c r="V380" s="31">
        <v>0</v>
      </c>
      <c r="W380" s="31">
        <v>0</v>
      </c>
      <c r="X380" s="31">
        <v>0</v>
      </c>
      <c r="Y380" s="31">
        <v>0</v>
      </c>
      <c r="Z380" s="31">
        <v>0</v>
      </c>
      <c r="AA380" s="31">
        <v>0</v>
      </c>
      <c r="AB380" s="31">
        <v>0</v>
      </c>
      <c r="AC380" s="31">
        <v>0</v>
      </c>
      <c r="AD380" s="31">
        <v>0</v>
      </c>
      <c r="AE380" s="31">
        <v>0</v>
      </c>
      <c r="AF380" s="31">
        <v>0</v>
      </c>
      <c r="AG380" s="31">
        <v>0</v>
      </c>
      <c r="AH380" s="31">
        <v>0</v>
      </c>
    </row>
    <row r="381" spans="1:34" x14ac:dyDescent="0.25">
      <c r="A381" s="31">
        <v>6</v>
      </c>
      <c r="B381" s="31">
        <v>13809</v>
      </c>
      <c r="C381" s="31">
        <v>1</v>
      </c>
      <c r="D381" s="31" t="s">
        <v>753</v>
      </c>
      <c r="E381" s="31"/>
      <c r="F381" s="31">
        <v>0</v>
      </c>
      <c r="G381" s="31">
        <v>0</v>
      </c>
      <c r="H381" s="31">
        <v>0</v>
      </c>
      <c r="I381" s="31">
        <v>0</v>
      </c>
      <c r="J381" s="31">
        <v>0</v>
      </c>
      <c r="K381" s="31" t="s">
        <v>882</v>
      </c>
      <c r="L381" s="31">
        <v>0</v>
      </c>
      <c r="M381" s="31">
        <v>0</v>
      </c>
      <c r="N381" s="31">
        <v>0</v>
      </c>
      <c r="O381" s="31">
        <v>0</v>
      </c>
      <c r="P381" s="31">
        <v>0</v>
      </c>
      <c r="Q381" s="31">
        <v>0</v>
      </c>
      <c r="R381" s="31">
        <v>0</v>
      </c>
      <c r="S381" s="31">
        <v>0</v>
      </c>
      <c r="T381" s="31">
        <v>0</v>
      </c>
      <c r="U381" s="31">
        <v>0</v>
      </c>
      <c r="V381" s="31">
        <v>0</v>
      </c>
      <c r="W381" s="31">
        <v>0</v>
      </c>
      <c r="X381" s="31">
        <v>0</v>
      </c>
      <c r="Y381" s="31">
        <v>0</v>
      </c>
      <c r="Z381" s="31">
        <v>0</v>
      </c>
      <c r="AA381" s="31">
        <v>0</v>
      </c>
      <c r="AB381" s="31">
        <v>0</v>
      </c>
      <c r="AC381" s="31">
        <v>0</v>
      </c>
      <c r="AD381" s="31">
        <v>0</v>
      </c>
      <c r="AE381" s="31">
        <v>0</v>
      </c>
      <c r="AF381" s="31">
        <v>0</v>
      </c>
      <c r="AG381" s="31">
        <v>0</v>
      </c>
      <c r="AH381" s="31">
        <v>0</v>
      </c>
    </row>
    <row r="382" spans="1:34" x14ac:dyDescent="0.25">
      <c r="A382" s="31">
        <v>6</v>
      </c>
      <c r="B382" s="31">
        <v>13806</v>
      </c>
      <c r="C382" s="31" t="s">
        <v>422</v>
      </c>
      <c r="D382" s="31" t="s">
        <v>754</v>
      </c>
      <c r="E382" s="31"/>
      <c r="F382" s="31">
        <v>0</v>
      </c>
      <c r="G382" s="31">
        <v>0</v>
      </c>
      <c r="H382" s="31">
        <v>0</v>
      </c>
      <c r="I382" s="31">
        <v>0</v>
      </c>
      <c r="J382" s="31">
        <v>0</v>
      </c>
      <c r="K382" s="31" t="s">
        <v>882</v>
      </c>
      <c r="L382" s="31">
        <v>0</v>
      </c>
      <c r="M382" s="31">
        <v>0</v>
      </c>
      <c r="N382" s="31">
        <v>0</v>
      </c>
      <c r="O382" s="31">
        <v>0</v>
      </c>
      <c r="P382" s="31">
        <v>0</v>
      </c>
      <c r="Q382" s="31">
        <v>0</v>
      </c>
      <c r="R382" s="31">
        <v>0</v>
      </c>
      <c r="S382" s="31">
        <v>0</v>
      </c>
      <c r="T382" s="31">
        <v>0</v>
      </c>
      <c r="U382" s="31">
        <v>0</v>
      </c>
      <c r="V382" s="31">
        <v>0</v>
      </c>
      <c r="W382" s="31">
        <v>0</v>
      </c>
      <c r="X382" s="31">
        <v>0</v>
      </c>
      <c r="Y382" s="31">
        <v>0</v>
      </c>
      <c r="Z382" s="31">
        <v>0</v>
      </c>
      <c r="AA382" s="31">
        <v>0</v>
      </c>
      <c r="AB382" s="31">
        <v>0</v>
      </c>
      <c r="AC382" s="31">
        <v>0</v>
      </c>
      <c r="AD382" s="31">
        <v>0</v>
      </c>
      <c r="AE382" s="31">
        <v>0</v>
      </c>
      <c r="AF382" s="31">
        <v>0</v>
      </c>
      <c r="AG382" s="31">
        <v>0</v>
      </c>
      <c r="AH382" s="31">
        <v>0</v>
      </c>
    </row>
    <row r="383" spans="1:34" x14ac:dyDescent="0.25">
      <c r="A383" s="31">
        <v>6</v>
      </c>
      <c r="B383" s="31">
        <v>13809</v>
      </c>
      <c r="C383" s="31">
        <v>1</v>
      </c>
      <c r="D383" s="31" t="s">
        <v>756</v>
      </c>
      <c r="E383" s="31"/>
      <c r="F383" s="31">
        <v>0</v>
      </c>
      <c r="G383" s="31">
        <v>0</v>
      </c>
      <c r="H383" s="31">
        <v>0</v>
      </c>
      <c r="I383" s="31">
        <v>0</v>
      </c>
      <c r="J383" s="31">
        <v>0</v>
      </c>
      <c r="K383" s="31" t="s">
        <v>882</v>
      </c>
      <c r="L383" s="31">
        <v>0</v>
      </c>
      <c r="M383" s="31">
        <v>0</v>
      </c>
      <c r="N383" s="31">
        <v>0</v>
      </c>
      <c r="O383" s="31">
        <v>0</v>
      </c>
      <c r="P383" s="31">
        <v>0</v>
      </c>
      <c r="Q383" s="31">
        <v>0</v>
      </c>
      <c r="R383" s="31">
        <v>0</v>
      </c>
      <c r="S383" s="31">
        <v>0</v>
      </c>
      <c r="T383" s="31">
        <v>0</v>
      </c>
      <c r="U383" s="31">
        <v>0</v>
      </c>
      <c r="V383" s="31">
        <v>0</v>
      </c>
      <c r="W383" s="31">
        <v>0</v>
      </c>
      <c r="X383" s="31">
        <v>0</v>
      </c>
      <c r="Y383" s="31">
        <v>0</v>
      </c>
      <c r="Z383" s="31">
        <v>0</v>
      </c>
      <c r="AA383" s="31">
        <v>0</v>
      </c>
      <c r="AB383" s="31">
        <v>0</v>
      </c>
      <c r="AC383" s="31">
        <v>0</v>
      </c>
      <c r="AD383" s="31">
        <v>0</v>
      </c>
      <c r="AE383" s="31">
        <v>0</v>
      </c>
      <c r="AF383" s="31">
        <v>0</v>
      </c>
      <c r="AG383" s="31">
        <v>0</v>
      </c>
      <c r="AH383" s="31">
        <v>0</v>
      </c>
    </row>
    <row r="384" spans="1:34" x14ac:dyDescent="0.25">
      <c r="A384" s="31">
        <v>6</v>
      </c>
      <c r="B384" s="31">
        <v>13809</v>
      </c>
      <c r="C384" s="31">
        <v>1</v>
      </c>
      <c r="D384" s="31" t="s">
        <v>757</v>
      </c>
      <c r="E384" s="31"/>
      <c r="F384" s="31">
        <v>0</v>
      </c>
      <c r="G384" s="31">
        <v>0</v>
      </c>
      <c r="H384" s="31">
        <v>0</v>
      </c>
      <c r="I384" s="31">
        <v>0</v>
      </c>
      <c r="J384" s="31">
        <v>0</v>
      </c>
      <c r="K384" s="31" t="s">
        <v>882</v>
      </c>
      <c r="L384" s="31">
        <v>0</v>
      </c>
      <c r="M384" s="31">
        <v>0</v>
      </c>
      <c r="N384" s="31">
        <v>0</v>
      </c>
      <c r="O384" s="31">
        <v>0</v>
      </c>
      <c r="P384" s="31">
        <v>0</v>
      </c>
      <c r="Q384" s="31">
        <v>0</v>
      </c>
      <c r="R384" s="31">
        <v>0</v>
      </c>
      <c r="S384" s="31">
        <v>0</v>
      </c>
      <c r="T384" s="31">
        <v>0</v>
      </c>
      <c r="U384" s="31">
        <v>0</v>
      </c>
      <c r="V384" s="31">
        <v>0</v>
      </c>
      <c r="W384" s="31">
        <v>0</v>
      </c>
      <c r="X384" s="31">
        <v>0</v>
      </c>
      <c r="Y384" s="31">
        <v>0</v>
      </c>
      <c r="Z384" s="31">
        <v>0</v>
      </c>
      <c r="AA384" s="31">
        <v>0</v>
      </c>
      <c r="AB384" s="31">
        <v>0</v>
      </c>
      <c r="AC384" s="31">
        <v>0</v>
      </c>
      <c r="AD384" s="31">
        <v>0</v>
      </c>
      <c r="AE384" s="31">
        <v>0</v>
      </c>
      <c r="AF384" s="31">
        <v>0</v>
      </c>
      <c r="AG384" s="31">
        <v>0</v>
      </c>
      <c r="AH384" s="31">
        <v>0</v>
      </c>
    </row>
    <row r="385" spans="1:34" x14ac:dyDescent="0.25">
      <c r="A385" s="31">
        <v>6</v>
      </c>
      <c r="B385" s="31">
        <v>13809</v>
      </c>
      <c r="C385" s="31">
        <v>1</v>
      </c>
      <c r="D385" s="31" t="s">
        <v>758</v>
      </c>
      <c r="E385" s="31"/>
      <c r="F385" s="31">
        <v>0</v>
      </c>
      <c r="G385" s="31">
        <v>0</v>
      </c>
      <c r="H385" s="31">
        <v>0</v>
      </c>
      <c r="I385" s="31">
        <v>0</v>
      </c>
      <c r="J385" s="31">
        <v>0</v>
      </c>
      <c r="K385" s="31" t="s">
        <v>882</v>
      </c>
      <c r="L385" s="31">
        <v>0</v>
      </c>
      <c r="M385" s="31">
        <v>0</v>
      </c>
      <c r="N385" s="31">
        <v>0</v>
      </c>
      <c r="O385" s="31">
        <v>0</v>
      </c>
      <c r="P385" s="31">
        <v>0</v>
      </c>
      <c r="Q385" s="31">
        <v>0</v>
      </c>
      <c r="R385" s="31">
        <v>0</v>
      </c>
      <c r="S385" s="31">
        <v>0</v>
      </c>
      <c r="T385" s="31">
        <v>0</v>
      </c>
      <c r="U385" s="31">
        <v>0</v>
      </c>
      <c r="V385" s="31">
        <v>0</v>
      </c>
      <c r="W385" s="31">
        <v>0</v>
      </c>
      <c r="X385" s="31">
        <v>0</v>
      </c>
      <c r="Y385" s="31">
        <v>0</v>
      </c>
      <c r="Z385" s="31">
        <v>0</v>
      </c>
      <c r="AA385" s="31">
        <v>0</v>
      </c>
      <c r="AB385" s="31">
        <v>0</v>
      </c>
      <c r="AC385" s="31">
        <v>0</v>
      </c>
      <c r="AD385" s="31">
        <v>0</v>
      </c>
      <c r="AE385" s="31">
        <v>0</v>
      </c>
      <c r="AF385" s="31">
        <v>0</v>
      </c>
      <c r="AG385" s="31">
        <v>0</v>
      </c>
      <c r="AH385" s="31">
        <v>0</v>
      </c>
    </row>
    <row r="386" spans="1:34" x14ac:dyDescent="0.25">
      <c r="A386" s="31">
        <v>6</v>
      </c>
      <c r="B386" s="31">
        <v>13809</v>
      </c>
      <c r="C386" s="31">
        <v>2</v>
      </c>
      <c r="D386" s="31" t="s">
        <v>749</v>
      </c>
      <c r="E386" s="31"/>
      <c r="F386" s="31">
        <v>0</v>
      </c>
      <c r="G386" s="31">
        <v>0</v>
      </c>
      <c r="H386" s="31">
        <v>0</v>
      </c>
      <c r="I386" s="31">
        <v>0</v>
      </c>
      <c r="J386" s="31">
        <v>0</v>
      </c>
      <c r="K386" s="31" t="s">
        <v>882</v>
      </c>
      <c r="L386" s="31">
        <v>0</v>
      </c>
      <c r="M386" s="31">
        <v>0</v>
      </c>
      <c r="N386" s="31">
        <v>0</v>
      </c>
      <c r="O386" s="31">
        <v>0</v>
      </c>
      <c r="P386" s="31">
        <v>0</v>
      </c>
      <c r="Q386" s="31">
        <v>0</v>
      </c>
      <c r="R386" s="31">
        <v>0</v>
      </c>
      <c r="S386" s="31">
        <v>0</v>
      </c>
      <c r="T386" s="31">
        <v>0</v>
      </c>
      <c r="U386" s="31">
        <v>0</v>
      </c>
      <c r="V386" s="31">
        <v>0</v>
      </c>
      <c r="W386" s="31">
        <v>0</v>
      </c>
      <c r="X386" s="31">
        <v>0</v>
      </c>
      <c r="Y386" s="31">
        <v>0</v>
      </c>
      <c r="Z386" s="31">
        <v>0</v>
      </c>
      <c r="AA386" s="31">
        <v>0</v>
      </c>
      <c r="AB386" s="31">
        <v>0</v>
      </c>
      <c r="AC386" s="31">
        <v>0</v>
      </c>
      <c r="AD386" s="31">
        <v>0</v>
      </c>
      <c r="AE386" s="31">
        <v>0</v>
      </c>
      <c r="AF386" s="31">
        <v>0</v>
      </c>
      <c r="AG386" s="31">
        <v>0</v>
      </c>
      <c r="AH386" s="31">
        <v>0</v>
      </c>
    </row>
    <row r="387" spans="1:34" x14ac:dyDescent="0.25">
      <c r="A387" s="31">
        <v>6</v>
      </c>
      <c r="B387" s="31">
        <v>13809</v>
      </c>
      <c r="C387" s="31">
        <v>2</v>
      </c>
      <c r="D387" s="31" t="s">
        <v>750</v>
      </c>
      <c r="E387" s="31"/>
      <c r="F387" s="31">
        <v>0</v>
      </c>
      <c r="G387" s="31">
        <v>0</v>
      </c>
      <c r="H387" s="31">
        <v>0</v>
      </c>
      <c r="I387" s="31">
        <v>0</v>
      </c>
      <c r="J387" s="31">
        <v>0</v>
      </c>
      <c r="K387" s="31" t="s">
        <v>882</v>
      </c>
      <c r="L387" s="31">
        <v>0</v>
      </c>
      <c r="M387" s="31">
        <v>0</v>
      </c>
      <c r="N387" s="31">
        <v>0</v>
      </c>
      <c r="O387" s="31">
        <v>0</v>
      </c>
      <c r="P387" s="31">
        <v>0</v>
      </c>
      <c r="Q387" s="31">
        <v>0</v>
      </c>
      <c r="R387" s="31">
        <v>0</v>
      </c>
      <c r="S387" s="31">
        <v>0</v>
      </c>
      <c r="T387" s="31">
        <v>0</v>
      </c>
      <c r="U387" s="31">
        <v>0</v>
      </c>
      <c r="V387" s="31">
        <v>0</v>
      </c>
      <c r="W387" s="31">
        <v>0</v>
      </c>
      <c r="X387" s="31">
        <v>0</v>
      </c>
      <c r="Y387" s="31">
        <v>0</v>
      </c>
      <c r="Z387" s="31">
        <v>0</v>
      </c>
      <c r="AA387" s="31">
        <v>0</v>
      </c>
      <c r="AB387" s="31">
        <v>0</v>
      </c>
      <c r="AC387" s="31">
        <v>0</v>
      </c>
      <c r="AD387" s="31">
        <v>0</v>
      </c>
      <c r="AE387" s="31">
        <v>0</v>
      </c>
      <c r="AF387" s="31">
        <v>0</v>
      </c>
      <c r="AG387" s="31">
        <v>0</v>
      </c>
      <c r="AH387" s="31">
        <v>0</v>
      </c>
    </row>
    <row r="388" spans="1:34" x14ac:dyDescent="0.25">
      <c r="A388" s="31">
        <v>6</v>
      </c>
      <c r="B388" s="31">
        <v>13809</v>
      </c>
      <c r="C388" s="31">
        <v>2</v>
      </c>
      <c r="D388" s="31" t="s">
        <v>751</v>
      </c>
      <c r="E388" s="31"/>
      <c r="F388" s="31">
        <v>0</v>
      </c>
      <c r="G388" s="31">
        <v>0</v>
      </c>
      <c r="H388" s="31">
        <v>0</v>
      </c>
      <c r="I388" s="31">
        <v>0</v>
      </c>
      <c r="J388" s="31">
        <v>0</v>
      </c>
      <c r="K388" s="31" t="s">
        <v>882</v>
      </c>
      <c r="L388" s="31">
        <v>0</v>
      </c>
      <c r="M388" s="31">
        <v>0</v>
      </c>
      <c r="N388" s="31">
        <v>0</v>
      </c>
      <c r="O388" s="31">
        <v>0</v>
      </c>
      <c r="P388" s="31">
        <v>0</v>
      </c>
      <c r="Q388" s="31">
        <v>0</v>
      </c>
      <c r="R388" s="31">
        <v>0</v>
      </c>
      <c r="S388" s="31">
        <v>0</v>
      </c>
      <c r="T388" s="31">
        <v>0</v>
      </c>
      <c r="U388" s="31">
        <v>0</v>
      </c>
      <c r="V388" s="31">
        <v>0</v>
      </c>
      <c r="W388" s="31">
        <v>0</v>
      </c>
      <c r="X388" s="31">
        <v>0</v>
      </c>
      <c r="Y388" s="31">
        <v>0</v>
      </c>
      <c r="Z388" s="31">
        <v>0</v>
      </c>
      <c r="AA388" s="31">
        <v>0</v>
      </c>
      <c r="AB388" s="31">
        <v>0</v>
      </c>
      <c r="AC388" s="31">
        <v>0</v>
      </c>
      <c r="AD388" s="31">
        <v>0</v>
      </c>
      <c r="AE388" s="31">
        <v>0</v>
      </c>
      <c r="AF388" s="31">
        <v>0</v>
      </c>
      <c r="AG388" s="31">
        <v>0</v>
      </c>
      <c r="AH388" s="31">
        <v>0</v>
      </c>
    </row>
    <row r="389" spans="1:34" x14ac:dyDescent="0.25">
      <c r="A389" s="31">
        <v>6</v>
      </c>
      <c r="B389" s="31">
        <v>13809</v>
      </c>
      <c r="C389" s="31">
        <v>2</v>
      </c>
      <c r="D389" s="31" t="s">
        <v>752</v>
      </c>
      <c r="E389" s="31"/>
      <c r="F389" s="31">
        <v>0</v>
      </c>
      <c r="G389" s="31">
        <v>0</v>
      </c>
      <c r="H389" s="31">
        <v>0</v>
      </c>
      <c r="I389" s="31">
        <v>0</v>
      </c>
      <c r="J389" s="31">
        <v>0</v>
      </c>
      <c r="K389" s="31" t="s">
        <v>882</v>
      </c>
      <c r="L389" s="31">
        <v>0</v>
      </c>
      <c r="M389" s="31">
        <v>0</v>
      </c>
      <c r="N389" s="31">
        <v>0</v>
      </c>
      <c r="O389" s="31">
        <v>0</v>
      </c>
      <c r="P389" s="31">
        <v>0</v>
      </c>
      <c r="Q389" s="31">
        <v>0</v>
      </c>
      <c r="R389" s="31">
        <v>0</v>
      </c>
      <c r="S389" s="31">
        <v>0</v>
      </c>
      <c r="T389" s="31">
        <v>0</v>
      </c>
      <c r="U389" s="31">
        <v>0</v>
      </c>
      <c r="V389" s="31">
        <v>0</v>
      </c>
      <c r="W389" s="31">
        <v>0</v>
      </c>
      <c r="X389" s="31">
        <v>0</v>
      </c>
      <c r="Y389" s="31">
        <v>0</v>
      </c>
      <c r="Z389" s="31">
        <v>0</v>
      </c>
      <c r="AA389" s="31">
        <v>0</v>
      </c>
      <c r="AB389" s="31">
        <v>0</v>
      </c>
      <c r="AC389" s="31">
        <v>0</v>
      </c>
      <c r="AD389" s="31">
        <v>0</v>
      </c>
      <c r="AE389" s="31">
        <v>0</v>
      </c>
      <c r="AF389" s="31">
        <v>0</v>
      </c>
      <c r="AG389" s="31">
        <v>0</v>
      </c>
      <c r="AH389" s="31">
        <v>0</v>
      </c>
    </row>
    <row r="390" spans="1:34" x14ac:dyDescent="0.25">
      <c r="A390" s="31">
        <v>6</v>
      </c>
      <c r="B390" s="31">
        <v>13809</v>
      </c>
      <c r="C390" s="31">
        <v>2</v>
      </c>
      <c r="D390" s="31" t="s">
        <v>753</v>
      </c>
      <c r="E390" s="31"/>
      <c r="F390" s="31">
        <v>0</v>
      </c>
      <c r="G390" s="31">
        <v>0</v>
      </c>
      <c r="H390" s="31">
        <v>0</v>
      </c>
      <c r="I390" s="31">
        <v>0</v>
      </c>
      <c r="J390" s="31">
        <v>0</v>
      </c>
      <c r="K390" s="31" t="s">
        <v>882</v>
      </c>
      <c r="L390" s="31">
        <v>0</v>
      </c>
      <c r="M390" s="31">
        <v>0</v>
      </c>
      <c r="N390" s="31">
        <v>0</v>
      </c>
      <c r="O390" s="31">
        <v>0</v>
      </c>
      <c r="P390" s="31">
        <v>0</v>
      </c>
      <c r="Q390" s="31">
        <v>0</v>
      </c>
      <c r="R390" s="31">
        <v>0</v>
      </c>
      <c r="S390" s="31">
        <v>0</v>
      </c>
      <c r="T390" s="31">
        <v>0</v>
      </c>
      <c r="U390" s="31">
        <v>0</v>
      </c>
      <c r="V390" s="31">
        <v>0</v>
      </c>
      <c r="W390" s="31">
        <v>0</v>
      </c>
      <c r="X390" s="31">
        <v>0</v>
      </c>
      <c r="Y390" s="31">
        <v>0</v>
      </c>
      <c r="Z390" s="31">
        <v>0</v>
      </c>
      <c r="AA390" s="31">
        <v>0</v>
      </c>
      <c r="AB390" s="31">
        <v>0</v>
      </c>
      <c r="AC390" s="31">
        <v>0</v>
      </c>
      <c r="AD390" s="31">
        <v>0</v>
      </c>
      <c r="AE390" s="31">
        <v>0</v>
      </c>
      <c r="AF390" s="31">
        <v>0</v>
      </c>
      <c r="AG390" s="31">
        <v>0</v>
      </c>
      <c r="AH390" s="31">
        <v>0</v>
      </c>
    </row>
    <row r="391" spans="1:34" x14ac:dyDescent="0.25">
      <c r="A391" s="31">
        <v>6</v>
      </c>
      <c r="B391" s="31">
        <v>13809</v>
      </c>
      <c r="C391" s="31">
        <v>2</v>
      </c>
      <c r="D391" s="31" t="s">
        <v>755</v>
      </c>
      <c r="E391" s="31"/>
      <c r="F391" s="31">
        <v>0</v>
      </c>
      <c r="G391" s="31">
        <v>0</v>
      </c>
      <c r="H391" s="31">
        <v>0</v>
      </c>
      <c r="I391" s="31">
        <v>0</v>
      </c>
      <c r="J391" s="31">
        <v>0</v>
      </c>
      <c r="K391" s="31" t="s">
        <v>882</v>
      </c>
      <c r="L391" s="31">
        <v>0</v>
      </c>
      <c r="M391" s="31">
        <v>0</v>
      </c>
      <c r="N391" s="31">
        <v>0</v>
      </c>
      <c r="O391" s="31">
        <v>0</v>
      </c>
      <c r="P391" s="31">
        <v>0</v>
      </c>
      <c r="Q391" s="31">
        <v>0</v>
      </c>
      <c r="R391" s="31">
        <v>0</v>
      </c>
      <c r="S391" s="31">
        <v>0</v>
      </c>
      <c r="T391" s="31">
        <v>0</v>
      </c>
      <c r="U391" s="31">
        <v>0</v>
      </c>
      <c r="V391" s="31">
        <v>0</v>
      </c>
      <c r="W391" s="31">
        <v>0</v>
      </c>
      <c r="X391" s="31">
        <v>0</v>
      </c>
      <c r="Y391" s="31">
        <v>0</v>
      </c>
      <c r="Z391" s="31">
        <v>0</v>
      </c>
      <c r="AA391" s="31">
        <v>0</v>
      </c>
      <c r="AB391" s="31">
        <v>0</v>
      </c>
      <c r="AC391" s="31">
        <v>0</v>
      </c>
      <c r="AD391" s="31">
        <v>0</v>
      </c>
      <c r="AE391" s="31">
        <v>0</v>
      </c>
      <c r="AF391" s="31">
        <v>0</v>
      </c>
      <c r="AG391" s="31">
        <v>0</v>
      </c>
      <c r="AH391" s="31">
        <v>0</v>
      </c>
    </row>
    <row r="392" spans="1:34" x14ac:dyDescent="0.25">
      <c r="A392" s="31">
        <v>6</v>
      </c>
      <c r="B392" s="31">
        <v>13809</v>
      </c>
      <c r="C392" s="31">
        <v>2</v>
      </c>
      <c r="D392" s="31" t="s">
        <v>756</v>
      </c>
      <c r="E392" s="31"/>
      <c r="F392" s="31">
        <v>0</v>
      </c>
      <c r="G392" s="31">
        <v>0</v>
      </c>
      <c r="H392" s="31">
        <v>0</v>
      </c>
      <c r="I392" s="31">
        <v>0</v>
      </c>
      <c r="J392" s="31">
        <v>0</v>
      </c>
      <c r="K392" s="31" t="s">
        <v>882</v>
      </c>
      <c r="L392" s="31">
        <v>0</v>
      </c>
      <c r="M392" s="31">
        <v>0</v>
      </c>
      <c r="N392" s="31">
        <v>0</v>
      </c>
      <c r="O392" s="31">
        <v>0</v>
      </c>
      <c r="P392" s="31">
        <v>0</v>
      </c>
      <c r="Q392" s="31">
        <v>0</v>
      </c>
      <c r="R392" s="31">
        <v>0</v>
      </c>
      <c r="S392" s="31">
        <v>0</v>
      </c>
      <c r="T392" s="31">
        <v>0</v>
      </c>
      <c r="U392" s="31">
        <v>0</v>
      </c>
      <c r="V392" s="31">
        <v>0</v>
      </c>
      <c r="W392" s="31">
        <v>0</v>
      </c>
      <c r="X392" s="31">
        <v>0</v>
      </c>
      <c r="Y392" s="31">
        <v>0</v>
      </c>
      <c r="Z392" s="31">
        <v>0</v>
      </c>
      <c r="AA392" s="31">
        <v>0</v>
      </c>
      <c r="AB392" s="31">
        <v>0</v>
      </c>
      <c r="AC392" s="31">
        <v>0</v>
      </c>
      <c r="AD392" s="31">
        <v>0</v>
      </c>
      <c r="AE392" s="31">
        <v>0</v>
      </c>
      <c r="AF392" s="31">
        <v>0</v>
      </c>
      <c r="AG392" s="31">
        <v>0</v>
      </c>
      <c r="AH392" s="31">
        <v>0</v>
      </c>
    </row>
    <row r="393" spans="1:34" x14ac:dyDescent="0.25">
      <c r="A393" s="31">
        <v>6</v>
      </c>
      <c r="B393" s="31">
        <v>13809</v>
      </c>
      <c r="C393" s="31">
        <v>2</v>
      </c>
      <c r="D393" s="31" t="s">
        <v>757</v>
      </c>
      <c r="E393" s="31"/>
      <c r="F393" s="31">
        <v>0</v>
      </c>
      <c r="G393" s="31">
        <v>0</v>
      </c>
      <c r="H393" s="31">
        <v>0</v>
      </c>
      <c r="I393" s="31">
        <v>0</v>
      </c>
      <c r="J393" s="31">
        <v>0</v>
      </c>
      <c r="K393" s="31" t="s">
        <v>882</v>
      </c>
      <c r="L393" s="31">
        <v>0</v>
      </c>
      <c r="M393" s="31">
        <v>0</v>
      </c>
      <c r="N393" s="31">
        <v>0</v>
      </c>
      <c r="O393" s="31">
        <v>0</v>
      </c>
      <c r="P393" s="31">
        <v>0</v>
      </c>
      <c r="Q393" s="31">
        <v>0</v>
      </c>
      <c r="R393" s="31">
        <v>0</v>
      </c>
      <c r="S393" s="31">
        <v>0</v>
      </c>
      <c r="T393" s="31">
        <v>0</v>
      </c>
      <c r="U393" s="31">
        <v>0</v>
      </c>
      <c r="V393" s="31">
        <v>0</v>
      </c>
      <c r="W393" s="31">
        <v>0</v>
      </c>
      <c r="X393" s="31">
        <v>0</v>
      </c>
      <c r="Y393" s="31">
        <v>0</v>
      </c>
      <c r="Z393" s="31">
        <v>0</v>
      </c>
      <c r="AA393" s="31">
        <v>0</v>
      </c>
      <c r="AB393" s="31">
        <v>0</v>
      </c>
      <c r="AC393" s="31">
        <v>0</v>
      </c>
      <c r="AD393" s="31">
        <v>0</v>
      </c>
      <c r="AE393" s="31">
        <v>0</v>
      </c>
      <c r="AF393" s="31">
        <v>0</v>
      </c>
      <c r="AG393" s="31">
        <v>0</v>
      </c>
      <c r="AH393" s="31">
        <v>0</v>
      </c>
    </row>
    <row r="394" spans="1:34" x14ac:dyDescent="0.25">
      <c r="A394" s="31">
        <v>6</v>
      </c>
      <c r="B394" s="31">
        <v>13809</v>
      </c>
      <c r="C394" s="31">
        <v>2</v>
      </c>
      <c r="D394" s="31" t="s">
        <v>758</v>
      </c>
      <c r="E394" s="31"/>
      <c r="F394" s="31">
        <v>0</v>
      </c>
      <c r="G394" s="31">
        <v>0</v>
      </c>
      <c r="H394" s="31">
        <v>0</v>
      </c>
      <c r="I394" s="31">
        <v>0</v>
      </c>
      <c r="J394" s="31">
        <v>0</v>
      </c>
      <c r="K394" s="31" t="s">
        <v>882</v>
      </c>
      <c r="L394" s="31">
        <v>0</v>
      </c>
      <c r="M394" s="31">
        <v>0</v>
      </c>
      <c r="N394" s="31">
        <v>0</v>
      </c>
      <c r="O394" s="31">
        <v>0</v>
      </c>
      <c r="P394" s="31">
        <v>0</v>
      </c>
      <c r="Q394" s="31">
        <v>0</v>
      </c>
      <c r="R394" s="31">
        <v>0</v>
      </c>
      <c r="S394" s="31">
        <v>0</v>
      </c>
      <c r="T394" s="31">
        <v>0</v>
      </c>
      <c r="U394" s="31">
        <v>0</v>
      </c>
      <c r="V394" s="31">
        <v>0</v>
      </c>
      <c r="W394" s="31">
        <v>0</v>
      </c>
      <c r="X394" s="31">
        <v>0</v>
      </c>
      <c r="Y394" s="31">
        <v>0</v>
      </c>
      <c r="Z394" s="31">
        <v>0</v>
      </c>
      <c r="AA394" s="31">
        <v>0</v>
      </c>
      <c r="AB394" s="31">
        <v>0</v>
      </c>
      <c r="AC394" s="31">
        <v>0</v>
      </c>
      <c r="AD394" s="31">
        <v>0</v>
      </c>
      <c r="AE394" s="31">
        <v>0</v>
      </c>
      <c r="AF394" s="31">
        <v>0</v>
      </c>
      <c r="AG394" s="31">
        <v>0</v>
      </c>
      <c r="AH394" s="31">
        <v>0</v>
      </c>
    </row>
    <row r="395" spans="1:34" x14ac:dyDescent="0.25">
      <c r="A395" s="31">
        <v>7</v>
      </c>
      <c r="B395" s="31">
        <v>13809</v>
      </c>
      <c r="C395" s="31">
        <v>1</v>
      </c>
      <c r="D395" s="31" t="s">
        <v>758</v>
      </c>
      <c r="E395" s="31"/>
      <c r="F395" s="31">
        <v>0</v>
      </c>
      <c r="G395" s="31">
        <v>0</v>
      </c>
      <c r="H395" s="31">
        <v>0</v>
      </c>
      <c r="I395" s="31">
        <v>0</v>
      </c>
      <c r="J395" s="31">
        <v>0</v>
      </c>
      <c r="K395" s="31" t="s">
        <v>882</v>
      </c>
      <c r="L395" s="31">
        <v>0</v>
      </c>
      <c r="M395" s="31">
        <v>0</v>
      </c>
      <c r="N395" s="31">
        <v>0</v>
      </c>
      <c r="O395" s="31">
        <v>0</v>
      </c>
      <c r="P395" s="31">
        <v>0</v>
      </c>
      <c r="Q395" s="31">
        <v>0</v>
      </c>
      <c r="R395" s="31">
        <v>0</v>
      </c>
      <c r="S395" s="31">
        <v>0</v>
      </c>
      <c r="T395" s="31">
        <v>0</v>
      </c>
      <c r="U395" s="31">
        <v>0</v>
      </c>
      <c r="V395" s="31">
        <v>0</v>
      </c>
      <c r="W395" s="31">
        <v>0</v>
      </c>
      <c r="X395" s="31">
        <v>0</v>
      </c>
      <c r="Y395" s="31">
        <v>0</v>
      </c>
      <c r="Z395" s="31">
        <v>0</v>
      </c>
      <c r="AA395" s="31">
        <v>0</v>
      </c>
      <c r="AB395" s="31">
        <v>0</v>
      </c>
      <c r="AC395" s="31">
        <v>0</v>
      </c>
      <c r="AD395" s="31">
        <v>0</v>
      </c>
      <c r="AE395" s="31">
        <v>0</v>
      </c>
      <c r="AF395" s="31">
        <v>0</v>
      </c>
      <c r="AG395" s="31">
        <v>0</v>
      </c>
      <c r="AH395" s="31">
        <v>0</v>
      </c>
    </row>
    <row r="396" spans="1:34" x14ac:dyDescent="0.25">
      <c r="A396" s="31">
        <v>7</v>
      </c>
      <c r="B396" s="31">
        <v>13809</v>
      </c>
      <c r="C396" s="31">
        <v>2</v>
      </c>
      <c r="D396" s="31" t="s">
        <v>758</v>
      </c>
      <c r="E396" s="31"/>
      <c r="F396" s="31">
        <v>0</v>
      </c>
      <c r="G396" s="31">
        <v>0</v>
      </c>
      <c r="H396" s="31">
        <v>0</v>
      </c>
      <c r="I396" s="31">
        <v>0</v>
      </c>
      <c r="J396" s="31">
        <v>0</v>
      </c>
      <c r="K396" s="31" t="s">
        <v>882</v>
      </c>
      <c r="L396" s="31">
        <v>0</v>
      </c>
      <c r="M396" s="31">
        <v>0</v>
      </c>
      <c r="N396" s="31">
        <v>0</v>
      </c>
      <c r="O396" s="31">
        <v>0</v>
      </c>
      <c r="P396" s="31">
        <v>0</v>
      </c>
      <c r="Q396" s="31">
        <v>0</v>
      </c>
      <c r="R396" s="31">
        <v>0</v>
      </c>
      <c r="S396" s="31">
        <v>0</v>
      </c>
      <c r="T396" s="31">
        <v>0</v>
      </c>
      <c r="U396" s="31">
        <v>0</v>
      </c>
      <c r="V396" s="31">
        <v>0</v>
      </c>
      <c r="W396" s="31">
        <v>0</v>
      </c>
      <c r="X396" s="31">
        <v>0</v>
      </c>
      <c r="Y396" s="31">
        <v>0</v>
      </c>
      <c r="Z396" s="31">
        <v>0</v>
      </c>
      <c r="AA396" s="31">
        <v>0</v>
      </c>
      <c r="AB396" s="31">
        <v>0</v>
      </c>
      <c r="AC396" s="31">
        <v>0</v>
      </c>
      <c r="AD396" s="31">
        <v>0</v>
      </c>
      <c r="AE396" s="31">
        <v>0</v>
      </c>
      <c r="AF396" s="31">
        <v>0</v>
      </c>
      <c r="AG396" s="31">
        <v>0</v>
      </c>
      <c r="AH396" s="31">
        <v>0</v>
      </c>
    </row>
    <row r="397" spans="1:34" x14ac:dyDescent="0.25">
      <c r="A397" s="31">
        <v>7</v>
      </c>
      <c r="B397" s="31">
        <v>13809</v>
      </c>
      <c r="C397" s="31" t="s">
        <v>423</v>
      </c>
      <c r="D397" s="31" t="s">
        <v>759</v>
      </c>
      <c r="E397" s="31"/>
      <c r="F397" s="31">
        <v>0</v>
      </c>
      <c r="G397" s="31">
        <v>0</v>
      </c>
      <c r="H397" s="31">
        <v>0</v>
      </c>
      <c r="I397" s="31">
        <v>0</v>
      </c>
      <c r="J397" s="31">
        <v>0</v>
      </c>
      <c r="K397" s="31" t="s">
        <v>882</v>
      </c>
      <c r="L397" s="31">
        <v>0</v>
      </c>
      <c r="M397" s="31">
        <v>0</v>
      </c>
      <c r="N397" s="31">
        <v>0</v>
      </c>
      <c r="O397" s="31">
        <v>0</v>
      </c>
      <c r="P397" s="31">
        <v>0</v>
      </c>
      <c r="Q397" s="31">
        <v>0</v>
      </c>
      <c r="R397" s="31">
        <v>0</v>
      </c>
      <c r="S397" s="31">
        <v>0</v>
      </c>
      <c r="T397" s="31">
        <v>0</v>
      </c>
      <c r="U397" s="31">
        <v>0</v>
      </c>
      <c r="V397" s="31">
        <v>0</v>
      </c>
      <c r="W397" s="31">
        <v>0</v>
      </c>
      <c r="X397" s="31">
        <v>0</v>
      </c>
      <c r="Y397" s="31">
        <v>0</v>
      </c>
      <c r="Z397" s="31">
        <v>0</v>
      </c>
      <c r="AA397" s="31">
        <v>0</v>
      </c>
      <c r="AB397" s="31">
        <v>0</v>
      </c>
      <c r="AC397" s="31">
        <v>0</v>
      </c>
      <c r="AD397" s="31">
        <v>0</v>
      </c>
      <c r="AE397" s="31">
        <v>0</v>
      </c>
      <c r="AF397" s="31">
        <v>0</v>
      </c>
      <c r="AG397" s="31">
        <v>0</v>
      </c>
      <c r="AH397" s="31">
        <v>0</v>
      </c>
    </row>
    <row r="398" spans="1:34" x14ac:dyDescent="0.25">
      <c r="A398" s="31">
        <v>7</v>
      </c>
      <c r="B398" s="31">
        <v>13809</v>
      </c>
      <c r="C398" s="31">
        <v>1</v>
      </c>
      <c r="D398" s="31" t="s">
        <v>760</v>
      </c>
      <c r="E398" s="31"/>
      <c r="F398" s="31">
        <v>0</v>
      </c>
      <c r="G398" s="31">
        <v>0</v>
      </c>
      <c r="H398" s="31">
        <v>0</v>
      </c>
      <c r="I398" s="31">
        <v>0</v>
      </c>
      <c r="J398" s="31">
        <v>0</v>
      </c>
      <c r="K398" s="31" t="s">
        <v>882</v>
      </c>
      <c r="L398" s="31">
        <v>0</v>
      </c>
      <c r="M398" s="31">
        <v>0</v>
      </c>
      <c r="N398" s="31">
        <v>0</v>
      </c>
      <c r="O398" s="31">
        <v>0</v>
      </c>
      <c r="P398" s="31">
        <v>0</v>
      </c>
      <c r="Q398" s="31">
        <v>0</v>
      </c>
      <c r="R398" s="31">
        <v>0</v>
      </c>
      <c r="S398" s="31">
        <v>0</v>
      </c>
      <c r="T398" s="31">
        <v>0</v>
      </c>
      <c r="U398" s="31">
        <v>0</v>
      </c>
      <c r="V398" s="31">
        <v>0</v>
      </c>
      <c r="W398" s="31">
        <v>0</v>
      </c>
      <c r="X398" s="31">
        <v>0</v>
      </c>
      <c r="Y398" s="31">
        <v>0</v>
      </c>
      <c r="Z398" s="31">
        <v>0</v>
      </c>
      <c r="AA398" s="31">
        <v>0</v>
      </c>
      <c r="AB398" s="31">
        <v>0</v>
      </c>
      <c r="AC398" s="31">
        <v>0</v>
      </c>
      <c r="AD398" s="31">
        <v>0</v>
      </c>
      <c r="AE398" s="31">
        <v>0</v>
      </c>
      <c r="AF398" s="31">
        <v>0</v>
      </c>
      <c r="AG398" s="31">
        <v>0</v>
      </c>
      <c r="AH398" s="31">
        <v>0</v>
      </c>
    </row>
    <row r="399" spans="1:34" x14ac:dyDescent="0.25">
      <c r="A399" s="31">
        <v>7</v>
      </c>
      <c r="B399" s="31">
        <v>13809</v>
      </c>
      <c r="C399" s="31">
        <v>1</v>
      </c>
      <c r="D399" s="31" t="s">
        <v>761</v>
      </c>
      <c r="E399" s="31"/>
      <c r="F399" s="31">
        <v>0</v>
      </c>
      <c r="G399" s="31">
        <v>0</v>
      </c>
      <c r="H399" s="31">
        <v>0</v>
      </c>
      <c r="I399" s="31">
        <v>0</v>
      </c>
      <c r="J399" s="31">
        <v>0</v>
      </c>
      <c r="K399" s="31" t="s">
        <v>882</v>
      </c>
      <c r="L399" s="31">
        <v>0</v>
      </c>
      <c r="M399" s="31">
        <v>0</v>
      </c>
      <c r="N399" s="31">
        <v>0</v>
      </c>
      <c r="O399" s="31">
        <v>0</v>
      </c>
      <c r="P399" s="31">
        <v>0</v>
      </c>
      <c r="Q399" s="31">
        <v>0</v>
      </c>
      <c r="R399" s="31">
        <v>0</v>
      </c>
      <c r="S399" s="31">
        <v>0</v>
      </c>
      <c r="T399" s="31">
        <v>0</v>
      </c>
      <c r="U399" s="31">
        <v>0</v>
      </c>
      <c r="V399" s="31">
        <v>0</v>
      </c>
      <c r="W399" s="31">
        <v>0</v>
      </c>
      <c r="X399" s="31">
        <v>0</v>
      </c>
      <c r="Y399" s="31">
        <v>0</v>
      </c>
      <c r="Z399" s="31">
        <v>0</v>
      </c>
      <c r="AA399" s="31">
        <v>0</v>
      </c>
      <c r="AB399" s="31">
        <v>0</v>
      </c>
      <c r="AC399" s="31">
        <v>0</v>
      </c>
      <c r="AD399" s="31">
        <v>0</v>
      </c>
      <c r="AE399" s="31">
        <v>0</v>
      </c>
      <c r="AF399" s="31">
        <v>0</v>
      </c>
      <c r="AG399" s="31">
        <v>0</v>
      </c>
      <c r="AH399" s="31">
        <v>0</v>
      </c>
    </row>
    <row r="400" spans="1:34" x14ac:dyDescent="0.25">
      <c r="A400" s="31">
        <v>7</v>
      </c>
      <c r="B400" s="31">
        <v>13809</v>
      </c>
      <c r="C400" s="31">
        <v>1</v>
      </c>
      <c r="D400" s="31" t="s">
        <v>762</v>
      </c>
      <c r="E400" s="31"/>
      <c r="F400" s="31">
        <v>0</v>
      </c>
      <c r="G400" s="31">
        <v>0</v>
      </c>
      <c r="H400" s="31">
        <v>0</v>
      </c>
      <c r="I400" s="31">
        <v>0</v>
      </c>
      <c r="J400" s="31">
        <v>0</v>
      </c>
      <c r="K400" s="31" t="s">
        <v>882</v>
      </c>
      <c r="L400" s="31">
        <v>0</v>
      </c>
      <c r="M400" s="31">
        <v>0</v>
      </c>
      <c r="N400" s="31">
        <v>0</v>
      </c>
      <c r="O400" s="31">
        <v>0</v>
      </c>
      <c r="P400" s="31">
        <v>0</v>
      </c>
      <c r="Q400" s="31">
        <v>0</v>
      </c>
      <c r="R400" s="31">
        <v>0</v>
      </c>
      <c r="S400" s="31">
        <v>0</v>
      </c>
      <c r="T400" s="31">
        <v>0</v>
      </c>
      <c r="U400" s="31">
        <v>0</v>
      </c>
      <c r="V400" s="31">
        <v>0</v>
      </c>
      <c r="W400" s="31">
        <v>0</v>
      </c>
      <c r="X400" s="31">
        <v>0</v>
      </c>
      <c r="Y400" s="31">
        <v>0</v>
      </c>
      <c r="Z400" s="31">
        <v>0</v>
      </c>
      <c r="AA400" s="31">
        <v>0</v>
      </c>
      <c r="AB400" s="31">
        <v>0</v>
      </c>
      <c r="AC400" s="31">
        <v>0</v>
      </c>
      <c r="AD400" s="31">
        <v>0</v>
      </c>
      <c r="AE400" s="31">
        <v>0</v>
      </c>
      <c r="AF400" s="31">
        <v>0</v>
      </c>
      <c r="AG400" s="31">
        <v>0</v>
      </c>
      <c r="AH400" s="31">
        <v>0</v>
      </c>
    </row>
    <row r="401" spans="1:34" x14ac:dyDescent="0.25">
      <c r="A401" s="31">
        <v>7</v>
      </c>
      <c r="B401" s="31">
        <v>13809</v>
      </c>
      <c r="C401" s="31">
        <v>1</v>
      </c>
      <c r="D401" s="31" t="s">
        <v>763</v>
      </c>
      <c r="E401" s="31"/>
      <c r="F401" s="31">
        <v>0</v>
      </c>
      <c r="G401" s="31">
        <v>0</v>
      </c>
      <c r="H401" s="31">
        <v>0</v>
      </c>
      <c r="I401" s="31">
        <v>0</v>
      </c>
      <c r="J401" s="31">
        <v>0</v>
      </c>
      <c r="K401" s="31" t="s">
        <v>882</v>
      </c>
      <c r="L401" s="31">
        <v>0</v>
      </c>
      <c r="M401" s="31">
        <v>0</v>
      </c>
      <c r="N401" s="31">
        <v>0</v>
      </c>
      <c r="O401" s="31">
        <v>0</v>
      </c>
      <c r="P401" s="31">
        <v>0</v>
      </c>
      <c r="Q401" s="31">
        <v>0</v>
      </c>
      <c r="R401" s="31">
        <v>0</v>
      </c>
      <c r="S401" s="31">
        <v>0</v>
      </c>
      <c r="T401" s="31">
        <v>0</v>
      </c>
      <c r="U401" s="31">
        <v>0</v>
      </c>
      <c r="V401" s="31">
        <v>0</v>
      </c>
      <c r="W401" s="31">
        <v>0</v>
      </c>
      <c r="X401" s="31">
        <v>0</v>
      </c>
      <c r="Y401" s="31">
        <v>0</v>
      </c>
      <c r="Z401" s="31">
        <v>0</v>
      </c>
      <c r="AA401" s="31">
        <v>0</v>
      </c>
      <c r="AB401" s="31">
        <v>0</v>
      </c>
      <c r="AC401" s="31">
        <v>0</v>
      </c>
      <c r="AD401" s="31">
        <v>0</v>
      </c>
      <c r="AE401" s="31">
        <v>0</v>
      </c>
      <c r="AF401" s="31">
        <v>0</v>
      </c>
      <c r="AG401" s="31">
        <v>0</v>
      </c>
      <c r="AH401" s="31">
        <v>0</v>
      </c>
    </row>
    <row r="402" spans="1:34" x14ac:dyDescent="0.25">
      <c r="A402" s="31">
        <v>7</v>
      </c>
      <c r="B402" s="31">
        <v>13809</v>
      </c>
      <c r="C402" s="31">
        <v>1</v>
      </c>
      <c r="D402" s="31" t="s">
        <v>764</v>
      </c>
      <c r="E402" s="31"/>
      <c r="F402" s="31">
        <v>0</v>
      </c>
      <c r="G402" s="31">
        <v>0</v>
      </c>
      <c r="H402" s="31">
        <v>0</v>
      </c>
      <c r="I402" s="31">
        <v>0</v>
      </c>
      <c r="J402" s="31">
        <v>0</v>
      </c>
      <c r="K402" s="31" t="s">
        <v>882</v>
      </c>
      <c r="L402" s="31">
        <v>0</v>
      </c>
      <c r="M402" s="31">
        <v>0</v>
      </c>
      <c r="N402" s="31">
        <v>0</v>
      </c>
      <c r="O402" s="31">
        <v>0</v>
      </c>
      <c r="P402" s="31">
        <v>0</v>
      </c>
      <c r="Q402" s="31">
        <v>0</v>
      </c>
      <c r="R402" s="31">
        <v>0</v>
      </c>
      <c r="S402" s="31">
        <v>0</v>
      </c>
      <c r="T402" s="31">
        <v>0</v>
      </c>
      <c r="U402" s="31">
        <v>0</v>
      </c>
      <c r="V402" s="31">
        <v>0</v>
      </c>
      <c r="W402" s="31">
        <v>0</v>
      </c>
      <c r="X402" s="31">
        <v>0</v>
      </c>
      <c r="Y402" s="31">
        <v>0</v>
      </c>
      <c r="Z402" s="31">
        <v>0</v>
      </c>
      <c r="AA402" s="31">
        <v>0</v>
      </c>
      <c r="AB402" s="31">
        <v>0</v>
      </c>
      <c r="AC402" s="31">
        <v>0</v>
      </c>
      <c r="AD402" s="31">
        <v>0</v>
      </c>
      <c r="AE402" s="31">
        <v>0</v>
      </c>
      <c r="AF402" s="31">
        <v>0</v>
      </c>
      <c r="AG402" s="31">
        <v>0</v>
      </c>
      <c r="AH402" s="31">
        <v>0</v>
      </c>
    </row>
    <row r="403" spans="1:34" x14ac:dyDescent="0.25">
      <c r="A403" s="31">
        <v>7</v>
      </c>
      <c r="B403" s="31">
        <v>13809</v>
      </c>
      <c r="C403" s="31">
        <v>1</v>
      </c>
      <c r="D403" s="31" t="s">
        <v>765</v>
      </c>
      <c r="E403" s="31"/>
      <c r="F403" s="31">
        <v>0</v>
      </c>
      <c r="G403" s="31">
        <v>0</v>
      </c>
      <c r="H403" s="31">
        <v>0</v>
      </c>
      <c r="I403" s="31">
        <v>0</v>
      </c>
      <c r="J403" s="31">
        <v>0</v>
      </c>
      <c r="K403" s="31" t="s">
        <v>882</v>
      </c>
      <c r="L403" s="31">
        <v>0</v>
      </c>
      <c r="M403" s="31">
        <v>0</v>
      </c>
      <c r="N403" s="31">
        <v>0</v>
      </c>
      <c r="O403" s="31">
        <v>0</v>
      </c>
      <c r="P403" s="31">
        <v>0</v>
      </c>
      <c r="Q403" s="31">
        <v>0</v>
      </c>
      <c r="R403" s="31">
        <v>0</v>
      </c>
      <c r="S403" s="31">
        <v>0</v>
      </c>
      <c r="T403" s="31">
        <v>0</v>
      </c>
      <c r="U403" s="31">
        <v>0</v>
      </c>
      <c r="V403" s="31">
        <v>0</v>
      </c>
      <c r="W403" s="31">
        <v>0</v>
      </c>
      <c r="X403" s="31">
        <v>0</v>
      </c>
      <c r="Y403" s="31">
        <v>0</v>
      </c>
      <c r="Z403" s="31">
        <v>0</v>
      </c>
      <c r="AA403" s="31">
        <v>0</v>
      </c>
      <c r="AB403" s="31">
        <v>0</v>
      </c>
      <c r="AC403" s="31">
        <v>0</v>
      </c>
      <c r="AD403" s="31">
        <v>0</v>
      </c>
      <c r="AE403" s="31">
        <v>0</v>
      </c>
      <c r="AF403" s="31">
        <v>0</v>
      </c>
      <c r="AG403" s="31">
        <v>0</v>
      </c>
      <c r="AH403" s="31">
        <v>0</v>
      </c>
    </row>
    <row r="404" spans="1:34" x14ac:dyDescent="0.25">
      <c r="A404" s="31">
        <v>7</v>
      </c>
      <c r="B404" s="31">
        <v>13809</v>
      </c>
      <c r="C404" s="31">
        <v>1</v>
      </c>
      <c r="D404" s="31" t="s">
        <v>766</v>
      </c>
      <c r="E404" s="31"/>
      <c r="F404" s="31">
        <v>0</v>
      </c>
      <c r="G404" s="31">
        <v>0</v>
      </c>
      <c r="H404" s="31">
        <v>0</v>
      </c>
      <c r="I404" s="31">
        <v>0</v>
      </c>
      <c r="J404" s="31">
        <v>0</v>
      </c>
      <c r="K404" s="31" t="s">
        <v>882</v>
      </c>
      <c r="L404" s="31">
        <v>0</v>
      </c>
      <c r="M404" s="31">
        <v>0</v>
      </c>
      <c r="N404" s="31">
        <v>0</v>
      </c>
      <c r="O404" s="31">
        <v>0</v>
      </c>
      <c r="P404" s="31">
        <v>0</v>
      </c>
      <c r="Q404" s="31">
        <v>0</v>
      </c>
      <c r="R404" s="31">
        <v>0</v>
      </c>
      <c r="S404" s="31">
        <v>0</v>
      </c>
      <c r="T404" s="31">
        <v>0</v>
      </c>
      <c r="U404" s="31">
        <v>0</v>
      </c>
      <c r="V404" s="31">
        <v>0</v>
      </c>
      <c r="W404" s="31">
        <v>0</v>
      </c>
      <c r="X404" s="31">
        <v>0</v>
      </c>
      <c r="Y404" s="31">
        <v>0</v>
      </c>
      <c r="Z404" s="31">
        <v>0</v>
      </c>
      <c r="AA404" s="31">
        <v>0</v>
      </c>
      <c r="AB404" s="31">
        <v>0</v>
      </c>
      <c r="AC404" s="31">
        <v>0</v>
      </c>
      <c r="AD404" s="31">
        <v>0</v>
      </c>
      <c r="AE404" s="31">
        <v>0</v>
      </c>
      <c r="AF404" s="31">
        <v>0</v>
      </c>
      <c r="AG404" s="31">
        <v>0</v>
      </c>
      <c r="AH404" s="31">
        <v>0</v>
      </c>
    </row>
    <row r="405" spans="1:34" x14ac:dyDescent="0.25">
      <c r="A405" s="31">
        <v>7</v>
      </c>
      <c r="B405" s="31">
        <v>13809</v>
      </c>
      <c r="C405" s="31">
        <v>2</v>
      </c>
      <c r="D405" s="31" t="s">
        <v>760</v>
      </c>
      <c r="E405" s="31"/>
      <c r="F405" s="31">
        <v>0</v>
      </c>
      <c r="G405" s="31">
        <v>0</v>
      </c>
      <c r="H405" s="31">
        <v>0</v>
      </c>
      <c r="I405" s="31">
        <v>0</v>
      </c>
      <c r="J405" s="31">
        <v>0</v>
      </c>
      <c r="K405" s="31" t="s">
        <v>882</v>
      </c>
      <c r="L405" s="31">
        <v>0</v>
      </c>
      <c r="M405" s="31">
        <v>0</v>
      </c>
      <c r="N405" s="31">
        <v>0</v>
      </c>
      <c r="O405" s="31">
        <v>0</v>
      </c>
      <c r="P405" s="31">
        <v>0</v>
      </c>
      <c r="Q405" s="31">
        <v>0</v>
      </c>
      <c r="R405" s="31">
        <v>0</v>
      </c>
      <c r="S405" s="31">
        <v>0</v>
      </c>
      <c r="T405" s="31">
        <v>0</v>
      </c>
      <c r="U405" s="31">
        <v>0</v>
      </c>
      <c r="V405" s="31">
        <v>0</v>
      </c>
      <c r="W405" s="31">
        <v>0</v>
      </c>
      <c r="X405" s="31">
        <v>0</v>
      </c>
      <c r="Y405" s="31">
        <v>0</v>
      </c>
      <c r="Z405" s="31">
        <v>0</v>
      </c>
      <c r="AA405" s="31">
        <v>0</v>
      </c>
      <c r="AB405" s="31">
        <v>0</v>
      </c>
      <c r="AC405" s="31">
        <v>0</v>
      </c>
      <c r="AD405" s="31">
        <v>0</v>
      </c>
      <c r="AE405" s="31">
        <v>0</v>
      </c>
      <c r="AF405" s="31">
        <v>0</v>
      </c>
      <c r="AG405" s="31">
        <v>0</v>
      </c>
      <c r="AH405" s="31">
        <v>0</v>
      </c>
    </row>
    <row r="406" spans="1:34" x14ac:dyDescent="0.25">
      <c r="A406" s="31">
        <v>7</v>
      </c>
      <c r="B406" s="31">
        <v>13809</v>
      </c>
      <c r="C406" s="31">
        <v>2</v>
      </c>
      <c r="D406" s="31" t="s">
        <v>761</v>
      </c>
      <c r="E406" s="31"/>
      <c r="F406" s="31">
        <v>0</v>
      </c>
      <c r="G406" s="31">
        <v>0</v>
      </c>
      <c r="H406" s="31">
        <v>0</v>
      </c>
      <c r="I406" s="31">
        <v>0</v>
      </c>
      <c r="J406" s="31">
        <v>0</v>
      </c>
      <c r="K406" s="31" t="s">
        <v>882</v>
      </c>
      <c r="L406" s="31">
        <v>0</v>
      </c>
      <c r="M406" s="31">
        <v>0</v>
      </c>
      <c r="N406" s="31">
        <v>0</v>
      </c>
      <c r="O406" s="31">
        <v>0</v>
      </c>
      <c r="P406" s="31">
        <v>0</v>
      </c>
      <c r="Q406" s="31">
        <v>0</v>
      </c>
      <c r="R406" s="31">
        <v>0</v>
      </c>
      <c r="S406" s="31">
        <v>0</v>
      </c>
      <c r="T406" s="31">
        <v>0</v>
      </c>
      <c r="U406" s="31">
        <v>0</v>
      </c>
      <c r="V406" s="31">
        <v>0</v>
      </c>
      <c r="W406" s="31">
        <v>0</v>
      </c>
      <c r="X406" s="31">
        <v>0</v>
      </c>
      <c r="Y406" s="31">
        <v>0</v>
      </c>
      <c r="Z406" s="31">
        <v>0</v>
      </c>
      <c r="AA406" s="31">
        <v>0</v>
      </c>
      <c r="AB406" s="31">
        <v>0</v>
      </c>
      <c r="AC406" s="31">
        <v>0</v>
      </c>
      <c r="AD406" s="31">
        <v>0</v>
      </c>
      <c r="AE406" s="31">
        <v>0</v>
      </c>
      <c r="AF406" s="31">
        <v>0</v>
      </c>
      <c r="AG406" s="31">
        <v>0</v>
      </c>
      <c r="AH406" s="31">
        <v>0</v>
      </c>
    </row>
    <row r="407" spans="1:34" x14ac:dyDescent="0.25">
      <c r="A407" s="31">
        <v>7</v>
      </c>
      <c r="B407" s="31">
        <v>13809</v>
      </c>
      <c r="C407" s="31">
        <v>2</v>
      </c>
      <c r="D407" s="31" t="s">
        <v>762</v>
      </c>
      <c r="E407" s="31"/>
      <c r="F407" s="31">
        <v>0</v>
      </c>
      <c r="G407" s="31">
        <v>0</v>
      </c>
      <c r="H407" s="31">
        <v>0</v>
      </c>
      <c r="I407" s="31">
        <v>0</v>
      </c>
      <c r="J407" s="31">
        <v>0</v>
      </c>
      <c r="K407" s="31" t="s">
        <v>882</v>
      </c>
      <c r="L407" s="31">
        <v>0</v>
      </c>
      <c r="M407" s="31">
        <v>0</v>
      </c>
      <c r="N407" s="31">
        <v>0</v>
      </c>
      <c r="O407" s="31">
        <v>0</v>
      </c>
      <c r="P407" s="31">
        <v>0</v>
      </c>
      <c r="Q407" s="31">
        <v>0</v>
      </c>
      <c r="R407" s="31">
        <v>0</v>
      </c>
      <c r="S407" s="31">
        <v>0</v>
      </c>
      <c r="T407" s="31">
        <v>0</v>
      </c>
      <c r="U407" s="31">
        <v>0</v>
      </c>
      <c r="V407" s="31">
        <v>0</v>
      </c>
      <c r="W407" s="31">
        <v>0</v>
      </c>
      <c r="X407" s="31">
        <v>0</v>
      </c>
      <c r="Y407" s="31">
        <v>0</v>
      </c>
      <c r="Z407" s="31">
        <v>0</v>
      </c>
      <c r="AA407" s="31">
        <v>0</v>
      </c>
      <c r="AB407" s="31">
        <v>0</v>
      </c>
      <c r="AC407" s="31">
        <v>0</v>
      </c>
      <c r="AD407" s="31">
        <v>0</v>
      </c>
      <c r="AE407" s="31">
        <v>0</v>
      </c>
      <c r="AF407" s="31">
        <v>0</v>
      </c>
      <c r="AG407" s="31">
        <v>0</v>
      </c>
      <c r="AH407" s="31">
        <v>0</v>
      </c>
    </row>
    <row r="408" spans="1:34" x14ac:dyDescent="0.25">
      <c r="A408" s="31">
        <v>7</v>
      </c>
      <c r="B408" s="31">
        <v>13809</v>
      </c>
      <c r="C408" s="31">
        <v>2</v>
      </c>
      <c r="D408" s="31" t="s">
        <v>763</v>
      </c>
      <c r="E408" s="31"/>
      <c r="F408" s="31">
        <v>0</v>
      </c>
      <c r="G408" s="31">
        <v>0</v>
      </c>
      <c r="H408" s="31">
        <v>0</v>
      </c>
      <c r="I408" s="31">
        <v>0</v>
      </c>
      <c r="J408" s="31">
        <v>0</v>
      </c>
      <c r="K408" s="31" t="s">
        <v>882</v>
      </c>
      <c r="L408" s="31">
        <v>0</v>
      </c>
      <c r="M408" s="31">
        <v>0</v>
      </c>
      <c r="N408" s="31">
        <v>0</v>
      </c>
      <c r="O408" s="31">
        <v>0</v>
      </c>
      <c r="P408" s="31">
        <v>0</v>
      </c>
      <c r="Q408" s="31">
        <v>0</v>
      </c>
      <c r="R408" s="31">
        <v>0</v>
      </c>
      <c r="S408" s="31">
        <v>0</v>
      </c>
      <c r="T408" s="31">
        <v>0</v>
      </c>
      <c r="U408" s="31">
        <v>0</v>
      </c>
      <c r="V408" s="31">
        <v>0</v>
      </c>
      <c r="W408" s="31">
        <v>0</v>
      </c>
      <c r="X408" s="31">
        <v>0</v>
      </c>
      <c r="Y408" s="31">
        <v>0</v>
      </c>
      <c r="Z408" s="31">
        <v>0</v>
      </c>
      <c r="AA408" s="31">
        <v>0</v>
      </c>
      <c r="AB408" s="31">
        <v>0</v>
      </c>
      <c r="AC408" s="31">
        <v>0</v>
      </c>
      <c r="AD408" s="31">
        <v>0</v>
      </c>
      <c r="AE408" s="31">
        <v>0</v>
      </c>
      <c r="AF408" s="31">
        <v>0</v>
      </c>
      <c r="AG408" s="31">
        <v>0</v>
      </c>
      <c r="AH408" s="31">
        <v>0</v>
      </c>
    </row>
    <row r="409" spans="1:34" x14ac:dyDescent="0.25">
      <c r="A409" s="31">
        <v>7</v>
      </c>
      <c r="B409" s="31">
        <v>13809</v>
      </c>
      <c r="C409" s="31">
        <v>2</v>
      </c>
      <c r="D409" s="31" t="s">
        <v>764</v>
      </c>
      <c r="E409" s="31"/>
      <c r="F409" s="31">
        <v>0</v>
      </c>
      <c r="G409" s="31">
        <v>0</v>
      </c>
      <c r="H409" s="31">
        <v>0</v>
      </c>
      <c r="I409" s="31">
        <v>0</v>
      </c>
      <c r="J409" s="31">
        <v>0</v>
      </c>
      <c r="K409" s="31" t="s">
        <v>882</v>
      </c>
      <c r="L409" s="31">
        <v>0</v>
      </c>
      <c r="M409" s="31">
        <v>0</v>
      </c>
      <c r="N409" s="31">
        <v>0</v>
      </c>
      <c r="O409" s="31">
        <v>0</v>
      </c>
      <c r="P409" s="31">
        <v>0</v>
      </c>
      <c r="Q409" s="31">
        <v>0</v>
      </c>
      <c r="R409" s="31">
        <v>0</v>
      </c>
      <c r="S409" s="31">
        <v>0</v>
      </c>
      <c r="T409" s="31">
        <v>0</v>
      </c>
      <c r="U409" s="31">
        <v>0</v>
      </c>
      <c r="V409" s="31">
        <v>0</v>
      </c>
      <c r="W409" s="31">
        <v>0</v>
      </c>
      <c r="X409" s="31">
        <v>0</v>
      </c>
      <c r="Y409" s="31">
        <v>0</v>
      </c>
      <c r="Z409" s="31">
        <v>0</v>
      </c>
      <c r="AA409" s="31">
        <v>0</v>
      </c>
      <c r="AB409" s="31">
        <v>0</v>
      </c>
      <c r="AC409" s="31">
        <v>0</v>
      </c>
      <c r="AD409" s="31">
        <v>0</v>
      </c>
      <c r="AE409" s="31">
        <v>0</v>
      </c>
      <c r="AF409" s="31">
        <v>0</v>
      </c>
      <c r="AG409" s="31">
        <v>0</v>
      </c>
      <c r="AH409" s="31">
        <v>0</v>
      </c>
    </row>
    <row r="410" spans="1:34" x14ac:dyDescent="0.25">
      <c r="A410" s="31">
        <v>7</v>
      </c>
      <c r="B410" s="31">
        <v>13809</v>
      </c>
      <c r="C410" s="31">
        <v>2</v>
      </c>
      <c r="D410" s="31" t="s">
        <v>765</v>
      </c>
      <c r="E410" s="31"/>
      <c r="F410" s="31">
        <v>0</v>
      </c>
      <c r="G410" s="31">
        <v>0</v>
      </c>
      <c r="H410" s="31">
        <v>0</v>
      </c>
      <c r="I410" s="31">
        <v>0</v>
      </c>
      <c r="J410" s="31">
        <v>0</v>
      </c>
      <c r="K410" s="31" t="s">
        <v>882</v>
      </c>
      <c r="L410" s="31">
        <v>0</v>
      </c>
      <c r="M410" s="31">
        <v>0</v>
      </c>
      <c r="N410" s="31">
        <v>0</v>
      </c>
      <c r="O410" s="31">
        <v>0</v>
      </c>
      <c r="P410" s="31">
        <v>0</v>
      </c>
      <c r="Q410" s="31">
        <v>0</v>
      </c>
      <c r="R410" s="31">
        <v>0</v>
      </c>
      <c r="S410" s="31">
        <v>0</v>
      </c>
      <c r="T410" s="31">
        <v>0</v>
      </c>
      <c r="U410" s="31">
        <v>0</v>
      </c>
      <c r="V410" s="31">
        <v>0</v>
      </c>
      <c r="W410" s="31">
        <v>0</v>
      </c>
      <c r="X410" s="31">
        <v>0</v>
      </c>
      <c r="Y410" s="31">
        <v>0</v>
      </c>
      <c r="Z410" s="31">
        <v>0</v>
      </c>
      <c r="AA410" s="31">
        <v>0</v>
      </c>
      <c r="AB410" s="31">
        <v>0</v>
      </c>
      <c r="AC410" s="31">
        <v>0</v>
      </c>
      <c r="AD410" s="31">
        <v>0</v>
      </c>
      <c r="AE410" s="31">
        <v>0</v>
      </c>
      <c r="AF410" s="31">
        <v>0</v>
      </c>
      <c r="AG410" s="31">
        <v>0</v>
      </c>
      <c r="AH410" s="31">
        <v>0</v>
      </c>
    </row>
    <row r="411" spans="1:34" x14ac:dyDescent="0.25">
      <c r="A411" s="31">
        <v>7</v>
      </c>
      <c r="B411" s="31">
        <v>13809</v>
      </c>
      <c r="C411" s="31">
        <v>2</v>
      </c>
      <c r="D411" s="31" t="s">
        <v>766</v>
      </c>
      <c r="E411" s="31"/>
      <c r="F411" s="31">
        <v>0</v>
      </c>
      <c r="G411" s="31">
        <v>0</v>
      </c>
      <c r="H411" s="31">
        <v>0</v>
      </c>
      <c r="I411" s="31">
        <v>0</v>
      </c>
      <c r="J411" s="31">
        <v>0</v>
      </c>
      <c r="K411" s="31" t="s">
        <v>882</v>
      </c>
      <c r="L411" s="31">
        <v>0</v>
      </c>
      <c r="M411" s="31">
        <v>0</v>
      </c>
      <c r="N411" s="31">
        <v>0</v>
      </c>
      <c r="O411" s="31">
        <v>0</v>
      </c>
      <c r="P411" s="31">
        <v>0</v>
      </c>
      <c r="Q411" s="31">
        <v>0</v>
      </c>
      <c r="R411" s="31">
        <v>0</v>
      </c>
      <c r="S411" s="31">
        <v>0</v>
      </c>
      <c r="T411" s="31">
        <v>0</v>
      </c>
      <c r="U411" s="31">
        <v>0</v>
      </c>
      <c r="V411" s="31">
        <v>0</v>
      </c>
      <c r="W411" s="31">
        <v>0</v>
      </c>
      <c r="X411" s="31">
        <v>0</v>
      </c>
      <c r="Y411" s="31">
        <v>0</v>
      </c>
      <c r="Z411" s="31">
        <v>0</v>
      </c>
      <c r="AA411" s="31">
        <v>0</v>
      </c>
      <c r="AB411" s="31">
        <v>0</v>
      </c>
      <c r="AC411" s="31">
        <v>0</v>
      </c>
      <c r="AD411" s="31">
        <v>0</v>
      </c>
      <c r="AE411" s="31">
        <v>0</v>
      </c>
      <c r="AF411" s="31">
        <v>0</v>
      </c>
      <c r="AG411" s="31">
        <v>0</v>
      </c>
      <c r="AH411" s="31">
        <v>0</v>
      </c>
    </row>
    <row r="412" spans="1:34" x14ac:dyDescent="0.25">
      <c r="A412" s="31">
        <v>7</v>
      </c>
      <c r="B412" s="31">
        <v>13809</v>
      </c>
      <c r="C412" s="31" t="s">
        <v>424</v>
      </c>
      <c r="D412" s="31" t="s">
        <v>767</v>
      </c>
      <c r="E412" s="31"/>
      <c r="F412" s="31">
        <v>0</v>
      </c>
      <c r="G412" s="31">
        <v>0</v>
      </c>
      <c r="H412" s="31">
        <v>0</v>
      </c>
      <c r="I412" s="31">
        <v>0</v>
      </c>
      <c r="J412" s="31">
        <v>0</v>
      </c>
      <c r="K412" s="31" t="s">
        <v>882</v>
      </c>
      <c r="L412" s="31">
        <v>0</v>
      </c>
      <c r="M412" s="31">
        <v>0</v>
      </c>
      <c r="N412" s="31">
        <v>0</v>
      </c>
      <c r="O412" s="31">
        <v>0</v>
      </c>
      <c r="P412" s="31">
        <v>0</v>
      </c>
      <c r="Q412" s="31">
        <v>0</v>
      </c>
      <c r="R412" s="31">
        <v>0</v>
      </c>
      <c r="S412" s="31">
        <v>0</v>
      </c>
      <c r="T412" s="31">
        <v>0</v>
      </c>
      <c r="U412" s="31">
        <v>0</v>
      </c>
      <c r="V412" s="31">
        <v>0</v>
      </c>
      <c r="W412" s="31">
        <v>0</v>
      </c>
      <c r="X412" s="31">
        <v>0</v>
      </c>
      <c r="Y412" s="31">
        <v>0</v>
      </c>
      <c r="Z412" s="31">
        <v>0</v>
      </c>
      <c r="AA412" s="31">
        <v>0</v>
      </c>
      <c r="AB412" s="31">
        <v>0</v>
      </c>
      <c r="AC412" s="31">
        <v>0</v>
      </c>
      <c r="AD412" s="31">
        <v>0</v>
      </c>
      <c r="AE412" s="31">
        <v>0</v>
      </c>
      <c r="AF412" s="31">
        <v>0</v>
      </c>
      <c r="AG412" s="31">
        <v>0</v>
      </c>
      <c r="AH412" s="31">
        <v>0</v>
      </c>
    </row>
    <row r="413" spans="1:34" x14ac:dyDescent="0.25">
      <c r="A413" s="31">
        <v>7</v>
      </c>
      <c r="B413" s="31">
        <v>13809</v>
      </c>
      <c r="C413" s="31">
        <v>1</v>
      </c>
      <c r="D413" s="31" t="s">
        <v>768</v>
      </c>
      <c r="E413" s="31"/>
      <c r="F413" s="31">
        <v>0</v>
      </c>
      <c r="G413" s="31">
        <v>0</v>
      </c>
      <c r="H413" s="31">
        <v>0</v>
      </c>
      <c r="I413" s="31">
        <v>0</v>
      </c>
      <c r="J413" s="31">
        <v>0</v>
      </c>
      <c r="K413" s="31" t="s">
        <v>882</v>
      </c>
      <c r="L413" s="31">
        <v>0</v>
      </c>
      <c r="M413" s="31">
        <v>0</v>
      </c>
      <c r="N413" s="31">
        <v>0</v>
      </c>
      <c r="O413" s="31">
        <v>0</v>
      </c>
      <c r="P413" s="31">
        <v>0</v>
      </c>
      <c r="Q413" s="31">
        <v>0</v>
      </c>
      <c r="R413" s="31">
        <v>0</v>
      </c>
      <c r="S413" s="31">
        <v>0</v>
      </c>
      <c r="T413" s="31">
        <v>0</v>
      </c>
      <c r="U413" s="31">
        <v>0</v>
      </c>
      <c r="V413" s="31">
        <v>0</v>
      </c>
      <c r="W413" s="31">
        <v>0</v>
      </c>
      <c r="X413" s="31">
        <v>0</v>
      </c>
      <c r="Y413" s="31">
        <v>0</v>
      </c>
      <c r="Z413" s="31">
        <v>0</v>
      </c>
      <c r="AA413" s="31">
        <v>0</v>
      </c>
      <c r="AB413" s="31">
        <v>0</v>
      </c>
      <c r="AC413" s="31">
        <v>0</v>
      </c>
      <c r="AD413" s="31">
        <v>0</v>
      </c>
      <c r="AE413" s="31">
        <v>0</v>
      </c>
      <c r="AF413" s="31">
        <v>0</v>
      </c>
      <c r="AG413" s="31">
        <v>0</v>
      </c>
      <c r="AH413" s="31">
        <v>0</v>
      </c>
    </row>
    <row r="414" spans="1:34" x14ac:dyDescent="0.25">
      <c r="A414" s="31">
        <v>8</v>
      </c>
      <c r="B414" s="31">
        <v>13809</v>
      </c>
      <c r="C414" s="31">
        <v>1</v>
      </c>
      <c r="D414" s="31" t="s">
        <v>768</v>
      </c>
      <c r="E414" s="31"/>
      <c r="F414" s="31">
        <v>0</v>
      </c>
      <c r="G414" s="31">
        <v>0</v>
      </c>
      <c r="H414" s="31">
        <v>0</v>
      </c>
      <c r="I414" s="31">
        <v>0</v>
      </c>
      <c r="J414" s="31">
        <v>0</v>
      </c>
      <c r="K414" s="31" t="s">
        <v>882</v>
      </c>
      <c r="L414" s="31">
        <v>0</v>
      </c>
      <c r="M414" s="31">
        <v>0</v>
      </c>
      <c r="N414" s="31">
        <v>0</v>
      </c>
      <c r="O414" s="31">
        <v>0</v>
      </c>
      <c r="P414" s="31">
        <v>0</v>
      </c>
      <c r="Q414" s="31">
        <v>0</v>
      </c>
      <c r="R414" s="31">
        <v>0</v>
      </c>
      <c r="S414" s="31">
        <v>0</v>
      </c>
      <c r="T414" s="31">
        <v>0</v>
      </c>
      <c r="U414" s="31">
        <v>0</v>
      </c>
      <c r="V414" s="31">
        <v>0</v>
      </c>
      <c r="W414" s="31">
        <v>0</v>
      </c>
      <c r="X414" s="31">
        <v>0</v>
      </c>
      <c r="Y414" s="31">
        <v>0</v>
      </c>
      <c r="Z414" s="31">
        <v>0</v>
      </c>
      <c r="AA414" s="31">
        <v>0</v>
      </c>
      <c r="AB414" s="31">
        <v>0</v>
      </c>
      <c r="AC414" s="31">
        <v>0</v>
      </c>
      <c r="AD414" s="31">
        <v>0</v>
      </c>
      <c r="AE414" s="31">
        <v>0</v>
      </c>
      <c r="AF414" s="31">
        <v>0</v>
      </c>
      <c r="AG414" s="31">
        <v>0</v>
      </c>
      <c r="AH414" s="31">
        <v>0</v>
      </c>
    </row>
    <row r="415" spans="1:34" x14ac:dyDescent="0.25">
      <c r="A415" s="31">
        <v>7</v>
      </c>
      <c r="B415" s="31">
        <v>13809</v>
      </c>
      <c r="C415" s="31">
        <v>2</v>
      </c>
      <c r="D415" s="31" t="s">
        <v>768</v>
      </c>
      <c r="E415" s="31"/>
      <c r="F415" s="31">
        <v>0</v>
      </c>
      <c r="G415" s="31">
        <v>0</v>
      </c>
      <c r="H415" s="31">
        <v>0</v>
      </c>
      <c r="I415" s="31">
        <v>0</v>
      </c>
      <c r="J415" s="31">
        <v>0</v>
      </c>
      <c r="K415" s="31" t="s">
        <v>882</v>
      </c>
      <c r="L415" s="31">
        <v>0</v>
      </c>
      <c r="M415" s="31">
        <v>0</v>
      </c>
      <c r="N415" s="31">
        <v>0</v>
      </c>
      <c r="O415" s="31">
        <v>0</v>
      </c>
      <c r="P415" s="31">
        <v>0</v>
      </c>
      <c r="Q415" s="31">
        <v>0</v>
      </c>
      <c r="R415" s="31">
        <v>0</v>
      </c>
      <c r="S415" s="31">
        <v>0</v>
      </c>
      <c r="T415" s="31">
        <v>0</v>
      </c>
      <c r="U415" s="31">
        <v>0</v>
      </c>
      <c r="V415" s="31">
        <v>0</v>
      </c>
      <c r="W415" s="31">
        <v>0</v>
      </c>
      <c r="X415" s="31">
        <v>0</v>
      </c>
      <c r="Y415" s="31">
        <v>0</v>
      </c>
      <c r="Z415" s="31">
        <v>0</v>
      </c>
      <c r="AA415" s="31">
        <v>0</v>
      </c>
      <c r="AB415" s="31">
        <v>0</v>
      </c>
      <c r="AC415" s="31">
        <v>0</v>
      </c>
      <c r="AD415" s="31">
        <v>0</v>
      </c>
      <c r="AE415" s="31">
        <v>0</v>
      </c>
      <c r="AF415" s="31">
        <v>0</v>
      </c>
      <c r="AG415" s="31">
        <v>0</v>
      </c>
      <c r="AH415" s="31">
        <v>0</v>
      </c>
    </row>
    <row r="416" spans="1:34" x14ac:dyDescent="0.25">
      <c r="A416" s="31">
        <v>8</v>
      </c>
      <c r="B416" s="31">
        <v>13809</v>
      </c>
      <c r="C416" s="31">
        <v>2</v>
      </c>
      <c r="D416" s="31" t="s">
        <v>768</v>
      </c>
      <c r="E416" s="31"/>
      <c r="F416" s="31">
        <v>0</v>
      </c>
      <c r="G416" s="31">
        <v>0</v>
      </c>
      <c r="H416" s="31">
        <v>0</v>
      </c>
      <c r="I416" s="31">
        <v>0</v>
      </c>
      <c r="J416" s="31">
        <v>0</v>
      </c>
      <c r="K416" s="31" t="s">
        <v>882</v>
      </c>
      <c r="L416" s="31">
        <v>0</v>
      </c>
      <c r="M416" s="31">
        <v>0</v>
      </c>
      <c r="N416" s="31">
        <v>0</v>
      </c>
      <c r="O416" s="31">
        <v>0</v>
      </c>
      <c r="P416" s="31">
        <v>0</v>
      </c>
      <c r="Q416" s="31">
        <v>0</v>
      </c>
      <c r="R416" s="31">
        <v>0</v>
      </c>
      <c r="S416" s="31">
        <v>0</v>
      </c>
      <c r="T416" s="31">
        <v>0</v>
      </c>
      <c r="U416" s="31">
        <v>0</v>
      </c>
      <c r="V416" s="31">
        <v>0</v>
      </c>
      <c r="W416" s="31">
        <v>0</v>
      </c>
      <c r="X416" s="31">
        <v>0</v>
      </c>
      <c r="Y416" s="31">
        <v>0</v>
      </c>
      <c r="Z416" s="31">
        <v>0</v>
      </c>
      <c r="AA416" s="31">
        <v>0</v>
      </c>
      <c r="AB416" s="31">
        <v>0</v>
      </c>
      <c r="AC416" s="31">
        <v>0</v>
      </c>
      <c r="AD416" s="31">
        <v>0</v>
      </c>
      <c r="AE416" s="31">
        <v>0</v>
      </c>
      <c r="AF416" s="31">
        <v>0</v>
      </c>
      <c r="AG416" s="31">
        <v>0</v>
      </c>
      <c r="AH416" s="31">
        <v>0</v>
      </c>
    </row>
    <row r="417" spans="1:34" x14ac:dyDescent="0.25">
      <c r="A417" s="31">
        <v>8</v>
      </c>
      <c r="B417" s="31">
        <v>13809</v>
      </c>
      <c r="C417" s="31">
        <v>1</v>
      </c>
      <c r="D417" s="31" t="s">
        <v>769</v>
      </c>
      <c r="E417" s="31"/>
      <c r="F417" s="31">
        <v>0</v>
      </c>
      <c r="G417" s="31">
        <v>0</v>
      </c>
      <c r="H417" s="31">
        <v>0</v>
      </c>
      <c r="I417" s="31">
        <v>0</v>
      </c>
      <c r="J417" s="31">
        <v>0</v>
      </c>
      <c r="K417" s="31" t="s">
        <v>882</v>
      </c>
      <c r="L417" s="31">
        <v>0</v>
      </c>
      <c r="M417" s="31">
        <v>0</v>
      </c>
      <c r="N417" s="31">
        <v>0</v>
      </c>
      <c r="O417" s="31">
        <v>0</v>
      </c>
      <c r="P417" s="31">
        <v>0</v>
      </c>
      <c r="Q417" s="31">
        <v>0</v>
      </c>
      <c r="R417" s="31">
        <v>0</v>
      </c>
      <c r="S417" s="31">
        <v>0</v>
      </c>
      <c r="T417" s="31">
        <v>0</v>
      </c>
      <c r="U417" s="31">
        <v>0</v>
      </c>
      <c r="V417" s="31">
        <v>0</v>
      </c>
      <c r="W417" s="31">
        <v>0</v>
      </c>
      <c r="X417" s="31">
        <v>0</v>
      </c>
      <c r="Y417" s="31">
        <v>0</v>
      </c>
      <c r="Z417" s="31">
        <v>0</v>
      </c>
      <c r="AA417" s="31">
        <v>0</v>
      </c>
      <c r="AB417" s="31">
        <v>0</v>
      </c>
      <c r="AC417" s="31">
        <v>0</v>
      </c>
      <c r="AD417" s="31">
        <v>0</v>
      </c>
      <c r="AE417" s="31">
        <v>0</v>
      </c>
      <c r="AF417" s="31">
        <v>0</v>
      </c>
      <c r="AG417" s="31">
        <v>0</v>
      </c>
      <c r="AH417" s="31">
        <v>0</v>
      </c>
    </row>
    <row r="418" spans="1:34" x14ac:dyDescent="0.25">
      <c r="A418" s="31">
        <v>8</v>
      </c>
      <c r="B418" s="31">
        <v>13809</v>
      </c>
      <c r="C418" s="31">
        <v>1</v>
      </c>
      <c r="D418" s="31" t="s">
        <v>770</v>
      </c>
      <c r="E418" s="31"/>
      <c r="F418" s="31">
        <v>0</v>
      </c>
      <c r="G418" s="31">
        <v>0</v>
      </c>
      <c r="H418" s="31">
        <v>0</v>
      </c>
      <c r="I418" s="31">
        <v>0</v>
      </c>
      <c r="J418" s="31">
        <v>0</v>
      </c>
      <c r="K418" s="31" t="s">
        <v>882</v>
      </c>
      <c r="L418" s="31">
        <v>0</v>
      </c>
      <c r="M418" s="31">
        <v>0</v>
      </c>
      <c r="N418" s="31">
        <v>0</v>
      </c>
      <c r="O418" s="31">
        <v>0</v>
      </c>
      <c r="P418" s="31">
        <v>0</v>
      </c>
      <c r="Q418" s="31">
        <v>0</v>
      </c>
      <c r="R418" s="31">
        <v>0</v>
      </c>
      <c r="S418" s="31">
        <v>0</v>
      </c>
      <c r="T418" s="31">
        <v>0</v>
      </c>
      <c r="U418" s="31">
        <v>0</v>
      </c>
      <c r="V418" s="31">
        <v>0</v>
      </c>
      <c r="W418" s="31">
        <v>0</v>
      </c>
      <c r="X418" s="31">
        <v>0</v>
      </c>
      <c r="Y418" s="31">
        <v>0</v>
      </c>
      <c r="Z418" s="31">
        <v>0</v>
      </c>
      <c r="AA418" s="31">
        <v>0</v>
      </c>
      <c r="AB418" s="31">
        <v>0</v>
      </c>
      <c r="AC418" s="31">
        <v>0</v>
      </c>
      <c r="AD418" s="31">
        <v>0</v>
      </c>
      <c r="AE418" s="31">
        <v>0</v>
      </c>
      <c r="AF418" s="31">
        <v>0</v>
      </c>
      <c r="AG418" s="31">
        <v>0</v>
      </c>
      <c r="AH418" s="31">
        <v>0</v>
      </c>
    </row>
    <row r="419" spans="1:34" x14ac:dyDescent="0.25">
      <c r="A419" s="31">
        <v>8</v>
      </c>
      <c r="B419" s="31">
        <v>13809</v>
      </c>
      <c r="C419" s="31">
        <v>1</v>
      </c>
      <c r="D419" s="31" t="s">
        <v>771</v>
      </c>
      <c r="E419" s="31"/>
      <c r="F419" s="31">
        <v>0</v>
      </c>
      <c r="G419" s="31">
        <v>0</v>
      </c>
      <c r="H419" s="31">
        <v>0</v>
      </c>
      <c r="I419" s="31">
        <v>0</v>
      </c>
      <c r="J419" s="31">
        <v>0</v>
      </c>
      <c r="K419" s="31" t="s">
        <v>882</v>
      </c>
      <c r="L419" s="31">
        <v>0</v>
      </c>
      <c r="M419" s="31">
        <v>0</v>
      </c>
      <c r="N419" s="31">
        <v>0</v>
      </c>
      <c r="O419" s="31">
        <v>0</v>
      </c>
      <c r="P419" s="31">
        <v>0</v>
      </c>
      <c r="Q419" s="31">
        <v>0</v>
      </c>
      <c r="R419" s="31">
        <v>0</v>
      </c>
      <c r="S419" s="31">
        <v>0</v>
      </c>
      <c r="T419" s="31">
        <v>0</v>
      </c>
      <c r="U419" s="31">
        <v>0</v>
      </c>
      <c r="V419" s="31">
        <v>0</v>
      </c>
      <c r="W419" s="31">
        <v>0</v>
      </c>
      <c r="X419" s="31">
        <v>0</v>
      </c>
      <c r="Y419" s="31">
        <v>0</v>
      </c>
      <c r="Z419" s="31">
        <v>0</v>
      </c>
      <c r="AA419" s="31">
        <v>0</v>
      </c>
      <c r="AB419" s="31">
        <v>0</v>
      </c>
      <c r="AC419" s="31">
        <v>0</v>
      </c>
      <c r="AD419" s="31">
        <v>0</v>
      </c>
      <c r="AE419" s="31">
        <v>0</v>
      </c>
      <c r="AF419" s="31">
        <v>0</v>
      </c>
      <c r="AG419" s="31">
        <v>0</v>
      </c>
      <c r="AH419" s="31">
        <v>0</v>
      </c>
    </row>
    <row r="420" spans="1:34" x14ac:dyDescent="0.25">
      <c r="A420" s="31">
        <v>8</v>
      </c>
      <c r="B420" s="31">
        <v>13809</v>
      </c>
      <c r="C420" s="31">
        <v>1</v>
      </c>
      <c r="D420" s="31" t="s">
        <v>956</v>
      </c>
      <c r="E420" s="31"/>
      <c r="F420" s="31">
        <v>0</v>
      </c>
      <c r="G420" s="31">
        <v>0</v>
      </c>
      <c r="H420" s="31">
        <v>0</v>
      </c>
      <c r="I420" s="31">
        <v>0</v>
      </c>
      <c r="J420" s="31">
        <v>0</v>
      </c>
      <c r="K420" s="31" t="s">
        <v>882</v>
      </c>
      <c r="L420" s="31">
        <v>0</v>
      </c>
      <c r="M420" s="31">
        <v>0</v>
      </c>
      <c r="N420" s="31">
        <v>0</v>
      </c>
      <c r="O420" s="31">
        <v>0</v>
      </c>
      <c r="P420" s="31">
        <v>0</v>
      </c>
      <c r="Q420" s="31">
        <v>0</v>
      </c>
      <c r="R420" s="31">
        <v>0</v>
      </c>
      <c r="S420" s="31">
        <v>0</v>
      </c>
      <c r="T420" s="31">
        <v>0</v>
      </c>
      <c r="U420" s="31">
        <v>0</v>
      </c>
      <c r="V420" s="31">
        <v>0</v>
      </c>
      <c r="W420" s="31">
        <v>0</v>
      </c>
      <c r="X420" s="31">
        <v>0</v>
      </c>
      <c r="Y420" s="31">
        <v>0</v>
      </c>
      <c r="Z420" s="31">
        <v>0</v>
      </c>
      <c r="AA420" s="31">
        <v>0</v>
      </c>
      <c r="AB420" s="31">
        <v>0</v>
      </c>
      <c r="AC420" s="31">
        <v>0</v>
      </c>
      <c r="AD420" s="31">
        <v>0</v>
      </c>
      <c r="AE420" s="31">
        <v>0</v>
      </c>
      <c r="AF420" s="31">
        <v>0</v>
      </c>
      <c r="AG420" s="31">
        <v>0</v>
      </c>
      <c r="AH420" s="31">
        <v>0</v>
      </c>
    </row>
    <row r="421" spans="1:34" x14ac:dyDescent="0.25">
      <c r="A421" s="31">
        <v>8</v>
      </c>
      <c r="B421" s="31">
        <v>13809</v>
      </c>
      <c r="C421" s="31">
        <v>1</v>
      </c>
      <c r="D421" s="31" t="s">
        <v>772</v>
      </c>
      <c r="E421" s="31"/>
      <c r="F421" s="31">
        <v>0</v>
      </c>
      <c r="G421" s="31">
        <v>0</v>
      </c>
      <c r="H421" s="31">
        <v>0</v>
      </c>
      <c r="I421" s="31">
        <v>0</v>
      </c>
      <c r="J421" s="31">
        <v>0</v>
      </c>
      <c r="K421" s="31" t="s">
        <v>882</v>
      </c>
      <c r="L421" s="31">
        <v>0</v>
      </c>
      <c r="M421" s="31">
        <v>0</v>
      </c>
      <c r="N421" s="31">
        <v>0</v>
      </c>
      <c r="O421" s="31">
        <v>0</v>
      </c>
      <c r="P421" s="31">
        <v>0</v>
      </c>
      <c r="Q421" s="31">
        <v>0</v>
      </c>
      <c r="R421" s="31">
        <v>0</v>
      </c>
      <c r="S421" s="31">
        <v>0</v>
      </c>
      <c r="T421" s="31">
        <v>0</v>
      </c>
      <c r="U421" s="31">
        <v>0</v>
      </c>
      <c r="V421" s="31">
        <v>0</v>
      </c>
      <c r="W421" s="31">
        <v>0</v>
      </c>
      <c r="X421" s="31">
        <v>0</v>
      </c>
      <c r="Y421" s="31">
        <v>0</v>
      </c>
      <c r="Z421" s="31">
        <v>0</v>
      </c>
      <c r="AA421" s="31">
        <v>0</v>
      </c>
      <c r="AB421" s="31">
        <v>0</v>
      </c>
      <c r="AC421" s="31">
        <v>0</v>
      </c>
      <c r="AD421" s="31">
        <v>0</v>
      </c>
      <c r="AE421" s="31">
        <v>0</v>
      </c>
      <c r="AF421" s="31">
        <v>0</v>
      </c>
      <c r="AG421" s="31">
        <v>0</v>
      </c>
      <c r="AH421" s="31">
        <v>0</v>
      </c>
    </row>
    <row r="422" spans="1:34" x14ac:dyDescent="0.25">
      <c r="A422" s="31">
        <v>8</v>
      </c>
      <c r="B422" s="31">
        <v>13809</v>
      </c>
      <c r="C422" s="31">
        <v>1</v>
      </c>
      <c r="D422" s="31" t="s">
        <v>773</v>
      </c>
      <c r="E422" s="31"/>
      <c r="F422" s="31">
        <v>0</v>
      </c>
      <c r="G422" s="31">
        <v>0</v>
      </c>
      <c r="H422" s="31">
        <v>0</v>
      </c>
      <c r="I422" s="31">
        <v>0</v>
      </c>
      <c r="J422" s="31">
        <v>0</v>
      </c>
      <c r="K422" s="31" t="s">
        <v>882</v>
      </c>
      <c r="L422" s="31">
        <v>0</v>
      </c>
      <c r="M422" s="31">
        <v>0</v>
      </c>
      <c r="N422" s="31">
        <v>0</v>
      </c>
      <c r="O422" s="31">
        <v>0</v>
      </c>
      <c r="P422" s="31">
        <v>0</v>
      </c>
      <c r="Q422" s="31">
        <v>0</v>
      </c>
      <c r="R422" s="31">
        <v>0</v>
      </c>
      <c r="S422" s="31">
        <v>0</v>
      </c>
      <c r="T422" s="31">
        <v>0</v>
      </c>
      <c r="U422" s="31">
        <v>0</v>
      </c>
      <c r="V422" s="31">
        <v>0</v>
      </c>
      <c r="W422" s="31">
        <v>0</v>
      </c>
      <c r="X422" s="31">
        <v>0</v>
      </c>
      <c r="Y422" s="31">
        <v>0</v>
      </c>
      <c r="Z422" s="31">
        <v>0</v>
      </c>
      <c r="AA422" s="31">
        <v>0</v>
      </c>
      <c r="AB422" s="31">
        <v>0</v>
      </c>
      <c r="AC422" s="31">
        <v>0</v>
      </c>
      <c r="AD422" s="31">
        <v>0</v>
      </c>
      <c r="AE422" s="31">
        <v>0</v>
      </c>
      <c r="AF422" s="31">
        <v>0</v>
      </c>
      <c r="AG422" s="31">
        <v>0</v>
      </c>
      <c r="AH422" s="31">
        <v>0</v>
      </c>
    </row>
    <row r="423" spans="1:34" x14ac:dyDescent="0.25">
      <c r="A423" s="31">
        <v>8</v>
      </c>
      <c r="B423" s="31">
        <v>13809</v>
      </c>
      <c r="C423" s="31">
        <v>2</v>
      </c>
      <c r="D423" s="31" t="s">
        <v>769</v>
      </c>
      <c r="E423" s="31"/>
      <c r="F423" s="31">
        <v>0</v>
      </c>
      <c r="G423" s="31">
        <v>0</v>
      </c>
      <c r="H423" s="31">
        <v>0</v>
      </c>
      <c r="I423" s="31">
        <v>0</v>
      </c>
      <c r="J423" s="31">
        <v>0</v>
      </c>
      <c r="K423" s="31" t="s">
        <v>882</v>
      </c>
      <c r="L423" s="31">
        <v>0</v>
      </c>
      <c r="M423" s="31">
        <v>0</v>
      </c>
      <c r="N423" s="31">
        <v>0</v>
      </c>
      <c r="O423" s="31">
        <v>0</v>
      </c>
      <c r="P423" s="31">
        <v>0</v>
      </c>
      <c r="Q423" s="31">
        <v>0</v>
      </c>
      <c r="R423" s="31">
        <v>0</v>
      </c>
      <c r="S423" s="31">
        <v>0</v>
      </c>
      <c r="T423" s="31">
        <v>0</v>
      </c>
      <c r="U423" s="31">
        <v>0</v>
      </c>
      <c r="V423" s="31">
        <v>0</v>
      </c>
      <c r="W423" s="31">
        <v>0</v>
      </c>
      <c r="X423" s="31">
        <v>0</v>
      </c>
      <c r="Y423" s="31">
        <v>0</v>
      </c>
      <c r="Z423" s="31">
        <v>0</v>
      </c>
      <c r="AA423" s="31">
        <v>0</v>
      </c>
      <c r="AB423" s="31">
        <v>0</v>
      </c>
      <c r="AC423" s="31">
        <v>0</v>
      </c>
      <c r="AD423" s="31">
        <v>0</v>
      </c>
      <c r="AE423" s="31">
        <v>0</v>
      </c>
      <c r="AF423" s="31">
        <v>0</v>
      </c>
      <c r="AG423" s="31">
        <v>0</v>
      </c>
      <c r="AH423" s="31">
        <v>0</v>
      </c>
    </row>
    <row r="424" spans="1:34" x14ac:dyDescent="0.25">
      <c r="A424" s="31">
        <v>8</v>
      </c>
      <c r="B424" s="31">
        <v>13809</v>
      </c>
      <c r="C424" s="31">
        <v>2</v>
      </c>
      <c r="D424" s="31" t="s">
        <v>770</v>
      </c>
      <c r="E424" s="31"/>
      <c r="F424" s="31">
        <v>0</v>
      </c>
      <c r="G424" s="31">
        <v>0</v>
      </c>
      <c r="H424" s="31">
        <v>0</v>
      </c>
      <c r="I424" s="31">
        <v>0</v>
      </c>
      <c r="J424" s="31">
        <v>0</v>
      </c>
      <c r="K424" s="31" t="s">
        <v>882</v>
      </c>
      <c r="L424" s="31">
        <v>0</v>
      </c>
      <c r="M424" s="31">
        <v>0</v>
      </c>
      <c r="N424" s="31">
        <v>0</v>
      </c>
      <c r="O424" s="31">
        <v>0</v>
      </c>
      <c r="P424" s="31">
        <v>0</v>
      </c>
      <c r="Q424" s="31">
        <v>0</v>
      </c>
      <c r="R424" s="31">
        <v>0</v>
      </c>
      <c r="S424" s="31">
        <v>0</v>
      </c>
      <c r="T424" s="31">
        <v>0</v>
      </c>
      <c r="U424" s="31">
        <v>0</v>
      </c>
      <c r="V424" s="31">
        <v>0</v>
      </c>
      <c r="W424" s="31">
        <v>0</v>
      </c>
      <c r="X424" s="31">
        <v>0</v>
      </c>
      <c r="Y424" s="31">
        <v>0</v>
      </c>
      <c r="Z424" s="31">
        <v>0</v>
      </c>
      <c r="AA424" s="31">
        <v>0</v>
      </c>
      <c r="AB424" s="31">
        <v>0</v>
      </c>
      <c r="AC424" s="31">
        <v>0</v>
      </c>
      <c r="AD424" s="31">
        <v>0</v>
      </c>
      <c r="AE424" s="31">
        <v>0</v>
      </c>
      <c r="AF424" s="31">
        <v>0</v>
      </c>
      <c r="AG424" s="31">
        <v>0</v>
      </c>
      <c r="AH424" s="31">
        <v>0</v>
      </c>
    </row>
    <row r="425" spans="1:34" x14ac:dyDescent="0.25">
      <c r="A425" s="31">
        <v>8</v>
      </c>
      <c r="B425" s="31">
        <v>13809</v>
      </c>
      <c r="C425" s="31">
        <v>2</v>
      </c>
      <c r="D425" s="31" t="s">
        <v>771</v>
      </c>
      <c r="E425" s="31"/>
      <c r="F425" s="31">
        <v>0</v>
      </c>
      <c r="G425" s="31">
        <v>0</v>
      </c>
      <c r="H425" s="31">
        <v>0</v>
      </c>
      <c r="I425" s="31">
        <v>0</v>
      </c>
      <c r="J425" s="31">
        <v>0</v>
      </c>
      <c r="K425" s="31" t="s">
        <v>882</v>
      </c>
      <c r="L425" s="31">
        <v>0</v>
      </c>
      <c r="M425" s="31">
        <v>0</v>
      </c>
      <c r="N425" s="31">
        <v>0</v>
      </c>
      <c r="O425" s="31">
        <v>0</v>
      </c>
      <c r="P425" s="31">
        <v>0</v>
      </c>
      <c r="Q425" s="31">
        <v>0</v>
      </c>
      <c r="R425" s="31">
        <v>0</v>
      </c>
      <c r="S425" s="31">
        <v>0</v>
      </c>
      <c r="T425" s="31">
        <v>0</v>
      </c>
      <c r="U425" s="31">
        <v>0</v>
      </c>
      <c r="V425" s="31">
        <v>0</v>
      </c>
      <c r="W425" s="31">
        <v>0</v>
      </c>
      <c r="X425" s="31">
        <v>0</v>
      </c>
      <c r="Y425" s="31">
        <v>0</v>
      </c>
      <c r="Z425" s="31">
        <v>0</v>
      </c>
      <c r="AA425" s="31">
        <v>0</v>
      </c>
      <c r="AB425" s="31">
        <v>0</v>
      </c>
      <c r="AC425" s="31">
        <v>0</v>
      </c>
      <c r="AD425" s="31">
        <v>0</v>
      </c>
      <c r="AE425" s="31">
        <v>0</v>
      </c>
      <c r="AF425" s="31">
        <v>0</v>
      </c>
      <c r="AG425" s="31">
        <v>0</v>
      </c>
      <c r="AH425" s="31">
        <v>0</v>
      </c>
    </row>
    <row r="426" spans="1:34" x14ac:dyDescent="0.25">
      <c r="A426" s="31">
        <v>8</v>
      </c>
      <c r="B426" s="31">
        <v>13809</v>
      </c>
      <c r="C426" s="31">
        <v>2</v>
      </c>
      <c r="D426" s="31" t="s">
        <v>956</v>
      </c>
      <c r="E426" s="31"/>
      <c r="F426" s="31">
        <v>0</v>
      </c>
      <c r="G426" s="31">
        <v>0</v>
      </c>
      <c r="H426" s="31">
        <v>0</v>
      </c>
      <c r="I426" s="31">
        <v>0</v>
      </c>
      <c r="J426" s="31">
        <v>0</v>
      </c>
      <c r="K426" s="31" t="s">
        <v>882</v>
      </c>
      <c r="L426" s="31">
        <v>0</v>
      </c>
      <c r="M426" s="31">
        <v>0</v>
      </c>
      <c r="N426" s="31">
        <v>0</v>
      </c>
      <c r="O426" s="31">
        <v>0</v>
      </c>
      <c r="P426" s="31">
        <v>0</v>
      </c>
      <c r="Q426" s="31">
        <v>0</v>
      </c>
      <c r="R426" s="31">
        <v>0</v>
      </c>
      <c r="S426" s="31">
        <v>0</v>
      </c>
      <c r="T426" s="31">
        <v>0</v>
      </c>
      <c r="U426" s="31">
        <v>0</v>
      </c>
      <c r="V426" s="31">
        <v>0</v>
      </c>
      <c r="W426" s="31">
        <v>0</v>
      </c>
      <c r="X426" s="31">
        <v>0</v>
      </c>
      <c r="Y426" s="31">
        <v>0</v>
      </c>
      <c r="Z426" s="31">
        <v>0</v>
      </c>
      <c r="AA426" s="31">
        <v>0</v>
      </c>
      <c r="AB426" s="31">
        <v>0</v>
      </c>
      <c r="AC426" s="31">
        <v>0</v>
      </c>
      <c r="AD426" s="31">
        <v>0</v>
      </c>
      <c r="AE426" s="31">
        <v>0</v>
      </c>
      <c r="AF426" s="31">
        <v>0</v>
      </c>
      <c r="AG426" s="31">
        <v>0</v>
      </c>
      <c r="AH426" s="31">
        <v>0</v>
      </c>
    </row>
    <row r="427" spans="1:34" x14ac:dyDescent="0.25">
      <c r="A427" s="31">
        <v>8</v>
      </c>
      <c r="B427" s="31">
        <v>13809</v>
      </c>
      <c r="C427" s="31">
        <v>2</v>
      </c>
      <c r="D427" s="31" t="s">
        <v>772</v>
      </c>
      <c r="E427" s="31"/>
      <c r="F427" s="31">
        <v>0</v>
      </c>
      <c r="G427" s="31">
        <v>0</v>
      </c>
      <c r="H427" s="31">
        <v>0</v>
      </c>
      <c r="I427" s="31">
        <v>0</v>
      </c>
      <c r="J427" s="31">
        <v>0</v>
      </c>
      <c r="K427" s="31" t="s">
        <v>882</v>
      </c>
      <c r="L427" s="31">
        <v>0</v>
      </c>
      <c r="M427" s="31">
        <v>0</v>
      </c>
      <c r="N427" s="31">
        <v>0</v>
      </c>
      <c r="O427" s="31">
        <v>0</v>
      </c>
      <c r="P427" s="31">
        <v>0</v>
      </c>
      <c r="Q427" s="31">
        <v>0</v>
      </c>
      <c r="R427" s="31">
        <v>0</v>
      </c>
      <c r="S427" s="31">
        <v>0</v>
      </c>
      <c r="T427" s="31">
        <v>0</v>
      </c>
      <c r="U427" s="31">
        <v>0</v>
      </c>
      <c r="V427" s="31">
        <v>0</v>
      </c>
      <c r="W427" s="31">
        <v>0</v>
      </c>
      <c r="X427" s="31">
        <v>0</v>
      </c>
      <c r="Y427" s="31">
        <v>0</v>
      </c>
      <c r="Z427" s="31">
        <v>0</v>
      </c>
      <c r="AA427" s="31">
        <v>0</v>
      </c>
      <c r="AB427" s="31">
        <v>0</v>
      </c>
      <c r="AC427" s="31">
        <v>0</v>
      </c>
      <c r="AD427" s="31">
        <v>0</v>
      </c>
      <c r="AE427" s="31">
        <v>0</v>
      </c>
      <c r="AF427" s="31">
        <v>0</v>
      </c>
      <c r="AG427" s="31">
        <v>0</v>
      </c>
      <c r="AH427" s="31">
        <v>0</v>
      </c>
    </row>
    <row r="428" spans="1:34" x14ac:dyDescent="0.25">
      <c r="A428" s="31">
        <v>8</v>
      </c>
      <c r="B428" s="31">
        <v>13809</v>
      </c>
      <c r="C428" s="31">
        <v>2</v>
      </c>
      <c r="D428" s="31" t="s">
        <v>774</v>
      </c>
      <c r="E428" s="31"/>
      <c r="F428" s="31">
        <v>0</v>
      </c>
      <c r="G428" s="31">
        <v>0</v>
      </c>
      <c r="H428" s="31">
        <v>0</v>
      </c>
      <c r="I428" s="31">
        <v>0</v>
      </c>
      <c r="J428" s="31">
        <v>0</v>
      </c>
      <c r="K428" s="31" t="s">
        <v>882</v>
      </c>
      <c r="L428" s="31">
        <v>0</v>
      </c>
      <c r="M428" s="31">
        <v>0</v>
      </c>
      <c r="N428" s="31">
        <v>0</v>
      </c>
      <c r="O428" s="31">
        <v>0</v>
      </c>
      <c r="P428" s="31">
        <v>0</v>
      </c>
      <c r="Q428" s="31">
        <v>0</v>
      </c>
      <c r="R428" s="31">
        <v>0</v>
      </c>
      <c r="S428" s="31">
        <v>0</v>
      </c>
      <c r="T428" s="31">
        <v>0</v>
      </c>
      <c r="U428" s="31">
        <v>0</v>
      </c>
      <c r="V428" s="31">
        <v>0</v>
      </c>
      <c r="W428" s="31">
        <v>0</v>
      </c>
      <c r="X428" s="31">
        <v>0</v>
      </c>
      <c r="Y428" s="31">
        <v>0</v>
      </c>
      <c r="Z428" s="31">
        <v>0</v>
      </c>
      <c r="AA428" s="31">
        <v>0</v>
      </c>
      <c r="AB428" s="31">
        <v>0</v>
      </c>
      <c r="AC428" s="31">
        <v>0</v>
      </c>
      <c r="AD428" s="31">
        <v>0</v>
      </c>
      <c r="AE428" s="31">
        <v>0</v>
      </c>
      <c r="AF428" s="31">
        <v>0</v>
      </c>
      <c r="AG428" s="31">
        <v>0</v>
      </c>
      <c r="AH428" s="31">
        <v>0</v>
      </c>
    </row>
    <row r="429" spans="1:34" x14ac:dyDescent="0.25">
      <c r="A429" s="31">
        <v>8</v>
      </c>
      <c r="B429" s="31">
        <v>13811</v>
      </c>
      <c r="C429" s="31" t="s">
        <v>239</v>
      </c>
      <c r="D429" s="31" t="s">
        <v>775</v>
      </c>
      <c r="E429" s="31"/>
      <c r="F429" s="31">
        <v>0</v>
      </c>
      <c r="G429" s="31">
        <v>0</v>
      </c>
      <c r="H429" s="31">
        <v>0</v>
      </c>
      <c r="I429" s="31">
        <v>0</v>
      </c>
      <c r="J429" s="31">
        <v>0</v>
      </c>
      <c r="K429" s="31" t="s">
        <v>882</v>
      </c>
      <c r="L429" s="31">
        <v>0</v>
      </c>
      <c r="M429" s="31">
        <v>0</v>
      </c>
      <c r="N429" s="31">
        <v>0</v>
      </c>
      <c r="O429" s="31">
        <v>0</v>
      </c>
      <c r="P429" s="31">
        <v>0</v>
      </c>
      <c r="Q429" s="31">
        <v>0</v>
      </c>
      <c r="R429" s="31">
        <v>0</v>
      </c>
      <c r="S429" s="31">
        <v>0</v>
      </c>
      <c r="T429" s="31">
        <v>0</v>
      </c>
      <c r="U429" s="31">
        <v>0</v>
      </c>
      <c r="V429" s="31">
        <v>0</v>
      </c>
      <c r="W429" s="31">
        <v>0</v>
      </c>
      <c r="X429" s="31">
        <v>0</v>
      </c>
      <c r="Y429" s="31">
        <v>0</v>
      </c>
      <c r="Z429" s="31">
        <v>0</v>
      </c>
      <c r="AA429" s="31">
        <v>0</v>
      </c>
      <c r="AB429" s="31">
        <v>0</v>
      </c>
      <c r="AC429" s="31">
        <v>0</v>
      </c>
      <c r="AD429" s="31">
        <v>0</v>
      </c>
      <c r="AE429" s="31">
        <v>0</v>
      </c>
      <c r="AF429" s="31">
        <v>0</v>
      </c>
      <c r="AG429" s="31">
        <v>0</v>
      </c>
      <c r="AH429" s="31">
        <v>0</v>
      </c>
    </row>
    <row r="430" spans="1:34" x14ac:dyDescent="0.25">
      <c r="A430" s="31">
        <v>8</v>
      </c>
      <c r="B430" s="31">
        <v>13811</v>
      </c>
      <c r="C430" s="31" t="s">
        <v>239</v>
      </c>
      <c r="D430" s="31" t="s">
        <v>776</v>
      </c>
      <c r="E430" s="31"/>
      <c r="F430" s="31">
        <v>0</v>
      </c>
      <c r="G430" s="31">
        <v>0</v>
      </c>
      <c r="H430" s="31">
        <v>0</v>
      </c>
      <c r="I430" s="31">
        <v>0</v>
      </c>
      <c r="J430" s="31">
        <v>0</v>
      </c>
      <c r="K430" s="31" t="s">
        <v>882</v>
      </c>
      <c r="L430" s="31">
        <v>0</v>
      </c>
      <c r="M430" s="31">
        <v>0</v>
      </c>
      <c r="N430" s="31">
        <v>0</v>
      </c>
      <c r="O430" s="31">
        <v>0</v>
      </c>
      <c r="P430" s="31">
        <v>0</v>
      </c>
      <c r="Q430" s="31">
        <v>0</v>
      </c>
      <c r="R430" s="31">
        <v>0</v>
      </c>
      <c r="S430" s="31">
        <v>0</v>
      </c>
      <c r="T430" s="31">
        <v>0</v>
      </c>
      <c r="U430" s="31">
        <v>0</v>
      </c>
      <c r="V430" s="31">
        <v>0</v>
      </c>
      <c r="W430" s="31">
        <v>0</v>
      </c>
      <c r="X430" s="31">
        <v>0</v>
      </c>
      <c r="Y430" s="31">
        <v>0</v>
      </c>
      <c r="Z430" s="31">
        <v>0</v>
      </c>
      <c r="AA430" s="31">
        <v>0</v>
      </c>
      <c r="AB430" s="31">
        <v>0</v>
      </c>
      <c r="AC430" s="31">
        <v>0</v>
      </c>
      <c r="AD430" s="31">
        <v>0</v>
      </c>
      <c r="AE430" s="31">
        <v>0</v>
      </c>
      <c r="AF430" s="31">
        <v>0</v>
      </c>
      <c r="AG430" s="31">
        <v>0</v>
      </c>
      <c r="AH430" s="31">
        <v>0</v>
      </c>
    </row>
    <row r="431" spans="1:34" x14ac:dyDescent="0.25">
      <c r="A431" s="31">
        <v>8</v>
      </c>
      <c r="B431" s="31">
        <v>13809</v>
      </c>
      <c r="C431" s="31">
        <v>1</v>
      </c>
      <c r="D431" s="31" t="s">
        <v>777</v>
      </c>
      <c r="E431" s="31"/>
      <c r="F431" s="31">
        <v>0</v>
      </c>
      <c r="G431" s="31">
        <v>0</v>
      </c>
      <c r="H431" s="31">
        <v>0</v>
      </c>
      <c r="I431" s="31">
        <v>0</v>
      </c>
      <c r="J431" s="31">
        <v>0</v>
      </c>
      <c r="K431" s="31" t="s">
        <v>882</v>
      </c>
      <c r="L431" s="31">
        <v>0</v>
      </c>
      <c r="M431" s="31">
        <v>0</v>
      </c>
      <c r="N431" s="31">
        <v>0</v>
      </c>
      <c r="O431" s="31">
        <v>0</v>
      </c>
      <c r="P431" s="31">
        <v>0</v>
      </c>
      <c r="Q431" s="31">
        <v>0</v>
      </c>
      <c r="R431" s="31">
        <v>0</v>
      </c>
      <c r="S431" s="31">
        <v>0</v>
      </c>
      <c r="T431" s="31">
        <v>0</v>
      </c>
      <c r="U431" s="31">
        <v>0</v>
      </c>
      <c r="V431" s="31">
        <v>0</v>
      </c>
      <c r="W431" s="31">
        <v>0</v>
      </c>
      <c r="X431" s="31">
        <v>0</v>
      </c>
      <c r="Y431" s="31">
        <v>0</v>
      </c>
      <c r="Z431" s="31">
        <v>0</v>
      </c>
      <c r="AA431" s="31">
        <v>0</v>
      </c>
      <c r="AB431" s="31">
        <v>0</v>
      </c>
      <c r="AC431" s="31">
        <v>0</v>
      </c>
      <c r="AD431" s="31">
        <v>0</v>
      </c>
      <c r="AE431" s="31">
        <v>0</v>
      </c>
      <c r="AF431" s="31">
        <v>0</v>
      </c>
      <c r="AG431" s="31">
        <v>0</v>
      </c>
      <c r="AH431" s="31">
        <v>0</v>
      </c>
    </row>
    <row r="432" spans="1:34" x14ac:dyDescent="0.25">
      <c r="A432" s="31">
        <v>8</v>
      </c>
      <c r="B432" s="31">
        <v>13809</v>
      </c>
      <c r="C432" s="31">
        <v>1</v>
      </c>
      <c r="D432" s="31" t="s">
        <v>778</v>
      </c>
      <c r="E432" s="31"/>
      <c r="F432" s="31">
        <v>0</v>
      </c>
      <c r="G432" s="31">
        <v>0</v>
      </c>
      <c r="H432" s="31">
        <v>0</v>
      </c>
      <c r="I432" s="31">
        <v>0</v>
      </c>
      <c r="J432" s="31">
        <v>0</v>
      </c>
      <c r="K432" s="31" t="s">
        <v>882</v>
      </c>
      <c r="L432" s="31">
        <v>0</v>
      </c>
      <c r="M432" s="31">
        <v>0</v>
      </c>
      <c r="N432" s="31">
        <v>0</v>
      </c>
      <c r="O432" s="31">
        <v>0</v>
      </c>
      <c r="P432" s="31">
        <v>0</v>
      </c>
      <c r="Q432" s="31">
        <v>0</v>
      </c>
      <c r="R432" s="31">
        <v>0</v>
      </c>
      <c r="S432" s="31">
        <v>0</v>
      </c>
      <c r="T432" s="31">
        <v>0</v>
      </c>
      <c r="U432" s="31">
        <v>0</v>
      </c>
      <c r="V432" s="31">
        <v>0</v>
      </c>
      <c r="W432" s="31">
        <v>0</v>
      </c>
      <c r="X432" s="31">
        <v>0</v>
      </c>
      <c r="Y432" s="31">
        <v>0</v>
      </c>
      <c r="Z432" s="31">
        <v>0</v>
      </c>
      <c r="AA432" s="31">
        <v>0</v>
      </c>
      <c r="AB432" s="31">
        <v>0</v>
      </c>
      <c r="AC432" s="31">
        <v>0</v>
      </c>
      <c r="AD432" s="31">
        <v>0</v>
      </c>
      <c r="AE432" s="31">
        <v>0</v>
      </c>
      <c r="AF432" s="31">
        <v>0</v>
      </c>
      <c r="AG432" s="31">
        <v>0</v>
      </c>
      <c r="AH432" s="31">
        <v>0</v>
      </c>
    </row>
    <row r="433" spans="1:34" x14ac:dyDescent="0.25">
      <c r="A433" s="31">
        <v>8</v>
      </c>
      <c r="B433" s="31">
        <v>13809</v>
      </c>
      <c r="C433" s="31">
        <v>1</v>
      </c>
      <c r="D433" s="31" t="s">
        <v>779</v>
      </c>
      <c r="E433" s="31"/>
      <c r="F433" s="31">
        <v>0</v>
      </c>
      <c r="G433" s="31">
        <v>0</v>
      </c>
      <c r="H433" s="31">
        <v>0</v>
      </c>
      <c r="I433" s="31">
        <v>0</v>
      </c>
      <c r="J433" s="31">
        <v>0</v>
      </c>
      <c r="K433" s="31" t="s">
        <v>882</v>
      </c>
      <c r="L433" s="31">
        <v>0</v>
      </c>
      <c r="M433" s="31">
        <v>0</v>
      </c>
      <c r="N433" s="31">
        <v>0</v>
      </c>
      <c r="O433" s="31">
        <v>0</v>
      </c>
      <c r="P433" s="31">
        <v>0</v>
      </c>
      <c r="Q433" s="31">
        <v>0</v>
      </c>
      <c r="R433" s="31">
        <v>0</v>
      </c>
      <c r="S433" s="31">
        <v>0</v>
      </c>
      <c r="T433" s="31">
        <v>0</v>
      </c>
      <c r="U433" s="31">
        <v>0</v>
      </c>
      <c r="V433" s="31">
        <v>0</v>
      </c>
      <c r="W433" s="31">
        <v>0</v>
      </c>
      <c r="X433" s="31">
        <v>0</v>
      </c>
      <c r="Y433" s="31">
        <v>0</v>
      </c>
      <c r="Z433" s="31">
        <v>0</v>
      </c>
      <c r="AA433" s="31">
        <v>0</v>
      </c>
      <c r="AB433" s="31">
        <v>0</v>
      </c>
      <c r="AC433" s="31">
        <v>0</v>
      </c>
      <c r="AD433" s="31">
        <v>0</v>
      </c>
      <c r="AE433" s="31">
        <v>0</v>
      </c>
      <c r="AF433" s="31">
        <v>0</v>
      </c>
      <c r="AG433" s="31">
        <v>0</v>
      </c>
      <c r="AH433" s="31">
        <v>0</v>
      </c>
    </row>
    <row r="434" spans="1:34" x14ac:dyDescent="0.25">
      <c r="A434" s="31">
        <v>8</v>
      </c>
      <c r="B434" s="31">
        <v>13809</v>
      </c>
      <c r="C434" s="31">
        <v>1</v>
      </c>
      <c r="D434" s="31" t="s">
        <v>780</v>
      </c>
      <c r="E434" s="31"/>
      <c r="F434" s="31">
        <v>0</v>
      </c>
      <c r="G434" s="31">
        <v>0</v>
      </c>
      <c r="H434" s="31">
        <v>0</v>
      </c>
      <c r="I434" s="31">
        <v>0</v>
      </c>
      <c r="J434" s="31">
        <v>0</v>
      </c>
      <c r="K434" s="31" t="s">
        <v>882</v>
      </c>
      <c r="L434" s="31">
        <v>0</v>
      </c>
      <c r="M434" s="31">
        <v>0</v>
      </c>
      <c r="N434" s="31">
        <v>0</v>
      </c>
      <c r="O434" s="31">
        <v>0</v>
      </c>
      <c r="P434" s="31">
        <v>0</v>
      </c>
      <c r="Q434" s="31">
        <v>0</v>
      </c>
      <c r="R434" s="31">
        <v>0</v>
      </c>
      <c r="S434" s="31">
        <v>0</v>
      </c>
      <c r="T434" s="31">
        <v>0</v>
      </c>
      <c r="U434" s="31">
        <v>0</v>
      </c>
      <c r="V434" s="31">
        <v>0</v>
      </c>
      <c r="W434" s="31">
        <v>0</v>
      </c>
      <c r="X434" s="31">
        <v>0</v>
      </c>
      <c r="Y434" s="31">
        <v>0</v>
      </c>
      <c r="Z434" s="31">
        <v>0</v>
      </c>
      <c r="AA434" s="31">
        <v>0</v>
      </c>
      <c r="AB434" s="31">
        <v>0</v>
      </c>
      <c r="AC434" s="31">
        <v>0</v>
      </c>
      <c r="AD434" s="31">
        <v>0</v>
      </c>
      <c r="AE434" s="31">
        <v>0</v>
      </c>
      <c r="AF434" s="31">
        <v>0</v>
      </c>
      <c r="AG434" s="31">
        <v>0</v>
      </c>
      <c r="AH434" s="31">
        <v>0</v>
      </c>
    </row>
    <row r="435" spans="1:34" x14ac:dyDescent="0.25">
      <c r="A435" s="31">
        <v>8</v>
      </c>
      <c r="B435" s="31">
        <v>13809</v>
      </c>
      <c r="C435" s="31">
        <v>1</v>
      </c>
      <c r="D435" s="31" t="s">
        <v>781</v>
      </c>
      <c r="E435" s="31"/>
      <c r="F435" s="31">
        <v>0</v>
      </c>
      <c r="G435" s="31">
        <v>0</v>
      </c>
      <c r="H435" s="31">
        <v>0</v>
      </c>
      <c r="I435" s="31">
        <v>0</v>
      </c>
      <c r="J435" s="31">
        <v>0</v>
      </c>
      <c r="K435" s="31" t="s">
        <v>882</v>
      </c>
      <c r="L435" s="31">
        <v>0</v>
      </c>
      <c r="M435" s="31">
        <v>0</v>
      </c>
      <c r="N435" s="31">
        <v>0</v>
      </c>
      <c r="O435" s="31">
        <v>0</v>
      </c>
      <c r="P435" s="31">
        <v>0</v>
      </c>
      <c r="Q435" s="31">
        <v>0</v>
      </c>
      <c r="R435" s="31">
        <v>0</v>
      </c>
      <c r="S435" s="31">
        <v>0</v>
      </c>
      <c r="T435" s="31">
        <v>0</v>
      </c>
      <c r="U435" s="31">
        <v>0</v>
      </c>
      <c r="V435" s="31">
        <v>0</v>
      </c>
      <c r="W435" s="31">
        <v>0</v>
      </c>
      <c r="X435" s="31">
        <v>0</v>
      </c>
      <c r="Y435" s="31">
        <v>0</v>
      </c>
      <c r="Z435" s="31">
        <v>0</v>
      </c>
      <c r="AA435" s="31">
        <v>0</v>
      </c>
      <c r="AB435" s="31">
        <v>0</v>
      </c>
      <c r="AC435" s="31">
        <v>0</v>
      </c>
      <c r="AD435" s="31">
        <v>0</v>
      </c>
      <c r="AE435" s="31">
        <v>0</v>
      </c>
      <c r="AF435" s="31">
        <v>0</v>
      </c>
      <c r="AG435" s="31">
        <v>0</v>
      </c>
      <c r="AH435" s="31">
        <v>0</v>
      </c>
    </row>
    <row r="436" spans="1:34" x14ac:dyDescent="0.25">
      <c r="A436" s="31">
        <v>8</v>
      </c>
      <c r="B436" s="31">
        <v>13809</v>
      </c>
      <c r="C436" s="31">
        <v>1</v>
      </c>
      <c r="D436" s="31" t="s">
        <v>782</v>
      </c>
      <c r="E436" s="31"/>
      <c r="F436" s="31">
        <v>0</v>
      </c>
      <c r="G436" s="31">
        <v>0</v>
      </c>
      <c r="H436" s="31">
        <v>0</v>
      </c>
      <c r="I436" s="31">
        <v>0</v>
      </c>
      <c r="J436" s="31">
        <v>0</v>
      </c>
      <c r="K436" s="31" t="s">
        <v>882</v>
      </c>
      <c r="L436" s="31">
        <v>0</v>
      </c>
      <c r="M436" s="31">
        <v>0</v>
      </c>
      <c r="N436" s="31">
        <v>0</v>
      </c>
      <c r="O436" s="31">
        <v>0</v>
      </c>
      <c r="P436" s="31">
        <v>0</v>
      </c>
      <c r="Q436" s="31">
        <v>0</v>
      </c>
      <c r="R436" s="31">
        <v>0</v>
      </c>
      <c r="S436" s="31">
        <v>0</v>
      </c>
      <c r="T436" s="31">
        <v>0</v>
      </c>
      <c r="U436" s="31">
        <v>0</v>
      </c>
      <c r="V436" s="31">
        <v>0</v>
      </c>
      <c r="W436" s="31">
        <v>0</v>
      </c>
      <c r="X436" s="31">
        <v>0</v>
      </c>
      <c r="Y436" s="31">
        <v>0</v>
      </c>
      <c r="Z436" s="31">
        <v>0</v>
      </c>
      <c r="AA436" s="31">
        <v>0</v>
      </c>
      <c r="AB436" s="31">
        <v>0</v>
      </c>
      <c r="AC436" s="31">
        <v>0</v>
      </c>
      <c r="AD436" s="31">
        <v>0</v>
      </c>
      <c r="AE436" s="31">
        <v>0</v>
      </c>
      <c r="AF436" s="31">
        <v>0</v>
      </c>
      <c r="AG436" s="31">
        <v>0</v>
      </c>
      <c r="AH436" s="31">
        <v>0</v>
      </c>
    </row>
    <row r="437" spans="1:34" x14ac:dyDescent="0.25">
      <c r="A437" s="31">
        <v>8</v>
      </c>
      <c r="B437" s="31">
        <v>13809</v>
      </c>
      <c r="C437" s="31">
        <v>2</v>
      </c>
      <c r="D437" s="31" t="s">
        <v>777</v>
      </c>
      <c r="E437" s="31"/>
      <c r="F437" s="31">
        <v>0</v>
      </c>
      <c r="G437" s="31">
        <v>0</v>
      </c>
      <c r="H437" s="31">
        <v>0</v>
      </c>
      <c r="I437" s="31">
        <v>0</v>
      </c>
      <c r="J437" s="31">
        <v>0</v>
      </c>
      <c r="K437" s="31" t="s">
        <v>882</v>
      </c>
      <c r="L437" s="31">
        <v>0</v>
      </c>
      <c r="M437" s="31">
        <v>0</v>
      </c>
      <c r="N437" s="31">
        <v>0</v>
      </c>
      <c r="O437" s="31">
        <v>0</v>
      </c>
      <c r="P437" s="31">
        <v>0</v>
      </c>
      <c r="Q437" s="31">
        <v>0</v>
      </c>
      <c r="R437" s="31">
        <v>0</v>
      </c>
      <c r="S437" s="31">
        <v>0</v>
      </c>
      <c r="T437" s="31">
        <v>0</v>
      </c>
      <c r="U437" s="31">
        <v>0</v>
      </c>
      <c r="V437" s="31">
        <v>0</v>
      </c>
      <c r="W437" s="31">
        <v>0</v>
      </c>
      <c r="X437" s="31">
        <v>0</v>
      </c>
      <c r="Y437" s="31">
        <v>0</v>
      </c>
      <c r="Z437" s="31">
        <v>0</v>
      </c>
      <c r="AA437" s="31">
        <v>0</v>
      </c>
      <c r="AB437" s="31">
        <v>0</v>
      </c>
      <c r="AC437" s="31">
        <v>0</v>
      </c>
      <c r="AD437" s="31">
        <v>0</v>
      </c>
      <c r="AE437" s="31">
        <v>0</v>
      </c>
      <c r="AF437" s="31">
        <v>0</v>
      </c>
      <c r="AG437" s="31">
        <v>0</v>
      </c>
      <c r="AH437" s="31">
        <v>0</v>
      </c>
    </row>
    <row r="438" spans="1:34" x14ac:dyDescent="0.25">
      <c r="A438" s="31">
        <v>8</v>
      </c>
      <c r="B438" s="31">
        <v>13809</v>
      </c>
      <c r="C438" s="31">
        <v>2</v>
      </c>
      <c r="D438" s="31" t="s">
        <v>778</v>
      </c>
      <c r="E438" s="31"/>
      <c r="F438" s="31">
        <v>0</v>
      </c>
      <c r="G438" s="31">
        <v>0</v>
      </c>
      <c r="H438" s="31">
        <v>0</v>
      </c>
      <c r="I438" s="31">
        <v>0</v>
      </c>
      <c r="J438" s="31">
        <v>0</v>
      </c>
      <c r="K438" s="31" t="s">
        <v>882</v>
      </c>
      <c r="L438" s="31">
        <v>0</v>
      </c>
      <c r="M438" s="31">
        <v>0</v>
      </c>
      <c r="N438" s="31">
        <v>0</v>
      </c>
      <c r="O438" s="31">
        <v>0</v>
      </c>
      <c r="P438" s="31">
        <v>0</v>
      </c>
      <c r="Q438" s="31">
        <v>0</v>
      </c>
      <c r="R438" s="31">
        <v>0</v>
      </c>
      <c r="S438" s="31">
        <v>0</v>
      </c>
      <c r="T438" s="31">
        <v>0</v>
      </c>
      <c r="U438" s="31">
        <v>0</v>
      </c>
      <c r="V438" s="31">
        <v>0</v>
      </c>
      <c r="W438" s="31">
        <v>0</v>
      </c>
      <c r="X438" s="31">
        <v>0</v>
      </c>
      <c r="Y438" s="31">
        <v>0</v>
      </c>
      <c r="Z438" s="31">
        <v>0</v>
      </c>
      <c r="AA438" s="31">
        <v>0</v>
      </c>
      <c r="AB438" s="31">
        <v>0</v>
      </c>
      <c r="AC438" s="31">
        <v>0</v>
      </c>
      <c r="AD438" s="31">
        <v>0</v>
      </c>
      <c r="AE438" s="31">
        <v>0</v>
      </c>
      <c r="AF438" s="31">
        <v>0</v>
      </c>
      <c r="AG438" s="31">
        <v>0</v>
      </c>
      <c r="AH438" s="31">
        <v>0</v>
      </c>
    </row>
    <row r="439" spans="1:34" x14ac:dyDescent="0.25">
      <c r="A439" s="31">
        <v>8</v>
      </c>
      <c r="B439" s="31">
        <v>13809</v>
      </c>
      <c r="C439" s="31">
        <v>2</v>
      </c>
      <c r="D439" s="31" t="s">
        <v>779</v>
      </c>
      <c r="E439" s="31"/>
      <c r="F439" s="31">
        <v>0</v>
      </c>
      <c r="G439" s="31">
        <v>0</v>
      </c>
      <c r="H439" s="31">
        <v>0</v>
      </c>
      <c r="I439" s="31">
        <v>0</v>
      </c>
      <c r="J439" s="31">
        <v>0</v>
      </c>
      <c r="K439" s="31" t="s">
        <v>882</v>
      </c>
      <c r="L439" s="31">
        <v>0</v>
      </c>
      <c r="M439" s="31">
        <v>0</v>
      </c>
      <c r="N439" s="31">
        <v>0</v>
      </c>
      <c r="O439" s="31">
        <v>0</v>
      </c>
      <c r="P439" s="31">
        <v>0</v>
      </c>
      <c r="Q439" s="31">
        <v>0</v>
      </c>
      <c r="R439" s="31">
        <v>0</v>
      </c>
      <c r="S439" s="31">
        <v>0</v>
      </c>
      <c r="T439" s="31">
        <v>0</v>
      </c>
      <c r="U439" s="31">
        <v>0</v>
      </c>
      <c r="V439" s="31">
        <v>0</v>
      </c>
      <c r="W439" s="31">
        <v>0</v>
      </c>
      <c r="X439" s="31">
        <v>0</v>
      </c>
      <c r="Y439" s="31">
        <v>0</v>
      </c>
      <c r="Z439" s="31">
        <v>0</v>
      </c>
      <c r="AA439" s="31">
        <v>0</v>
      </c>
      <c r="AB439" s="31">
        <v>0</v>
      </c>
      <c r="AC439" s="31">
        <v>0</v>
      </c>
      <c r="AD439" s="31">
        <v>0</v>
      </c>
      <c r="AE439" s="31">
        <v>0</v>
      </c>
      <c r="AF439" s="31">
        <v>0</v>
      </c>
      <c r="AG439" s="31">
        <v>0</v>
      </c>
      <c r="AH439" s="31">
        <v>0</v>
      </c>
    </row>
    <row r="440" spans="1:34" x14ac:dyDescent="0.25">
      <c r="A440" s="31">
        <v>8</v>
      </c>
      <c r="B440" s="31">
        <v>13809</v>
      </c>
      <c r="C440" s="31">
        <v>2</v>
      </c>
      <c r="D440" s="31" t="s">
        <v>780</v>
      </c>
      <c r="E440" s="31"/>
      <c r="F440" s="31">
        <v>0</v>
      </c>
      <c r="G440" s="31">
        <v>0</v>
      </c>
      <c r="H440" s="31">
        <v>0</v>
      </c>
      <c r="I440" s="31">
        <v>0</v>
      </c>
      <c r="J440" s="31">
        <v>0</v>
      </c>
      <c r="K440" s="31" t="s">
        <v>882</v>
      </c>
      <c r="L440" s="31">
        <v>0</v>
      </c>
      <c r="M440" s="31">
        <v>0</v>
      </c>
      <c r="N440" s="31">
        <v>0</v>
      </c>
      <c r="O440" s="31">
        <v>0</v>
      </c>
      <c r="P440" s="31">
        <v>0</v>
      </c>
      <c r="Q440" s="31">
        <v>0</v>
      </c>
      <c r="R440" s="31">
        <v>0</v>
      </c>
      <c r="S440" s="31">
        <v>0</v>
      </c>
      <c r="T440" s="31">
        <v>0</v>
      </c>
      <c r="U440" s="31">
        <v>0</v>
      </c>
      <c r="V440" s="31">
        <v>0</v>
      </c>
      <c r="W440" s="31">
        <v>0</v>
      </c>
      <c r="X440" s="31">
        <v>0</v>
      </c>
      <c r="Y440" s="31">
        <v>0</v>
      </c>
      <c r="Z440" s="31">
        <v>0</v>
      </c>
      <c r="AA440" s="31">
        <v>0</v>
      </c>
      <c r="AB440" s="31">
        <v>0</v>
      </c>
      <c r="AC440" s="31">
        <v>0</v>
      </c>
      <c r="AD440" s="31">
        <v>0</v>
      </c>
      <c r="AE440" s="31">
        <v>0</v>
      </c>
      <c r="AF440" s="31">
        <v>0</v>
      </c>
      <c r="AG440" s="31">
        <v>0</v>
      </c>
      <c r="AH440" s="31">
        <v>0</v>
      </c>
    </row>
    <row r="441" spans="1:34" x14ac:dyDescent="0.25">
      <c r="A441" s="31">
        <v>8</v>
      </c>
      <c r="B441" s="31">
        <v>13809</v>
      </c>
      <c r="C441" s="31">
        <v>2</v>
      </c>
      <c r="D441" s="31" t="s">
        <v>781</v>
      </c>
      <c r="E441" s="31"/>
      <c r="F441" s="31">
        <v>0</v>
      </c>
      <c r="G441" s="31">
        <v>0</v>
      </c>
      <c r="H441" s="31">
        <v>0</v>
      </c>
      <c r="I441" s="31">
        <v>0</v>
      </c>
      <c r="J441" s="31">
        <v>0</v>
      </c>
      <c r="K441" s="31" t="s">
        <v>882</v>
      </c>
      <c r="L441" s="31">
        <v>0</v>
      </c>
      <c r="M441" s="31">
        <v>0</v>
      </c>
      <c r="N441" s="31">
        <v>0</v>
      </c>
      <c r="O441" s="31">
        <v>0</v>
      </c>
      <c r="P441" s="31">
        <v>0</v>
      </c>
      <c r="Q441" s="31">
        <v>0</v>
      </c>
      <c r="R441" s="31">
        <v>0</v>
      </c>
      <c r="S441" s="31">
        <v>0</v>
      </c>
      <c r="T441" s="31">
        <v>0</v>
      </c>
      <c r="U441" s="31">
        <v>0</v>
      </c>
      <c r="V441" s="31">
        <v>0</v>
      </c>
      <c r="W441" s="31">
        <v>0</v>
      </c>
      <c r="X441" s="31">
        <v>0</v>
      </c>
      <c r="Y441" s="31">
        <v>0</v>
      </c>
      <c r="Z441" s="31">
        <v>0</v>
      </c>
      <c r="AA441" s="31">
        <v>0</v>
      </c>
      <c r="AB441" s="31">
        <v>0</v>
      </c>
      <c r="AC441" s="31">
        <v>0</v>
      </c>
      <c r="AD441" s="31">
        <v>0</v>
      </c>
      <c r="AE441" s="31">
        <v>0</v>
      </c>
      <c r="AF441" s="31">
        <v>0</v>
      </c>
      <c r="AG441" s="31">
        <v>0</v>
      </c>
      <c r="AH441" s="31">
        <v>0</v>
      </c>
    </row>
    <row r="442" spans="1:34" x14ac:dyDescent="0.25">
      <c r="A442" s="31">
        <v>8</v>
      </c>
      <c r="B442" s="31">
        <v>13809</v>
      </c>
      <c r="C442" s="31">
        <v>2</v>
      </c>
      <c r="D442" s="31" t="s">
        <v>782</v>
      </c>
      <c r="E442" s="31"/>
      <c r="F442" s="31">
        <v>0</v>
      </c>
      <c r="G442" s="31">
        <v>0</v>
      </c>
      <c r="H442" s="31">
        <v>0</v>
      </c>
      <c r="I442" s="31">
        <v>0</v>
      </c>
      <c r="J442" s="31">
        <v>0</v>
      </c>
      <c r="K442" s="31" t="s">
        <v>882</v>
      </c>
      <c r="L442" s="31">
        <v>0</v>
      </c>
      <c r="M442" s="31">
        <v>0</v>
      </c>
      <c r="N442" s="31">
        <v>0</v>
      </c>
      <c r="O442" s="31">
        <v>0</v>
      </c>
      <c r="P442" s="31">
        <v>0</v>
      </c>
      <c r="Q442" s="31">
        <v>0</v>
      </c>
      <c r="R442" s="31">
        <v>0</v>
      </c>
      <c r="S442" s="31">
        <v>0</v>
      </c>
      <c r="T442" s="31">
        <v>0</v>
      </c>
      <c r="U442" s="31">
        <v>0</v>
      </c>
      <c r="V442" s="31">
        <v>0</v>
      </c>
      <c r="W442" s="31">
        <v>0</v>
      </c>
      <c r="X442" s="31">
        <v>0</v>
      </c>
      <c r="Y442" s="31">
        <v>0</v>
      </c>
      <c r="Z442" s="31">
        <v>0</v>
      </c>
      <c r="AA442" s="31">
        <v>0</v>
      </c>
      <c r="AB442" s="31">
        <v>0</v>
      </c>
      <c r="AC442" s="31">
        <v>0</v>
      </c>
      <c r="AD442" s="31">
        <v>0</v>
      </c>
      <c r="AE442" s="31">
        <v>0</v>
      </c>
      <c r="AF442" s="31">
        <v>0</v>
      </c>
      <c r="AG442" s="31">
        <v>0</v>
      </c>
      <c r="AH442" s="31">
        <v>0</v>
      </c>
    </row>
    <row r="443" spans="1:34" x14ac:dyDescent="0.25">
      <c r="A443" s="31">
        <v>8</v>
      </c>
      <c r="B443" s="31">
        <v>13812</v>
      </c>
      <c r="C443" s="31" t="s">
        <v>239</v>
      </c>
      <c r="D443" s="31" t="s">
        <v>783</v>
      </c>
      <c r="E443" s="31"/>
      <c r="F443" s="31">
        <v>0</v>
      </c>
      <c r="G443" s="31">
        <v>0</v>
      </c>
      <c r="H443" s="31">
        <v>0</v>
      </c>
      <c r="I443" s="31">
        <v>0</v>
      </c>
      <c r="J443" s="31">
        <v>0</v>
      </c>
      <c r="K443" s="31" t="s">
        <v>882</v>
      </c>
      <c r="L443" s="31">
        <v>0</v>
      </c>
      <c r="M443" s="31">
        <v>0</v>
      </c>
      <c r="N443" s="31">
        <v>0</v>
      </c>
      <c r="O443" s="31">
        <v>0</v>
      </c>
      <c r="P443" s="31">
        <v>0</v>
      </c>
      <c r="Q443" s="31">
        <v>0</v>
      </c>
      <c r="R443" s="31">
        <v>0</v>
      </c>
      <c r="S443" s="31">
        <v>0</v>
      </c>
      <c r="T443" s="31">
        <v>0</v>
      </c>
      <c r="U443" s="31">
        <v>0</v>
      </c>
      <c r="V443" s="31">
        <v>0</v>
      </c>
      <c r="W443" s="31">
        <v>0</v>
      </c>
      <c r="X443" s="31">
        <v>0</v>
      </c>
      <c r="Y443" s="31">
        <v>0</v>
      </c>
      <c r="Z443" s="31">
        <v>0</v>
      </c>
      <c r="AA443" s="31">
        <v>0</v>
      </c>
      <c r="AB443" s="31">
        <v>0</v>
      </c>
      <c r="AC443" s="31">
        <v>0</v>
      </c>
      <c r="AD443" s="31">
        <v>0</v>
      </c>
      <c r="AE443" s="31">
        <v>0</v>
      </c>
      <c r="AF443" s="31">
        <v>0</v>
      </c>
      <c r="AG443" s="31">
        <v>0</v>
      </c>
      <c r="AH443" s="31">
        <v>0</v>
      </c>
    </row>
    <row r="444" spans="1:34" x14ac:dyDescent="0.25">
      <c r="A444" s="31">
        <v>8</v>
      </c>
      <c r="B444" s="31">
        <v>13812</v>
      </c>
      <c r="C444" s="31" t="s">
        <v>239</v>
      </c>
      <c r="D444" s="31" t="s">
        <v>784</v>
      </c>
      <c r="E444" s="31"/>
      <c r="F444" s="31">
        <v>0</v>
      </c>
      <c r="G444" s="31">
        <v>0</v>
      </c>
      <c r="H444" s="31">
        <v>0</v>
      </c>
      <c r="I444" s="31">
        <v>0</v>
      </c>
      <c r="J444" s="31">
        <v>0</v>
      </c>
      <c r="K444" s="31" t="s">
        <v>882</v>
      </c>
      <c r="L444" s="31">
        <v>0</v>
      </c>
      <c r="M444" s="31">
        <v>0</v>
      </c>
      <c r="N444" s="31">
        <v>0</v>
      </c>
      <c r="O444" s="31">
        <v>0</v>
      </c>
      <c r="P444" s="31">
        <v>0</v>
      </c>
      <c r="Q444" s="31">
        <v>0</v>
      </c>
      <c r="R444" s="31">
        <v>0</v>
      </c>
      <c r="S444" s="31">
        <v>0</v>
      </c>
      <c r="T444" s="31">
        <v>0</v>
      </c>
      <c r="U444" s="31">
        <v>0</v>
      </c>
      <c r="V444" s="31">
        <v>0</v>
      </c>
      <c r="W444" s="31">
        <v>0</v>
      </c>
      <c r="X444" s="31">
        <v>0</v>
      </c>
      <c r="Y444" s="31">
        <v>0</v>
      </c>
      <c r="Z444" s="31">
        <v>0</v>
      </c>
      <c r="AA444" s="31">
        <v>0</v>
      </c>
      <c r="AB444" s="31">
        <v>0</v>
      </c>
      <c r="AC444" s="31">
        <v>0</v>
      </c>
      <c r="AD444" s="31">
        <v>0</v>
      </c>
      <c r="AE444" s="31">
        <v>0</v>
      </c>
      <c r="AF444" s="31">
        <v>0</v>
      </c>
      <c r="AG444" s="31">
        <v>0</v>
      </c>
      <c r="AH444" s="31">
        <v>0</v>
      </c>
    </row>
    <row r="445" spans="1:34" x14ac:dyDescent="0.25">
      <c r="A445" s="31">
        <v>8</v>
      </c>
      <c r="B445" s="31">
        <v>13809</v>
      </c>
      <c r="C445" s="31">
        <v>2</v>
      </c>
      <c r="D445" s="31" t="s">
        <v>785</v>
      </c>
      <c r="E445" s="31"/>
      <c r="F445" s="31">
        <v>0</v>
      </c>
      <c r="G445" s="31">
        <v>0</v>
      </c>
      <c r="H445" s="31">
        <v>0</v>
      </c>
      <c r="I445" s="31">
        <v>0</v>
      </c>
      <c r="J445" s="31">
        <v>0</v>
      </c>
      <c r="K445" s="31" t="s">
        <v>882</v>
      </c>
      <c r="L445" s="31">
        <v>0</v>
      </c>
      <c r="M445" s="31">
        <v>0</v>
      </c>
      <c r="N445" s="31">
        <v>0</v>
      </c>
      <c r="O445" s="31">
        <v>0</v>
      </c>
      <c r="P445" s="31">
        <v>0</v>
      </c>
      <c r="Q445" s="31">
        <v>0</v>
      </c>
      <c r="R445" s="31">
        <v>0</v>
      </c>
      <c r="S445" s="31">
        <v>0</v>
      </c>
      <c r="T445" s="31">
        <v>0</v>
      </c>
      <c r="U445" s="31">
        <v>0</v>
      </c>
      <c r="V445" s="31">
        <v>0</v>
      </c>
      <c r="W445" s="31">
        <v>0</v>
      </c>
      <c r="X445" s="31">
        <v>0</v>
      </c>
      <c r="Y445" s="31">
        <v>0</v>
      </c>
      <c r="Z445" s="31">
        <v>0</v>
      </c>
      <c r="AA445" s="31">
        <v>0</v>
      </c>
      <c r="AB445" s="31">
        <v>0</v>
      </c>
      <c r="AC445" s="31">
        <v>0</v>
      </c>
      <c r="AD445" s="31">
        <v>0</v>
      </c>
      <c r="AE445" s="31">
        <v>0</v>
      </c>
      <c r="AF445" s="31">
        <v>0</v>
      </c>
      <c r="AG445" s="31">
        <v>0</v>
      </c>
      <c r="AH445" s="31">
        <v>0</v>
      </c>
    </row>
    <row r="446" spans="1:34" x14ac:dyDescent="0.25">
      <c r="A446" s="31">
        <v>8</v>
      </c>
      <c r="B446" s="31">
        <v>13809</v>
      </c>
      <c r="C446" s="31">
        <v>1</v>
      </c>
      <c r="D446" s="31" t="s">
        <v>957</v>
      </c>
      <c r="E446" s="31"/>
      <c r="F446" s="31">
        <v>0</v>
      </c>
      <c r="G446" s="31">
        <v>0</v>
      </c>
      <c r="H446" s="31">
        <v>0</v>
      </c>
      <c r="I446" s="31">
        <v>0</v>
      </c>
      <c r="J446" s="31">
        <v>0</v>
      </c>
      <c r="K446" s="31" t="s">
        <v>882</v>
      </c>
      <c r="L446" s="31">
        <v>0</v>
      </c>
      <c r="M446" s="31">
        <v>0</v>
      </c>
      <c r="N446" s="31">
        <v>0</v>
      </c>
      <c r="O446" s="31">
        <v>0</v>
      </c>
      <c r="P446" s="31">
        <v>0</v>
      </c>
      <c r="Q446" s="31">
        <v>0</v>
      </c>
      <c r="R446" s="31">
        <v>0</v>
      </c>
      <c r="S446" s="31">
        <v>0</v>
      </c>
      <c r="T446" s="31">
        <v>0</v>
      </c>
      <c r="U446" s="31">
        <v>0</v>
      </c>
      <c r="V446" s="31">
        <v>0</v>
      </c>
      <c r="W446" s="31">
        <v>0</v>
      </c>
      <c r="X446" s="31">
        <v>0</v>
      </c>
      <c r="Y446" s="31">
        <v>0</v>
      </c>
      <c r="Z446" s="31">
        <v>0</v>
      </c>
      <c r="AA446" s="31">
        <v>0</v>
      </c>
      <c r="AB446" s="31">
        <v>0</v>
      </c>
      <c r="AC446" s="31">
        <v>0</v>
      </c>
      <c r="AD446" s="31">
        <v>0</v>
      </c>
      <c r="AE446" s="31">
        <v>0</v>
      </c>
      <c r="AF446" s="31">
        <v>0</v>
      </c>
      <c r="AG446" s="31">
        <v>0</v>
      </c>
      <c r="AH446" s="31">
        <v>0</v>
      </c>
    </row>
    <row r="447" spans="1:34" x14ac:dyDescent="0.25">
      <c r="A447" s="31">
        <v>8</v>
      </c>
      <c r="B447" s="31">
        <v>13809</v>
      </c>
      <c r="C447" s="31">
        <v>2</v>
      </c>
      <c r="D447" s="31" t="s">
        <v>957</v>
      </c>
      <c r="E447" s="31"/>
      <c r="F447" s="31">
        <v>0</v>
      </c>
      <c r="G447" s="31">
        <v>0</v>
      </c>
      <c r="H447" s="31">
        <v>0</v>
      </c>
      <c r="I447" s="31">
        <v>0</v>
      </c>
      <c r="J447" s="31">
        <v>0</v>
      </c>
      <c r="K447" s="31" t="s">
        <v>882</v>
      </c>
      <c r="L447" s="31">
        <v>0</v>
      </c>
      <c r="M447" s="31">
        <v>0</v>
      </c>
      <c r="N447" s="31">
        <v>0</v>
      </c>
      <c r="O447" s="31">
        <v>0</v>
      </c>
      <c r="P447" s="31">
        <v>0</v>
      </c>
      <c r="Q447" s="31">
        <v>0</v>
      </c>
      <c r="R447" s="31">
        <v>0</v>
      </c>
      <c r="S447" s="31">
        <v>0</v>
      </c>
      <c r="T447" s="31">
        <v>0</v>
      </c>
      <c r="U447" s="31">
        <v>0</v>
      </c>
      <c r="V447" s="31">
        <v>0</v>
      </c>
      <c r="W447" s="31">
        <v>0</v>
      </c>
      <c r="X447" s="31">
        <v>0</v>
      </c>
      <c r="Y447" s="31">
        <v>0</v>
      </c>
      <c r="Z447" s="31">
        <v>0</v>
      </c>
      <c r="AA447" s="31">
        <v>0</v>
      </c>
      <c r="AB447" s="31">
        <v>0</v>
      </c>
      <c r="AC447" s="31">
        <v>0</v>
      </c>
      <c r="AD447" s="31">
        <v>0</v>
      </c>
      <c r="AE447" s="31">
        <v>0</v>
      </c>
      <c r="AF447" s="31">
        <v>0</v>
      </c>
      <c r="AG447" s="31">
        <v>0</v>
      </c>
      <c r="AH447" s="31">
        <v>0</v>
      </c>
    </row>
    <row r="448" spans="1:34" x14ac:dyDescent="0.25">
      <c r="A448" s="31">
        <v>8</v>
      </c>
      <c r="B448" s="31">
        <v>13809</v>
      </c>
      <c r="C448" s="31">
        <v>1</v>
      </c>
      <c r="D448" s="31" t="s">
        <v>958</v>
      </c>
      <c r="E448" s="31"/>
      <c r="F448" s="31">
        <v>0</v>
      </c>
      <c r="G448" s="31">
        <v>0</v>
      </c>
      <c r="H448" s="31">
        <v>0</v>
      </c>
      <c r="I448" s="31">
        <v>0</v>
      </c>
      <c r="J448" s="31">
        <v>0</v>
      </c>
      <c r="K448" s="31" t="s">
        <v>882</v>
      </c>
      <c r="L448" s="31">
        <v>0</v>
      </c>
      <c r="M448" s="31">
        <v>0</v>
      </c>
      <c r="N448" s="31">
        <v>0</v>
      </c>
      <c r="O448" s="31">
        <v>0</v>
      </c>
      <c r="P448" s="31">
        <v>0</v>
      </c>
      <c r="Q448" s="31">
        <v>0</v>
      </c>
      <c r="R448" s="31">
        <v>0</v>
      </c>
      <c r="S448" s="31">
        <v>0</v>
      </c>
      <c r="T448" s="31">
        <v>0</v>
      </c>
      <c r="U448" s="31">
        <v>0</v>
      </c>
      <c r="V448" s="31">
        <v>0</v>
      </c>
      <c r="W448" s="31">
        <v>0</v>
      </c>
      <c r="X448" s="31">
        <v>0</v>
      </c>
      <c r="Y448" s="31">
        <v>0</v>
      </c>
      <c r="Z448" s="31">
        <v>0</v>
      </c>
      <c r="AA448" s="31">
        <v>0</v>
      </c>
      <c r="AB448" s="31">
        <v>0</v>
      </c>
      <c r="AC448" s="31">
        <v>0</v>
      </c>
      <c r="AD448" s="31">
        <v>0</v>
      </c>
      <c r="AE448" s="31">
        <v>0</v>
      </c>
      <c r="AF448" s="31">
        <v>0</v>
      </c>
      <c r="AG448" s="31">
        <v>0</v>
      </c>
      <c r="AH448" s="31">
        <v>0</v>
      </c>
    </row>
    <row r="449" spans="1:34" x14ac:dyDescent="0.25">
      <c r="A449" s="31">
        <v>9</v>
      </c>
      <c r="B449" s="31">
        <v>13809</v>
      </c>
      <c r="C449" s="31">
        <v>1</v>
      </c>
      <c r="D449" s="31" t="s">
        <v>958</v>
      </c>
      <c r="E449" s="31"/>
      <c r="F449" s="31">
        <v>0</v>
      </c>
      <c r="G449" s="31">
        <v>0</v>
      </c>
      <c r="H449" s="31">
        <v>0</v>
      </c>
      <c r="I449" s="31">
        <v>0</v>
      </c>
      <c r="J449" s="31">
        <v>0</v>
      </c>
      <c r="K449" s="31" t="s">
        <v>882</v>
      </c>
      <c r="L449" s="31">
        <v>0</v>
      </c>
      <c r="M449" s="31">
        <v>0</v>
      </c>
      <c r="N449" s="31">
        <v>0</v>
      </c>
      <c r="O449" s="31">
        <v>0</v>
      </c>
      <c r="P449" s="31">
        <v>0</v>
      </c>
      <c r="Q449" s="31">
        <v>0</v>
      </c>
      <c r="R449" s="31">
        <v>0</v>
      </c>
      <c r="S449" s="31">
        <v>0</v>
      </c>
      <c r="T449" s="31">
        <v>0</v>
      </c>
      <c r="U449" s="31">
        <v>0</v>
      </c>
      <c r="V449" s="31">
        <v>0</v>
      </c>
      <c r="W449" s="31">
        <v>0</v>
      </c>
      <c r="X449" s="31">
        <v>0</v>
      </c>
      <c r="Y449" s="31">
        <v>0</v>
      </c>
      <c r="Z449" s="31">
        <v>0</v>
      </c>
      <c r="AA449" s="31">
        <v>0</v>
      </c>
      <c r="AB449" s="31">
        <v>0</v>
      </c>
      <c r="AC449" s="31">
        <v>0</v>
      </c>
      <c r="AD449" s="31">
        <v>0</v>
      </c>
      <c r="AE449" s="31">
        <v>0</v>
      </c>
      <c r="AF449" s="31">
        <v>0</v>
      </c>
      <c r="AG449" s="31">
        <v>0</v>
      </c>
      <c r="AH449" s="31">
        <v>0</v>
      </c>
    </row>
    <row r="450" spans="1:34" x14ac:dyDescent="0.25">
      <c r="A450" s="31">
        <v>8</v>
      </c>
      <c r="B450" s="31">
        <v>13809</v>
      </c>
      <c r="C450" s="31">
        <v>2</v>
      </c>
      <c r="D450" s="31" t="s">
        <v>958</v>
      </c>
      <c r="E450" s="31"/>
      <c r="F450" s="31">
        <v>0</v>
      </c>
      <c r="G450" s="31">
        <v>0</v>
      </c>
      <c r="H450" s="31">
        <v>0</v>
      </c>
      <c r="I450" s="31">
        <v>0</v>
      </c>
      <c r="J450" s="31">
        <v>0</v>
      </c>
      <c r="K450" s="31" t="s">
        <v>882</v>
      </c>
      <c r="L450" s="31">
        <v>0</v>
      </c>
      <c r="M450" s="31">
        <v>0</v>
      </c>
      <c r="N450" s="31">
        <v>0</v>
      </c>
      <c r="O450" s="31">
        <v>0</v>
      </c>
      <c r="P450" s="31">
        <v>0</v>
      </c>
      <c r="Q450" s="31">
        <v>0</v>
      </c>
      <c r="R450" s="31">
        <v>0</v>
      </c>
      <c r="S450" s="31">
        <v>0</v>
      </c>
      <c r="T450" s="31">
        <v>0</v>
      </c>
      <c r="U450" s="31">
        <v>0</v>
      </c>
      <c r="V450" s="31">
        <v>0</v>
      </c>
      <c r="W450" s="31">
        <v>0</v>
      </c>
      <c r="X450" s="31">
        <v>0</v>
      </c>
      <c r="Y450" s="31">
        <v>0</v>
      </c>
      <c r="Z450" s="31">
        <v>0</v>
      </c>
      <c r="AA450" s="31">
        <v>0</v>
      </c>
      <c r="AB450" s="31">
        <v>0</v>
      </c>
      <c r="AC450" s="31">
        <v>0</v>
      </c>
      <c r="AD450" s="31">
        <v>0</v>
      </c>
      <c r="AE450" s="31">
        <v>0</v>
      </c>
      <c r="AF450" s="31">
        <v>0</v>
      </c>
      <c r="AG450" s="31">
        <v>0</v>
      </c>
      <c r="AH450" s="31">
        <v>0</v>
      </c>
    </row>
    <row r="451" spans="1:34" x14ac:dyDescent="0.25">
      <c r="A451" s="31">
        <v>9</v>
      </c>
      <c r="B451" s="31">
        <v>13809</v>
      </c>
      <c r="C451" s="31">
        <v>2</v>
      </c>
      <c r="D451" s="31" t="s">
        <v>958</v>
      </c>
      <c r="E451" s="31"/>
      <c r="F451" s="31">
        <v>0</v>
      </c>
      <c r="G451" s="31">
        <v>0</v>
      </c>
      <c r="H451" s="31">
        <v>0</v>
      </c>
      <c r="I451" s="31">
        <v>0</v>
      </c>
      <c r="J451" s="31">
        <v>0</v>
      </c>
      <c r="K451" s="31" t="s">
        <v>882</v>
      </c>
      <c r="L451" s="31">
        <v>0</v>
      </c>
      <c r="M451" s="31">
        <v>0</v>
      </c>
      <c r="N451" s="31">
        <v>0</v>
      </c>
      <c r="O451" s="31">
        <v>0</v>
      </c>
      <c r="P451" s="31">
        <v>0</v>
      </c>
      <c r="Q451" s="31">
        <v>0</v>
      </c>
      <c r="R451" s="31">
        <v>0</v>
      </c>
      <c r="S451" s="31">
        <v>0</v>
      </c>
      <c r="T451" s="31">
        <v>0</v>
      </c>
      <c r="U451" s="31">
        <v>0</v>
      </c>
      <c r="V451" s="31">
        <v>0</v>
      </c>
      <c r="W451" s="31">
        <v>0</v>
      </c>
      <c r="X451" s="31">
        <v>0</v>
      </c>
      <c r="Y451" s="31">
        <v>0</v>
      </c>
      <c r="Z451" s="31">
        <v>0</v>
      </c>
      <c r="AA451" s="31">
        <v>0</v>
      </c>
      <c r="AB451" s="31">
        <v>0</v>
      </c>
      <c r="AC451" s="31">
        <v>0</v>
      </c>
      <c r="AD451" s="31">
        <v>0</v>
      </c>
      <c r="AE451" s="31">
        <v>0</v>
      </c>
      <c r="AF451" s="31">
        <v>0</v>
      </c>
      <c r="AG451" s="31">
        <v>0</v>
      </c>
      <c r="AH451" s="31">
        <v>0</v>
      </c>
    </row>
    <row r="452" spans="1:34" x14ac:dyDescent="0.25">
      <c r="A452" s="31">
        <v>9</v>
      </c>
      <c r="B452" s="31">
        <v>13809</v>
      </c>
      <c r="C452" s="31">
        <v>1</v>
      </c>
      <c r="D452" s="31" t="s">
        <v>786</v>
      </c>
      <c r="E452" s="31"/>
      <c r="F452" s="31">
        <v>0</v>
      </c>
      <c r="G452" s="31">
        <v>0</v>
      </c>
      <c r="H452" s="31">
        <v>0</v>
      </c>
      <c r="I452" s="31">
        <v>0</v>
      </c>
      <c r="J452" s="31">
        <v>0</v>
      </c>
      <c r="K452" s="31" t="s">
        <v>882</v>
      </c>
      <c r="L452" s="31">
        <v>0</v>
      </c>
      <c r="M452" s="31">
        <v>0</v>
      </c>
      <c r="N452" s="31">
        <v>0</v>
      </c>
      <c r="O452" s="31">
        <v>0</v>
      </c>
      <c r="P452" s="31">
        <v>0</v>
      </c>
      <c r="Q452" s="31">
        <v>0</v>
      </c>
      <c r="R452" s="31">
        <v>0</v>
      </c>
      <c r="S452" s="31">
        <v>0</v>
      </c>
      <c r="T452" s="31">
        <v>0</v>
      </c>
      <c r="U452" s="31">
        <v>0</v>
      </c>
      <c r="V452" s="31">
        <v>0</v>
      </c>
      <c r="W452" s="31">
        <v>0</v>
      </c>
      <c r="X452" s="31">
        <v>0</v>
      </c>
      <c r="Y452" s="31">
        <v>0</v>
      </c>
      <c r="Z452" s="31">
        <v>0</v>
      </c>
      <c r="AA452" s="31">
        <v>0</v>
      </c>
      <c r="AB452" s="31">
        <v>0</v>
      </c>
      <c r="AC452" s="31">
        <v>0</v>
      </c>
      <c r="AD452" s="31">
        <v>0</v>
      </c>
      <c r="AE452" s="31">
        <v>0</v>
      </c>
      <c r="AF452" s="31">
        <v>0</v>
      </c>
      <c r="AG452" s="31">
        <v>0</v>
      </c>
      <c r="AH452" s="31">
        <v>0</v>
      </c>
    </row>
    <row r="453" spans="1:34" x14ac:dyDescent="0.25">
      <c r="A453" s="31">
        <v>9</v>
      </c>
      <c r="B453" s="31">
        <v>13809</v>
      </c>
      <c r="C453" s="31">
        <v>1</v>
      </c>
      <c r="D453" s="31" t="s">
        <v>787</v>
      </c>
      <c r="E453" s="31"/>
      <c r="F453" s="31">
        <v>0</v>
      </c>
      <c r="G453" s="31">
        <v>0</v>
      </c>
      <c r="H453" s="31">
        <v>0</v>
      </c>
      <c r="I453" s="31">
        <v>0</v>
      </c>
      <c r="J453" s="31">
        <v>0</v>
      </c>
      <c r="K453" s="31" t="s">
        <v>882</v>
      </c>
      <c r="L453" s="31">
        <v>0</v>
      </c>
      <c r="M453" s="31">
        <v>0</v>
      </c>
      <c r="N453" s="31">
        <v>0</v>
      </c>
      <c r="O453" s="31">
        <v>0</v>
      </c>
      <c r="P453" s="31">
        <v>0</v>
      </c>
      <c r="Q453" s="31">
        <v>0</v>
      </c>
      <c r="R453" s="31">
        <v>0</v>
      </c>
      <c r="S453" s="31">
        <v>0</v>
      </c>
      <c r="T453" s="31">
        <v>0</v>
      </c>
      <c r="U453" s="31">
        <v>0</v>
      </c>
      <c r="V453" s="31">
        <v>0</v>
      </c>
      <c r="W453" s="31">
        <v>0</v>
      </c>
      <c r="X453" s="31">
        <v>0</v>
      </c>
      <c r="Y453" s="31">
        <v>0</v>
      </c>
      <c r="Z453" s="31">
        <v>0</v>
      </c>
      <c r="AA453" s="31">
        <v>0</v>
      </c>
      <c r="AB453" s="31">
        <v>0</v>
      </c>
      <c r="AC453" s="31">
        <v>0</v>
      </c>
      <c r="AD453" s="31">
        <v>0</v>
      </c>
      <c r="AE453" s="31">
        <v>0</v>
      </c>
      <c r="AF453" s="31">
        <v>0</v>
      </c>
      <c r="AG453" s="31">
        <v>0</v>
      </c>
      <c r="AH453" s="31">
        <v>0</v>
      </c>
    </row>
    <row r="454" spans="1:34" x14ac:dyDescent="0.25">
      <c r="A454" s="31">
        <v>9</v>
      </c>
      <c r="B454" s="31">
        <v>13809</v>
      </c>
      <c r="C454" s="31">
        <v>1</v>
      </c>
      <c r="D454" s="31" t="s">
        <v>788</v>
      </c>
      <c r="E454" s="31"/>
      <c r="F454" s="31">
        <v>0</v>
      </c>
      <c r="G454" s="31">
        <v>0</v>
      </c>
      <c r="H454" s="31">
        <v>0</v>
      </c>
      <c r="I454" s="31">
        <v>0</v>
      </c>
      <c r="J454" s="31">
        <v>0</v>
      </c>
      <c r="K454" s="31" t="s">
        <v>882</v>
      </c>
      <c r="L454" s="31">
        <v>0</v>
      </c>
      <c r="M454" s="31">
        <v>0</v>
      </c>
      <c r="N454" s="31">
        <v>0</v>
      </c>
      <c r="O454" s="31">
        <v>0</v>
      </c>
      <c r="P454" s="31">
        <v>0</v>
      </c>
      <c r="Q454" s="31">
        <v>0</v>
      </c>
      <c r="R454" s="31">
        <v>0</v>
      </c>
      <c r="S454" s="31">
        <v>0</v>
      </c>
      <c r="T454" s="31">
        <v>0</v>
      </c>
      <c r="U454" s="31">
        <v>0</v>
      </c>
      <c r="V454" s="31">
        <v>0</v>
      </c>
      <c r="W454" s="31">
        <v>0</v>
      </c>
      <c r="X454" s="31">
        <v>0</v>
      </c>
      <c r="Y454" s="31">
        <v>0</v>
      </c>
      <c r="Z454" s="31">
        <v>0</v>
      </c>
      <c r="AA454" s="31">
        <v>0</v>
      </c>
      <c r="AB454" s="31">
        <v>0</v>
      </c>
      <c r="AC454" s="31">
        <v>0</v>
      </c>
      <c r="AD454" s="31">
        <v>0</v>
      </c>
      <c r="AE454" s="31">
        <v>0</v>
      </c>
      <c r="AF454" s="31">
        <v>0</v>
      </c>
      <c r="AG454" s="31">
        <v>0</v>
      </c>
      <c r="AH454" s="31">
        <v>0</v>
      </c>
    </row>
    <row r="455" spans="1:34" x14ac:dyDescent="0.25">
      <c r="A455" s="31">
        <v>9</v>
      </c>
      <c r="B455" s="31">
        <v>13809</v>
      </c>
      <c r="C455" s="31">
        <v>1</v>
      </c>
      <c r="D455" s="31" t="s">
        <v>789</v>
      </c>
      <c r="E455" s="31"/>
      <c r="F455" s="31">
        <v>0</v>
      </c>
      <c r="G455" s="31">
        <v>0</v>
      </c>
      <c r="H455" s="31">
        <v>0</v>
      </c>
      <c r="I455" s="31">
        <v>0</v>
      </c>
      <c r="J455" s="31">
        <v>0</v>
      </c>
      <c r="K455" s="31" t="s">
        <v>882</v>
      </c>
      <c r="L455" s="31">
        <v>0</v>
      </c>
      <c r="M455" s="31">
        <v>0</v>
      </c>
      <c r="N455" s="31">
        <v>0</v>
      </c>
      <c r="O455" s="31">
        <v>0</v>
      </c>
      <c r="P455" s="31">
        <v>0</v>
      </c>
      <c r="Q455" s="31">
        <v>0</v>
      </c>
      <c r="R455" s="31">
        <v>0</v>
      </c>
      <c r="S455" s="31">
        <v>0</v>
      </c>
      <c r="T455" s="31">
        <v>0</v>
      </c>
      <c r="U455" s="31">
        <v>0</v>
      </c>
      <c r="V455" s="31">
        <v>0</v>
      </c>
      <c r="W455" s="31">
        <v>0</v>
      </c>
      <c r="X455" s="31">
        <v>0</v>
      </c>
      <c r="Y455" s="31">
        <v>0</v>
      </c>
      <c r="Z455" s="31">
        <v>0</v>
      </c>
      <c r="AA455" s="31">
        <v>0</v>
      </c>
      <c r="AB455" s="31">
        <v>0</v>
      </c>
      <c r="AC455" s="31">
        <v>0</v>
      </c>
      <c r="AD455" s="31">
        <v>0</v>
      </c>
      <c r="AE455" s="31">
        <v>0</v>
      </c>
      <c r="AF455" s="31">
        <v>0</v>
      </c>
      <c r="AG455" s="31">
        <v>0</v>
      </c>
      <c r="AH455" s="31">
        <v>0</v>
      </c>
    </row>
    <row r="456" spans="1:34" x14ac:dyDescent="0.25">
      <c r="A456" s="31">
        <v>9</v>
      </c>
      <c r="B456" s="31">
        <v>13809</v>
      </c>
      <c r="C456" s="31">
        <v>1</v>
      </c>
      <c r="D456" s="31" t="s">
        <v>790</v>
      </c>
      <c r="E456" s="31"/>
      <c r="F456" s="31">
        <v>0</v>
      </c>
      <c r="G456" s="31">
        <v>0</v>
      </c>
      <c r="H456" s="31">
        <v>0</v>
      </c>
      <c r="I456" s="31">
        <v>0</v>
      </c>
      <c r="J456" s="31">
        <v>0</v>
      </c>
      <c r="K456" s="31" t="s">
        <v>882</v>
      </c>
      <c r="L456" s="31">
        <v>0</v>
      </c>
      <c r="M456" s="31">
        <v>0</v>
      </c>
      <c r="N456" s="31">
        <v>0</v>
      </c>
      <c r="O456" s="31">
        <v>0</v>
      </c>
      <c r="P456" s="31">
        <v>0</v>
      </c>
      <c r="Q456" s="31">
        <v>0</v>
      </c>
      <c r="R456" s="31">
        <v>0</v>
      </c>
      <c r="S456" s="31">
        <v>0</v>
      </c>
      <c r="T456" s="31">
        <v>0</v>
      </c>
      <c r="U456" s="31">
        <v>0</v>
      </c>
      <c r="V456" s="31">
        <v>0</v>
      </c>
      <c r="W456" s="31">
        <v>0</v>
      </c>
      <c r="X456" s="31">
        <v>0</v>
      </c>
      <c r="Y456" s="31">
        <v>0</v>
      </c>
      <c r="Z456" s="31">
        <v>0</v>
      </c>
      <c r="AA456" s="31">
        <v>0</v>
      </c>
      <c r="AB456" s="31">
        <v>0</v>
      </c>
      <c r="AC456" s="31">
        <v>0</v>
      </c>
      <c r="AD456" s="31">
        <v>0</v>
      </c>
      <c r="AE456" s="31">
        <v>0</v>
      </c>
      <c r="AF456" s="31">
        <v>0</v>
      </c>
      <c r="AG456" s="31">
        <v>0</v>
      </c>
      <c r="AH456" s="31">
        <v>0</v>
      </c>
    </row>
    <row r="457" spans="1:34" x14ac:dyDescent="0.25">
      <c r="A457" s="31">
        <v>9</v>
      </c>
      <c r="B457" s="31">
        <v>13809</v>
      </c>
      <c r="C457" s="31">
        <v>1</v>
      </c>
      <c r="D457" s="31" t="s">
        <v>791</v>
      </c>
      <c r="E457" s="31"/>
      <c r="F457" s="31">
        <v>0</v>
      </c>
      <c r="G457" s="31">
        <v>0</v>
      </c>
      <c r="H457" s="31">
        <v>0</v>
      </c>
      <c r="I457" s="31">
        <v>0</v>
      </c>
      <c r="J457" s="31">
        <v>0</v>
      </c>
      <c r="K457" s="31" t="s">
        <v>882</v>
      </c>
      <c r="L457" s="31">
        <v>0</v>
      </c>
      <c r="M457" s="31">
        <v>0</v>
      </c>
      <c r="N457" s="31">
        <v>0</v>
      </c>
      <c r="O457" s="31">
        <v>0</v>
      </c>
      <c r="P457" s="31">
        <v>0</v>
      </c>
      <c r="Q457" s="31">
        <v>0</v>
      </c>
      <c r="R457" s="31">
        <v>0</v>
      </c>
      <c r="S457" s="31">
        <v>0</v>
      </c>
      <c r="T457" s="31">
        <v>0</v>
      </c>
      <c r="U457" s="31">
        <v>0</v>
      </c>
      <c r="V457" s="31">
        <v>0</v>
      </c>
      <c r="W457" s="31">
        <v>0</v>
      </c>
      <c r="X457" s="31">
        <v>0</v>
      </c>
      <c r="Y457" s="31">
        <v>0</v>
      </c>
      <c r="Z457" s="31">
        <v>0</v>
      </c>
      <c r="AA457" s="31">
        <v>0</v>
      </c>
      <c r="AB457" s="31">
        <v>0</v>
      </c>
      <c r="AC457" s="31">
        <v>0</v>
      </c>
      <c r="AD457" s="31">
        <v>0</v>
      </c>
      <c r="AE457" s="31">
        <v>0</v>
      </c>
      <c r="AF457" s="31">
        <v>0</v>
      </c>
      <c r="AG457" s="31">
        <v>0</v>
      </c>
      <c r="AH457" s="31">
        <v>0</v>
      </c>
    </row>
    <row r="458" spans="1:34" x14ac:dyDescent="0.25">
      <c r="A458" s="31">
        <v>9</v>
      </c>
      <c r="B458" s="31">
        <v>13809</v>
      </c>
      <c r="C458" s="31">
        <v>1</v>
      </c>
      <c r="D458" s="31" t="s">
        <v>792</v>
      </c>
      <c r="E458" s="31"/>
      <c r="F458" s="31">
        <v>0</v>
      </c>
      <c r="G458" s="31">
        <v>0</v>
      </c>
      <c r="H458" s="31">
        <v>0</v>
      </c>
      <c r="I458" s="31">
        <v>0</v>
      </c>
      <c r="J458" s="31">
        <v>0</v>
      </c>
      <c r="K458" s="31" t="s">
        <v>882</v>
      </c>
      <c r="L458" s="31">
        <v>0</v>
      </c>
      <c r="M458" s="31">
        <v>0</v>
      </c>
      <c r="N458" s="31">
        <v>0</v>
      </c>
      <c r="O458" s="31">
        <v>0</v>
      </c>
      <c r="P458" s="31">
        <v>0</v>
      </c>
      <c r="Q458" s="31">
        <v>0</v>
      </c>
      <c r="R458" s="31">
        <v>0</v>
      </c>
      <c r="S458" s="31">
        <v>0</v>
      </c>
      <c r="T458" s="31">
        <v>0</v>
      </c>
      <c r="U458" s="31">
        <v>0</v>
      </c>
      <c r="V458" s="31">
        <v>0</v>
      </c>
      <c r="W458" s="31">
        <v>0</v>
      </c>
      <c r="X458" s="31">
        <v>0</v>
      </c>
      <c r="Y458" s="31">
        <v>0</v>
      </c>
      <c r="Z458" s="31">
        <v>0</v>
      </c>
      <c r="AA458" s="31">
        <v>0</v>
      </c>
      <c r="AB458" s="31">
        <v>0</v>
      </c>
      <c r="AC458" s="31">
        <v>0</v>
      </c>
      <c r="AD458" s="31">
        <v>0</v>
      </c>
      <c r="AE458" s="31">
        <v>0</v>
      </c>
      <c r="AF458" s="31">
        <v>0</v>
      </c>
      <c r="AG458" s="31">
        <v>0</v>
      </c>
      <c r="AH458" s="31">
        <v>0</v>
      </c>
    </row>
    <row r="459" spans="1:34" x14ac:dyDescent="0.25">
      <c r="A459" s="31">
        <v>9</v>
      </c>
      <c r="B459" s="31">
        <v>13809</v>
      </c>
      <c r="C459" s="31">
        <v>1</v>
      </c>
      <c r="D459" s="31" t="s">
        <v>793</v>
      </c>
      <c r="E459" s="31"/>
      <c r="F459" s="31">
        <v>0</v>
      </c>
      <c r="G459" s="31">
        <v>0</v>
      </c>
      <c r="H459" s="31">
        <v>0</v>
      </c>
      <c r="I459" s="31">
        <v>0</v>
      </c>
      <c r="J459" s="31">
        <v>0</v>
      </c>
      <c r="K459" s="31" t="s">
        <v>882</v>
      </c>
      <c r="L459" s="31">
        <v>0</v>
      </c>
      <c r="M459" s="31">
        <v>0</v>
      </c>
      <c r="N459" s="31">
        <v>0</v>
      </c>
      <c r="O459" s="31">
        <v>0</v>
      </c>
      <c r="P459" s="31">
        <v>0</v>
      </c>
      <c r="Q459" s="31">
        <v>0</v>
      </c>
      <c r="R459" s="31">
        <v>0</v>
      </c>
      <c r="S459" s="31">
        <v>0</v>
      </c>
      <c r="T459" s="31">
        <v>0</v>
      </c>
      <c r="U459" s="31">
        <v>0</v>
      </c>
      <c r="V459" s="31">
        <v>0</v>
      </c>
      <c r="W459" s="31">
        <v>0</v>
      </c>
      <c r="X459" s="31">
        <v>0</v>
      </c>
      <c r="Y459" s="31">
        <v>0</v>
      </c>
      <c r="Z459" s="31">
        <v>0</v>
      </c>
      <c r="AA459" s="31">
        <v>0</v>
      </c>
      <c r="AB459" s="31">
        <v>0</v>
      </c>
      <c r="AC459" s="31">
        <v>0</v>
      </c>
      <c r="AD459" s="31">
        <v>0</v>
      </c>
      <c r="AE459" s="31">
        <v>0</v>
      </c>
      <c r="AF459" s="31">
        <v>0</v>
      </c>
      <c r="AG459" s="31">
        <v>0</v>
      </c>
      <c r="AH459" s="31">
        <v>0</v>
      </c>
    </row>
    <row r="460" spans="1:34" x14ac:dyDescent="0.25">
      <c r="A460" s="31">
        <v>9</v>
      </c>
      <c r="B460" s="31">
        <v>13809</v>
      </c>
      <c r="C460" s="31">
        <v>1</v>
      </c>
      <c r="D460" s="31" t="s">
        <v>794</v>
      </c>
      <c r="E460" s="31"/>
      <c r="F460" s="31">
        <v>0</v>
      </c>
      <c r="G460" s="31">
        <v>0</v>
      </c>
      <c r="H460" s="31">
        <v>0</v>
      </c>
      <c r="I460" s="31">
        <v>0</v>
      </c>
      <c r="J460" s="31">
        <v>0</v>
      </c>
      <c r="K460" s="31" t="s">
        <v>882</v>
      </c>
      <c r="L460" s="31">
        <v>0</v>
      </c>
      <c r="M460" s="31">
        <v>0</v>
      </c>
      <c r="N460" s="31">
        <v>0</v>
      </c>
      <c r="O460" s="31">
        <v>0</v>
      </c>
      <c r="P460" s="31">
        <v>0</v>
      </c>
      <c r="Q460" s="31">
        <v>0</v>
      </c>
      <c r="R460" s="31">
        <v>0</v>
      </c>
      <c r="S460" s="31">
        <v>0</v>
      </c>
      <c r="T460" s="31">
        <v>0</v>
      </c>
      <c r="U460" s="31">
        <v>0</v>
      </c>
      <c r="V460" s="31">
        <v>0</v>
      </c>
      <c r="W460" s="31">
        <v>0</v>
      </c>
      <c r="X460" s="31">
        <v>0</v>
      </c>
      <c r="Y460" s="31">
        <v>0</v>
      </c>
      <c r="Z460" s="31">
        <v>0</v>
      </c>
      <c r="AA460" s="31">
        <v>0</v>
      </c>
      <c r="AB460" s="31">
        <v>0</v>
      </c>
      <c r="AC460" s="31">
        <v>0</v>
      </c>
      <c r="AD460" s="31">
        <v>0</v>
      </c>
      <c r="AE460" s="31">
        <v>0</v>
      </c>
      <c r="AF460" s="31">
        <v>0</v>
      </c>
      <c r="AG460" s="31">
        <v>0</v>
      </c>
      <c r="AH460" s="31">
        <v>0</v>
      </c>
    </row>
    <row r="461" spans="1:34" x14ac:dyDescent="0.25">
      <c r="A461" s="31">
        <v>9</v>
      </c>
      <c r="B461" s="31">
        <v>13809</v>
      </c>
      <c r="C461" s="31">
        <v>2</v>
      </c>
      <c r="D461" s="31" t="s">
        <v>786</v>
      </c>
      <c r="E461" s="31"/>
      <c r="F461" s="31">
        <v>0</v>
      </c>
      <c r="G461" s="31">
        <v>0</v>
      </c>
      <c r="H461" s="31">
        <v>0</v>
      </c>
      <c r="I461" s="31">
        <v>0</v>
      </c>
      <c r="J461" s="31">
        <v>0</v>
      </c>
      <c r="K461" s="31" t="s">
        <v>882</v>
      </c>
      <c r="L461" s="31">
        <v>0</v>
      </c>
      <c r="M461" s="31">
        <v>0</v>
      </c>
      <c r="N461" s="31">
        <v>0</v>
      </c>
      <c r="O461" s="31">
        <v>0</v>
      </c>
      <c r="P461" s="31">
        <v>0</v>
      </c>
      <c r="Q461" s="31">
        <v>0</v>
      </c>
      <c r="R461" s="31">
        <v>0</v>
      </c>
      <c r="S461" s="31">
        <v>0</v>
      </c>
      <c r="T461" s="31">
        <v>0</v>
      </c>
      <c r="U461" s="31">
        <v>0</v>
      </c>
      <c r="V461" s="31">
        <v>0</v>
      </c>
      <c r="W461" s="31">
        <v>0</v>
      </c>
      <c r="X461" s="31">
        <v>0</v>
      </c>
      <c r="Y461" s="31">
        <v>0</v>
      </c>
      <c r="Z461" s="31">
        <v>0</v>
      </c>
      <c r="AA461" s="31">
        <v>0</v>
      </c>
      <c r="AB461" s="31">
        <v>0</v>
      </c>
      <c r="AC461" s="31">
        <v>0</v>
      </c>
      <c r="AD461" s="31">
        <v>0</v>
      </c>
      <c r="AE461" s="31">
        <v>0</v>
      </c>
      <c r="AF461" s="31">
        <v>0</v>
      </c>
      <c r="AG461" s="31">
        <v>0</v>
      </c>
      <c r="AH461" s="31">
        <v>0</v>
      </c>
    </row>
    <row r="462" spans="1:34" x14ac:dyDescent="0.25">
      <c r="A462" s="31">
        <v>9</v>
      </c>
      <c r="B462" s="31">
        <v>13809</v>
      </c>
      <c r="C462" s="31">
        <v>2</v>
      </c>
      <c r="D462" s="31" t="s">
        <v>787</v>
      </c>
      <c r="E462" s="31"/>
      <c r="F462" s="31">
        <v>0</v>
      </c>
      <c r="G462" s="31">
        <v>0</v>
      </c>
      <c r="H462" s="31">
        <v>0</v>
      </c>
      <c r="I462" s="31">
        <v>0</v>
      </c>
      <c r="J462" s="31">
        <v>0</v>
      </c>
      <c r="K462" s="31" t="s">
        <v>882</v>
      </c>
      <c r="L462" s="31">
        <v>0</v>
      </c>
      <c r="M462" s="31">
        <v>0</v>
      </c>
      <c r="N462" s="31">
        <v>0</v>
      </c>
      <c r="O462" s="31">
        <v>0</v>
      </c>
      <c r="P462" s="31">
        <v>0</v>
      </c>
      <c r="Q462" s="31">
        <v>0</v>
      </c>
      <c r="R462" s="31">
        <v>0</v>
      </c>
      <c r="S462" s="31">
        <v>0</v>
      </c>
      <c r="T462" s="31">
        <v>0</v>
      </c>
      <c r="U462" s="31">
        <v>0</v>
      </c>
      <c r="V462" s="31">
        <v>0</v>
      </c>
      <c r="W462" s="31">
        <v>0</v>
      </c>
      <c r="X462" s="31">
        <v>0</v>
      </c>
      <c r="Y462" s="31">
        <v>0</v>
      </c>
      <c r="Z462" s="31">
        <v>0</v>
      </c>
      <c r="AA462" s="31">
        <v>0</v>
      </c>
      <c r="AB462" s="31">
        <v>0</v>
      </c>
      <c r="AC462" s="31">
        <v>0</v>
      </c>
      <c r="AD462" s="31">
        <v>0</v>
      </c>
      <c r="AE462" s="31">
        <v>0</v>
      </c>
      <c r="AF462" s="31">
        <v>0</v>
      </c>
      <c r="AG462" s="31">
        <v>0</v>
      </c>
      <c r="AH462" s="31">
        <v>0</v>
      </c>
    </row>
    <row r="463" spans="1:34" x14ac:dyDescent="0.25">
      <c r="A463" s="31">
        <v>9</v>
      </c>
      <c r="B463" s="31">
        <v>13809</v>
      </c>
      <c r="C463" s="31">
        <v>2</v>
      </c>
      <c r="D463" s="31" t="s">
        <v>788</v>
      </c>
      <c r="E463" s="31"/>
      <c r="F463" s="31">
        <v>0</v>
      </c>
      <c r="G463" s="31">
        <v>0</v>
      </c>
      <c r="H463" s="31">
        <v>0</v>
      </c>
      <c r="I463" s="31">
        <v>0</v>
      </c>
      <c r="J463" s="31">
        <v>0</v>
      </c>
      <c r="K463" s="31" t="s">
        <v>882</v>
      </c>
      <c r="L463" s="31">
        <v>0</v>
      </c>
      <c r="M463" s="31">
        <v>0</v>
      </c>
      <c r="N463" s="31">
        <v>0</v>
      </c>
      <c r="O463" s="31">
        <v>0</v>
      </c>
      <c r="P463" s="31">
        <v>0</v>
      </c>
      <c r="Q463" s="31">
        <v>0</v>
      </c>
      <c r="R463" s="31">
        <v>0</v>
      </c>
      <c r="S463" s="31">
        <v>0</v>
      </c>
      <c r="T463" s="31">
        <v>0</v>
      </c>
      <c r="U463" s="31">
        <v>0</v>
      </c>
      <c r="V463" s="31">
        <v>0</v>
      </c>
      <c r="W463" s="31">
        <v>0</v>
      </c>
      <c r="X463" s="31">
        <v>0</v>
      </c>
      <c r="Y463" s="31">
        <v>0</v>
      </c>
      <c r="Z463" s="31">
        <v>0</v>
      </c>
      <c r="AA463" s="31">
        <v>0</v>
      </c>
      <c r="AB463" s="31">
        <v>0</v>
      </c>
      <c r="AC463" s="31">
        <v>0</v>
      </c>
      <c r="AD463" s="31">
        <v>0</v>
      </c>
      <c r="AE463" s="31">
        <v>0</v>
      </c>
      <c r="AF463" s="31">
        <v>0</v>
      </c>
      <c r="AG463" s="31">
        <v>0</v>
      </c>
      <c r="AH463" s="31">
        <v>0</v>
      </c>
    </row>
    <row r="464" spans="1:34" x14ac:dyDescent="0.25">
      <c r="A464" s="31">
        <v>9</v>
      </c>
      <c r="B464" s="31">
        <v>13809</v>
      </c>
      <c r="C464" s="31">
        <v>2</v>
      </c>
      <c r="D464" s="31" t="s">
        <v>789</v>
      </c>
      <c r="E464" s="31"/>
      <c r="F464" s="31">
        <v>0</v>
      </c>
      <c r="G464" s="31">
        <v>0</v>
      </c>
      <c r="H464" s="31">
        <v>0</v>
      </c>
      <c r="I464" s="31">
        <v>0</v>
      </c>
      <c r="J464" s="31">
        <v>0</v>
      </c>
      <c r="K464" s="31" t="s">
        <v>882</v>
      </c>
      <c r="L464" s="31">
        <v>0</v>
      </c>
      <c r="M464" s="31">
        <v>0</v>
      </c>
      <c r="N464" s="31">
        <v>0</v>
      </c>
      <c r="O464" s="31">
        <v>0</v>
      </c>
      <c r="P464" s="31">
        <v>0</v>
      </c>
      <c r="Q464" s="31">
        <v>0</v>
      </c>
      <c r="R464" s="31">
        <v>0</v>
      </c>
      <c r="S464" s="31">
        <v>0</v>
      </c>
      <c r="T464" s="31">
        <v>0</v>
      </c>
      <c r="U464" s="31">
        <v>0</v>
      </c>
      <c r="V464" s="31">
        <v>0</v>
      </c>
      <c r="W464" s="31">
        <v>0</v>
      </c>
      <c r="X464" s="31">
        <v>0</v>
      </c>
      <c r="Y464" s="31">
        <v>0</v>
      </c>
      <c r="Z464" s="31">
        <v>0</v>
      </c>
      <c r="AA464" s="31">
        <v>0</v>
      </c>
      <c r="AB464" s="31">
        <v>0</v>
      </c>
      <c r="AC464" s="31">
        <v>0</v>
      </c>
      <c r="AD464" s="31">
        <v>0</v>
      </c>
      <c r="AE464" s="31">
        <v>0</v>
      </c>
      <c r="AF464" s="31">
        <v>0</v>
      </c>
      <c r="AG464" s="31">
        <v>0</v>
      </c>
      <c r="AH464" s="31">
        <v>0</v>
      </c>
    </row>
    <row r="465" spans="1:34" x14ac:dyDescent="0.25">
      <c r="A465" s="31">
        <v>9</v>
      </c>
      <c r="B465" s="31">
        <v>13809</v>
      </c>
      <c r="C465" s="31">
        <v>2</v>
      </c>
      <c r="D465" s="31" t="s">
        <v>790</v>
      </c>
      <c r="E465" s="31"/>
      <c r="F465" s="31">
        <v>0</v>
      </c>
      <c r="G465" s="31">
        <v>0</v>
      </c>
      <c r="H465" s="31">
        <v>0</v>
      </c>
      <c r="I465" s="31">
        <v>0</v>
      </c>
      <c r="J465" s="31">
        <v>0</v>
      </c>
      <c r="K465" s="31" t="s">
        <v>882</v>
      </c>
      <c r="L465" s="31">
        <v>0</v>
      </c>
      <c r="M465" s="31">
        <v>0</v>
      </c>
      <c r="N465" s="31">
        <v>0</v>
      </c>
      <c r="O465" s="31">
        <v>0</v>
      </c>
      <c r="P465" s="31">
        <v>0</v>
      </c>
      <c r="Q465" s="31">
        <v>0</v>
      </c>
      <c r="R465" s="31">
        <v>0</v>
      </c>
      <c r="S465" s="31">
        <v>0</v>
      </c>
      <c r="T465" s="31">
        <v>0</v>
      </c>
      <c r="U465" s="31">
        <v>0</v>
      </c>
      <c r="V465" s="31">
        <v>0</v>
      </c>
      <c r="W465" s="31">
        <v>0</v>
      </c>
      <c r="X465" s="31">
        <v>0</v>
      </c>
      <c r="Y465" s="31">
        <v>0</v>
      </c>
      <c r="Z465" s="31">
        <v>0</v>
      </c>
      <c r="AA465" s="31">
        <v>0</v>
      </c>
      <c r="AB465" s="31">
        <v>0</v>
      </c>
      <c r="AC465" s="31">
        <v>0</v>
      </c>
      <c r="AD465" s="31">
        <v>0</v>
      </c>
      <c r="AE465" s="31">
        <v>0</v>
      </c>
      <c r="AF465" s="31">
        <v>0</v>
      </c>
      <c r="AG465" s="31">
        <v>0</v>
      </c>
      <c r="AH465" s="31">
        <v>0</v>
      </c>
    </row>
    <row r="466" spans="1:34" x14ac:dyDescent="0.25">
      <c r="A466" s="31">
        <v>9</v>
      </c>
      <c r="B466" s="31">
        <v>13809</v>
      </c>
      <c r="C466" s="31">
        <v>2</v>
      </c>
      <c r="D466" s="31" t="s">
        <v>791</v>
      </c>
      <c r="E466" s="31"/>
      <c r="F466" s="31">
        <v>0</v>
      </c>
      <c r="G466" s="31">
        <v>0</v>
      </c>
      <c r="H466" s="31">
        <v>0</v>
      </c>
      <c r="I466" s="31">
        <v>0</v>
      </c>
      <c r="J466" s="31">
        <v>0</v>
      </c>
      <c r="K466" s="31" t="s">
        <v>882</v>
      </c>
      <c r="L466" s="31">
        <v>0</v>
      </c>
      <c r="M466" s="31">
        <v>0</v>
      </c>
      <c r="N466" s="31">
        <v>0</v>
      </c>
      <c r="O466" s="31">
        <v>0</v>
      </c>
      <c r="P466" s="31">
        <v>0</v>
      </c>
      <c r="Q466" s="31">
        <v>0</v>
      </c>
      <c r="R466" s="31">
        <v>0</v>
      </c>
      <c r="S466" s="31">
        <v>0</v>
      </c>
      <c r="T466" s="31">
        <v>0</v>
      </c>
      <c r="U466" s="31">
        <v>0</v>
      </c>
      <c r="V466" s="31">
        <v>0</v>
      </c>
      <c r="W466" s="31">
        <v>0</v>
      </c>
      <c r="X466" s="31">
        <v>0</v>
      </c>
      <c r="Y466" s="31">
        <v>0</v>
      </c>
      <c r="Z466" s="31">
        <v>0</v>
      </c>
      <c r="AA466" s="31">
        <v>0</v>
      </c>
      <c r="AB466" s="31">
        <v>0</v>
      </c>
      <c r="AC466" s="31">
        <v>0</v>
      </c>
      <c r="AD466" s="31">
        <v>0</v>
      </c>
      <c r="AE466" s="31">
        <v>0</v>
      </c>
      <c r="AF466" s="31">
        <v>0</v>
      </c>
      <c r="AG466" s="31">
        <v>0</v>
      </c>
      <c r="AH466" s="31">
        <v>0</v>
      </c>
    </row>
    <row r="467" spans="1:34" x14ac:dyDescent="0.25">
      <c r="A467" s="31">
        <v>9</v>
      </c>
      <c r="B467" s="31">
        <v>13809</v>
      </c>
      <c r="C467" s="31">
        <v>2</v>
      </c>
      <c r="D467" s="31" t="s">
        <v>792</v>
      </c>
      <c r="E467" s="31"/>
      <c r="F467" s="31">
        <v>0</v>
      </c>
      <c r="G467" s="31">
        <v>0</v>
      </c>
      <c r="H467" s="31">
        <v>0</v>
      </c>
      <c r="I467" s="31">
        <v>0</v>
      </c>
      <c r="J467" s="31">
        <v>0</v>
      </c>
      <c r="K467" s="31" t="s">
        <v>882</v>
      </c>
      <c r="L467" s="31">
        <v>0</v>
      </c>
      <c r="M467" s="31">
        <v>0</v>
      </c>
      <c r="N467" s="31">
        <v>0</v>
      </c>
      <c r="O467" s="31">
        <v>0</v>
      </c>
      <c r="P467" s="31">
        <v>0</v>
      </c>
      <c r="Q467" s="31">
        <v>0</v>
      </c>
      <c r="R467" s="31">
        <v>0</v>
      </c>
      <c r="S467" s="31">
        <v>0</v>
      </c>
      <c r="T467" s="31">
        <v>0</v>
      </c>
      <c r="U467" s="31">
        <v>0</v>
      </c>
      <c r="V467" s="31">
        <v>0</v>
      </c>
      <c r="W467" s="31">
        <v>0</v>
      </c>
      <c r="X467" s="31">
        <v>0</v>
      </c>
      <c r="Y467" s="31">
        <v>0</v>
      </c>
      <c r="Z467" s="31">
        <v>0</v>
      </c>
      <c r="AA467" s="31">
        <v>0</v>
      </c>
      <c r="AB467" s="31">
        <v>0</v>
      </c>
      <c r="AC467" s="31">
        <v>0</v>
      </c>
      <c r="AD467" s="31">
        <v>0</v>
      </c>
      <c r="AE467" s="31">
        <v>0</v>
      </c>
      <c r="AF467" s="31">
        <v>0</v>
      </c>
      <c r="AG467" s="31">
        <v>0</v>
      </c>
      <c r="AH467" s="31">
        <v>0</v>
      </c>
    </row>
    <row r="468" spans="1:34" x14ac:dyDescent="0.25">
      <c r="A468" s="31">
        <v>9</v>
      </c>
      <c r="B468" s="31">
        <v>13809</v>
      </c>
      <c r="C468" s="31">
        <v>2</v>
      </c>
      <c r="D468" s="31" t="s">
        <v>793</v>
      </c>
      <c r="E468" s="31"/>
      <c r="F468" s="31">
        <v>0</v>
      </c>
      <c r="G468" s="31">
        <v>0</v>
      </c>
      <c r="H468" s="31">
        <v>0</v>
      </c>
      <c r="I468" s="31">
        <v>0</v>
      </c>
      <c r="J468" s="31">
        <v>0</v>
      </c>
      <c r="K468" s="31" t="s">
        <v>882</v>
      </c>
      <c r="L468" s="31">
        <v>0</v>
      </c>
      <c r="M468" s="31">
        <v>0</v>
      </c>
      <c r="N468" s="31">
        <v>0</v>
      </c>
      <c r="O468" s="31">
        <v>0</v>
      </c>
      <c r="P468" s="31">
        <v>0</v>
      </c>
      <c r="Q468" s="31">
        <v>0</v>
      </c>
      <c r="R468" s="31">
        <v>0</v>
      </c>
      <c r="S468" s="31">
        <v>0</v>
      </c>
      <c r="T468" s="31">
        <v>0</v>
      </c>
      <c r="U468" s="31">
        <v>0</v>
      </c>
      <c r="V468" s="31">
        <v>0</v>
      </c>
      <c r="W468" s="31">
        <v>0</v>
      </c>
      <c r="X468" s="31">
        <v>0</v>
      </c>
      <c r="Y468" s="31">
        <v>0</v>
      </c>
      <c r="Z468" s="31">
        <v>0</v>
      </c>
      <c r="AA468" s="31">
        <v>0</v>
      </c>
      <c r="AB468" s="31">
        <v>0</v>
      </c>
      <c r="AC468" s="31">
        <v>0</v>
      </c>
      <c r="AD468" s="31">
        <v>0</v>
      </c>
      <c r="AE468" s="31">
        <v>0</v>
      </c>
      <c r="AF468" s="31">
        <v>0</v>
      </c>
      <c r="AG468" s="31">
        <v>0</v>
      </c>
      <c r="AH468" s="31">
        <v>0</v>
      </c>
    </row>
    <row r="469" spans="1:34" x14ac:dyDescent="0.25">
      <c r="A469" s="31">
        <v>9</v>
      </c>
      <c r="B469" s="31">
        <v>13809</v>
      </c>
      <c r="C469" s="31">
        <v>2</v>
      </c>
      <c r="D469" s="31" t="s">
        <v>794</v>
      </c>
      <c r="E469" s="31"/>
      <c r="F469" s="31">
        <v>0</v>
      </c>
      <c r="G469" s="31">
        <v>0</v>
      </c>
      <c r="H469" s="31">
        <v>0</v>
      </c>
      <c r="I469" s="31">
        <v>0</v>
      </c>
      <c r="J469" s="31">
        <v>0</v>
      </c>
      <c r="K469" s="31" t="s">
        <v>882</v>
      </c>
      <c r="L469" s="31">
        <v>0</v>
      </c>
      <c r="M469" s="31">
        <v>0</v>
      </c>
      <c r="N469" s="31">
        <v>0</v>
      </c>
      <c r="O469" s="31">
        <v>0</v>
      </c>
      <c r="P469" s="31">
        <v>0</v>
      </c>
      <c r="Q469" s="31">
        <v>0</v>
      </c>
      <c r="R469" s="31">
        <v>0</v>
      </c>
      <c r="S469" s="31">
        <v>0</v>
      </c>
      <c r="T469" s="31">
        <v>0</v>
      </c>
      <c r="U469" s="31">
        <v>0</v>
      </c>
      <c r="V469" s="31">
        <v>0</v>
      </c>
      <c r="W469" s="31">
        <v>0</v>
      </c>
      <c r="X469" s="31">
        <v>0</v>
      </c>
      <c r="Y469" s="31">
        <v>0</v>
      </c>
      <c r="Z469" s="31">
        <v>0</v>
      </c>
      <c r="AA469" s="31">
        <v>0</v>
      </c>
      <c r="AB469" s="31">
        <v>0</v>
      </c>
      <c r="AC469" s="31">
        <v>0</v>
      </c>
      <c r="AD469" s="31">
        <v>0</v>
      </c>
      <c r="AE469" s="31">
        <v>0</v>
      </c>
      <c r="AF469" s="31">
        <v>0</v>
      </c>
      <c r="AG469" s="31">
        <v>0</v>
      </c>
      <c r="AH469" s="31">
        <v>0</v>
      </c>
    </row>
    <row r="470" spans="1:34" x14ac:dyDescent="0.25">
      <c r="A470" s="31">
        <v>10</v>
      </c>
      <c r="B470" s="31">
        <v>13809</v>
      </c>
      <c r="C470" s="31">
        <v>1</v>
      </c>
      <c r="D470" s="31" t="s">
        <v>795</v>
      </c>
      <c r="E470" s="31"/>
      <c r="F470" s="31">
        <v>0</v>
      </c>
      <c r="G470" s="31">
        <v>0</v>
      </c>
      <c r="H470" s="31">
        <v>0</v>
      </c>
      <c r="I470" s="31">
        <v>0</v>
      </c>
      <c r="J470" s="31">
        <v>0</v>
      </c>
      <c r="K470" s="31" t="s">
        <v>882</v>
      </c>
      <c r="L470" s="31">
        <v>0</v>
      </c>
      <c r="M470" s="31">
        <v>0</v>
      </c>
      <c r="N470" s="31">
        <v>0</v>
      </c>
      <c r="O470" s="31">
        <v>0</v>
      </c>
      <c r="P470" s="31">
        <v>0</v>
      </c>
      <c r="Q470" s="31">
        <v>0</v>
      </c>
      <c r="R470" s="31">
        <v>0</v>
      </c>
      <c r="S470" s="31">
        <v>0</v>
      </c>
      <c r="T470" s="31">
        <v>0</v>
      </c>
      <c r="U470" s="31">
        <v>0</v>
      </c>
      <c r="V470" s="31">
        <v>0</v>
      </c>
      <c r="W470" s="31">
        <v>0</v>
      </c>
      <c r="X470" s="31">
        <v>0</v>
      </c>
      <c r="Y470" s="31">
        <v>0</v>
      </c>
      <c r="Z470" s="31">
        <v>0</v>
      </c>
      <c r="AA470" s="31">
        <v>0</v>
      </c>
      <c r="AB470" s="31">
        <v>0</v>
      </c>
      <c r="AC470" s="31">
        <v>0</v>
      </c>
      <c r="AD470" s="31">
        <v>0</v>
      </c>
      <c r="AE470" s="31">
        <v>0</v>
      </c>
      <c r="AF470" s="31">
        <v>0</v>
      </c>
      <c r="AG470" s="31">
        <v>0</v>
      </c>
      <c r="AH470" s="31">
        <v>0</v>
      </c>
    </row>
    <row r="471" spans="1:34" x14ac:dyDescent="0.25">
      <c r="A471" s="31">
        <v>10</v>
      </c>
      <c r="B471" s="31">
        <v>13809</v>
      </c>
      <c r="C471" s="31">
        <v>2</v>
      </c>
      <c r="D471" s="31" t="s">
        <v>795</v>
      </c>
      <c r="E471" s="31"/>
      <c r="F471" s="31">
        <v>0</v>
      </c>
      <c r="G471" s="31">
        <v>0</v>
      </c>
      <c r="H471" s="31">
        <v>0</v>
      </c>
      <c r="I471" s="31">
        <v>0</v>
      </c>
      <c r="J471" s="31">
        <v>0</v>
      </c>
      <c r="K471" s="31" t="s">
        <v>882</v>
      </c>
      <c r="L471" s="31">
        <v>0</v>
      </c>
      <c r="M471" s="31">
        <v>0</v>
      </c>
      <c r="N471" s="31">
        <v>0</v>
      </c>
      <c r="O471" s="31">
        <v>0</v>
      </c>
      <c r="P471" s="31">
        <v>0</v>
      </c>
      <c r="Q471" s="31">
        <v>0</v>
      </c>
      <c r="R471" s="31">
        <v>0</v>
      </c>
      <c r="S471" s="31">
        <v>0</v>
      </c>
      <c r="T471" s="31">
        <v>0</v>
      </c>
      <c r="U471" s="31">
        <v>0</v>
      </c>
      <c r="V471" s="31">
        <v>0</v>
      </c>
      <c r="W471" s="31">
        <v>0</v>
      </c>
      <c r="X471" s="31">
        <v>0</v>
      </c>
      <c r="Y471" s="31">
        <v>0</v>
      </c>
      <c r="Z471" s="31">
        <v>0</v>
      </c>
      <c r="AA471" s="31">
        <v>0</v>
      </c>
      <c r="AB471" s="31">
        <v>0</v>
      </c>
      <c r="AC471" s="31">
        <v>0</v>
      </c>
      <c r="AD471" s="31">
        <v>0</v>
      </c>
      <c r="AE471" s="31">
        <v>0</v>
      </c>
      <c r="AF471" s="31">
        <v>0</v>
      </c>
      <c r="AG471" s="31">
        <v>0</v>
      </c>
      <c r="AH471" s="31">
        <v>0</v>
      </c>
    </row>
    <row r="472" spans="1:34" x14ac:dyDescent="0.25">
      <c r="A472" s="31">
        <v>10</v>
      </c>
      <c r="B472" s="31">
        <v>13809</v>
      </c>
      <c r="C472" s="31" t="s">
        <v>425</v>
      </c>
      <c r="D472" s="31" t="s">
        <v>795</v>
      </c>
      <c r="E472" s="31"/>
      <c r="F472" s="31">
        <v>0</v>
      </c>
      <c r="G472" s="31">
        <v>0</v>
      </c>
      <c r="H472" s="31">
        <v>0</v>
      </c>
      <c r="I472" s="31">
        <v>0</v>
      </c>
      <c r="J472" s="31">
        <v>0</v>
      </c>
      <c r="K472" s="31" t="s">
        <v>882</v>
      </c>
      <c r="L472" s="31">
        <v>0</v>
      </c>
      <c r="M472" s="31">
        <v>0</v>
      </c>
      <c r="N472" s="31">
        <v>0</v>
      </c>
      <c r="O472" s="31">
        <v>0</v>
      </c>
      <c r="P472" s="31">
        <v>0</v>
      </c>
      <c r="Q472" s="31">
        <v>0</v>
      </c>
      <c r="R472" s="31">
        <v>0</v>
      </c>
      <c r="S472" s="31">
        <v>0</v>
      </c>
      <c r="T472" s="31">
        <v>0</v>
      </c>
      <c r="U472" s="31">
        <v>0</v>
      </c>
      <c r="V472" s="31">
        <v>0</v>
      </c>
      <c r="W472" s="31">
        <v>0</v>
      </c>
      <c r="X472" s="31">
        <v>0</v>
      </c>
      <c r="Y472" s="31">
        <v>0</v>
      </c>
      <c r="Z472" s="31">
        <v>0</v>
      </c>
      <c r="AA472" s="31">
        <v>0</v>
      </c>
      <c r="AB472" s="31">
        <v>0</v>
      </c>
      <c r="AC472" s="31">
        <v>0</v>
      </c>
      <c r="AD472" s="31">
        <v>0</v>
      </c>
      <c r="AE472" s="31">
        <v>0</v>
      </c>
      <c r="AF472" s="31">
        <v>0</v>
      </c>
      <c r="AG472" s="31">
        <v>0</v>
      </c>
      <c r="AH472" s="31">
        <v>0</v>
      </c>
    </row>
    <row r="473" spans="1:34" x14ac:dyDescent="0.25">
      <c r="A473" s="31">
        <v>10</v>
      </c>
      <c r="B473" s="31">
        <v>25101</v>
      </c>
      <c r="C473" s="31" t="s">
        <v>217</v>
      </c>
      <c r="D473" s="31" t="s">
        <v>796</v>
      </c>
      <c r="E473" s="31"/>
      <c r="F473" s="31">
        <v>0</v>
      </c>
      <c r="G473" s="31">
        <v>0</v>
      </c>
      <c r="H473" s="31">
        <v>0</v>
      </c>
      <c r="I473" s="31">
        <v>0</v>
      </c>
      <c r="J473" s="31">
        <v>0</v>
      </c>
      <c r="K473" s="31" t="s">
        <v>882</v>
      </c>
      <c r="L473" s="31">
        <v>0</v>
      </c>
      <c r="M473" s="31">
        <v>0</v>
      </c>
      <c r="N473" s="31">
        <v>0</v>
      </c>
      <c r="O473" s="31">
        <v>0</v>
      </c>
      <c r="P473" s="31">
        <v>0</v>
      </c>
      <c r="Q473" s="31">
        <v>0</v>
      </c>
      <c r="R473" s="31">
        <v>0</v>
      </c>
      <c r="S473" s="31">
        <v>0</v>
      </c>
      <c r="T473" s="31">
        <v>0</v>
      </c>
      <c r="U473" s="31">
        <v>0</v>
      </c>
      <c r="V473" s="31">
        <v>0</v>
      </c>
      <c r="W473" s="31">
        <v>0</v>
      </c>
      <c r="X473" s="31">
        <v>0</v>
      </c>
      <c r="Y473" s="31">
        <v>0</v>
      </c>
      <c r="Z473" s="31">
        <v>0</v>
      </c>
      <c r="AA473" s="31">
        <v>0</v>
      </c>
      <c r="AB473" s="31">
        <v>0</v>
      </c>
      <c r="AC473" s="31">
        <v>0</v>
      </c>
      <c r="AD473" s="31">
        <v>0</v>
      </c>
      <c r="AE473" s="31">
        <v>0</v>
      </c>
      <c r="AF473" s="31">
        <v>0</v>
      </c>
      <c r="AG473" s="31">
        <v>0</v>
      </c>
      <c r="AH473" s="31">
        <v>0</v>
      </c>
    </row>
    <row r="474" spans="1:34" x14ac:dyDescent="0.25">
      <c r="A474" s="31">
        <v>10</v>
      </c>
      <c r="B474" s="31">
        <v>25101</v>
      </c>
      <c r="C474" s="31" t="s">
        <v>217</v>
      </c>
      <c r="D474" s="31" t="s">
        <v>797</v>
      </c>
      <c r="E474" s="31"/>
      <c r="F474" s="31">
        <v>0</v>
      </c>
      <c r="G474" s="31">
        <v>0</v>
      </c>
      <c r="H474" s="31">
        <v>0</v>
      </c>
      <c r="I474" s="31">
        <v>0</v>
      </c>
      <c r="J474" s="31">
        <v>0</v>
      </c>
      <c r="K474" s="31" t="s">
        <v>882</v>
      </c>
      <c r="L474" s="31">
        <v>0</v>
      </c>
      <c r="M474" s="31">
        <v>0</v>
      </c>
      <c r="N474" s="31">
        <v>0</v>
      </c>
      <c r="O474" s="31">
        <v>0</v>
      </c>
      <c r="P474" s="31">
        <v>0</v>
      </c>
      <c r="Q474" s="31">
        <v>0</v>
      </c>
      <c r="R474" s="31">
        <v>0</v>
      </c>
      <c r="S474" s="31">
        <v>0</v>
      </c>
      <c r="T474" s="31">
        <v>0</v>
      </c>
      <c r="U474" s="31">
        <v>0</v>
      </c>
      <c r="V474" s="31">
        <v>0</v>
      </c>
      <c r="W474" s="31">
        <v>0</v>
      </c>
      <c r="X474" s="31">
        <v>0</v>
      </c>
      <c r="Y474" s="31">
        <v>0</v>
      </c>
      <c r="Z474" s="31">
        <v>0</v>
      </c>
      <c r="AA474" s="31">
        <v>0</v>
      </c>
      <c r="AB474" s="31">
        <v>0</v>
      </c>
      <c r="AC474" s="31">
        <v>0</v>
      </c>
      <c r="AD474" s="31">
        <v>0</v>
      </c>
      <c r="AE474" s="31">
        <v>0</v>
      </c>
      <c r="AF474" s="31">
        <v>0</v>
      </c>
      <c r="AG474" s="31">
        <v>0</v>
      </c>
      <c r="AH474" s="31">
        <v>0</v>
      </c>
    </row>
    <row r="475" spans="1:34" x14ac:dyDescent="0.25">
      <c r="A475" s="31">
        <v>10</v>
      </c>
      <c r="B475" s="31">
        <v>25101</v>
      </c>
      <c r="C475" s="31" t="s">
        <v>217</v>
      </c>
      <c r="D475" s="31" t="s">
        <v>798</v>
      </c>
      <c r="E475" s="31"/>
      <c r="F475" s="31">
        <v>0</v>
      </c>
      <c r="G475" s="31">
        <v>0</v>
      </c>
      <c r="H475" s="31">
        <v>0</v>
      </c>
      <c r="I475" s="31">
        <v>0</v>
      </c>
      <c r="J475" s="31">
        <v>0</v>
      </c>
      <c r="K475" s="31" t="s">
        <v>882</v>
      </c>
      <c r="L475" s="31">
        <v>0</v>
      </c>
      <c r="M475" s="31">
        <v>0</v>
      </c>
      <c r="N475" s="31">
        <v>0</v>
      </c>
      <c r="O475" s="31">
        <v>0</v>
      </c>
      <c r="P475" s="31">
        <v>0</v>
      </c>
      <c r="Q475" s="31">
        <v>0</v>
      </c>
      <c r="R475" s="31">
        <v>0</v>
      </c>
      <c r="S475" s="31">
        <v>0</v>
      </c>
      <c r="T475" s="31">
        <v>0</v>
      </c>
      <c r="U475" s="31">
        <v>0</v>
      </c>
      <c r="V475" s="31">
        <v>0</v>
      </c>
      <c r="W475" s="31">
        <v>0</v>
      </c>
      <c r="X475" s="31">
        <v>0</v>
      </c>
      <c r="Y475" s="31">
        <v>0</v>
      </c>
      <c r="Z475" s="31">
        <v>0</v>
      </c>
      <c r="AA475" s="31">
        <v>0</v>
      </c>
      <c r="AB475" s="31">
        <v>0</v>
      </c>
      <c r="AC475" s="31">
        <v>0</v>
      </c>
      <c r="AD475" s="31">
        <v>0</v>
      </c>
      <c r="AE475" s="31">
        <v>0</v>
      </c>
      <c r="AF475" s="31">
        <v>0</v>
      </c>
      <c r="AG475" s="31">
        <v>0</v>
      </c>
      <c r="AH475" s="31">
        <v>0</v>
      </c>
    </row>
    <row r="476" spans="1:34" x14ac:dyDescent="0.25">
      <c r="A476" s="31">
        <v>10</v>
      </c>
      <c r="B476" s="31">
        <v>25101</v>
      </c>
      <c r="C476" s="31" t="s">
        <v>217</v>
      </c>
      <c r="D476" s="31" t="s">
        <v>799</v>
      </c>
      <c r="E476" s="31"/>
      <c r="F476" s="31">
        <v>0</v>
      </c>
      <c r="G476" s="31">
        <v>0</v>
      </c>
      <c r="H476" s="31">
        <v>0</v>
      </c>
      <c r="I476" s="31">
        <v>0</v>
      </c>
      <c r="J476" s="31">
        <v>0</v>
      </c>
      <c r="K476" s="31" t="s">
        <v>882</v>
      </c>
      <c r="L476" s="31">
        <v>0</v>
      </c>
      <c r="M476" s="31">
        <v>0</v>
      </c>
      <c r="N476" s="31">
        <v>0</v>
      </c>
      <c r="O476" s="31">
        <v>0</v>
      </c>
      <c r="P476" s="31">
        <v>0</v>
      </c>
      <c r="Q476" s="31">
        <v>0</v>
      </c>
      <c r="R476" s="31">
        <v>0</v>
      </c>
      <c r="S476" s="31">
        <v>0</v>
      </c>
      <c r="T476" s="31">
        <v>0</v>
      </c>
      <c r="U476" s="31">
        <v>0</v>
      </c>
      <c r="V476" s="31">
        <v>0</v>
      </c>
      <c r="W476" s="31">
        <v>0</v>
      </c>
      <c r="X476" s="31">
        <v>0</v>
      </c>
      <c r="Y476" s="31">
        <v>0</v>
      </c>
      <c r="Z476" s="31">
        <v>0</v>
      </c>
      <c r="AA476" s="31">
        <v>0</v>
      </c>
      <c r="AB476" s="31">
        <v>0</v>
      </c>
      <c r="AC476" s="31">
        <v>0</v>
      </c>
      <c r="AD476" s="31">
        <v>0</v>
      </c>
      <c r="AE476" s="31">
        <v>0</v>
      </c>
      <c r="AF476" s="31">
        <v>0</v>
      </c>
      <c r="AG476" s="31">
        <v>0</v>
      </c>
      <c r="AH476" s="31">
        <v>0</v>
      </c>
    </row>
    <row r="477" spans="1:34" x14ac:dyDescent="0.25">
      <c r="A477" s="31">
        <v>10</v>
      </c>
      <c r="B477" s="31">
        <v>25101</v>
      </c>
      <c r="C477" s="31" t="s">
        <v>217</v>
      </c>
      <c r="D477" s="31" t="s">
        <v>800</v>
      </c>
      <c r="E477" s="31"/>
      <c r="F477" s="31">
        <v>0</v>
      </c>
      <c r="G477" s="31">
        <v>0</v>
      </c>
      <c r="H477" s="31">
        <v>0</v>
      </c>
      <c r="I477" s="31">
        <v>0</v>
      </c>
      <c r="J477" s="31">
        <v>0</v>
      </c>
      <c r="K477" s="31" t="s">
        <v>882</v>
      </c>
      <c r="L477" s="31">
        <v>0</v>
      </c>
      <c r="M477" s="31">
        <v>0</v>
      </c>
      <c r="N477" s="31">
        <v>0</v>
      </c>
      <c r="O477" s="31">
        <v>0</v>
      </c>
      <c r="P477" s="31">
        <v>0</v>
      </c>
      <c r="Q477" s="31">
        <v>0</v>
      </c>
      <c r="R477" s="31">
        <v>0</v>
      </c>
      <c r="S477" s="31">
        <v>0</v>
      </c>
      <c r="T477" s="31">
        <v>0</v>
      </c>
      <c r="U477" s="31">
        <v>0</v>
      </c>
      <c r="V477" s="31">
        <v>0</v>
      </c>
      <c r="W477" s="31">
        <v>0</v>
      </c>
      <c r="X477" s="31">
        <v>0</v>
      </c>
      <c r="Y477" s="31">
        <v>0</v>
      </c>
      <c r="Z477" s="31">
        <v>0</v>
      </c>
      <c r="AA477" s="31">
        <v>0</v>
      </c>
      <c r="AB477" s="31">
        <v>0</v>
      </c>
      <c r="AC477" s="31">
        <v>0</v>
      </c>
      <c r="AD477" s="31">
        <v>0</v>
      </c>
      <c r="AE477" s="31">
        <v>0</v>
      </c>
      <c r="AF477" s="31">
        <v>0</v>
      </c>
      <c r="AG477" s="31">
        <v>0</v>
      </c>
      <c r="AH477" s="31">
        <v>0</v>
      </c>
    </row>
    <row r="478" spans="1:34" x14ac:dyDescent="0.25">
      <c r="A478" s="31">
        <v>10</v>
      </c>
      <c r="B478" s="31">
        <v>25101</v>
      </c>
      <c r="C478" s="31" t="s">
        <v>217</v>
      </c>
      <c r="D478" s="31" t="s">
        <v>801</v>
      </c>
      <c r="E478" s="31"/>
      <c r="F478" s="31">
        <v>0</v>
      </c>
      <c r="G478" s="31">
        <v>0</v>
      </c>
      <c r="H478" s="31">
        <v>0</v>
      </c>
      <c r="I478" s="31">
        <v>0</v>
      </c>
      <c r="J478" s="31">
        <v>0</v>
      </c>
      <c r="K478" s="31" t="s">
        <v>882</v>
      </c>
      <c r="L478" s="31">
        <v>0</v>
      </c>
      <c r="M478" s="31">
        <v>0</v>
      </c>
      <c r="N478" s="31">
        <v>0</v>
      </c>
      <c r="O478" s="31">
        <v>0</v>
      </c>
      <c r="P478" s="31">
        <v>0</v>
      </c>
      <c r="Q478" s="31">
        <v>0</v>
      </c>
      <c r="R478" s="31">
        <v>0</v>
      </c>
      <c r="S478" s="31">
        <v>0</v>
      </c>
      <c r="T478" s="31">
        <v>0</v>
      </c>
      <c r="U478" s="31">
        <v>0</v>
      </c>
      <c r="V478" s="31">
        <v>0</v>
      </c>
      <c r="W478" s="31">
        <v>0</v>
      </c>
      <c r="X478" s="31">
        <v>0</v>
      </c>
      <c r="Y478" s="31">
        <v>0</v>
      </c>
      <c r="Z478" s="31">
        <v>0</v>
      </c>
      <c r="AA478" s="31">
        <v>0</v>
      </c>
      <c r="AB478" s="31">
        <v>0</v>
      </c>
      <c r="AC478" s="31">
        <v>0</v>
      </c>
      <c r="AD478" s="31">
        <v>0</v>
      </c>
      <c r="AE478" s="31">
        <v>0</v>
      </c>
      <c r="AF478" s="31">
        <v>0</v>
      </c>
      <c r="AG478" s="31">
        <v>0</v>
      </c>
      <c r="AH478" s="31">
        <v>0</v>
      </c>
    </row>
    <row r="479" spans="1:34" x14ac:dyDescent="0.25">
      <c r="A479" s="31">
        <v>10</v>
      </c>
      <c r="B479" s="31">
        <v>25101</v>
      </c>
      <c r="C479" s="31" t="s">
        <v>217</v>
      </c>
      <c r="D479" s="31" t="s">
        <v>802</v>
      </c>
      <c r="E479" s="31"/>
      <c r="F479" s="31">
        <v>0</v>
      </c>
      <c r="G479" s="31">
        <v>0</v>
      </c>
      <c r="H479" s="31">
        <v>0</v>
      </c>
      <c r="I479" s="31">
        <v>0</v>
      </c>
      <c r="J479" s="31">
        <v>0</v>
      </c>
      <c r="K479" s="31" t="s">
        <v>882</v>
      </c>
      <c r="L479" s="31">
        <v>0</v>
      </c>
      <c r="M479" s="31">
        <v>0</v>
      </c>
      <c r="N479" s="31">
        <v>0</v>
      </c>
      <c r="O479" s="31">
        <v>0</v>
      </c>
      <c r="P479" s="31">
        <v>0</v>
      </c>
      <c r="Q479" s="31">
        <v>0</v>
      </c>
      <c r="R479" s="31">
        <v>0</v>
      </c>
      <c r="S479" s="31">
        <v>0</v>
      </c>
      <c r="T479" s="31">
        <v>0</v>
      </c>
      <c r="U479" s="31">
        <v>0</v>
      </c>
      <c r="V479" s="31">
        <v>0</v>
      </c>
      <c r="W479" s="31">
        <v>0</v>
      </c>
      <c r="X479" s="31">
        <v>0</v>
      </c>
      <c r="Y479" s="31">
        <v>0</v>
      </c>
      <c r="Z479" s="31">
        <v>0</v>
      </c>
      <c r="AA479" s="31">
        <v>0</v>
      </c>
      <c r="AB479" s="31">
        <v>0</v>
      </c>
      <c r="AC479" s="31">
        <v>0</v>
      </c>
      <c r="AD479" s="31">
        <v>0</v>
      </c>
      <c r="AE479" s="31">
        <v>0</v>
      </c>
      <c r="AF479" s="31">
        <v>0</v>
      </c>
      <c r="AG479" s="31">
        <v>0</v>
      </c>
      <c r="AH479" s="31">
        <v>0</v>
      </c>
    </row>
    <row r="480" spans="1:34" x14ac:dyDescent="0.25">
      <c r="A480" s="31">
        <v>10</v>
      </c>
      <c r="B480" s="31">
        <v>25101</v>
      </c>
      <c r="C480" s="31" t="s">
        <v>217</v>
      </c>
      <c r="D480" s="31" t="s">
        <v>803</v>
      </c>
      <c r="E480" s="31"/>
      <c r="F480" s="31">
        <v>0</v>
      </c>
      <c r="G480" s="31">
        <v>0</v>
      </c>
      <c r="H480" s="31">
        <v>0</v>
      </c>
      <c r="I480" s="31">
        <v>0</v>
      </c>
      <c r="J480" s="31">
        <v>0</v>
      </c>
      <c r="K480" s="31" t="s">
        <v>882</v>
      </c>
      <c r="L480" s="31">
        <v>0</v>
      </c>
      <c r="M480" s="31">
        <v>0</v>
      </c>
      <c r="N480" s="31">
        <v>0</v>
      </c>
      <c r="O480" s="31">
        <v>0</v>
      </c>
      <c r="P480" s="31">
        <v>0</v>
      </c>
      <c r="Q480" s="31">
        <v>0</v>
      </c>
      <c r="R480" s="31">
        <v>0</v>
      </c>
      <c r="S480" s="31">
        <v>0</v>
      </c>
      <c r="T480" s="31">
        <v>0</v>
      </c>
      <c r="U480" s="31">
        <v>0</v>
      </c>
      <c r="V480" s="31">
        <v>0</v>
      </c>
      <c r="W480" s="31">
        <v>0</v>
      </c>
      <c r="X480" s="31">
        <v>0</v>
      </c>
      <c r="Y480" s="31">
        <v>0</v>
      </c>
      <c r="Z480" s="31">
        <v>0</v>
      </c>
      <c r="AA480" s="31">
        <v>0</v>
      </c>
      <c r="AB480" s="31">
        <v>0</v>
      </c>
      <c r="AC480" s="31">
        <v>0</v>
      </c>
      <c r="AD480" s="31">
        <v>0</v>
      </c>
      <c r="AE480" s="31">
        <v>0</v>
      </c>
      <c r="AF480" s="31">
        <v>0</v>
      </c>
      <c r="AG480" s="31">
        <v>0</v>
      </c>
      <c r="AH480" s="31">
        <v>0</v>
      </c>
    </row>
    <row r="481" spans="1:34" x14ac:dyDescent="0.25">
      <c r="A481" s="31">
        <v>10</v>
      </c>
      <c r="B481" s="31">
        <v>25101</v>
      </c>
      <c r="C481" s="31" t="s">
        <v>217</v>
      </c>
      <c r="D481" s="31" t="s">
        <v>804</v>
      </c>
      <c r="E481" s="31"/>
      <c r="F481" s="31">
        <v>0</v>
      </c>
      <c r="G481" s="31">
        <v>0</v>
      </c>
      <c r="H481" s="31">
        <v>0</v>
      </c>
      <c r="I481" s="31">
        <v>0</v>
      </c>
      <c r="J481" s="31">
        <v>0</v>
      </c>
      <c r="K481" s="31" t="s">
        <v>882</v>
      </c>
      <c r="L481" s="31">
        <v>0</v>
      </c>
      <c r="M481" s="31">
        <v>0</v>
      </c>
      <c r="N481" s="31">
        <v>0</v>
      </c>
      <c r="O481" s="31">
        <v>0</v>
      </c>
      <c r="P481" s="31">
        <v>0</v>
      </c>
      <c r="Q481" s="31">
        <v>0</v>
      </c>
      <c r="R481" s="31">
        <v>0</v>
      </c>
      <c r="S481" s="31">
        <v>0</v>
      </c>
      <c r="T481" s="31">
        <v>0</v>
      </c>
      <c r="U481" s="31">
        <v>0</v>
      </c>
      <c r="V481" s="31">
        <v>0</v>
      </c>
      <c r="W481" s="31">
        <v>0</v>
      </c>
      <c r="X481" s="31">
        <v>0</v>
      </c>
      <c r="Y481" s="31">
        <v>0</v>
      </c>
      <c r="Z481" s="31">
        <v>0</v>
      </c>
      <c r="AA481" s="31">
        <v>0</v>
      </c>
      <c r="AB481" s="31">
        <v>0</v>
      </c>
      <c r="AC481" s="31">
        <v>0</v>
      </c>
      <c r="AD481" s="31">
        <v>0</v>
      </c>
      <c r="AE481" s="31">
        <v>0</v>
      </c>
      <c r="AF481" s="31">
        <v>0</v>
      </c>
      <c r="AG481" s="31">
        <v>0</v>
      </c>
      <c r="AH481" s="31">
        <v>0</v>
      </c>
    </row>
    <row r="482" spans="1:34" x14ac:dyDescent="0.25">
      <c r="A482" s="31">
        <v>10</v>
      </c>
      <c r="B482" s="31">
        <v>25101</v>
      </c>
      <c r="C482" s="31" t="s">
        <v>217</v>
      </c>
      <c r="D482" s="31" t="s">
        <v>805</v>
      </c>
      <c r="E482" s="31"/>
      <c r="F482" s="31">
        <v>0</v>
      </c>
      <c r="G482" s="31">
        <v>0</v>
      </c>
      <c r="H482" s="31">
        <v>0</v>
      </c>
      <c r="I482" s="31">
        <v>0</v>
      </c>
      <c r="J482" s="31">
        <v>0</v>
      </c>
      <c r="K482" s="31" t="s">
        <v>882</v>
      </c>
      <c r="L482" s="31">
        <v>0</v>
      </c>
      <c r="M482" s="31">
        <v>0</v>
      </c>
      <c r="N482" s="31">
        <v>0</v>
      </c>
      <c r="O482" s="31">
        <v>0</v>
      </c>
      <c r="P482" s="31">
        <v>0</v>
      </c>
      <c r="Q482" s="31">
        <v>0</v>
      </c>
      <c r="R482" s="31">
        <v>0</v>
      </c>
      <c r="S482" s="31">
        <v>0</v>
      </c>
      <c r="T482" s="31">
        <v>0</v>
      </c>
      <c r="U482" s="31">
        <v>0</v>
      </c>
      <c r="V482" s="31">
        <v>0</v>
      </c>
      <c r="W482" s="31">
        <v>0</v>
      </c>
      <c r="X482" s="31">
        <v>0</v>
      </c>
      <c r="Y482" s="31">
        <v>0</v>
      </c>
      <c r="Z482" s="31">
        <v>0</v>
      </c>
      <c r="AA482" s="31">
        <v>0</v>
      </c>
      <c r="AB482" s="31">
        <v>0</v>
      </c>
      <c r="AC482" s="31">
        <v>0</v>
      </c>
      <c r="AD482" s="31">
        <v>0</v>
      </c>
      <c r="AE482" s="31">
        <v>0</v>
      </c>
      <c r="AF482" s="31">
        <v>0</v>
      </c>
      <c r="AG482" s="31">
        <v>0</v>
      </c>
      <c r="AH482" s="31">
        <v>0</v>
      </c>
    </row>
    <row r="483" spans="1:34" x14ac:dyDescent="0.25">
      <c r="A483" s="31">
        <v>10</v>
      </c>
      <c r="B483" s="31">
        <v>25102</v>
      </c>
      <c r="C483" s="31" t="s">
        <v>217</v>
      </c>
      <c r="D483" s="31" t="s">
        <v>923</v>
      </c>
      <c r="E483" s="31"/>
      <c r="F483" s="31">
        <v>0</v>
      </c>
      <c r="G483" s="31">
        <v>0</v>
      </c>
      <c r="H483" s="31">
        <v>0</v>
      </c>
      <c r="I483" s="31">
        <v>0</v>
      </c>
      <c r="J483" s="31">
        <v>0</v>
      </c>
      <c r="K483" s="31" t="s">
        <v>882</v>
      </c>
      <c r="L483" s="31">
        <v>0</v>
      </c>
      <c r="M483" s="31">
        <v>0</v>
      </c>
      <c r="N483" s="31">
        <v>0</v>
      </c>
      <c r="O483" s="31">
        <v>0</v>
      </c>
      <c r="P483" s="31">
        <v>0</v>
      </c>
      <c r="Q483" s="31">
        <v>0</v>
      </c>
      <c r="R483" s="31">
        <v>0</v>
      </c>
      <c r="S483" s="31">
        <v>0</v>
      </c>
      <c r="T483" s="31">
        <v>0</v>
      </c>
      <c r="U483" s="31">
        <v>0</v>
      </c>
      <c r="V483" s="31">
        <v>0</v>
      </c>
      <c r="W483" s="31">
        <v>0</v>
      </c>
      <c r="X483" s="31">
        <v>0</v>
      </c>
      <c r="Y483" s="31">
        <v>0</v>
      </c>
      <c r="Z483" s="31">
        <v>0</v>
      </c>
      <c r="AA483" s="31">
        <v>0</v>
      </c>
      <c r="AB483" s="31">
        <v>0</v>
      </c>
      <c r="AC483" s="31">
        <v>0</v>
      </c>
      <c r="AD483" s="31">
        <v>0</v>
      </c>
      <c r="AE483" s="31">
        <v>0</v>
      </c>
      <c r="AF483" s="31">
        <v>0</v>
      </c>
      <c r="AG483" s="31">
        <v>0</v>
      </c>
      <c r="AH483" s="31">
        <v>0</v>
      </c>
    </row>
    <row r="484" spans="1:34" x14ac:dyDescent="0.25">
      <c r="A484" s="31">
        <v>10</v>
      </c>
      <c r="B484" s="31">
        <v>25137</v>
      </c>
      <c r="C484" s="31">
        <v>2</v>
      </c>
      <c r="D484" s="31" t="s">
        <v>924</v>
      </c>
      <c r="E484" s="31"/>
      <c r="F484" s="31">
        <v>0</v>
      </c>
      <c r="G484" s="31">
        <v>0</v>
      </c>
      <c r="H484" s="31">
        <v>0</v>
      </c>
      <c r="I484" s="31">
        <v>0</v>
      </c>
      <c r="J484" s="31">
        <v>0</v>
      </c>
      <c r="K484" s="31" t="s">
        <v>882</v>
      </c>
      <c r="L484" s="31">
        <v>0</v>
      </c>
      <c r="M484" s="31">
        <v>0</v>
      </c>
      <c r="N484" s="31">
        <v>0</v>
      </c>
      <c r="O484" s="31">
        <v>0</v>
      </c>
      <c r="P484" s="31">
        <v>0</v>
      </c>
      <c r="Q484" s="31">
        <v>0</v>
      </c>
      <c r="R484" s="31">
        <v>0</v>
      </c>
      <c r="S484" s="31">
        <v>0</v>
      </c>
      <c r="T484" s="31">
        <v>0</v>
      </c>
      <c r="U484" s="31">
        <v>0</v>
      </c>
      <c r="V484" s="31">
        <v>0</v>
      </c>
      <c r="W484" s="31">
        <v>0</v>
      </c>
      <c r="X484" s="31">
        <v>0</v>
      </c>
      <c r="Y484" s="31">
        <v>0</v>
      </c>
      <c r="Z484" s="31">
        <v>0</v>
      </c>
      <c r="AA484" s="31">
        <v>0</v>
      </c>
      <c r="AB484" s="31">
        <v>0</v>
      </c>
      <c r="AC484" s="31">
        <v>0</v>
      </c>
      <c r="AD484" s="31">
        <v>0</v>
      </c>
      <c r="AE484" s="31">
        <v>0</v>
      </c>
      <c r="AF484" s="31">
        <v>0</v>
      </c>
      <c r="AG484" s="31">
        <v>0</v>
      </c>
      <c r="AH484" s="31">
        <v>0</v>
      </c>
    </row>
    <row r="485" spans="1:34" x14ac:dyDescent="0.25">
      <c r="A485" s="31">
        <v>10</v>
      </c>
      <c r="B485" s="31">
        <v>25102</v>
      </c>
      <c r="C485" s="31" t="s">
        <v>217</v>
      </c>
      <c r="D485" s="31" t="s">
        <v>925</v>
      </c>
      <c r="E485" s="31"/>
      <c r="F485" s="31">
        <v>0</v>
      </c>
      <c r="G485" s="31">
        <v>0</v>
      </c>
      <c r="H485" s="31">
        <v>0</v>
      </c>
      <c r="I485" s="31">
        <v>0</v>
      </c>
      <c r="J485" s="31">
        <v>0</v>
      </c>
      <c r="K485" s="31" t="s">
        <v>882</v>
      </c>
      <c r="L485" s="31">
        <v>0</v>
      </c>
      <c r="M485" s="31">
        <v>0</v>
      </c>
      <c r="N485" s="31">
        <v>0</v>
      </c>
      <c r="O485" s="31">
        <v>0</v>
      </c>
      <c r="P485" s="31">
        <v>0</v>
      </c>
      <c r="Q485" s="31">
        <v>0</v>
      </c>
      <c r="R485" s="31">
        <v>0</v>
      </c>
      <c r="S485" s="31">
        <v>0</v>
      </c>
      <c r="T485" s="31">
        <v>0</v>
      </c>
      <c r="U485" s="31">
        <v>0</v>
      </c>
      <c r="V485" s="31">
        <v>0</v>
      </c>
      <c r="W485" s="31">
        <v>0</v>
      </c>
      <c r="X485" s="31">
        <v>0</v>
      </c>
      <c r="Y485" s="31">
        <v>0</v>
      </c>
      <c r="Z485" s="31">
        <v>0</v>
      </c>
      <c r="AA485" s="31">
        <v>0</v>
      </c>
      <c r="AB485" s="31">
        <v>0</v>
      </c>
      <c r="AC485" s="31">
        <v>0</v>
      </c>
      <c r="AD485" s="31">
        <v>0</v>
      </c>
      <c r="AE485" s="31">
        <v>0</v>
      </c>
      <c r="AF485" s="31">
        <v>0</v>
      </c>
      <c r="AG485" s="31">
        <v>0</v>
      </c>
      <c r="AH485" s="31">
        <v>0</v>
      </c>
    </row>
    <row r="486" spans="1:34" x14ac:dyDescent="0.25">
      <c r="A486" s="31">
        <v>10</v>
      </c>
      <c r="B486" s="31">
        <v>25102</v>
      </c>
      <c r="C486" s="31" t="s">
        <v>217</v>
      </c>
      <c r="D486" s="31" t="s">
        <v>926</v>
      </c>
      <c r="E486" s="31"/>
      <c r="F486" s="31">
        <v>0</v>
      </c>
      <c r="G486" s="31">
        <v>0</v>
      </c>
      <c r="H486" s="31">
        <v>0</v>
      </c>
      <c r="I486" s="31">
        <v>0</v>
      </c>
      <c r="J486" s="31">
        <v>0</v>
      </c>
      <c r="K486" s="31" t="s">
        <v>882</v>
      </c>
      <c r="L486" s="31">
        <v>0</v>
      </c>
      <c r="M486" s="31">
        <v>0</v>
      </c>
      <c r="N486" s="31">
        <v>0</v>
      </c>
      <c r="O486" s="31">
        <v>0</v>
      </c>
      <c r="P486" s="31">
        <v>0</v>
      </c>
      <c r="Q486" s="31">
        <v>0</v>
      </c>
      <c r="R486" s="31">
        <v>0</v>
      </c>
      <c r="S486" s="31">
        <v>0</v>
      </c>
      <c r="T486" s="31">
        <v>0</v>
      </c>
      <c r="U486" s="31">
        <v>0</v>
      </c>
      <c r="V486" s="31">
        <v>0</v>
      </c>
      <c r="W486" s="31">
        <v>0</v>
      </c>
      <c r="X486" s="31">
        <v>0</v>
      </c>
      <c r="Y486" s="31">
        <v>0</v>
      </c>
      <c r="Z486" s="31">
        <v>0</v>
      </c>
      <c r="AA486" s="31">
        <v>0</v>
      </c>
      <c r="AB486" s="31">
        <v>0</v>
      </c>
      <c r="AC486" s="31">
        <v>0</v>
      </c>
      <c r="AD486" s="31">
        <v>0</v>
      </c>
      <c r="AE486" s="31">
        <v>0</v>
      </c>
      <c r="AF486" s="31">
        <v>0</v>
      </c>
      <c r="AG486" s="31">
        <v>0</v>
      </c>
      <c r="AH486" s="31">
        <v>0</v>
      </c>
    </row>
    <row r="487" spans="1:34" x14ac:dyDescent="0.25">
      <c r="A487" s="31">
        <v>10</v>
      </c>
      <c r="B487" s="31">
        <v>25102</v>
      </c>
      <c r="C487" s="31" t="s">
        <v>217</v>
      </c>
      <c r="D487" s="31" t="s">
        <v>927</v>
      </c>
      <c r="E487" s="31"/>
      <c r="F487" s="31">
        <v>0</v>
      </c>
      <c r="G487" s="31">
        <v>0</v>
      </c>
      <c r="H487" s="31">
        <v>0</v>
      </c>
      <c r="I487" s="31">
        <v>0</v>
      </c>
      <c r="J487" s="31">
        <v>0</v>
      </c>
      <c r="K487" s="31" t="s">
        <v>882</v>
      </c>
      <c r="L487" s="31">
        <v>0</v>
      </c>
      <c r="M487" s="31">
        <v>0</v>
      </c>
      <c r="N487" s="31">
        <v>0</v>
      </c>
      <c r="O487" s="31">
        <v>0</v>
      </c>
      <c r="P487" s="31">
        <v>0</v>
      </c>
      <c r="Q487" s="31">
        <v>0</v>
      </c>
      <c r="R487" s="31">
        <v>0</v>
      </c>
      <c r="S487" s="31">
        <v>0</v>
      </c>
      <c r="T487" s="31">
        <v>0</v>
      </c>
      <c r="U487" s="31">
        <v>0</v>
      </c>
      <c r="V487" s="31">
        <v>0</v>
      </c>
      <c r="W487" s="31">
        <v>0</v>
      </c>
      <c r="X487" s="31">
        <v>0</v>
      </c>
      <c r="Y487" s="31">
        <v>0</v>
      </c>
      <c r="Z487" s="31">
        <v>0</v>
      </c>
      <c r="AA487" s="31">
        <v>0</v>
      </c>
      <c r="AB487" s="31">
        <v>0</v>
      </c>
      <c r="AC487" s="31">
        <v>0</v>
      </c>
      <c r="AD487" s="31">
        <v>0</v>
      </c>
      <c r="AE487" s="31">
        <v>0</v>
      </c>
      <c r="AF487" s="31">
        <v>0</v>
      </c>
      <c r="AG487" s="31">
        <v>0</v>
      </c>
      <c r="AH487" s="31">
        <v>0</v>
      </c>
    </row>
    <row r="488" spans="1:34" x14ac:dyDescent="0.25">
      <c r="A488" s="31">
        <v>10</v>
      </c>
      <c r="B488" s="31">
        <v>25102</v>
      </c>
      <c r="C488" s="31" t="s">
        <v>217</v>
      </c>
      <c r="D488" s="31" t="s">
        <v>928</v>
      </c>
      <c r="E488" s="31"/>
      <c r="F488" s="31">
        <v>0</v>
      </c>
      <c r="G488" s="31">
        <v>0</v>
      </c>
      <c r="H488" s="31">
        <v>0</v>
      </c>
      <c r="I488" s="31">
        <v>0</v>
      </c>
      <c r="J488" s="31">
        <v>0</v>
      </c>
      <c r="K488" s="31" t="s">
        <v>882</v>
      </c>
      <c r="L488" s="31">
        <v>0</v>
      </c>
      <c r="M488" s="31">
        <v>0</v>
      </c>
      <c r="N488" s="31">
        <v>0</v>
      </c>
      <c r="O488" s="31">
        <v>0</v>
      </c>
      <c r="P488" s="31">
        <v>0</v>
      </c>
      <c r="Q488" s="31">
        <v>0</v>
      </c>
      <c r="R488" s="31">
        <v>0</v>
      </c>
      <c r="S488" s="31">
        <v>0</v>
      </c>
      <c r="T488" s="31">
        <v>0</v>
      </c>
      <c r="U488" s="31">
        <v>0</v>
      </c>
      <c r="V488" s="31">
        <v>0</v>
      </c>
      <c r="W488" s="31">
        <v>0</v>
      </c>
      <c r="X488" s="31">
        <v>0</v>
      </c>
      <c r="Y488" s="31">
        <v>0</v>
      </c>
      <c r="Z488" s="31">
        <v>0</v>
      </c>
      <c r="AA488" s="31">
        <v>0</v>
      </c>
      <c r="AB488" s="31">
        <v>0</v>
      </c>
      <c r="AC488" s="31">
        <v>0</v>
      </c>
      <c r="AD488" s="31">
        <v>0</v>
      </c>
      <c r="AE488" s="31">
        <v>0</v>
      </c>
      <c r="AF488" s="31">
        <v>0</v>
      </c>
      <c r="AG488" s="31">
        <v>0</v>
      </c>
      <c r="AH488" s="31">
        <v>0</v>
      </c>
    </row>
    <row r="489" spans="1:34" x14ac:dyDescent="0.25">
      <c r="A489" s="31">
        <v>10</v>
      </c>
      <c r="B489" s="31">
        <v>25102</v>
      </c>
      <c r="C489" s="31" t="s">
        <v>217</v>
      </c>
      <c r="D489" s="31" t="s">
        <v>929</v>
      </c>
      <c r="E489" s="31"/>
      <c r="F489" s="31">
        <v>0</v>
      </c>
      <c r="G489" s="31">
        <v>0</v>
      </c>
      <c r="H489" s="31">
        <v>0</v>
      </c>
      <c r="I489" s="31">
        <v>0</v>
      </c>
      <c r="J489" s="31">
        <v>0</v>
      </c>
      <c r="K489" s="31" t="s">
        <v>882</v>
      </c>
      <c r="L489" s="31">
        <v>0</v>
      </c>
      <c r="M489" s="31">
        <v>0</v>
      </c>
      <c r="N489" s="31">
        <v>0</v>
      </c>
      <c r="O489" s="31">
        <v>0</v>
      </c>
      <c r="P489" s="31">
        <v>0</v>
      </c>
      <c r="Q489" s="31">
        <v>0</v>
      </c>
      <c r="R489" s="31">
        <v>0</v>
      </c>
      <c r="S489" s="31">
        <v>0</v>
      </c>
      <c r="T489" s="31">
        <v>0</v>
      </c>
      <c r="U489" s="31">
        <v>0</v>
      </c>
      <c r="V489" s="31">
        <v>0</v>
      </c>
      <c r="W489" s="31">
        <v>0</v>
      </c>
      <c r="X489" s="31">
        <v>0</v>
      </c>
      <c r="Y489" s="31">
        <v>0</v>
      </c>
      <c r="Z489" s="31">
        <v>0</v>
      </c>
      <c r="AA489" s="31">
        <v>0</v>
      </c>
      <c r="AB489" s="31">
        <v>0</v>
      </c>
      <c r="AC489" s="31">
        <v>0</v>
      </c>
      <c r="AD489" s="31">
        <v>0</v>
      </c>
      <c r="AE489" s="31">
        <v>0</v>
      </c>
      <c r="AF489" s="31">
        <v>0</v>
      </c>
      <c r="AG489" s="31">
        <v>0</v>
      </c>
      <c r="AH489" s="31">
        <v>0</v>
      </c>
    </row>
    <row r="490" spans="1:34" x14ac:dyDescent="0.25">
      <c r="A490" s="31">
        <v>11</v>
      </c>
      <c r="B490" s="31">
        <v>13809</v>
      </c>
      <c r="C490" s="31">
        <v>1</v>
      </c>
      <c r="D490" s="31" t="s">
        <v>806</v>
      </c>
      <c r="E490" s="31"/>
      <c r="F490" s="31">
        <v>0</v>
      </c>
      <c r="G490" s="31">
        <v>0</v>
      </c>
      <c r="H490" s="31">
        <v>0</v>
      </c>
      <c r="I490" s="31">
        <v>0</v>
      </c>
      <c r="J490" s="31">
        <v>0</v>
      </c>
      <c r="K490" s="31" t="s">
        <v>882</v>
      </c>
      <c r="L490" s="31">
        <v>0</v>
      </c>
      <c r="M490" s="31">
        <v>0</v>
      </c>
      <c r="N490" s="31">
        <v>0</v>
      </c>
      <c r="O490" s="31">
        <v>0</v>
      </c>
      <c r="P490" s="31">
        <v>0</v>
      </c>
      <c r="Q490" s="31">
        <v>0</v>
      </c>
      <c r="R490" s="31">
        <v>0</v>
      </c>
      <c r="S490" s="31">
        <v>0</v>
      </c>
      <c r="T490" s="31">
        <v>0</v>
      </c>
      <c r="U490" s="31">
        <v>0</v>
      </c>
      <c r="V490" s="31">
        <v>0</v>
      </c>
      <c r="W490" s="31">
        <v>0</v>
      </c>
      <c r="X490" s="31">
        <v>0</v>
      </c>
      <c r="Y490" s="31">
        <v>0</v>
      </c>
      <c r="Z490" s="31">
        <v>0</v>
      </c>
      <c r="AA490" s="31">
        <v>0</v>
      </c>
      <c r="AB490" s="31">
        <v>0</v>
      </c>
      <c r="AC490" s="31">
        <v>0</v>
      </c>
      <c r="AD490" s="31">
        <v>0</v>
      </c>
      <c r="AE490" s="31">
        <v>0</v>
      </c>
      <c r="AF490" s="31">
        <v>0</v>
      </c>
      <c r="AG490" s="31">
        <v>0</v>
      </c>
      <c r="AH490" s="31">
        <v>0</v>
      </c>
    </row>
    <row r="491" spans="1:34" x14ac:dyDescent="0.25">
      <c r="A491" s="31">
        <v>11</v>
      </c>
      <c r="B491" s="31">
        <v>13809</v>
      </c>
      <c r="C491" s="31">
        <v>1</v>
      </c>
      <c r="D491" s="31" t="s">
        <v>807</v>
      </c>
      <c r="E491" s="31"/>
      <c r="F491" s="31">
        <v>0</v>
      </c>
      <c r="G491" s="31">
        <v>0</v>
      </c>
      <c r="H491" s="31">
        <v>0</v>
      </c>
      <c r="I491" s="31">
        <v>0</v>
      </c>
      <c r="J491" s="31">
        <v>0</v>
      </c>
      <c r="K491" s="31" t="s">
        <v>882</v>
      </c>
      <c r="L491" s="31">
        <v>0</v>
      </c>
      <c r="M491" s="31">
        <v>0</v>
      </c>
      <c r="N491" s="31">
        <v>0</v>
      </c>
      <c r="O491" s="31">
        <v>0</v>
      </c>
      <c r="P491" s="31">
        <v>0</v>
      </c>
      <c r="Q491" s="31">
        <v>0</v>
      </c>
      <c r="R491" s="31">
        <v>0</v>
      </c>
      <c r="S491" s="31">
        <v>0</v>
      </c>
      <c r="T491" s="31">
        <v>0</v>
      </c>
      <c r="U491" s="31">
        <v>0</v>
      </c>
      <c r="V491" s="31">
        <v>0</v>
      </c>
      <c r="W491" s="31">
        <v>0</v>
      </c>
      <c r="X491" s="31">
        <v>0</v>
      </c>
      <c r="Y491" s="31">
        <v>0</v>
      </c>
      <c r="Z491" s="31">
        <v>0</v>
      </c>
      <c r="AA491" s="31">
        <v>0</v>
      </c>
      <c r="AB491" s="31">
        <v>0</v>
      </c>
      <c r="AC491" s="31">
        <v>0</v>
      </c>
      <c r="AD491" s="31">
        <v>0</v>
      </c>
      <c r="AE491" s="31">
        <v>0</v>
      </c>
      <c r="AF491" s="31">
        <v>0</v>
      </c>
      <c r="AG491" s="31">
        <v>0</v>
      </c>
      <c r="AH491" s="31">
        <v>0</v>
      </c>
    </row>
    <row r="492" spans="1:34" x14ac:dyDescent="0.25">
      <c r="A492" s="31">
        <v>11</v>
      </c>
      <c r="B492" s="31">
        <v>13809</v>
      </c>
      <c r="C492" s="31">
        <v>1</v>
      </c>
      <c r="D492" s="31" t="s">
        <v>808</v>
      </c>
      <c r="E492" s="31"/>
      <c r="F492" s="31">
        <v>0</v>
      </c>
      <c r="G492" s="31">
        <v>0</v>
      </c>
      <c r="H492" s="31">
        <v>0</v>
      </c>
      <c r="I492" s="31">
        <v>0</v>
      </c>
      <c r="J492" s="31">
        <v>0</v>
      </c>
      <c r="K492" s="31" t="s">
        <v>882</v>
      </c>
      <c r="L492" s="31">
        <v>0</v>
      </c>
      <c r="M492" s="31">
        <v>0</v>
      </c>
      <c r="N492" s="31">
        <v>0</v>
      </c>
      <c r="O492" s="31">
        <v>0</v>
      </c>
      <c r="P492" s="31">
        <v>0</v>
      </c>
      <c r="Q492" s="31">
        <v>0</v>
      </c>
      <c r="R492" s="31">
        <v>0</v>
      </c>
      <c r="S492" s="31">
        <v>0</v>
      </c>
      <c r="T492" s="31">
        <v>0</v>
      </c>
      <c r="U492" s="31">
        <v>0</v>
      </c>
      <c r="V492" s="31">
        <v>0</v>
      </c>
      <c r="W492" s="31">
        <v>0</v>
      </c>
      <c r="X492" s="31">
        <v>0</v>
      </c>
      <c r="Y492" s="31">
        <v>0</v>
      </c>
      <c r="Z492" s="31">
        <v>0</v>
      </c>
      <c r="AA492" s="31">
        <v>0</v>
      </c>
      <c r="AB492" s="31">
        <v>0</v>
      </c>
      <c r="AC492" s="31">
        <v>0</v>
      </c>
      <c r="AD492" s="31">
        <v>0</v>
      </c>
      <c r="AE492" s="31">
        <v>0</v>
      </c>
      <c r="AF492" s="31">
        <v>0</v>
      </c>
      <c r="AG492" s="31">
        <v>0</v>
      </c>
      <c r="AH492" s="31">
        <v>0</v>
      </c>
    </row>
    <row r="493" spans="1:34" x14ac:dyDescent="0.25">
      <c r="A493" s="31">
        <v>11</v>
      </c>
      <c r="B493" s="31">
        <v>13809</v>
      </c>
      <c r="C493" s="31">
        <v>1</v>
      </c>
      <c r="D493" s="31" t="s">
        <v>809</v>
      </c>
      <c r="E493" s="31"/>
      <c r="F493" s="31">
        <v>0</v>
      </c>
      <c r="G493" s="31">
        <v>0</v>
      </c>
      <c r="H493" s="31">
        <v>0</v>
      </c>
      <c r="I493" s="31">
        <v>0</v>
      </c>
      <c r="J493" s="31">
        <v>0</v>
      </c>
      <c r="K493" s="31" t="s">
        <v>882</v>
      </c>
      <c r="L493" s="31">
        <v>0</v>
      </c>
      <c r="M493" s="31">
        <v>0</v>
      </c>
      <c r="N493" s="31">
        <v>0</v>
      </c>
      <c r="O493" s="31">
        <v>0</v>
      </c>
      <c r="P493" s="31">
        <v>0</v>
      </c>
      <c r="Q493" s="31">
        <v>0</v>
      </c>
      <c r="R493" s="31">
        <v>0</v>
      </c>
      <c r="S493" s="31">
        <v>0</v>
      </c>
      <c r="T493" s="31">
        <v>0</v>
      </c>
      <c r="U493" s="31">
        <v>0</v>
      </c>
      <c r="V493" s="31">
        <v>0</v>
      </c>
      <c r="W493" s="31">
        <v>0</v>
      </c>
      <c r="X493" s="31">
        <v>0</v>
      </c>
      <c r="Y493" s="31">
        <v>0</v>
      </c>
      <c r="Z493" s="31">
        <v>0</v>
      </c>
      <c r="AA493" s="31">
        <v>0</v>
      </c>
      <c r="AB493" s="31">
        <v>0</v>
      </c>
      <c r="AC493" s="31">
        <v>0</v>
      </c>
      <c r="AD493" s="31">
        <v>0</v>
      </c>
      <c r="AE493" s="31">
        <v>0</v>
      </c>
      <c r="AF493" s="31">
        <v>0</v>
      </c>
      <c r="AG493" s="31">
        <v>0</v>
      </c>
      <c r="AH493" s="31">
        <v>0</v>
      </c>
    </row>
    <row r="494" spans="1:34" x14ac:dyDescent="0.25">
      <c r="A494" s="31">
        <v>11</v>
      </c>
      <c r="B494" s="31">
        <v>13809</v>
      </c>
      <c r="C494" s="31">
        <v>1</v>
      </c>
      <c r="D494" s="31" t="s">
        <v>810</v>
      </c>
      <c r="E494" s="31"/>
      <c r="F494" s="31">
        <v>0</v>
      </c>
      <c r="G494" s="31">
        <v>0</v>
      </c>
      <c r="H494" s="31">
        <v>0</v>
      </c>
      <c r="I494" s="31">
        <v>0</v>
      </c>
      <c r="J494" s="31">
        <v>0</v>
      </c>
      <c r="K494" s="31" t="s">
        <v>882</v>
      </c>
      <c r="L494" s="31">
        <v>0</v>
      </c>
      <c r="M494" s="31">
        <v>0</v>
      </c>
      <c r="N494" s="31">
        <v>0</v>
      </c>
      <c r="O494" s="31">
        <v>0</v>
      </c>
      <c r="P494" s="31">
        <v>0</v>
      </c>
      <c r="Q494" s="31">
        <v>0</v>
      </c>
      <c r="R494" s="31">
        <v>0</v>
      </c>
      <c r="S494" s="31">
        <v>0</v>
      </c>
      <c r="T494" s="31">
        <v>0</v>
      </c>
      <c r="U494" s="31">
        <v>0</v>
      </c>
      <c r="V494" s="31">
        <v>0</v>
      </c>
      <c r="W494" s="31">
        <v>0</v>
      </c>
      <c r="X494" s="31">
        <v>0</v>
      </c>
      <c r="Y494" s="31">
        <v>0</v>
      </c>
      <c r="Z494" s="31">
        <v>0</v>
      </c>
      <c r="AA494" s="31">
        <v>0</v>
      </c>
      <c r="AB494" s="31">
        <v>0</v>
      </c>
      <c r="AC494" s="31">
        <v>0</v>
      </c>
      <c r="AD494" s="31">
        <v>0</v>
      </c>
      <c r="AE494" s="31">
        <v>0</v>
      </c>
      <c r="AF494" s="31">
        <v>0</v>
      </c>
      <c r="AG494" s="31">
        <v>0</v>
      </c>
      <c r="AH494" s="31">
        <v>0</v>
      </c>
    </row>
    <row r="495" spans="1:34" x14ac:dyDescent="0.25">
      <c r="A495" s="31">
        <v>11</v>
      </c>
      <c r="B495" s="31">
        <v>13809</v>
      </c>
      <c r="C495" s="31">
        <v>1</v>
      </c>
      <c r="D495" s="31" t="s">
        <v>811</v>
      </c>
      <c r="E495" s="31"/>
      <c r="F495" s="31">
        <v>0</v>
      </c>
      <c r="G495" s="31">
        <v>0</v>
      </c>
      <c r="H495" s="31">
        <v>0</v>
      </c>
      <c r="I495" s="31">
        <v>0</v>
      </c>
      <c r="J495" s="31">
        <v>0</v>
      </c>
      <c r="K495" s="31" t="s">
        <v>882</v>
      </c>
      <c r="L495" s="31">
        <v>0</v>
      </c>
      <c r="M495" s="31">
        <v>0</v>
      </c>
      <c r="N495" s="31">
        <v>0</v>
      </c>
      <c r="O495" s="31">
        <v>0</v>
      </c>
      <c r="P495" s="31">
        <v>0</v>
      </c>
      <c r="Q495" s="31">
        <v>0</v>
      </c>
      <c r="R495" s="31">
        <v>0</v>
      </c>
      <c r="S495" s="31">
        <v>0</v>
      </c>
      <c r="T495" s="31">
        <v>0</v>
      </c>
      <c r="U495" s="31">
        <v>0</v>
      </c>
      <c r="V495" s="31">
        <v>0</v>
      </c>
      <c r="W495" s="31">
        <v>0</v>
      </c>
      <c r="X495" s="31">
        <v>0</v>
      </c>
      <c r="Y495" s="31">
        <v>0</v>
      </c>
      <c r="Z495" s="31">
        <v>0</v>
      </c>
      <c r="AA495" s="31">
        <v>0</v>
      </c>
      <c r="AB495" s="31">
        <v>0</v>
      </c>
      <c r="AC495" s="31">
        <v>0</v>
      </c>
      <c r="AD495" s="31">
        <v>0</v>
      </c>
      <c r="AE495" s="31">
        <v>0</v>
      </c>
      <c r="AF495" s="31">
        <v>0</v>
      </c>
      <c r="AG495" s="31">
        <v>0</v>
      </c>
      <c r="AH495" s="31">
        <v>0</v>
      </c>
    </row>
    <row r="496" spans="1:34" x14ac:dyDescent="0.25">
      <c r="A496" s="31">
        <v>11</v>
      </c>
      <c r="B496" s="31">
        <v>13809</v>
      </c>
      <c r="C496" s="31">
        <v>1</v>
      </c>
      <c r="D496" s="31" t="s">
        <v>812</v>
      </c>
      <c r="E496" s="31"/>
      <c r="F496" s="31">
        <v>0</v>
      </c>
      <c r="G496" s="31">
        <v>0</v>
      </c>
      <c r="H496" s="31">
        <v>0</v>
      </c>
      <c r="I496" s="31">
        <v>0</v>
      </c>
      <c r="J496" s="31">
        <v>0</v>
      </c>
      <c r="K496" s="31" t="s">
        <v>882</v>
      </c>
      <c r="L496" s="31">
        <v>0</v>
      </c>
      <c r="M496" s="31">
        <v>0</v>
      </c>
      <c r="N496" s="31">
        <v>0</v>
      </c>
      <c r="O496" s="31">
        <v>0</v>
      </c>
      <c r="P496" s="31">
        <v>0</v>
      </c>
      <c r="Q496" s="31">
        <v>0</v>
      </c>
      <c r="R496" s="31">
        <v>0</v>
      </c>
      <c r="S496" s="31">
        <v>0</v>
      </c>
      <c r="T496" s="31">
        <v>0</v>
      </c>
      <c r="U496" s="31">
        <v>0</v>
      </c>
      <c r="V496" s="31">
        <v>0</v>
      </c>
      <c r="W496" s="31">
        <v>0</v>
      </c>
      <c r="X496" s="31">
        <v>0</v>
      </c>
      <c r="Y496" s="31">
        <v>0</v>
      </c>
      <c r="Z496" s="31">
        <v>0</v>
      </c>
      <c r="AA496" s="31">
        <v>0</v>
      </c>
      <c r="AB496" s="31">
        <v>0</v>
      </c>
      <c r="AC496" s="31">
        <v>0</v>
      </c>
      <c r="AD496" s="31">
        <v>0</v>
      </c>
      <c r="AE496" s="31">
        <v>0</v>
      </c>
      <c r="AF496" s="31">
        <v>0</v>
      </c>
      <c r="AG496" s="31">
        <v>0</v>
      </c>
      <c r="AH496" s="31">
        <v>0</v>
      </c>
    </row>
    <row r="497" spans="1:34" x14ac:dyDescent="0.25">
      <c r="A497" s="31">
        <v>11</v>
      </c>
      <c r="B497" s="31">
        <v>13809</v>
      </c>
      <c r="C497" s="31">
        <v>1</v>
      </c>
      <c r="D497" s="31" t="s">
        <v>813</v>
      </c>
      <c r="E497" s="31"/>
      <c r="F497" s="31">
        <v>0</v>
      </c>
      <c r="G497" s="31">
        <v>0</v>
      </c>
      <c r="H497" s="31">
        <v>0</v>
      </c>
      <c r="I497" s="31">
        <v>0</v>
      </c>
      <c r="J497" s="31">
        <v>0</v>
      </c>
      <c r="K497" s="31" t="s">
        <v>882</v>
      </c>
      <c r="L497" s="31">
        <v>0</v>
      </c>
      <c r="M497" s="31">
        <v>0</v>
      </c>
      <c r="N497" s="31">
        <v>0</v>
      </c>
      <c r="O497" s="31">
        <v>0</v>
      </c>
      <c r="P497" s="31">
        <v>0</v>
      </c>
      <c r="Q497" s="31">
        <v>0</v>
      </c>
      <c r="R497" s="31">
        <v>0</v>
      </c>
      <c r="S497" s="31">
        <v>0</v>
      </c>
      <c r="T497" s="31">
        <v>0</v>
      </c>
      <c r="U497" s="31">
        <v>0</v>
      </c>
      <c r="V497" s="31">
        <v>0</v>
      </c>
      <c r="W497" s="31">
        <v>0</v>
      </c>
      <c r="X497" s="31">
        <v>0</v>
      </c>
      <c r="Y497" s="31">
        <v>0</v>
      </c>
      <c r="Z497" s="31">
        <v>0</v>
      </c>
      <c r="AA497" s="31">
        <v>0</v>
      </c>
      <c r="AB497" s="31">
        <v>0</v>
      </c>
      <c r="AC497" s="31">
        <v>0</v>
      </c>
      <c r="AD497" s="31">
        <v>0</v>
      </c>
      <c r="AE497" s="31">
        <v>0</v>
      </c>
      <c r="AF497" s="31">
        <v>0</v>
      </c>
      <c r="AG497" s="31">
        <v>0</v>
      </c>
      <c r="AH497" s="31">
        <v>0</v>
      </c>
    </row>
    <row r="498" spans="1:34" x14ac:dyDescent="0.25">
      <c r="A498" s="31">
        <v>11</v>
      </c>
      <c r="B498" s="31">
        <v>13809</v>
      </c>
      <c r="C498" s="31">
        <v>1</v>
      </c>
      <c r="D498" s="31" t="s">
        <v>814</v>
      </c>
      <c r="E498" s="31"/>
      <c r="F498" s="31">
        <v>0</v>
      </c>
      <c r="G498" s="31">
        <v>0</v>
      </c>
      <c r="H498" s="31">
        <v>0</v>
      </c>
      <c r="I498" s="31">
        <v>0</v>
      </c>
      <c r="J498" s="31">
        <v>0</v>
      </c>
      <c r="K498" s="31" t="s">
        <v>882</v>
      </c>
      <c r="L498" s="31">
        <v>0</v>
      </c>
      <c r="M498" s="31">
        <v>0</v>
      </c>
      <c r="N498" s="31">
        <v>0</v>
      </c>
      <c r="O498" s="31">
        <v>0</v>
      </c>
      <c r="P498" s="31">
        <v>0</v>
      </c>
      <c r="Q498" s="31">
        <v>0</v>
      </c>
      <c r="R498" s="31">
        <v>0</v>
      </c>
      <c r="S498" s="31">
        <v>0</v>
      </c>
      <c r="T498" s="31">
        <v>0</v>
      </c>
      <c r="U498" s="31">
        <v>0</v>
      </c>
      <c r="V498" s="31">
        <v>0</v>
      </c>
      <c r="W498" s="31">
        <v>0</v>
      </c>
      <c r="X498" s="31">
        <v>0</v>
      </c>
      <c r="Y498" s="31">
        <v>0</v>
      </c>
      <c r="Z498" s="31">
        <v>0</v>
      </c>
      <c r="AA498" s="31">
        <v>0</v>
      </c>
      <c r="AB498" s="31">
        <v>0</v>
      </c>
      <c r="AC498" s="31">
        <v>0</v>
      </c>
      <c r="AD498" s="31">
        <v>0</v>
      </c>
      <c r="AE498" s="31">
        <v>0</v>
      </c>
      <c r="AF498" s="31">
        <v>0</v>
      </c>
      <c r="AG498" s="31">
        <v>0</v>
      </c>
      <c r="AH498" s="31">
        <v>0</v>
      </c>
    </row>
    <row r="499" spans="1:34" x14ac:dyDescent="0.25">
      <c r="A499" s="31">
        <v>11</v>
      </c>
      <c r="B499" s="31">
        <v>13809</v>
      </c>
      <c r="C499" s="31">
        <v>1</v>
      </c>
      <c r="D499" s="31" t="s">
        <v>815</v>
      </c>
      <c r="E499" s="31"/>
      <c r="F499" s="31">
        <v>0</v>
      </c>
      <c r="G499" s="31">
        <v>0</v>
      </c>
      <c r="H499" s="31">
        <v>0</v>
      </c>
      <c r="I499" s="31">
        <v>0</v>
      </c>
      <c r="J499" s="31">
        <v>0</v>
      </c>
      <c r="K499" s="31" t="s">
        <v>882</v>
      </c>
      <c r="L499" s="31">
        <v>0</v>
      </c>
      <c r="M499" s="31">
        <v>0</v>
      </c>
      <c r="N499" s="31">
        <v>0</v>
      </c>
      <c r="O499" s="31">
        <v>0</v>
      </c>
      <c r="P499" s="31">
        <v>0</v>
      </c>
      <c r="Q499" s="31">
        <v>0</v>
      </c>
      <c r="R499" s="31">
        <v>0</v>
      </c>
      <c r="S499" s="31">
        <v>0</v>
      </c>
      <c r="T499" s="31">
        <v>0</v>
      </c>
      <c r="U499" s="31">
        <v>0</v>
      </c>
      <c r="V499" s="31">
        <v>0</v>
      </c>
      <c r="W499" s="31">
        <v>0</v>
      </c>
      <c r="X499" s="31">
        <v>0</v>
      </c>
      <c r="Y499" s="31">
        <v>0</v>
      </c>
      <c r="Z499" s="31">
        <v>0</v>
      </c>
      <c r="AA499" s="31">
        <v>0</v>
      </c>
      <c r="AB499" s="31">
        <v>0</v>
      </c>
      <c r="AC499" s="31">
        <v>0</v>
      </c>
      <c r="AD499" s="31">
        <v>0</v>
      </c>
      <c r="AE499" s="31">
        <v>0</v>
      </c>
      <c r="AF499" s="31">
        <v>0</v>
      </c>
      <c r="AG499" s="31">
        <v>0</v>
      </c>
      <c r="AH499" s="31">
        <v>0</v>
      </c>
    </row>
    <row r="500" spans="1:34" x14ac:dyDescent="0.25">
      <c r="A500" s="31">
        <v>11</v>
      </c>
      <c r="B500" s="31">
        <v>13809</v>
      </c>
      <c r="C500" s="31">
        <v>1</v>
      </c>
      <c r="D500" s="31" t="s">
        <v>816</v>
      </c>
      <c r="E500" s="31"/>
      <c r="F500" s="31">
        <v>0</v>
      </c>
      <c r="G500" s="31">
        <v>0</v>
      </c>
      <c r="H500" s="31">
        <v>0</v>
      </c>
      <c r="I500" s="31">
        <v>0</v>
      </c>
      <c r="J500" s="31">
        <v>0</v>
      </c>
      <c r="K500" s="31" t="s">
        <v>882</v>
      </c>
      <c r="L500" s="31">
        <v>0</v>
      </c>
      <c r="M500" s="31">
        <v>0</v>
      </c>
      <c r="N500" s="31">
        <v>0</v>
      </c>
      <c r="O500" s="31">
        <v>0</v>
      </c>
      <c r="P500" s="31">
        <v>0</v>
      </c>
      <c r="Q500" s="31">
        <v>0</v>
      </c>
      <c r="R500" s="31">
        <v>0</v>
      </c>
      <c r="S500" s="31">
        <v>0</v>
      </c>
      <c r="T500" s="31">
        <v>0</v>
      </c>
      <c r="U500" s="31">
        <v>0</v>
      </c>
      <c r="V500" s="31">
        <v>0</v>
      </c>
      <c r="W500" s="31">
        <v>0</v>
      </c>
      <c r="X500" s="31">
        <v>0</v>
      </c>
      <c r="Y500" s="31">
        <v>0</v>
      </c>
      <c r="Z500" s="31">
        <v>0</v>
      </c>
      <c r="AA500" s="31">
        <v>0</v>
      </c>
      <c r="AB500" s="31">
        <v>0</v>
      </c>
      <c r="AC500" s="31">
        <v>0</v>
      </c>
      <c r="AD500" s="31">
        <v>0</v>
      </c>
      <c r="AE500" s="31">
        <v>0</v>
      </c>
      <c r="AF500" s="31">
        <v>0</v>
      </c>
      <c r="AG500" s="31">
        <v>0</v>
      </c>
      <c r="AH500" s="31">
        <v>0</v>
      </c>
    </row>
    <row r="501" spans="1:34" x14ac:dyDescent="0.25">
      <c r="A501" s="31">
        <v>11</v>
      </c>
      <c r="B501" s="31">
        <v>13809</v>
      </c>
      <c r="C501" s="31">
        <v>2</v>
      </c>
      <c r="D501" s="31" t="s">
        <v>806</v>
      </c>
      <c r="E501" s="31"/>
      <c r="F501" s="31">
        <v>0</v>
      </c>
      <c r="G501" s="31">
        <v>0</v>
      </c>
      <c r="H501" s="31">
        <v>0</v>
      </c>
      <c r="I501" s="31">
        <v>0</v>
      </c>
      <c r="J501" s="31">
        <v>0</v>
      </c>
      <c r="K501" s="31" t="s">
        <v>882</v>
      </c>
      <c r="L501" s="31">
        <v>0</v>
      </c>
      <c r="M501" s="31">
        <v>0</v>
      </c>
      <c r="N501" s="31">
        <v>0</v>
      </c>
      <c r="O501" s="31">
        <v>0</v>
      </c>
      <c r="P501" s="31">
        <v>0</v>
      </c>
      <c r="Q501" s="31">
        <v>0</v>
      </c>
      <c r="R501" s="31">
        <v>0</v>
      </c>
      <c r="S501" s="31">
        <v>0</v>
      </c>
      <c r="T501" s="31">
        <v>0</v>
      </c>
      <c r="U501" s="31">
        <v>0</v>
      </c>
      <c r="V501" s="31">
        <v>0</v>
      </c>
      <c r="W501" s="31">
        <v>0</v>
      </c>
      <c r="X501" s="31">
        <v>0</v>
      </c>
      <c r="Y501" s="31">
        <v>0</v>
      </c>
      <c r="Z501" s="31">
        <v>0</v>
      </c>
      <c r="AA501" s="31">
        <v>0</v>
      </c>
      <c r="AB501" s="31">
        <v>0</v>
      </c>
      <c r="AC501" s="31">
        <v>0</v>
      </c>
      <c r="AD501" s="31">
        <v>0</v>
      </c>
      <c r="AE501" s="31">
        <v>0</v>
      </c>
      <c r="AF501" s="31">
        <v>0</v>
      </c>
      <c r="AG501" s="31">
        <v>0</v>
      </c>
      <c r="AH501" s="31">
        <v>0</v>
      </c>
    </row>
    <row r="502" spans="1:34" x14ac:dyDescent="0.25">
      <c r="A502" s="31">
        <v>11</v>
      </c>
      <c r="B502" s="31">
        <v>13809</v>
      </c>
      <c r="C502" s="31">
        <v>2</v>
      </c>
      <c r="D502" s="31" t="s">
        <v>807</v>
      </c>
      <c r="E502" s="31"/>
      <c r="F502" s="31">
        <v>0</v>
      </c>
      <c r="G502" s="31">
        <v>0</v>
      </c>
      <c r="H502" s="31">
        <v>0</v>
      </c>
      <c r="I502" s="31">
        <v>0</v>
      </c>
      <c r="J502" s="31">
        <v>0</v>
      </c>
      <c r="K502" s="31" t="s">
        <v>882</v>
      </c>
      <c r="L502" s="31">
        <v>0</v>
      </c>
      <c r="M502" s="31">
        <v>0</v>
      </c>
      <c r="N502" s="31">
        <v>0</v>
      </c>
      <c r="O502" s="31">
        <v>0</v>
      </c>
      <c r="P502" s="31">
        <v>0</v>
      </c>
      <c r="Q502" s="31">
        <v>0</v>
      </c>
      <c r="R502" s="31">
        <v>0</v>
      </c>
      <c r="S502" s="31">
        <v>0</v>
      </c>
      <c r="T502" s="31">
        <v>0</v>
      </c>
      <c r="U502" s="31">
        <v>0</v>
      </c>
      <c r="V502" s="31">
        <v>0</v>
      </c>
      <c r="W502" s="31">
        <v>0</v>
      </c>
      <c r="X502" s="31">
        <v>0</v>
      </c>
      <c r="Y502" s="31">
        <v>0</v>
      </c>
      <c r="Z502" s="31">
        <v>0</v>
      </c>
      <c r="AA502" s="31">
        <v>0</v>
      </c>
      <c r="AB502" s="31">
        <v>0</v>
      </c>
      <c r="AC502" s="31">
        <v>0</v>
      </c>
      <c r="AD502" s="31">
        <v>0</v>
      </c>
      <c r="AE502" s="31">
        <v>0</v>
      </c>
      <c r="AF502" s="31">
        <v>0</v>
      </c>
      <c r="AG502" s="31">
        <v>0</v>
      </c>
      <c r="AH502" s="31">
        <v>0</v>
      </c>
    </row>
    <row r="503" spans="1:34" x14ac:dyDescent="0.25">
      <c r="A503" s="31">
        <v>11</v>
      </c>
      <c r="B503" s="31">
        <v>13809</v>
      </c>
      <c r="C503" s="31">
        <v>2</v>
      </c>
      <c r="D503" s="31" t="s">
        <v>808</v>
      </c>
      <c r="E503" s="31"/>
      <c r="F503" s="31">
        <v>0</v>
      </c>
      <c r="G503" s="31">
        <v>0</v>
      </c>
      <c r="H503" s="31">
        <v>0</v>
      </c>
      <c r="I503" s="31">
        <v>0</v>
      </c>
      <c r="J503" s="31">
        <v>0</v>
      </c>
      <c r="K503" s="31" t="s">
        <v>882</v>
      </c>
      <c r="L503" s="31">
        <v>0</v>
      </c>
      <c r="M503" s="31">
        <v>0</v>
      </c>
      <c r="N503" s="31">
        <v>0</v>
      </c>
      <c r="O503" s="31">
        <v>0</v>
      </c>
      <c r="P503" s="31">
        <v>0</v>
      </c>
      <c r="Q503" s="31">
        <v>0</v>
      </c>
      <c r="R503" s="31">
        <v>0</v>
      </c>
      <c r="S503" s="31">
        <v>0</v>
      </c>
      <c r="T503" s="31">
        <v>0</v>
      </c>
      <c r="U503" s="31">
        <v>0</v>
      </c>
      <c r="V503" s="31">
        <v>0</v>
      </c>
      <c r="W503" s="31">
        <v>0</v>
      </c>
      <c r="X503" s="31">
        <v>0</v>
      </c>
      <c r="Y503" s="31">
        <v>0</v>
      </c>
      <c r="Z503" s="31">
        <v>0</v>
      </c>
      <c r="AA503" s="31">
        <v>0</v>
      </c>
      <c r="AB503" s="31">
        <v>0</v>
      </c>
      <c r="AC503" s="31">
        <v>0</v>
      </c>
      <c r="AD503" s="31">
        <v>0</v>
      </c>
      <c r="AE503" s="31">
        <v>0</v>
      </c>
      <c r="AF503" s="31">
        <v>0</v>
      </c>
      <c r="AG503" s="31">
        <v>0</v>
      </c>
      <c r="AH503" s="31">
        <v>0</v>
      </c>
    </row>
    <row r="504" spans="1:34" x14ac:dyDescent="0.25">
      <c r="A504" s="31">
        <v>11</v>
      </c>
      <c r="B504" s="31">
        <v>13809</v>
      </c>
      <c r="C504" s="31">
        <v>2</v>
      </c>
      <c r="D504" s="31" t="s">
        <v>809</v>
      </c>
      <c r="E504" s="31"/>
      <c r="F504" s="31">
        <v>0</v>
      </c>
      <c r="G504" s="31">
        <v>0</v>
      </c>
      <c r="H504" s="31">
        <v>0</v>
      </c>
      <c r="I504" s="31">
        <v>0</v>
      </c>
      <c r="J504" s="31">
        <v>0</v>
      </c>
      <c r="K504" s="31" t="s">
        <v>882</v>
      </c>
      <c r="L504" s="31">
        <v>0</v>
      </c>
      <c r="M504" s="31">
        <v>0</v>
      </c>
      <c r="N504" s="31">
        <v>0</v>
      </c>
      <c r="O504" s="31">
        <v>0</v>
      </c>
      <c r="P504" s="31">
        <v>0</v>
      </c>
      <c r="Q504" s="31">
        <v>0</v>
      </c>
      <c r="R504" s="31">
        <v>0</v>
      </c>
      <c r="S504" s="31">
        <v>0</v>
      </c>
      <c r="T504" s="31">
        <v>0</v>
      </c>
      <c r="U504" s="31">
        <v>0</v>
      </c>
      <c r="V504" s="31">
        <v>0</v>
      </c>
      <c r="W504" s="31">
        <v>0</v>
      </c>
      <c r="X504" s="31">
        <v>0</v>
      </c>
      <c r="Y504" s="31">
        <v>0</v>
      </c>
      <c r="Z504" s="31">
        <v>0</v>
      </c>
      <c r="AA504" s="31">
        <v>0</v>
      </c>
      <c r="AB504" s="31">
        <v>0</v>
      </c>
      <c r="AC504" s="31">
        <v>0</v>
      </c>
      <c r="AD504" s="31">
        <v>0</v>
      </c>
      <c r="AE504" s="31">
        <v>0</v>
      </c>
      <c r="AF504" s="31">
        <v>0</v>
      </c>
      <c r="AG504" s="31">
        <v>0</v>
      </c>
      <c r="AH504" s="31">
        <v>0</v>
      </c>
    </row>
    <row r="505" spans="1:34" x14ac:dyDescent="0.25">
      <c r="A505" s="31">
        <v>11</v>
      </c>
      <c r="B505" s="31">
        <v>13809</v>
      </c>
      <c r="C505" s="31">
        <v>2</v>
      </c>
      <c r="D505" s="31" t="s">
        <v>810</v>
      </c>
      <c r="E505" s="31"/>
      <c r="F505" s="31">
        <v>0</v>
      </c>
      <c r="G505" s="31">
        <v>0</v>
      </c>
      <c r="H505" s="31">
        <v>0</v>
      </c>
      <c r="I505" s="31">
        <v>0</v>
      </c>
      <c r="J505" s="31">
        <v>0</v>
      </c>
      <c r="K505" s="31" t="s">
        <v>882</v>
      </c>
      <c r="L505" s="31">
        <v>0</v>
      </c>
      <c r="M505" s="31">
        <v>0</v>
      </c>
      <c r="N505" s="31">
        <v>0</v>
      </c>
      <c r="O505" s="31">
        <v>0</v>
      </c>
      <c r="P505" s="31">
        <v>0</v>
      </c>
      <c r="Q505" s="31">
        <v>0</v>
      </c>
      <c r="R505" s="31">
        <v>0</v>
      </c>
      <c r="S505" s="31">
        <v>0</v>
      </c>
      <c r="T505" s="31">
        <v>0</v>
      </c>
      <c r="U505" s="31">
        <v>0</v>
      </c>
      <c r="V505" s="31">
        <v>0</v>
      </c>
      <c r="W505" s="31">
        <v>0</v>
      </c>
      <c r="X505" s="31">
        <v>0</v>
      </c>
      <c r="Y505" s="31">
        <v>0</v>
      </c>
      <c r="Z505" s="31">
        <v>0</v>
      </c>
      <c r="AA505" s="31">
        <v>0</v>
      </c>
      <c r="AB505" s="31">
        <v>0</v>
      </c>
      <c r="AC505" s="31">
        <v>0</v>
      </c>
      <c r="AD505" s="31">
        <v>0</v>
      </c>
      <c r="AE505" s="31">
        <v>0</v>
      </c>
      <c r="AF505" s="31">
        <v>0</v>
      </c>
      <c r="AG505" s="31">
        <v>0</v>
      </c>
      <c r="AH505" s="31">
        <v>0</v>
      </c>
    </row>
    <row r="506" spans="1:34" x14ac:dyDescent="0.25">
      <c r="A506" s="31">
        <v>11</v>
      </c>
      <c r="B506" s="31">
        <v>13809</v>
      </c>
      <c r="C506" s="31">
        <v>2</v>
      </c>
      <c r="D506" s="31" t="s">
        <v>811</v>
      </c>
      <c r="E506" s="31"/>
      <c r="F506" s="31">
        <v>0</v>
      </c>
      <c r="G506" s="31">
        <v>0</v>
      </c>
      <c r="H506" s="31">
        <v>0</v>
      </c>
      <c r="I506" s="31">
        <v>0</v>
      </c>
      <c r="J506" s="31">
        <v>0</v>
      </c>
      <c r="K506" s="31" t="s">
        <v>882</v>
      </c>
      <c r="L506" s="31">
        <v>0</v>
      </c>
      <c r="M506" s="31">
        <v>0</v>
      </c>
      <c r="N506" s="31">
        <v>0</v>
      </c>
      <c r="O506" s="31">
        <v>0</v>
      </c>
      <c r="P506" s="31">
        <v>0</v>
      </c>
      <c r="Q506" s="31">
        <v>0</v>
      </c>
      <c r="R506" s="31">
        <v>0</v>
      </c>
      <c r="S506" s="31">
        <v>0</v>
      </c>
      <c r="T506" s="31">
        <v>0</v>
      </c>
      <c r="U506" s="31">
        <v>0</v>
      </c>
      <c r="V506" s="31">
        <v>0</v>
      </c>
      <c r="W506" s="31">
        <v>0</v>
      </c>
      <c r="X506" s="31">
        <v>0</v>
      </c>
      <c r="Y506" s="31">
        <v>0</v>
      </c>
      <c r="Z506" s="31">
        <v>0</v>
      </c>
      <c r="AA506" s="31">
        <v>0</v>
      </c>
      <c r="AB506" s="31">
        <v>0</v>
      </c>
      <c r="AC506" s="31">
        <v>0</v>
      </c>
      <c r="AD506" s="31">
        <v>0</v>
      </c>
      <c r="AE506" s="31">
        <v>0</v>
      </c>
      <c r="AF506" s="31">
        <v>0</v>
      </c>
      <c r="AG506" s="31">
        <v>0</v>
      </c>
      <c r="AH506" s="31">
        <v>0</v>
      </c>
    </row>
    <row r="507" spans="1:34" x14ac:dyDescent="0.25">
      <c r="A507" s="31">
        <v>11</v>
      </c>
      <c r="B507" s="31">
        <v>13809</v>
      </c>
      <c r="C507" s="31">
        <v>2</v>
      </c>
      <c r="D507" s="31" t="s">
        <v>812</v>
      </c>
      <c r="E507" s="31"/>
      <c r="F507" s="31">
        <v>0</v>
      </c>
      <c r="G507" s="31">
        <v>0</v>
      </c>
      <c r="H507" s="31">
        <v>0</v>
      </c>
      <c r="I507" s="31">
        <v>0</v>
      </c>
      <c r="J507" s="31">
        <v>0</v>
      </c>
      <c r="K507" s="31" t="s">
        <v>882</v>
      </c>
      <c r="L507" s="31">
        <v>0</v>
      </c>
      <c r="M507" s="31">
        <v>0</v>
      </c>
      <c r="N507" s="31">
        <v>0</v>
      </c>
      <c r="O507" s="31">
        <v>0</v>
      </c>
      <c r="P507" s="31">
        <v>0</v>
      </c>
      <c r="Q507" s="31">
        <v>0</v>
      </c>
      <c r="R507" s="31">
        <v>0</v>
      </c>
      <c r="S507" s="31">
        <v>0</v>
      </c>
      <c r="T507" s="31">
        <v>0</v>
      </c>
      <c r="U507" s="31">
        <v>0</v>
      </c>
      <c r="V507" s="31">
        <v>0</v>
      </c>
      <c r="W507" s="31">
        <v>0</v>
      </c>
      <c r="X507" s="31">
        <v>0</v>
      </c>
      <c r="Y507" s="31">
        <v>0</v>
      </c>
      <c r="Z507" s="31">
        <v>0</v>
      </c>
      <c r="AA507" s="31">
        <v>0</v>
      </c>
      <c r="AB507" s="31">
        <v>0</v>
      </c>
      <c r="AC507" s="31">
        <v>0</v>
      </c>
      <c r="AD507" s="31">
        <v>0</v>
      </c>
      <c r="AE507" s="31">
        <v>0</v>
      </c>
      <c r="AF507" s="31">
        <v>0</v>
      </c>
      <c r="AG507" s="31">
        <v>0</v>
      </c>
      <c r="AH507" s="31">
        <v>0</v>
      </c>
    </row>
    <row r="508" spans="1:34" x14ac:dyDescent="0.25">
      <c r="A508" s="31">
        <v>11</v>
      </c>
      <c r="B508" s="31">
        <v>13809</v>
      </c>
      <c r="C508" s="31">
        <v>2</v>
      </c>
      <c r="D508" s="31" t="s">
        <v>813</v>
      </c>
      <c r="E508" s="31"/>
      <c r="F508" s="31">
        <v>0</v>
      </c>
      <c r="G508" s="31">
        <v>0</v>
      </c>
      <c r="H508" s="31">
        <v>0</v>
      </c>
      <c r="I508" s="31">
        <v>0</v>
      </c>
      <c r="J508" s="31">
        <v>0</v>
      </c>
      <c r="K508" s="31" t="s">
        <v>882</v>
      </c>
      <c r="L508" s="31">
        <v>0</v>
      </c>
      <c r="M508" s="31">
        <v>0</v>
      </c>
      <c r="N508" s="31">
        <v>0</v>
      </c>
      <c r="O508" s="31">
        <v>0</v>
      </c>
      <c r="P508" s="31">
        <v>0</v>
      </c>
      <c r="Q508" s="31">
        <v>0</v>
      </c>
      <c r="R508" s="31">
        <v>0</v>
      </c>
      <c r="S508" s="31">
        <v>0</v>
      </c>
      <c r="T508" s="31">
        <v>0</v>
      </c>
      <c r="U508" s="31">
        <v>0</v>
      </c>
      <c r="V508" s="31">
        <v>0</v>
      </c>
      <c r="W508" s="31">
        <v>0</v>
      </c>
      <c r="X508" s="31">
        <v>0</v>
      </c>
      <c r="Y508" s="31">
        <v>0</v>
      </c>
      <c r="Z508" s="31">
        <v>0</v>
      </c>
      <c r="AA508" s="31">
        <v>0</v>
      </c>
      <c r="AB508" s="31">
        <v>0</v>
      </c>
      <c r="AC508" s="31">
        <v>0</v>
      </c>
      <c r="AD508" s="31">
        <v>0</v>
      </c>
      <c r="AE508" s="31">
        <v>0</v>
      </c>
      <c r="AF508" s="31">
        <v>0</v>
      </c>
      <c r="AG508" s="31">
        <v>0</v>
      </c>
      <c r="AH508" s="31">
        <v>0</v>
      </c>
    </row>
    <row r="509" spans="1:34" x14ac:dyDescent="0.25">
      <c r="A509" s="31">
        <v>11</v>
      </c>
      <c r="B509" s="31">
        <v>13809</v>
      </c>
      <c r="C509" s="31">
        <v>2</v>
      </c>
      <c r="D509" s="31" t="s">
        <v>814</v>
      </c>
      <c r="E509" s="31"/>
      <c r="F509" s="31">
        <v>0</v>
      </c>
      <c r="G509" s="31">
        <v>0</v>
      </c>
      <c r="H509" s="31">
        <v>0</v>
      </c>
      <c r="I509" s="31">
        <v>0</v>
      </c>
      <c r="J509" s="31">
        <v>0</v>
      </c>
      <c r="K509" s="31" t="s">
        <v>882</v>
      </c>
      <c r="L509" s="31">
        <v>0</v>
      </c>
      <c r="M509" s="31">
        <v>0</v>
      </c>
      <c r="N509" s="31">
        <v>0</v>
      </c>
      <c r="O509" s="31">
        <v>0</v>
      </c>
      <c r="P509" s="31">
        <v>0</v>
      </c>
      <c r="Q509" s="31">
        <v>0</v>
      </c>
      <c r="R509" s="31">
        <v>0</v>
      </c>
      <c r="S509" s="31">
        <v>0</v>
      </c>
      <c r="T509" s="31">
        <v>0</v>
      </c>
      <c r="U509" s="31">
        <v>0</v>
      </c>
      <c r="V509" s="31">
        <v>0</v>
      </c>
      <c r="W509" s="31">
        <v>0</v>
      </c>
      <c r="X509" s="31">
        <v>0</v>
      </c>
      <c r="Y509" s="31">
        <v>0</v>
      </c>
      <c r="Z509" s="31">
        <v>0</v>
      </c>
      <c r="AA509" s="31">
        <v>0</v>
      </c>
      <c r="AB509" s="31">
        <v>0</v>
      </c>
      <c r="AC509" s="31">
        <v>0</v>
      </c>
      <c r="AD509" s="31">
        <v>0</v>
      </c>
      <c r="AE509" s="31">
        <v>0</v>
      </c>
      <c r="AF509" s="31">
        <v>0</v>
      </c>
      <c r="AG509" s="31">
        <v>0</v>
      </c>
      <c r="AH509" s="31">
        <v>0</v>
      </c>
    </row>
    <row r="510" spans="1:34" x14ac:dyDescent="0.25">
      <c r="A510" s="31">
        <v>11</v>
      </c>
      <c r="B510" s="31">
        <v>13809</v>
      </c>
      <c r="C510" s="31">
        <v>2</v>
      </c>
      <c r="D510" s="31" t="s">
        <v>815</v>
      </c>
      <c r="E510" s="31"/>
      <c r="F510" s="31">
        <v>0</v>
      </c>
      <c r="G510" s="31">
        <v>0</v>
      </c>
      <c r="H510" s="31">
        <v>0</v>
      </c>
      <c r="I510" s="31">
        <v>0</v>
      </c>
      <c r="J510" s="31">
        <v>0</v>
      </c>
      <c r="K510" s="31" t="s">
        <v>882</v>
      </c>
      <c r="L510" s="31">
        <v>0</v>
      </c>
      <c r="M510" s="31">
        <v>0</v>
      </c>
      <c r="N510" s="31">
        <v>0</v>
      </c>
      <c r="O510" s="31">
        <v>0</v>
      </c>
      <c r="P510" s="31">
        <v>0</v>
      </c>
      <c r="Q510" s="31">
        <v>0</v>
      </c>
      <c r="R510" s="31">
        <v>0</v>
      </c>
      <c r="S510" s="31">
        <v>0</v>
      </c>
      <c r="T510" s="31">
        <v>0</v>
      </c>
      <c r="U510" s="31">
        <v>0</v>
      </c>
      <c r="V510" s="31">
        <v>0</v>
      </c>
      <c r="W510" s="31">
        <v>0</v>
      </c>
      <c r="X510" s="31">
        <v>0</v>
      </c>
      <c r="Y510" s="31">
        <v>0</v>
      </c>
      <c r="Z510" s="31">
        <v>0</v>
      </c>
      <c r="AA510" s="31">
        <v>0</v>
      </c>
      <c r="AB510" s="31">
        <v>0</v>
      </c>
      <c r="AC510" s="31">
        <v>0</v>
      </c>
      <c r="AD510" s="31">
        <v>0</v>
      </c>
      <c r="AE510" s="31">
        <v>0</v>
      </c>
      <c r="AF510" s="31">
        <v>0</v>
      </c>
      <c r="AG510" s="31">
        <v>0</v>
      </c>
      <c r="AH510" s="31">
        <v>0</v>
      </c>
    </row>
    <row r="511" spans="1:34" x14ac:dyDescent="0.25">
      <c r="A511" s="31">
        <v>11</v>
      </c>
      <c r="B511" s="31">
        <v>13809</v>
      </c>
      <c r="C511" s="31">
        <v>2</v>
      </c>
      <c r="D511" s="31" t="s">
        <v>816</v>
      </c>
      <c r="E511" s="31"/>
      <c r="F511" s="31">
        <v>0</v>
      </c>
      <c r="G511" s="31">
        <v>0</v>
      </c>
      <c r="H511" s="31">
        <v>0</v>
      </c>
      <c r="I511" s="31">
        <v>0</v>
      </c>
      <c r="J511" s="31">
        <v>0</v>
      </c>
      <c r="K511" s="31" t="s">
        <v>882</v>
      </c>
      <c r="L511" s="31">
        <v>0</v>
      </c>
      <c r="M511" s="31">
        <v>0</v>
      </c>
      <c r="N511" s="31">
        <v>0</v>
      </c>
      <c r="O511" s="31">
        <v>0</v>
      </c>
      <c r="P511" s="31">
        <v>0</v>
      </c>
      <c r="Q511" s="31">
        <v>0</v>
      </c>
      <c r="R511" s="31">
        <v>0</v>
      </c>
      <c r="S511" s="31">
        <v>0</v>
      </c>
      <c r="T511" s="31">
        <v>0</v>
      </c>
      <c r="U511" s="31">
        <v>0</v>
      </c>
      <c r="V511" s="31">
        <v>0</v>
      </c>
      <c r="W511" s="31">
        <v>0</v>
      </c>
      <c r="X511" s="31">
        <v>0</v>
      </c>
      <c r="Y511" s="31">
        <v>0</v>
      </c>
      <c r="Z511" s="31">
        <v>0</v>
      </c>
      <c r="AA511" s="31">
        <v>0</v>
      </c>
      <c r="AB511" s="31">
        <v>0</v>
      </c>
      <c r="AC511" s="31">
        <v>0</v>
      </c>
      <c r="AD511" s="31">
        <v>0</v>
      </c>
      <c r="AE511" s="31">
        <v>0</v>
      </c>
      <c r="AF511" s="31">
        <v>0</v>
      </c>
      <c r="AG511" s="31">
        <v>0</v>
      </c>
      <c r="AH511" s="31">
        <v>0</v>
      </c>
    </row>
    <row r="512" spans="1:34" x14ac:dyDescent="0.25">
      <c r="A512" s="31">
        <v>11</v>
      </c>
      <c r="B512" s="31">
        <v>13879</v>
      </c>
      <c r="C512" s="31" t="s">
        <v>421</v>
      </c>
      <c r="D512" s="31" t="s">
        <v>817</v>
      </c>
      <c r="E512" s="31"/>
      <c r="F512" s="31">
        <v>0</v>
      </c>
      <c r="G512" s="31">
        <v>0</v>
      </c>
      <c r="H512" s="31">
        <v>0</v>
      </c>
      <c r="I512" s="31">
        <v>0</v>
      </c>
      <c r="J512" s="31">
        <v>0</v>
      </c>
      <c r="K512" s="31" t="s">
        <v>882</v>
      </c>
      <c r="L512" s="31">
        <v>0</v>
      </c>
      <c r="M512" s="31">
        <v>0</v>
      </c>
      <c r="N512" s="31">
        <v>0</v>
      </c>
      <c r="O512" s="31">
        <v>0</v>
      </c>
      <c r="P512" s="31">
        <v>0</v>
      </c>
      <c r="Q512" s="31">
        <v>0</v>
      </c>
      <c r="R512" s="31">
        <v>0</v>
      </c>
      <c r="S512" s="31">
        <v>0</v>
      </c>
      <c r="T512" s="31">
        <v>0</v>
      </c>
      <c r="U512" s="31">
        <v>0</v>
      </c>
      <c r="V512" s="31">
        <v>0</v>
      </c>
      <c r="W512" s="31">
        <v>0</v>
      </c>
      <c r="X512" s="31">
        <v>0</v>
      </c>
      <c r="Y512" s="31">
        <v>0</v>
      </c>
      <c r="Z512" s="31">
        <v>0</v>
      </c>
      <c r="AA512" s="31">
        <v>0</v>
      </c>
      <c r="AB512" s="31">
        <v>0</v>
      </c>
      <c r="AC512" s="31">
        <v>0</v>
      </c>
      <c r="AD512" s="31">
        <v>0</v>
      </c>
      <c r="AE512" s="31">
        <v>0</v>
      </c>
      <c r="AF512" s="31">
        <v>0</v>
      </c>
      <c r="AG512" s="31">
        <v>0</v>
      </c>
      <c r="AH512" s="31">
        <v>0</v>
      </c>
    </row>
    <row r="513" spans="1:34" x14ac:dyDescent="0.25">
      <c r="A513" s="31">
        <v>11</v>
      </c>
      <c r="B513" s="31">
        <v>25103</v>
      </c>
      <c r="C513" s="31" t="s">
        <v>217</v>
      </c>
      <c r="D513" s="31" t="s">
        <v>818</v>
      </c>
      <c r="E513" s="31"/>
      <c r="F513" s="31">
        <v>0</v>
      </c>
      <c r="G513" s="31">
        <v>0</v>
      </c>
      <c r="H513" s="31">
        <v>0</v>
      </c>
      <c r="I513" s="31">
        <v>0</v>
      </c>
      <c r="J513" s="31">
        <v>0</v>
      </c>
      <c r="K513" s="31" t="s">
        <v>882</v>
      </c>
      <c r="L513" s="31">
        <v>0</v>
      </c>
      <c r="M513" s="31">
        <v>0</v>
      </c>
      <c r="N513" s="31">
        <v>0</v>
      </c>
      <c r="O513" s="31">
        <v>0</v>
      </c>
      <c r="P513" s="31">
        <v>0</v>
      </c>
      <c r="Q513" s="31">
        <v>0</v>
      </c>
      <c r="R513" s="31">
        <v>0</v>
      </c>
      <c r="S513" s="31">
        <v>0</v>
      </c>
      <c r="T513" s="31">
        <v>0</v>
      </c>
      <c r="U513" s="31">
        <v>0</v>
      </c>
      <c r="V513" s="31">
        <v>0</v>
      </c>
      <c r="W513" s="31">
        <v>0</v>
      </c>
      <c r="X513" s="31">
        <v>0</v>
      </c>
      <c r="Y513" s="31">
        <v>0</v>
      </c>
      <c r="Z513" s="31">
        <v>0</v>
      </c>
      <c r="AA513" s="31">
        <v>0</v>
      </c>
      <c r="AB513" s="31">
        <v>0</v>
      </c>
      <c r="AC513" s="31">
        <v>0</v>
      </c>
      <c r="AD513" s="31">
        <v>0</v>
      </c>
      <c r="AE513" s="31">
        <v>0</v>
      </c>
      <c r="AF513" s="31">
        <v>0</v>
      </c>
      <c r="AG513" s="31">
        <v>0</v>
      </c>
      <c r="AH513" s="31">
        <v>0</v>
      </c>
    </row>
    <row r="514" spans="1:34" x14ac:dyDescent="0.25">
      <c r="A514" s="31">
        <v>11</v>
      </c>
      <c r="B514" s="31">
        <v>25103</v>
      </c>
      <c r="C514" s="31" t="s">
        <v>217</v>
      </c>
      <c r="D514" s="31" t="s">
        <v>819</v>
      </c>
      <c r="E514" s="31"/>
      <c r="F514" s="31">
        <v>0</v>
      </c>
      <c r="G514" s="31">
        <v>0</v>
      </c>
      <c r="H514" s="31">
        <v>0</v>
      </c>
      <c r="I514" s="31">
        <v>0</v>
      </c>
      <c r="J514" s="31">
        <v>0</v>
      </c>
      <c r="K514" s="31" t="s">
        <v>882</v>
      </c>
      <c r="L514" s="31">
        <v>0</v>
      </c>
      <c r="M514" s="31">
        <v>0</v>
      </c>
      <c r="N514" s="31">
        <v>0</v>
      </c>
      <c r="O514" s="31">
        <v>0</v>
      </c>
      <c r="P514" s="31">
        <v>0</v>
      </c>
      <c r="Q514" s="31">
        <v>0</v>
      </c>
      <c r="R514" s="31">
        <v>0</v>
      </c>
      <c r="S514" s="31">
        <v>0</v>
      </c>
      <c r="T514" s="31">
        <v>0</v>
      </c>
      <c r="U514" s="31">
        <v>0</v>
      </c>
      <c r="V514" s="31">
        <v>0</v>
      </c>
      <c r="W514" s="31">
        <v>0</v>
      </c>
      <c r="X514" s="31">
        <v>0</v>
      </c>
      <c r="Y514" s="31">
        <v>0</v>
      </c>
      <c r="Z514" s="31">
        <v>0</v>
      </c>
      <c r="AA514" s="31">
        <v>0</v>
      </c>
      <c r="AB514" s="31">
        <v>0</v>
      </c>
      <c r="AC514" s="31">
        <v>0</v>
      </c>
      <c r="AD514" s="31">
        <v>0</v>
      </c>
      <c r="AE514" s="31">
        <v>0</v>
      </c>
      <c r="AF514" s="31">
        <v>0</v>
      </c>
      <c r="AG514" s="31">
        <v>0</v>
      </c>
      <c r="AH514" s="31">
        <v>0</v>
      </c>
    </row>
    <row r="515" spans="1:34" x14ac:dyDescent="0.25">
      <c r="A515" s="31">
        <v>11</v>
      </c>
      <c r="B515" s="31">
        <v>25103</v>
      </c>
      <c r="C515" s="31" t="s">
        <v>217</v>
      </c>
      <c r="D515" s="31" t="s">
        <v>820</v>
      </c>
      <c r="E515" s="31"/>
      <c r="F515" s="31">
        <v>0</v>
      </c>
      <c r="G515" s="31">
        <v>0</v>
      </c>
      <c r="H515" s="31">
        <v>0</v>
      </c>
      <c r="I515" s="31">
        <v>0</v>
      </c>
      <c r="J515" s="31">
        <v>0</v>
      </c>
      <c r="K515" s="31" t="s">
        <v>882</v>
      </c>
      <c r="L515" s="31">
        <v>0</v>
      </c>
      <c r="M515" s="31">
        <v>0</v>
      </c>
      <c r="N515" s="31">
        <v>0</v>
      </c>
      <c r="O515" s="31">
        <v>0</v>
      </c>
      <c r="P515" s="31">
        <v>0</v>
      </c>
      <c r="Q515" s="31">
        <v>0</v>
      </c>
      <c r="R515" s="31">
        <v>0</v>
      </c>
      <c r="S515" s="31">
        <v>0</v>
      </c>
      <c r="T515" s="31">
        <v>0</v>
      </c>
      <c r="U515" s="31">
        <v>0</v>
      </c>
      <c r="V515" s="31">
        <v>0</v>
      </c>
      <c r="W515" s="31">
        <v>0</v>
      </c>
      <c r="X515" s="31">
        <v>0</v>
      </c>
      <c r="Y515" s="31">
        <v>0</v>
      </c>
      <c r="Z515" s="31">
        <v>0</v>
      </c>
      <c r="AA515" s="31">
        <v>0</v>
      </c>
      <c r="AB515" s="31">
        <v>0</v>
      </c>
      <c r="AC515" s="31">
        <v>0</v>
      </c>
      <c r="AD515" s="31">
        <v>0</v>
      </c>
      <c r="AE515" s="31">
        <v>0</v>
      </c>
      <c r="AF515" s="31">
        <v>0</v>
      </c>
      <c r="AG515" s="31">
        <v>0</v>
      </c>
      <c r="AH515" s="31">
        <v>0</v>
      </c>
    </row>
    <row r="516" spans="1:34" x14ac:dyDescent="0.25">
      <c r="A516" s="31">
        <v>11</v>
      </c>
      <c r="B516" s="31">
        <v>25103</v>
      </c>
      <c r="C516" s="31" t="s">
        <v>217</v>
      </c>
      <c r="D516" s="31" t="s">
        <v>821</v>
      </c>
      <c r="E516" s="31"/>
      <c r="F516" s="31">
        <v>0</v>
      </c>
      <c r="G516" s="31">
        <v>0</v>
      </c>
      <c r="H516" s="31">
        <v>0</v>
      </c>
      <c r="I516" s="31">
        <v>0</v>
      </c>
      <c r="J516" s="31">
        <v>0</v>
      </c>
      <c r="K516" s="31" t="s">
        <v>882</v>
      </c>
      <c r="L516" s="31">
        <v>0</v>
      </c>
      <c r="M516" s="31">
        <v>0</v>
      </c>
      <c r="N516" s="31">
        <v>0</v>
      </c>
      <c r="O516" s="31">
        <v>0</v>
      </c>
      <c r="P516" s="31">
        <v>0</v>
      </c>
      <c r="Q516" s="31">
        <v>0</v>
      </c>
      <c r="R516" s="31">
        <v>0</v>
      </c>
      <c r="S516" s="31">
        <v>0</v>
      </c>
      <c r="T516" s="31">
        <v>0</v>
      </c>
      <c r="U516" s="31">
        <v>0</v>
      </c>
      <c r="V516" s="31">
        <v>0</v>
      </c>
      <c r="W516" s="31">
        <v>0</v>
      </c>
      <c r="X516" s="31">
        <v>0</v>
      </c>
      <c r="Y516" s="31">
        <v>0</v>
      </c>
      <c r="Z516" s="31">
        <v>0</v>
      </c>
      <c r="AA516" s="31">
        <v>0</v>
      </c>
      <c r="AB516" s="31">
        <v>0</v>
      </c>
      <c r="AC516" s="31">
        <v>0</v>
      </c>
      <c r="AD516" s="31">
        <v>0</v>
      </c>
      <c r="AE516" s="31">
        <v>0</v>
      </c>
      <c r="AF516" s="31">
        <v>0</v>
      </c>
      <c r="AG516" s="31">
        <v>0</v>
      </c>
      <c r="AH516" s="31">
        <v>0</v>
      </c>
    </row>
    <row r="517" spans="1:34" x14ac:dyDescent="0.25">
      <c r="A517" s="31">
        <v>11</v>
      </c>
      <c r="B517" s="31">
        <v>25103</v>
      </c>
      <c r="C517" s="31" t="s">
        <v>217</v>
      </c>
      <c r="D517" s="31" t="s">
        <v>822</v>
      </c>
      <c r="E517" s="31"/>
      <c r="F517" s="31">
        <v>0</v>
      </c>
      <c r="G517" s="31">
        <v>0</v>
      </c>
      <c r="H517" s="31">
        <v>0</v>
      </c>
      <c r="I517" s="31">
        <v>0</v>
      </c>
      <c r="J517" s="31">
        <v>0</v>
      </c>
      <c r="K517" s="31" t="s">
        <v>882</v>
      </c>
      <c r="L517" s="31">
        <v>0</v>
      </c>
      <c r="M517" s="31">
        <v>0</v>
      </c>
      <c r="N517" s="31">
        <v>0</v>
      </c>
      <c r="O517" s="31">
        <v>0</v>
      </c>
      <c r="P517" s="31">
        <v>0</v>
      </c>
      <c r="Q517" s="31">
        <v>0</v>
      </c>
      <c r="R517" s="31">
        <v>0</v>
      </c>
      <c r="S517" s="31">
        <v>0</v>
      </c>
      <c r="T517" s="31">
        <v>0</v>
      </c>
      <c r="U517" s="31">
        <v>0</v>
      </c>
      <c r="V517" s="31">
        <v>0</v>
      </c>
      <c r="W517" s="31">
        <v>0</v>
      </c>
      <c r="X517" s="31">
        <v>0</v>
      </c>
      <c r="Y517" s="31">
        <v>0</v>
      </c>
      <c r="Z517" s="31">
        <v>0</v>
      </c>
      <c r="AA517" s="31">
        <v>0</v>
      </c>
      <c r="AB517" s="31">
        <v>0</v>
      </c>
      <c r="AC517" s="31">
        <v>0</v>
      </c>
      <c r="AD517" s="31">
        <v>0</v>
      </c>
      <c r="AE517" s="31">
        <v>0</v>
      </c>
      <c r="AF517" s="31">
        <v>0</v>
      </c>
      <c r="AG517" s="31">
        <v>0</v>
      </c>
      <c r="AH517" s="31">
        <v>0</v>
      </c>
    </row>
    <row r="518" spans="1:34" x14ac:dyDescent="0.25">
      <c r="A518" s="31">
        <v>11</v>
      </c>
      <c r="B518" s="31">
        <v>25103</v>
      </c>
      <c r="C518" s="31" t="s">
        <v>217</v>
      </c>
      <c r="D518" s="31" t="s">
        <v>823</v>
      </c>
      <c r="E518" s="31"/>
      <c r="F518" s="31">
        <v>0</v>
      </c>
      <c r="G518" s="31">
        <v>0</v>
      </c>
      <c r="H518" s="31">
        <v>0</v>
      </c>
      <c r="I518" s="31">
        <v>0</v>
      </c>
      <c r="J518" s="31">
        <v>0</v>
      </c>
      <c r="K518" s="31" t="s">
        <v>882</v>
      </c>
      <c r="L518" s="31">
        <v>0</v>
      </c>
      <c r="M518" s="31">
        <v>0</v>
      </c>
      <c r="N518" s="31">
        <v>0</v>
      </c>
      <c r="O518" s="31">
        <v>0</v>
      </c>
      <c r="P518" s="31">
        <v>0</v>
      </c>
      <c r="Q518" s="31">
        <v>0</v>
      </c>
      <c r="R518" s="31">
        <v>0</v>
      </c>
      <c r="S518" s="31">
        <v>0</v>
      </c>
      <c r="T518" s="31">
        <v>0</v>
      </c>
      <c r="U518" s="31">
        <v>0</v>
      </c>
      <c r="V518" s="31">
        <v>0</v>
      </c>
      <c r="W518" s="31">
        <v>0</v>
      </c>
      <c r="X518" s="31">
        <v>0</v>
      </c>
      <c r="Y518" s="31">
        <v>0</v>
      </c>
      <c r="Z518" s="31">
        <v>0</v>
      </c>
      <c r="AA518" s="31">
        <v>0</v>
      </c>
      <c r="AB518" s="31">
        <v>0</v>
      </c>
      <c r="AC518" s="31">
        <v>0</v>
      </c>
      <c r="AD518" s="31">
        <v>0</v>
      </c>
      <c r="AE518" s="31">
        <v>0</v>
      </c>
      <c r="AF518" s="31">
        <v>0</v>
      </c>
      <c r="AG518" s="31">
        <v>0</v>
      </c>
      <c r="AH518" s="31">
        <v>0</v>
      </c>
    </row>
    <row r="519" spans="1:34" x14ac:dyDescent="0.25">
      <c r="A519" s="31">
        <v>11</v>
      </c>
      <c r="B519" s="31">
        <v>25103</v>
      </c>
      <c r="C519" s="31" t="s">
        <v>217</v>
      </c>
      <c r="D519" s="31" t="s">
        <v>824</v>
      </c>
      <c r="E519" s="31"/>
      <c r="F519" s="31">
        <v>0</v>
      </c>
      <c r="G519" s="31">
        <v>0</v>
      </c>
      <c r="H519" s="31">
        <v>0</v>
      </c>
      <c r="I519" s="31">
        <v>0</v>
      </c>
      <c r="J519" s="31">
        <v>0</v>
      </c>
      <c r="K519" s="31" t="s">
        <v>882</v>
      </c>
      <c r="L519" s="31">
        <v>0</v>
      </c>
      <c r="M519" s="31">
        <v>0</v>
      </c>
      <c r="N519" s="31">
        <v>0</v>
      </c>
      <c r="O519" s="31">
        <v>0</v>
      </c>
      <c r="P519" s="31">
        <v>0</v>
      </c>
      <c r="Q519" s="31">
        <v>0</v>
      </c>
      <c r="R519" s="31">
        <v>0</v>
      </c>
      <c r="S519" s="31">
        <v>0</v>
      </c>
      <c r="T519" s="31">
        <v>0</v>
      </c>
      <c r="U519" s="31">
        <v>0</v>
      </c>
      <c r="V519" s="31">
        <v>0</v>
      </c>
      <c r="W519" s="31">
        <v>0</v>
      </c>
      <c r="X519" s="31">
        <v>0</v>
      </c>
      <c r="Y519" s="31">
        <v>0</v>
      </c>
      <c r="Z519" s="31">
        <v>0</v>
      </c>
      <c r="AA519" s="31">
        <v>0</v>
      </c>
      <c r="AB519" s="31">
        <v>0</v>
      </c>
      <c r="AC519" s="31">
        <v>0</v>
      </c>
      <c r="AD519" s="31">
        <v>0</v>
      </c>
      <c r="AE519" s="31">
        <v>0</v>
      </c>
      <c r="AF519" s="31">
        <v>0</v>
      </c>
      <c r="AG519" s="31">
        <v>0</v>
      </c>
      <c r="AH519" s="31">
        <v>0</v>
      </c>
    </row>
    <row r="520" spans="1:34" x14ac:dyDescent="0.25">
      <c r="A520" s="31">
        <v>11</v>
      </c>
      <c r="B520" s="31">
        <v>25103</v>
      </c>
      <c r="C520" s="31" t="s">
        <v>217</v>
      </c>
      <c r="D520" s="31" t="s">
        <v>825</v>
      </c>
      <c r="E520" s="31"/>
      <c r="F520" s="31">
        <v>0</v>
      </c>
      <c r="G520" s="31">
        <v>0</v>
      </c>
      <c r="H520" s="31">
        <v>0</v>
      </c>
      <c r="I520" s="31">
        <v>0</v>
      </c>
      <c r="J520" s="31">
        <v>0</v>
      </c>
      <c r="K520" s="31" t="s">
        <v>882</v>
      </c>
      <c r="L520" s="31">
        <v>0</v>
      </c>
      <c r="M520" s="31">
        <v>0</v>
      </c>
      <c r="N520" s="31">
        <v>0</v>
      </c>
      <c r="O520" s="31">
        <v>0</v>
      </c>
      <c r="P520" s="31">
        <v>0</v>
      </c>
      <c r="Q520" s="31">
        <v>0</v>
      </c>
      <c r="R520" s="31">
        <v>0</v>
      </c>
      <c r="S520" s="31">
        <v>0</v>
      </c>
      <c r="T520" s="31">
        <v>0</v>
      </c>
      <c r="U520" s="31">
        <v>0</v>
      </c>
      <c r="V520" s="31">
        <v>0</v>
      </c>
      <c r="W520" s="31">
        <v>0</v>
      </c>
      <c r="X520" s="31">
        <v>0</v>
      </c>
      <c r="Y520" s="31">
        <v>0</v>
      </c>
      <c r="Z520" s="31">
        <v>0</v>
      </c>
      <c r="AA520" s="31">
        <v>0</v>
      </c>
      <c r="AB520" s="31">
        <v>0</v>
      </c>
      <c r="AC520" s="31">
        <v>0</v>
      </c>
      <c r="AD520" s="31">
        <v>0</v>
      </c>
      <c r="AE520" s="31">
        <v>0</v>
      </c>
      <c r="AF520" s="31">
        <v>0</v>
      </c>
      <c r="AG520" s="31">
        <v>0</v>
      </c>
      <c r="AH520" s="31">
        <v>0</v>
      </c>
    </row>
    <row r="521" spans="1:34" x14ac:dyDescent="0.25">
      <c r="A521" s="31">
        <v>11</v>
      </c>
      <c r="B521" s="31">
        <v>25103</v>
      </c>
      <c r="C521" s="31" t="s">
        <v>217</v>
      </c>
      <c r="D521" s="31" t="s">
        <v>826</v>
      </c>
      <c r="E521" s="31"/>
      <c r="F521" s="31">
        <v>0</v>
      </c>
      <c r="G521" s="31">
        <v>0</v>
      </c>
      <c r="H521" s="31">
        <v>0</v>
      </c>
      <c r="I521" s="31">
        <v>0</v>
      </c>
      <c r="J521" s="31">
        <v>0</v>
      </c>
      <c r="K521" s="31" t="s">
        <v>882</v>
      </c>
      <c r="L521" s="31">
        <v>0</v>
      </c>
      <c r="M521" s="31">
        <v>0</v>
      </c>
      <c r="N521" s="31">
        <v>0</v>
      </c>
      <c r="O521" s="31">
        <v>0</v>
      </c>
      <c r="P521" s="31">
        <v>0</v>
      </c>
      <c r="Q521" s="31">
        <v>0</v>
      </c>
      <c r="R521" s="31">
        <v>0</v>
      </c>
      <c r="S521" s="31">
        <v>0</v>
      </c>
      <c r="T521" s="31">
        <v>0</v>
      </c>
      <c r="U521" s="31">
        <v>0</v>
      </c>
      <c r="V521" s="31">
        <v>0</v>
      </c>
      <c r="W521" s="31">
        <v>0</v>
      </c>
      <c r="X521" s="31">
        <v>0</v>
      </c>
      <c r="Y521" s="31">
        <v>0</v>
      </c>
      <c r="Z521" s="31">
        <v>0</v>
      </c>
      <c r="AA521" s="31">
        <v>0</v>
      </c>
      <c r="AB521" s="31">
        <v>0</v>
      </c>
      <c r="AC521" s="31">
        <v>0</v>
      </c>
      <c r="AD521" s="31">
        <v>0</v>
      </c>
      <c r="AE521" s="31">
        <v>0</v>
      </c>
      <c r="AF521" s="31">
        <v>0</v>
      </c>
      <c r="AG521" s="31">
        <v>0</v>
      </c>
      <c r="AH521" s="31">
        <v>0</v>
      </c>
    </row>
    <row r="522" spans="1:34" x14ac:dyDescent="0.25">
      <c r="A522" s="31">
        <v>11</v>
      </c>
      <c r="B522" s="31">
        <v>25103</v>
      </c>
      <c r="C522" s="31" t="s">
        <v>217</v>
      </c>
      <c r="D522" s="31" t="s">
        <v>827</v>
      </c>
      <c r="E522" s="31"/>
      <c r="F522" s="31">
        <v>0</v>
      </c>
      <c r="G522" s="31">
        <v>0</v>
      </c>
      <c r="H522" s="31">
        <v>0</v>
      </c>
      <c r="I522" s="31">
        <v>0</v>
      </c>
      <c r="J522" s="31">
        <v>0</v>
      </c>
      <c r="K522" s="31" t="s">
        <v>882</v>
      </c>
      <c r="L522" s="31">
        <v>0</v>
      </c>
      <c r="M522" s="31">
        <v>0</v>
      </c>
      <c r="N522" s="31">
        <v>0</v>
      </c>
      <c r="O522" s="31">
        <v>0</v>
      </c>
      <c r="P522" s="31">
        <v>0</v>
      </c>
      <c r="Q522" s="31">
        <v>0</v>
      </c>
      <c r="R522" s="31">
        <v>0</v>
      </c>
      <c r="S522" s="31">
        <v>0</v>
      </c>
      <c r="T522" s="31">
        <v>0</v>
      </c>
      <c r="U522" s="31">
        <v>0</v>
      </c>
      <c r="V522" s="31">
        <v>0</v>
      </c>
      <c r="W522" s="31">
        <v>0</v>
      </c>
      <c r="X522" s="31">
        <v>0</v>
      </c>
      <c r="Y522" s="31">
        <v>0</v>
      </c>
      <c r="Z522" s="31">
        <v>0</v>
      </c>
      <c r="AA522" s="31">
        <v>0</v>
      </c>
      <c r="AB522" s="31">
        <v>0</v>
      </c>
      <c r="AC522" s="31">
        <v>0</v>
      </c>
      <c r="AD522" s="31">
        <v>0</v>
      </c>
      <c r="AE522" s="31">
        <v>0</v>
      </c>
      <c r="AF522" s="31">
        <v>0</v>
      </c>
      <c r="AG522" s="31">
        <v>0</v>
      </c>
      <c r="AH522" s="31">
        <v>0</v>
      </c>
    </row>
    <row r="523" spans="1:34" x14ac:dyDescent="0.25">
      <c r="A523" s="31">
        <v>11</v>
      </c>
      <c r="B523" s="31">
        <v>25104</v>
      </c>
      <c r="C523" s="31" t="s">
        <v>217</v>
      </c>
      <c r="D523" s="31" t="s">
        <v>828</v>
      </c>
      <c r="E523" s="31"/>
      <c r="F523" s="31">
        <v>0</v>
      </c>
      <c r="G523" s="31">
        <v>0</v>
      </c>
      <c r="H523" s="31">
        <v>0</v>
      </c>
      <c r="I523" s="31">
        <v>0</v>
      </c>
      <c r="J523" s="31">
        <v>0</v>
      </c>
      <c r="K523" s="31" t="s">
        <v>882</v>
      </c>
      <c r="L523" s="31">
        <v>0</v>
      </c>
      <c r="M523" s="31">
        <v>0</v>
      </c>
      <c r="N523" s="31">
        <v>0</v>
      </c>
      <c r="O523" s="31">
        <v>0</v>
      </c>
      <c r="P523" s="31">
        <v>0</v>
      </c>
      <c r="Q523" s="31">
        <v>0</v>
      </c>
      <c r="R523" s="31">
        <v>0</v>
      </c>
      <c r="S523" s="31">
        <v>0</v>
      </c>
      <c r="T523" s="31">
        <v>0</v>
      </c>
      <c r="U523" s="31">
        <v>0</v>
      </c>
      <c r="V523" s="31">
        <v>0</v>
      </c>
      <c r="W523" s="31">
        <v>0</v>
      </c>
      <c r="X523" s="31">
        <v>0</v>
      </c>
      <c r="Y523" s="31">
        <v>0</v>
      </c>
      <c r="Z523" s="31">
        <v>0</v>
      </c>
      <c r="AA523" s="31">
        <v>0</v>
      </c>
      <c r="AB523" s="31">
        <v>0</v>
      </c>
      <c r="AC523" s="31">
        <v>0</v>
      </c>
      <c r="AD523" s="31">
        <v>0</v>
      </c>
      <c r="AE523" s="31">
        <v>0</v>
      </c>
      <c r="AF523" s="31">
        <v>0</v>
      </c>
      <c r="AG523" s="31">
        <v>0</v>
      </c>
      <c r="AH523" s="31">
        <v>0</v>
      </c>
    </row>
    <row r="524" spans="1:34" x14ac:dyDescent="0.25">
      <c r="A524" s="31">
        <v>12</v>
      </c>
      <c r="B524" s="31">
        <v>25104</v>
      </c>
      <c r="C524" s="31" t="s">
        <v>217</v>
      </c>
      <c r="D524" s="31" t="s">
        <v>828</v>
      </c>
      <c r="E524" s="31"/>
      <c r="F524" s="31">
        <v>0</v>
      </c>
      <c r="G524" s="31">
        <v>0</v>
      </c>
      <c r="H524" s="31">
        <v>0</v>
      </c>
      <c r="I524" s="31">
        <v>0</v>
      </c>
      <c r="J524" s="31">
        <v>0</v>
      </c>
      <c r="K524" s="31" t="s">
        <v>882</v>
      </c>
      <c r="L524" s="31">
        <v>0</v>
      </c>
      <c r="M524" s="31">
        <v>0</v>
      </c>
      <c r="N524" s="31">
        <v>0</v>
      </c>
      <c r="O524" s="31">
        <v>0</v>
      </c>
      <c r="P524" s="31">
        <v>0</v>
      </c>
      <c r="Q524" s="31">
        <v>0</v>
      </c>
      <c r="R524" s="31">
        <v>0</v>
      </c>
      <c r="S524" s="31">
        <v>0</v>
      </c>
      <c r="T524" s="31">
        <v>0</v>
      </c>
      <c r="U524" s="31">
        <v>0</v>
      </c>
      <c r="V524" s="31">
        <v>0</v>
      </c>
      <c r="W524" s="31">
        <v>0</v>
      </c>
      <c r="X524" s="31">
        <v>0</v>
      </c>
      <c r="Y524" s="31">
        <v>0</v>
      </c>
      <c r="Z524" s="31">
        <v>0</v>
      </c>
      <c r="AA524" s="31">
        <v>0</v>
      </c>
      <c r="AB524" s="31">
        <v>0</v>
      </c>
      <c r="AC524" s="31">
        <v>0</v>
      </c>
      <c r="AD524" s="31">
        <v>0</v>
      </c>
      <c r="AE524" s="31">
        <v>0</v>
      </c>
      <c r="AF524" s="31">
        <v>0</v>
      </c>
      <c r="AG524" s="31">
        <v>0</v>
      </c>
      <c r="AH524" s="31">
        <v>0</v>
      </c>
    </row>
    <row r="525" spans="1:34" x14ac:dyDescent="0.25">
      <c r="A525" s="31">
        <v>12</v>
      </c>
      <c r="B525" s="31">
        <v>25104</v>
      </c>
      <c r="C525" s="31" t="s">
        <v>217</v>
      </c>
      <c r="D525" s="31" t="s">
        <v>829</v>
      </c>
      <c r="E525" s="31"/>
      <c r="F525" s="31">
        <v>0</v>
      </c>
      <c r="G525" s="31">
        <v>0</v>
      </c>
      <c r="H525" s="31">
        <v>0</v>
      </c>
      <c r="I525" s="31">
        <v>0</v>
      </c>
      <c r="J525" s="31">
        <v>0</v>
      </c>
      <c r="K525" s="31" t="s">
        <v>882</v>
      </c>
      <c r="L525" s="31">
        <v>0</v>
      </c>
      <c r="M525" s="31">
        <v>0</v>
      </c>
      <c r="N525" s="31">
        <v>0</v>
      </c>
      <c r="O525" s="31">
        <v>0</v>
      </c>
      <c r="P525" s="31">
        <v>0</v>
      </c>
      <c r="Q525" s="31">
        <v>0</v>
      </c>
      <c r="R525" s="31">
        <v>0</v>
      </c>
      <c r="S525" s="31">
        <v>0</v>
      </c>
      <c r="T525" s="31">
        <v>0</v>
      </c>
      <c r="U525" s="31">
        <v>0</v>
      </c>
      <c r="V525" s="31">
        <v>0</v>
      </c>
      <c r="W525" s="31">
        <v>0</v>
      </c>
      <c r="X525" s="31">
        <v>0</v>
      </c>
      <c r="Y525" s="31">
        <v>0</v>
      </c>
      <c r="Z525" s="31">
        <v>0</v>
      </c>
      <c r="AA525" s="31">
        <v>0</v>
      </c>
      <c r="AB525" s="31">
        <v>0</v>
      </c>
      <c r="AC525" s="31">
        <v>0</v>
      </c>
      <c r="AD525" s="31">
        <v>0</v>
      </c>
      <c r="AE525" s="31">
        <v>0</v>
      </c>
      <c r="AF525" s="31">
        <v>0</v>
      </c>
      <c r="AG525" s="31">
        <v>0</v>
      </c>
      <c r="AH525" s="31">
        <v>0</v>
      </c>
    </row>
    <row r="526" spans="1:34" x14ac:dyDescent="0.25">
      <c r="A526" s="31">
        <v>12</v>
      </c>
      <c r="B526" s="31">
        <v>25104</v>
      </c>
      <c r="C526" s="31" t="s">
        <v>217</v>
      </c>
      <c r="D526" s="31" t="s">
        <v>830</v>
      </c>
      <c r="E526" s="31"/>
      <c r="F526" s="31">
        <v>0</v>
      </c>
      <c r="G526" s="31">
        <v>0</v>
      </c>
      <c r="H526" s="31">
        <v>0</v>
      </c>
      <c r="I526" s="31">
        <v>0</v>
      </c>
      <c r="J526" s="31">
        <v>0</v>
      </c>
      <c r="K526" s="31" t="s">
        <v>882</v>
      </c>
      <c r="L526" s="31">
        <v>0</v>
      </c>
      <c r="M526" s="31">
        <v>0</v>
      </c>
      <c r="N526" s="31">
        <v>0</v>
      </c>
      <c r="O526" s="31">
        <v>0</v>
      </c>
      <c r="P526" s="31">
        <v>0</v>
      </c>
      <c r="Q526" s="31">
        <v>0</v>
      </c>
      <c r="R526" s="31">
        <v>0</v>
      </c>
      <c r="S526" s="31">
        <v>0</v>
      </c>
      <c r="T526" s="31">
        <v>0</v>
      </c>
      <c r="U526" s="31">
        <v>0</v>
      </c>
      <c r="V526" s="31">
        <v>0</v>
      </c>
      <c r="W526" s="31">
        <v>0</v>
      </c>
      <c r="X526" s="31">
        <v>0</v>
      </c>
      <c r="Y526" s="31">
        <v>0</v>
      </c>
      <c r="Z526" s="31">
        <v>0</v>
      </c>
      <c r="AA526" s="31">
        <v>0</v>
      </c>
      <c r="AB526" s="31">
        <v>0</v>
      </c>
      <c r="AC526" s="31">
        <v>0</v>
      </c>
      <c r="AD526" s="31">
        <v>0</v>
      </c>
      <c r="AE526" s="31">
        <v>0</v>
      </c>
      <c r="AF526" s="31">
        <v>0</v>
      </c>
      <c r="AG526" s="31">
        <v>0</v>
      </c>
      <c r="AH526" s="31">
        <v>0</v>
      </c>
    </row>
    <row r="527" spans="1:34" x14ac:dyDescent="0.25">
      <c r="A527" s="31">
        <v>12</v>
      </c>
      <c r="B527" s="31">
        <v>25104</v>
      </c>
      <c r="C527" s="31" t="s">
        <v>217</v>
      </c>
      <c r="D527" s="31" t="s">
        <v>831</v>
      </c>
      <c r="E527" s="31"/>
      <c r="F527" s="31">
        <v>0</v>
      </c>
      <c r="G527" s="31">
        <v>0</v>
      </c>
      <c r="H527" s="31">
        <v>0</v>
      </c>
      <c r="I527" s="31">
        <v>0</v>
      </c>
      <c r="J527" s="31">
        <v>0</v>
      </c>
      <c r="K527" s="31" t="s">
        <v>882</v>
      </c>
      <c r="L527" s="31">
        <v>0</v>
      </c>
      <c r="M527" s="31">
        <v>0</v>
      </c>
      <c r="N527" s="31">
        <v>0</v>
      </c>
      <c r="O527" s="31">
        <v>0</v>
      </c>
      <c r="P527" s="31">
        <v>0</v>
      </c>
      <c r="Q527" s="31">
        <v>0</v>
      </c>
      <c r="R527" s="31">
        <v>0</v>
      </c>
      <c r="S527" s="31">
        <v>0</v>
      </c>
      <c r="T527" s="31">
        <v>0</v>
      </c>
      <c r="U527" s="31">
        <v>0</v>
      </c>
      <c r="V527" s="31">
        <v>0</v>
      </c>
      <c r="W527" s="31">
        <v>0</v>
      </c>
      <c r="X527" s="31">
        <v>0</v>
      </c>
      <c r="Y527" s="31">
        <v>0</v>
      </c>
      <c r="Z527" s="31">
        <v>0</v>
      </c>
      <c r="AA527" s="31">
        <v>0</v>
      </c>
      <c r="AB527" s="31">
        <v>0</v>
      </c>
      <c r="AC527" s="31">
        <v>0</v>
      </c>
      <c r="AD527" s="31">
        <v>0</v>
      </c>
      <c r="AE527" s="31">
        <v>0</v>
      </c>
      <c r="AF527" s="31">
        <v>0</v>
      </c>
      <c r="AG527" s="31">
        <v>0</v>
      </c>
      <c r="AH527" s="31">
        <v>0</v>
      </c>
    </row>
    <row r="528" spans="1:34" x14ac:dyDescent="0.25">
      <c r="A528" s="31">
        <v>12</v>
      </c>
      <c r="B528" s="31">
        <v>25104</v>
      </c>
      <c r="C528" s="31" t="s">
        <v>217</v>
      </c>
      <c r="D528" s="31" t="s">
        <v>832</v>
      </c>
      <c r="E528" s="31"/>
      <c r="F528" s="31">
        <v>0</v>
      </c>
      <c r="G528" s="31">
        <v>0</v>
      </c>
      <c r="H528" s="31">
        <v>0</v>
      </c>
      <c r="I528" s="31">
        <v>0</v>
      </c>
      <c r="J528" s="31">
        <v>0</v>
      </c>
      <c r="K528" s="31" t="s">
        <v>882</v>
      </c>
      <c r="L528" s="31">
        <v>0</v>
      </c>
      <c r="M528" s="31">
        <v>0</v>
      </c>
      <c r="N528" s="31">
        <v>0</v>
      </c>
      <c r="O528" s="31">
        <v>0</v>
      </c>
      <c r="P528" s="31">
        <v>0</v>
      </c>
      <c r="Q528" s="31">
        <v>0</v>
      </c>
      <c r="R528" s="31">
        <v>0</v>
      </c>
      <c r="S528" s="31">
        <v>0</v>
      </c>
      <c r="T528" s="31">
        <v>0</v>
      </c>
      <c r="U528" s="31">
        <v>0</v>
      </c>
      <c r="V528" s="31">
        <v>0</v>
      </c>
      <c r="W528" s="31">
        <v>0</v>
      </c>
      <c r="X528" s="31">
        <v>0</v>
      </c>
      <c r="Y528" s="31">
        <v>0</v>
      </c>
      <c r="Z528" s="31">
        <v>0</v>
      </c>
      <c r="AA528" s="31">
        <v>0</v>
      </c>
      <c r="AB528" s="31">
        <v>0</v>
      </c>
      <c r="AC528" s="31">
        <v>0</v>
      </c>
      <c r="AD528" s="31">
        <v>0</v>
      </c>
      <c r="AE528" s="31">
        <v>0</v>
      </c>
      <c r="AF528" s="31">
        <v>0</v>
      </c>
      <c r="AG528" s="31">
        <v>0</v>
      </c>
      <c r="AH528" s="31">
        <v>0</v>
      </c>
    </row>
    <row r="529" spans="1:34" x14ac:dyDescent="0.25">
      <c r="A529" s="31">
        <v>12</v>
      </c>
      <c r="B529" s="31">
        <v>25104</v>
      </c>
      <c r="C529" s="31" t="s">
        <v>217</v>
      </c>
      <c r="D529" s="31" t="s">
        <v>833</v>
      </c>
      <c r="E529" s="31"/>
      <c r="F529" s="31">
        <v>0</v>
      </c>
      <c r="G529" s="31">
        <v>0</v>
      </c>
      <c r="H529" s="31">
        <v>0</v>
      </c>
      <c r="I529" s="31">
        <v>0</v>
      </c>
      <c r="J529" s="31">
        <v>0</v>
      </c>
      <c r="K529" s="31" t="s">
        <v>882</v>
      </c>
      <c r="L529" s="31">
        <v>0</v>
      </c>
      <c r="M529" s="31">
        <v>0</v>
      </c>
      <c r="N529" s="31">
        <v>0</v>
      </c>
      <c r="O529" s="31">
        <v>0</v>
      </c>
      <c r="P529" s="31">
        <v>0</v>
      </c>
      <c r="Q529" s="31">
        <v>0</v>
      </c>
      <c r="R529" s="31">
        <v>0</v>
      </c>
      <c r="S529" s="31">
        <v>0</v>
      </c>
      <c r="T529" s="31">
        <v>0</v>
      </c>
      <c r="U529" s="31">
        <v>0</v>
      </c>
      <c r="V529" s="31">
        <v>0</v>
      </c>
      <c r="W529" s="31">
        <v>0</v>
      </c>
      <c r="X529" s="31">
        <v>0</v>
      </c>
      <c r="Y529" s="31">
        <v>0</v>
      </c>
      <c r="Z529" s="31">
        <v>0</v>
      </c>
      <c r="AA529" s="31">
        <v>0</v>
      </c>
      <c r="AB529" s="31">
        <v>0</v>
      </c>
      <c r="AC529" s="31">
        <v>0</v>
      </c>
      <c r="AD529" s="31">
        <v>0</v>
      </c>
      <c r="AE529" s="31">
        <v>0</v>
      </c>
      <c r="AF529" s="31">
        <v>0</v>
      </c>
      <c r="AG529" s="31">
        <v>0</v>
      </c>
      <c r="AH529" s="31">
        <v>0</v>
      </c>
    </row>
    <row r="530" spans="1:34" x14ac:dyDescent="0.25">
      <c r="A530" s="31">
        <v>12</v>
      </c>
      <c r="B530" s="31">
        <v>25104</v>
      </c>
      <c r="C530" s="31" t="s">
        <v>217</v>
      </c>
      <c r="D530" s="31" t="s">
        <v>834</v>
      </c>
      <c r="E530" s="31"/>
      <c r="F530" s="31">
        <v>0</v>
      </c>
      <c r="G530" s="31">
        <v>0</v>
      </c>
      <c r="H530" s="31">
        <v>0</v>
      </c>
      <c r="I530" s="31">
        <v>0</v>
      </c>
      <c r="J530" s="31">
        <v>0</v>
      </c>
      <c r="K530" s="31" t="s">
        <v>882</v>
      </c>
      <c r="L530" s="31">
        <v>0</v>
      </c>
      <c r="M530" s="31">
        <v>0</v>
      </c>
      <c r="N530" s="31">
        <v>0</v>
      </c>
      <c r="O530" s="31">
        <v>0</v>
      </c>
      <c r="P530" s="31">
        <v>0</v>
      </c>
      <c r="Q530" s="31">
        <v>0</v>
      </c>
      <c r="R530" s="31">
        <v>0</v>
      </c>
      <c r="S530" s="31">
        <v>0</v>
      </c>
      <c r="T530" s="31">
        <v>0</v>
      </c>
      <c r="U530" s="31">
        <v>0</v>
      </c>
      <c r="V530" s="31">
        <v>0</v>
      </c>
      <c r="W530" s="31">
        <v>0</v>
      </c>
      <c r="X530" s="31">
        <v>0</v>
      </c>
      <c r="Y530" s="31">
        <v>0</v>
      </c>
      <c r="Z530" s="31">
        <v>0</v>
      </c>
      <c r="AA530" s="31">
        <v>0</v>
      </c>
      <c r="AB530" s="31">
        <v>0</v>
      </c>
      <c r="AC530" s="31">
        <v>0</v>
      </c>
      <c r="AD530" s="31">
        <v>0</v>
      </c>
      <c r="AE530" s="31">
        <v>0</v>
      </c>
      <c r="AF530" s="31">
        <v>0</v>
      </c>
      <c r="AG530" s="31">
        <v>0</v>
      </c>
      <c r="AH530" s="31">
        <v>0</v>
      </c>
    </row>
    <row r="531" spans="1:34" x14ac:dyDescent="0.25">
      <c r="A531" s="31">
        <v>12</v>
      </c>
      <c r="B531" s="31">
        <v>25104</v>
      </c>
      <c r="C531" s="31" t="s">
        <v>217</v>
      </c>
      <c r="D531" s="31" t="s">
        <v>835</v>
      </c>
      <c r="E531" s="31"/>
      <c r="F531" s="31">
        <v>0</v>
      </c>
      <c r="G531" s="31">
        <v>0</v>
      </c>
      <c r="H531" s="31">
        <v>0</v>
      </c>
      <c r="I531" s="31">
        <v>0</v>
      </c>
      <c r="J531" s="31">
        <v>0</v>
      </c>
      <c r="K531" s="31" t="s">
        <v>882</v>
      </c>
      <c r="L531" s="31">
        <v>0</v>
      </c>
      <c r="M531" s="31">
        <v>0</v>
      </c>
      <c r="N531" s="31">
        <v>0</v>
      </c>
      <c r="O531" s="31">
        <v>0</v>
      </c>
      <c r="P531" s="31">
        <v>0</v>
      </c>
      <c r="Q531" s="31">
        <v>0</v>
      </c>
      <c r="R531" s="31">
        <v>0</v>
      </c>
      <c r="S531" s="31">
        <v>0</v>
      </c>
      <c r="T531" s="31">
        <v>0</v>
      </c>
      <c r="U531" s="31">
        <v>0</v>
      </c>
      <c r="V531" s="31">
        <v>0</v>
      </c>
      <c r="W531" s="31">
        <v>0</v>
      </c>
      <c r="X531" s="31">
        <v>0</v>
      </c>
      <c r="Y531" s="31">
        <v>0</v>
      </c>
      <c r="Z531" s="31">
        <v>0</v>
      </c>
      <c r="AA531" s="31">
        <v>0</v>
      </c>
      <c r="AB531" s="31">
        <v>0</v>
      </c>
      <c r="AC531" s="31">
        <v>0</v>
      </c>
      <c r="AD531" s="31">
        <v>0</v>
      </c>
      <c r="AE531" s="31">
        <v>0</v>
      </c>
      <c r="AF531" s="31">
        <v>0</v>
      </c>
      <c r="AG531" s="31">
        <v>0</v>
      </c>
      <c r="AH531" s="31">
        <v>0</v>
      </c>
    </row>
    <row r="532" spans="1:34" x14ac:dyDescent="0.25">
      <c r="A532" s="31">
        <v>12</v>
      </c>
      <c r="B532" s="31">
        <v>25130</v>
      </c>
      <c r="C532" s="31" t="s">
        <v>217</v>
      </c>
      <c r="D532" s="31" t="s">
        <v>930</v>
      </c>
      <c r="E532" s="31"/>
      <c r="F532" s="31">
        <v>0</v>
      </c>
      <c r="G532" s="31">
        <v>0</v>
      </c>
      <c r="H532" s="31">
        <v>0</v>
      </c>
      <c r="I532" s="31">
        <v>0</v>
      </c>
      <c r="J532" s="31">
        <v>0</v>
      </c>
      <c r="K532" s="31" t="s">
        <v>882</v>
      </c>
      <c r="L532" s="31">
        <v>0</v>
      </c>
      <c r="M532" s="31">
        <v>0</v>
      </c>
      <c r="N532" s="31">
        <v>0</v>
      </c>
      <c r="O532" s="31">
        <v>0</v>
      </c>
      <c r="P532" s="31">
        <v>0</v>
      </c>
      <c r="Q532" s="31">
        <v>0</v>
      </c>
      <c r="R532" s="31">
        <v>0</v>
      </c>
      <c r="S532" s="31">
        <v>0</v>
      </c>
      <c r="T532" s="31">
        <v>0</v>
      </c>
      <c r="U532" s="31">
        <v>0</v>
      </c>
      <c r="V532" s="31">
        <v>0</v>
      </c>
      <c r="W532" s="31">
        <v>0</v>
      </c>
      <c r="X532" s="31">
        <v>0</v>
      </c>
      <c r="Y532" s="31">
        <v>0</v>
      </c>
      <c r="Z532" s="31">
        <v>0</v>
      </c>
      <c r="AA532" s="31">
        <v>0</v>
      </c>
      <c r="AB532" s="31">
        <v>0</v>
      </c>
      <c r="AC532" s="31">
        <v>0</v>
      </c>
      <c r="AD532" s="31">
        <v>0</v>
      </c>
      <c r="AE532" s="31">
        <v>0</v>
      </c>
      <c r="AF532" s="31">
        <v>0</v>
      </c>
      <c r="AG532" s="31">
        <v>0</v>
      </c>
      <c r="AH532" s="31">
        <v>0</v>
      </c>
    </row>
    <row r="533" spans="1:34" x14ac:dyDescent="0.25">
      <c r="A533" s="31">
        <v>12</v>
      </c>
      <c r="B533" s="31">
        <v>25104</v>
      </c>
      <c r="C533" s="31" t="s">
        <v>217</v>
      </c>
      <c r="D533" s="31" t="s">
        <v>836</v>
      </c>
      <c r="E533" s="31"/>
      <c r="F533" s="31">
        <v>0</v>
      </c>
      <c r="G533" s="31">
        <v>0</v>
      </c>
      <c r="H533" s="31">
        <v>0</v>
      </c>
      <c r="I533" s="31">
        <v>0</v>
      </c>
      <c r="J533" s="31">
        <v>0</v>
      </c>
      <c r="K533" s="31" t="s">
        <v>882</v>
      </c>
      <c r="L533" s="31">
        <v>0</v>
      </c>
      <c r="M533" s="31">
        <v>0</v>
      </c>
      <c r="N533" s="31">
        <v>0</v>
      </c>
      <c r="O533" s="31">
        <v>0</v>
      </c>
      <c r="P533" s="31">
        <v>0</v>
      </c>
      <c r="Q533" s="31">
        <v>0</v>
      </c>
      <c r="R533" s="31">
        <v>0</v>
      </c>
      <c r="S533" s="31">
        <v>0</v>
      </c>
      <c r="T533" s="31">
        <v>0</v>
      </c>
      <c r="U533" s="31">
        <v>0</v>
      </c>
      <c r="V533" s="31">
        <v>0</v>
      </c>
      <c r="W533" s="31">
        <v>0</v>
      </c>
      <c r="X533" s="31">
        <v>0</v>
      </c>
      <c r="Y533" s="31">
        <v>0</v>
      </c>
      <c r="Z533" s="31">
        <v>0</v>
      </c>
      <c r="AA533" s="31">
        <v>0</v>
      </c>
      <c r="AB533" s="31">
        <v>0</v>
      </c>
      <c r="AC533" s="31">
        <v>0</v>
      </c>
      <c r="AD533" s="31">
        <v>0</v>
      </c>
      <c r="AE533" s="31">
        <v>0</v>
      </c>
      <c r="AF533" s="31">
        <v>0</v>
      </c>
      <c r="AG533" s="31">
        <v>0</v>
      </c>
      <c r="AH533" s="31">
        <v>0</v>
      </c>
    </row>
    <row r="534" spans="1:34" x14ac:dyDescent="0.25">
      <c r="A534" s="31">
        <v>12</v>
      </c>
      <c r="B534" s="31">
        <v>25104</v>
      </c>
      <c r="C534" s="31" t="s">
        <v>217</v>
      </c>
      <c r="D534" s="31" t="s">
        <v>837</v>
      </c>
      <c r="E534" s="31"/>
      <c r="F534" s="31">
        <v>0</v>
      </c>
      <c r="G534" s="31">
        <v>0</v>
      </c>
      <c r="H534" s="31">
        <v>0</v>
      </c>
      <c r="I534" s="31">
        <v>0</v>
      </c>
      <c r="J534" s="31">
        <v>0</v>
      </c>
      <c r="K534" s="31" t="s">
        <v>882</v>
      </c>
      <c r="L534" s="31">
        <v>0</v>
      </c>
      <c r="M534" s="31">
        <v>0</v>
      </c>
      <c r="N534" s="31">
        <v>0</v>
      </c>
      <c r="O534" s="31">
        <v>0</v>
      </c>
      <c r="P534" s="31">
        <v>0</v>
      </c>
      <c r="Q534" s="31">
        <v>0</v>
      </c>
      <c r="R534" s="31">
        <v>0</v>
      </c>
      <c r="S534" s="31">
        <v>0</v>
      </c>
      <c r="T534" s="31">
        <v>0</v>
      </c>
      <c r="U534" s="31">
        <v>0</v>
      </c>
      <c r="V534" s="31">
        <v>0</v>
      </c>
      <c r="W534" s="31">
        <v>0</v>
      </c>
      <c r="X534" s="31">
        <v>0</v>
      </c>
      <c r="Y534" s="31">
        <v>0</v>
      </c>
      <c r="Z534" s="31">
        <v>0</v>
      </c>
      <c r="AA534" s="31">
        <v>0</v>
      </c>
      <c r="AB534" s="31">
        <v>0</v>
      </c>
      <c r="AC534" s="31">
        <v>0</v>
      </c>
      <c r="AD534" s="31">
        <v>0</v>
      </c>
      <c r="AE534" s="31">
        <v>0</v>
      </c>
      <c r="AF534" s="31">
        <v>0</v>
      </c>
      <c r="AG534" s="31">
        <v>0</v>
      </c>
      <c r="AH534" s="31">
        <v>0</v>
      </c>
    </row>
    <row r="535" spans="1:34" x14ac:dyDescent="0.25">
      <c r="A535" s="31">
        <v>12</v>
      </c>
      <c r="B535" s="31">
        <v>25104</v>
      </c>
      <c r="C535" s="31" t="s">
        <v>217</v>
      </c>
      <c r="D535" s="31" t="s">
        <v>838</v>
      </c>
      <c r="E535" s="31"/>
      <c r="F535" s="31">
        <v>0</v>
      </c>
      <c r="G535" s="31">
        <v>0</v>
      </c>
      <c r="H535" s="31">
        <v>0</v>
      </c>
      <c r="I535" s="31">
        <v>0</v>
      </c>
      <c r="J535" s="31">
        <v>0</v>
      </c>
      <c r="K535" s="31" t="s">
        <v>882</v>
      </c>
      <c r="L535" s="31">
        <v>0</v>
      </c>
      <c r="M535" s="31">
        <v>0</v>
      </c>
      <c r="N535" s="31">
        <v>0</v>
      </c>
      <c r="O535" s="31">
        <v>0</v>
      </c>
      <c r="P535" s="31">
        <v>0</v>
      </c>
      <c r="Q535" s="31">
        <v>0</v>
      </c>
      <c r="R535" s="31">
        <v>0</v>
      </c>
      <c r="S535" s="31">
        <v>0</v>
      </c>
      <c r="T535" s="31">
        <v>0</v>
      </c>
      <c r="U535" s="31">
        <v>0</v>
      </c>
      <c r="V535" s="31">
        <v>0</v>
      </c>
      <c r="W535" s="31">
        <v>0</v>
      </c>
      <c r="X535" s="31">
        <v>0</v>
      </c>
      <c r="Y535" s="31">
        <v>0</v>
      </c>
      <c r="Z535" s="31">
        <v>0</v>
      </c>
      <c r="AA535" s="31">
        <v>0</v>
      </c>
      <c r="AB535" s="31">
        <v>0</v>
      </c>
      <c r="AC535" s="31">
        <v>0</v>
      </c>
      <c r="AD535" s="31">
        <v>0</v>
      </c>
      <c r="AE535" s="31">
        <v>0</v>
      </c>
      <c r="AF535" s="31">
        <v>0</v>
      </c>
      <c r="AG535" s="31">
        <v>0</v>
      </c>
      <c r="AH535" s="31">
        <v>0</v>
      </c>
    </row>
    <row r="536" spans="1:34" x14ac:dyDescent="0.25">
      <c r="A536" s="31">
        <v>12</v>
      </c>
      <c r="B536" s="31">
        <v>25131</v>
      </c>
      <c r="C536" s="31" t="s">
        <v>217</v>
      </c>
      <c r="D536" s="31" t="s">
        <v>931</v>
      </c>
      <c r="E536" s="31"/>
      <c r="F536" s="31">
        <v>0</v>
      </c>
      <c r="G536" s="31">
        <v>0</v>
      </c>
      <c r="H536" s="31">
        <v>0</v>
      </c>
      <c r="I536" s="31">
        <v>0</v>
      </c>
      <c r="J536" s="31">
        <v>0</v>
      </c>
      <c r="K536" s="31" t="s">
        <v>882</v>
      </c>
      <c r="L536" s="31">
        <v>0</v>
      </c>
      <c r="M536" s="31">
        <v>0</v>
      </c>
      <c r="N536" s="31">
        <v>0</v>
      </c>
      <c r="O536" s="31">
        <v>0</v>
      </c>
      <c r="P536" s="31">
        <v>0</v>
      </c>
      <c r="Q536" s="31">
        <v>0</v>
      </c>
      <c r="R536" s="31">
        <v>0</v>
      </c>
      <c r="S536" s="31">
        <v>0</v>
      </c>
      <c r="T536" s="31">
        <v>0</v>
      </c>
      <c r="U536" s="31">
        <v>0</v>
      </c>
      <c r="V536" s="31">
        <v>0</v>
      </c>
      <c r="W536" s="31">
        <v>0</v>
      </c>
      <c r="X536" s="31">
        <v>0</v>
      </c>
      <c r="Y536" s="31">
        <v>0</v>
      </c>
      <c r="Z536" s="31">
        <v>0</v>
      </c>
      <c r="AA536" s="31">
        <v>0</v>
      </c>
      <c r="AB536" s="31">
        <v>0</v>
      </c>
      <c r="AC536" s="31">
        <v>0</v>
      </c>
      <c r="AD536" s="31">
        <v>0</v>
      </c>
      <c r="AE536" s="31">
        <v>0</v>
      </c>
      <c r="AF536" s="31">
        <v>0</v>
      </c>
      <c r="AG536" s="31">
        <v>0</v>
      </c>
      <c r="AH536" s="31">
        <v>0</v>
      </c>
    </row>
    <row r="537" spans="1:34" x14ac:dyDescent="0.25">
      <c r="A537" s="31">
        <v>12</v>
      </c>
      <c r="B537" s="31">
        <v>25104</v>
      </c>
      <c r="C537" s="31" t="s">
        <v>217</v>
      </c>
      <c r="D537" s="31" t="s">
        <v>839</v>
      </c>
      <c r="E537" s="31"/>
      <c r="F537" s="31">
        <v>0</v>
      </c>
      <c r="G537" s="31">
        <v>0</v>
      </c>
      <c r="H537" s="31">
        <v>0</v>
      </c>
      <c r="I537" s="31">
        <v>0</v>
      </c>
      <c r="J537" s="31">
        <v>0</v>
      </c>
      <c r="K537" s="31" t="s">
        <v>882</v>
      </c>
      <c r="L537" s="31">
        <v>0</v>
      </c>
      <c r="M537" s="31">
        <v>0</v>
      </c>
      <c r="N537" s="31">
        <v>0</v>
      </c>
      <c r="O537" s="31">
        <v>0</v>
      </c>
      <c r="P537" s="31">
        <v>0</v>
      </c>
      <c r="Q537" s="31">
        <v>0</v>
      </c>
      <c r="R537" s="31">
        <v>0</v>
      </c>
      <c r="S537" s="31">
        <v>0</v>
      </c>
      <c r="T537" s="31">
        <v>0</v>
      </c>
      <c r="U537" s="31">
        <v>0</v>
      </c>
      <c r="V537" s="31">
        <v>0</v>
      </c>
      <c r="W537" s="31">
        <v>0</v>
      </c>
      <c r="X537" s="31">
        <v>0</v>
      </c>
      <c r="Y537" s="31">
        <v>0</v>
      </c>
      <c r="Z537" s="31">
        <v>0</v>
      </c>
      <c r="AA537" s="31">
        <v>0</v>
      </c>
      <c r="AB537" s="31">
        <v>0</v>
      </c>
      <c r="AC537" s="31">
        <v>0</v>
      </c>
      <c r="AD537" s="31">
        <v>0</v>
      </c>
      <c r="AE537" s="31">
        <v>0</v>
      </c>
      <c r="AF537" s="31">
        <v>0</v>
      </c>
      <c r="AG537" s="31">
        <v>0</v>
      </c>
      <c r="AH537" s="31">
        <v>0</v>
      </c>
    </row>
    <row r="538" spans="1:34" x14ac:dyDescent="0.25">
      <c r="A538" s="31">
        <v>12</v>
      </c>
      <c r="B538" s="31">
        <v>25104</v>
      </c>
      <c r="C538" s="31" t="s">
        <v>217</v>
      </c>
      <c r="D538" s="31" t="s">
        <v>840</v>
      </c>
      <c r="E538" s="31"/>
      <c r="F538" s="31">
        <v>0</v>
      </c>
      <c r="G538" s="31">
        <v>0</v>
      </c>
      <c r="H538" s="31">
        <v>0</v>
      </c>
      <c r="I538" s="31">
        <v>0</v>
      </c>
      <c r="J538" s="31">
        <v>0</v>
      </c>
      <c r="K538" s="31" t="s">
        <v>882</v>
      </c>
      <c r="L538" s="31">
        <v>0</v>
      </c>
      <c r="M538" s="31">
        <v>0</v>
      </c>
      <c r="N538" s="31">
        <v>0</v>
      </c>
      <c r="O538" s="31">
        <v>0</v>
      </c>
      <c r="P538" s="31">
        <v>0</v>
      </c>
      <c r="Q538" s="31">
        <v>0</v>
      </c>
      <c r="R538" s="31">
        <v>0</v>
      </c>
      <c r="S538" s="31">
        <v>0</v>
      </c>
      <c r="T538" s="31">
        <v>0</v>
      </c>
      <c r="U538" s="31">
        <v>0</v>
      </c>
      <c r="V538" s="31">
        <v>0</v>
      </c>
      <c r="W538" s="31">
        <v>0</v>
      </c>
      <c r="X538" s="31">
        <v>0</v>
      </c>
      <c r="Y538" s="31">
        <v>0</v>
      </c>
      <c r="Z538" s="31">
        <v>0</v>
      </c>
      <c r="AA538" s="31">
        <v>0</v>
      </c>
      <c r="AB538" s="31">
        <v>0</v>
      </c>
      <c r="AC538" s="31">
        <v>0</v>
      </c>
      <c r="AD538" s="31">
        <v>0</v>
      </c>
      <c r="AE538" s="31">
        <v>0</v>
      </c>
      <c r="AF538" s="31">
        <v>0</v>
      </c>
      <c r="AG538" s="31">
        <v>0</v>
      </c>
      <c r="AH538" s="31">
        <v>0</v>
      </c>
    </row>
    <row r="539" spans="1:34" x14ac:dyDescent="0.25">
      <c r="A539" s="31">
        <v>12</v>
      </c>
      <c r="B539" s="31">
        <v>25104</v>
      </c>
      <c r="C539" s="31" t="s">
        <v>217</v>
      </c>
      <c r="D539" s="31" t="s">
        <v>841</v>
      </c>
      <c r="E539" s="31"/>
      <c r="F539" s="31">
        <v>0</v>
      </c>
      <c r="G539" s="31">
        <v>0</v>
      </c>
      <c r="H539" s="31">
        <v>0</v>
      </c>
      <c r="I539" s="31">
        <v>0</v>
      </c>
      <c r="J539" s="31">
        <v>0</v>
      </c>
      <c r="K539" s="31" t="s">
        <v>882</v>
      </c>
      <c r="L539" s="31">
        <v>0</v>
      </c>
      <c r="M539" s="31">
        <v>0</v>
      </c>
      <c r="N539" s="31">
        <v>0</v>
      </c>
      <c r="O539" s="31">
        <v>0</v>
      </c>
      <c r="P539" s="31">
        <v>0</v>
      </c>
      <c r="Q539" s="31">
        <v>0</v>
      </c>
      <c r="R539" s="31">
        <v>0</v>
      </c>
      <c r="S539" s="31">
        <v>0</v>
      </c>
      <c r="T539" s="31">
        <v>0</v>
      </c>
      <c r="U539" s="31">
        <v>0</v>
      </c>
      <c r="V539" s="31">
        <v>0</v>
      </c>
      <c r="W539" s="31">
        <v>0</v>
      </c>
      <c r="X539" s="31">
        <v>0</v>
      </c>
      <c r="Y539" s="31">
        <v>0</v>
      </c>
      <c r="Z539" s="31">
        <v>0</v>
      </c>
      <c r="AA539" s="31">
        <v>0</v>
      </c>
      <c r="AB539" s="31">
        <v>0</v>
      </c>
      <c r="AC539" s="31">
        <v>0</v>
      </c>
      <c r="AD539" s="31">
        <v>0</v>
      </c>
      <c r="AE539" s="31">
        <v>0</v>
      </c>
      <c r="AF539" s="31">
        <v>0</v>
      </c>
      <c r="AG539" s="31">
        <v>0</v>
      </c>
      <c r="AH539" s="31">
        <v>0</v>
      </c>
    </row>
    <row r="540" spans="1:34" x14ac:dyDescent="0.25">
      <c r="A540" s="31">
        <v>12</v>
      </c>
      <c r="B540" s="31">
        <v>25150</v>
      </c>
      <c r="C540" s="31" t="s">
        <v>217</v>
      </c>
      <c r="D540" s="31" t="s">
        <v>959</v>
      </c>
      <c r="E540" s="31"/>
      <c r="F540" s="31">
        <v>0</v>
      </c>
      <c r="G540" s="31">
        <v>0</v>
      </c>
      <c r="H540" s="31">
        <v>0</v>
      </c>
      <c r="I540" s="31">
        <v>0</v>
      </c>
      <c r="J540" s="31">
        <v>0</v>
      </c>
      <c r="K540" s="31" t="s">
        <v>882</v>
      </c>
      <c r="L540" s="31">
        <v>0</v>
      </c>
      <c r="M540" s="31">
        <v>0</v>
      </c>
      <c r="N540" s="31">
        <v>0</v>
      </c>
      <c r="O540" s="31">
        <v>0</v>
      </c>
      <c r="P540" s="31">
        <v>0</v>
      </c>
      <c r="Q540" s="31">
        <v>0</v>
      </c>
      <c r="R540" s="31">
        <v>0</v>
      </c>
      <c r="S540" s="31">
        <v>0</v>
      </c>
      <c r="T540" s="31">
        <v>0</v>
      </c>
      <c r="U540" s="31">
        <v>0</v>
      </c>
      <c r="V540" s="31">
        <v>0</v>
      </c>
      <c r="W540" s="31">
        <v>0</v>
      </c>
      <c r="X540" s="31">
        <v>0</v>
      </c>
      <c r="Y540" s="31">
        <v>0</v>
      </c>
      <c r="Z540" s="31">
        <v>0</v>
      </c>
      <c r="AA540" s="31">
        <v>0</v>
      </c>
      <c r="AB540" s="31">
        <v>0</v>
      </c>
      <c r="AC540" s="31">
        <v>0</v>
      </c>
      <c r="AD540" s="31">
        <v>0</v>
      </c>
      <c r="AE540" s="31">
        <v>0</v>
      </c>
      <c r="AF540" s="31">
        <v>0</v>
      </c>
      <c r="AG540" s="31">
        <v>0</v>
      </c>
      <c r="AH540" s="31">
        <v>0</v>
      </c>
    </row>
    <row r="541" spans="1:34" x14ac:dyDescent="0.25">
      <c r="A541" s="31">
        <v>11</v>
      </c>
      <c r="B541" s="31">
        <v>13809</v>
      </c>
      <c r="C541" s="31">
        <v>1</v>
      </c>
      <c r="D541" s="31" t="s">
        <v>842</v>
      </c>
      <c r="E541" s="31"/>
      <c r="F541" s="31">
        <v>0</v>
      </c>
      <c r="G541" s="31">
        <v>0</v>
      </c>
      <c r="H541" s="31">
        <v>0</v>
      </c>
      <c r="I541" s="31">
        <v>0</v>
      </c>
      <c r="J541" s="31">
        <v>0</v>
      </c>
      <c r="K541" s="31" t="s">
        <v>882</v>
      </c>
      <c r="L541" s="31">
        <v>0</v>
      </c>
      <c r="M541" s="31">
        <v>0</v>
      </c>
      <c r="N541" s="31">
        <v>0</v>
      </c>
      <c r="O541" s="31">
        <v>0</v>
      </c>
      <c r="P541" s="31">
        <v>0</v>
      </c>
      <c r="Q541" s="31">
        <v>0</v>
      </c>
      <c r="R541" s="31">
        <v>0</v>
      </c>
      <c r="S541" s="31">
        <v>0</v>
      </c>
      <c r="T541" s="31">
        <v>0</v>
      </c>
      <c r="U541" s="31">
        <v>0</v>
      </c>
      <c r="V541" s="31">
        <v>0</v>
      </c>
      <c r="W541" s="31">
        <v>0</v>
      </c>
      <c r="X541" s="31">
        <v>0</v>
      </c>
      <c r="Y541" s="31">
        <v>0</v>
      </c>
      <c r="Z541" s="31">
        <v>0</v>
      </c>
      <c r="AA541" s="31">
        <v>0</v>
      </c>
      <c r="AB541" s="31">
        <v>0</v>
      </c>
      <c r="AC541" s="31">
        <v>0</v>
      </c>
      <c r="AD541" s="31">
        <v>0</v>
      </c>
      <c r="AE541" s="31">
        <v>0</v>
      </c>
      <c r="AF541" s="31">
        <v>0</v>
      </c>
      <c r="AG541" s="31">
        <v>0</v>
      </c>
      <c r="AH541" s="31">
        <v>0</v>
      </c>
    </row>
    <row r="542" spans="1:34" x14ac:dyDescent="0.25">
      <c r="A542" s="31">
        <v>11</v>
      </c>
      <c r="B542" s="31">
        <v>13809</v>
      </c>
      <c r="C542" s="31">
        <v>2</v>
      </c>
      <c r="D542" s="31" t="s">
        <v>842</v>
      </c>
      <c r="E542" s="31"/>
      <c r="F542" s="31">
        <v>0</v>
      </c>
      <c r="G542" s="31">
        <v>0</v>
      </c>
      <c r="H542" s="31">
        <v>0</v>
      </c>
      <c r="I542" s="31">
        <v>0</v>
      </c>
      <c r="J542" s="31">
        <v>0</v>
      </c>
      <c r="K542" s="31" t="s">
        <v>882</v>
      </c>
      <c r="L542" s="31">
        <v>0</v>
      </c>
      <c r="M542" s="31">
        <v>0</v>
      </c>
      <c r="N542" s="31">
        <v>0</v>
      </c>
      <c r="O542" s="31">
        <v>0</v>
      </c>
      <c r="P542" s="31">
        <v>0</v>
      </c>
      <c r="Q542" s="31">
        <v>0</v>
      </c>
      <c r="R542" s="31">
        <v>0</v>
      </c>
      <c r="S542" s="31">
        <v>0</v>
      </c>
      <c r="T542" s="31">
        <v>0</v>
      </c>
      <c r="U542" s="31">
        <v>0</v>
      </c>
      <c r="V542" s="31">
        <v>0</v>
      </c>
      <c r="W542" s="31">
        <v>0</v>
      </c>
      <c r="X542" s="31">
        <v>0</v>
      </c>
      <c r="Y542" s="31">
        <v>0</v>
      </c>
      <c r="Z542" s="31">
        <v>0</v>
      </c>
      <c r="AA542" s="31">
        <v>0</v>
      </c>
      <c r="AB542" s="31">
        <v>0</v>
      </c>
      <c r="AC542" s="31">
        <v>0</v>
      </c>
      <c r="AD542" s="31">
        <v>0</v>
      </c>
      <c r="AE542" s="31">
        <v>0</v>
      </c>
      <c r="AF542" s="31">
        <v>0</v>
      </c>
      <c r="AG542" s="31">
        <v>0</v>
      </c>
      <c r="AH542" s="31">
        <v>0</v>
      </c>
    </row>
    <row r="543" spans="1:34" x14ac:dyDescent="0.25">
      <c r="A543" s="31">
        <v>13</v>
      </c>
      <c r="B543" s="31">
        <v>13809</v>
      </c>
      <c r="C543" s="31">
        <v>1</v>
      </c>
      <c r="D543" s="31" t="s">
        <v>842</v>
      </c>
      <c r="E543" s="31"/>
      <c r="F543" s="31">
        <v>0</v>
      </c>
      <c r="G543" s="31">
        <v>0</v>
      </c>
      <c r="H543" s="31">
        <v>0</v>
      </c>
      <c r="I543" s="31">
        <v>0</v>
      </c>
      <c r="J543" s="31">
        <v>0</v>
      </c>
      <c r="K543" s="31" t="s">
        <v>882</v>
      </c>
      <c r="L543" s="31">
        <v>0</v>
      </c>
      <c r="M543" s="31">
        <v>0</v>
      </c>
      <c r="N543" s="31">
        <v>0</v>
      </c>
      <c r="O543" s="31">
        <v>0</v>
      </c>
      <c r="P543" s="31">
        <v>0</v>
      </c>
      <c r="Q543" s="31">
        <v>0</v>
      </c>
      <c r="R543" s="31">
        <v>0</v>
      </c>
      <c r="S543" s="31">
        <v>0</v>
      </c>
      <c r="T543" s="31">
        <v>0</v>
      </c>
      <c r="U543" s="31">
        <v>0</v>
      </c>
      <c r="V543" s="31">
        <v>0</v>
      </c>
      <c r="W543" s="31">
        <v>0</v>
      </c>
      <c r="X543" s="31">
        <v>0</v>
      </c>
      <c r="Y543" s="31">
        <v>0</v>
      </c>
      <c r="Z543" s="31">
        <v>0</v>
      </c>
      <c r="AA543" s="31">
        <v>0</v>
      </c>
      <c r="AB543" s="31">
        <v>0</v>
      </c>
      <c r="AC543" s="31">
        <v>0</v>
      </c>
      <c r="AD543" s="31">
        <v>0</v>
      </c>
      <c r="AE543" s="31">
        <v>0</v>
      </c>
      <c r="AF543" s="31">
        <v>0</v>
      </c>
      <c r="AG543" s="31">
        <v>0</v>
      </c>
      <c r="AH543" s="31">
        <v>0</v>
      </c>
    </row>
    <row r="544" spans="1:34" x14ac:dyDescent="0.25">
      <c r="A544" s="31">
        <v>13</v>
      </c>
      <c r="B544" s="31">
        <v>13809</v>
      </c>
      <c r="C544" s="31">
        <v>2</v>
      </c>
      <c r="D544" s="31" t="s">
        <v>842</v>
      </c>
      <c r="E544" s="31"/>
      <c r="F544" s="31">
        <v>0</v>
      </c>
      <c r="G544" s="31">
        <v>0</v>
      </c>
      <c r="H544" s="31">
        <v>0</v>
      </c>
      <c r="I544" s="31">
        <v>0</v>
      </c>
      <c r="J544" s="31">
        <v>0</v>
      </c>
      <c r="K544" s="31" t="s">
        <v>882</v>
      </c>
      <c r="L544" s="31">
        <v>0</v>
      </c>
      <c r="M544" s="31">
        <v>0</v>
      </c>
      <c r="N544" s="31">
        <v>0</v>
      </c>
      <c r="O544" s="31">
        <v>0</v>
      </c>
      <c r="P544" s="31">
        <v>0</v>
      </c>
      <c r="Q544" s="31">
        <v>0</v>
      </c>
      <c r="R544" s="31">
        <v>0</v>
      </c>
      <c r="S544" s="31">
        <v>0</v>
      </c>
      <c r="T544" s="31">
        <v>0</v>
      </c>
      <c r="U544" s="31">
        <v>0</v>
      </c>
      <c r="V544" s="31">
        <v>0</v>
      </c>
      <c r="W544" s="31">
        <v>0</v>
      </c>
      <c r="X544" s="31">
        <v>0</v>
      </c>
      <c r="Y544" s="31">
        <v>0</v>
      </c>
      <c r="Z544" s="31">
        <v>0</v>
      </c>
      <c r="AA544" s="31">
        <v>0</v>
      </c>
      <c r="AB544" s="31">
        <v>0</v>
      </c>
      <c r="AC544" s="31">
        <v>0</v>
      </c>
      <c r="AD544" s="31">
        <v>0</v>
      </c>
      <c r="AE544" s="31">
        <v>0</v>
      </c>
      <c r="AF544" s="31">
        <v>0</v>
      </c>
      <c r="AG544" s="31">
        <v>0</v>
      </c>
      <c r="AH544" s="31">
        <v>0</v>
      </c>
    </row>
    <row r="545" spans="1:34" x14ac:dyDescent="0.25">
      <c r="A545" s="31">
        <v>13</v>
      </c>
      <c r="B545" s="31">
        <v>13809</v>
      </c>
      <c r="C545" s="31">
        <v>1</v>
      </c>
      <c r="D545" s="31" t="s">
        <v>843</v>
      </c>
      <c r="E545" s="31"/>
      <c r="F545" s="31">
        <v>0</v>
      </c>
      <c r="G545" s="31">
        <v>0</v>
      </c>
      <c r="H545" s="31">
        <v>0</v>
      </c>
      <c r="I545" s="31">
        <v>0</v>
      </c>
      <c r="J545" s="31">
        <v>0</v>
      </c>
      <c r="K545" s="31" t="s">
        <v>882</v>
      </c>
      <c r="L545" s="31">
        <v>0</v>
      </c>
      <c r="M545" s="31">
        <v>0</v>
      </c>
      <c r="N545" s="31">
        <v>0</v>
      </c>
      <c r="O545" s="31">
        <v>0</v>
      </c>
      <c r="P545" s="31">
        <v>0</v>
      </c>
      <c r="Q545" s="31">
        <v>0</v>
      </c>
      <c r="R545" s="31">
        <v>0</v>
      </c>
      <c r="S545" s="31">
        <v>0</v>
      </c>
      <c r="T545" s="31">
        <v>0</v>
      </c>
      <c r="U545" s="31">
        <v>0</v>
      </c>
      <c r="V545" s="31">
        <v>0</v>
      </c>
      <c r="W545" s="31">
        <v>0</v>
      </c>
      <c r="X545" s="31">
        <v>0</v>
      </c>
      <c r="Y545" s="31">
        <v>0</v>
      </c>
      <c r="Z545" s="31">
        <v>0</v>
      </c>
      <c r="AA545" s="31">
        <v>0</v>
      </c>
      <c r="AB545" s="31">
        <v>0</v>
      </c>
      <c r="AC545" s="31">
        <v>0</v>
      </c>
      <c r="AD545" s="31">
        <v>0</v>
      </c>
      <c r="AE545" s="31">
        <v>0</v>
      </c>
      <c r="AF545" s="31">
        <v>0</v>
      </c>
      <c r="AG545" s="31">
        <v>0</v>
      </c>
      <c r="AH545" s="31">
        <v>0</v>
      </c>
    </row>
    <row r="546" spans="1:34" x14ac:dyDescent="0.25">
      <c r="A546" s="31">
        <v>13</v>
      </c>
      <c r="B546" s="31">
        <v>13809</v>
      </c>
      <c r="C546" s="31">
        <v>1</v>
      </c>
      <c r="D546" s="31" t="s">
        <v>844</v>
      </c>
      <c r="E546" s="31"/>
      <c r="F546" s="31">
        <v>0</v>
      </c>
      <c r="G546" s="31">
        <v>0</v>
      </c>
      <c r="H546" s="31">
        <v>0</v>
      </c>
      <c r="I546" s="31">
        <v>0</v>
      </c>
      <c r="J546" s="31">
        <v>0</v>
      </c>
      <c r="K546" s="31" t="s">
        <v>882</v>
      </c>
      <c r="L546" s="31">
        <v>0</v>
      </c>
      <c r="M546" s="31">
        <v>0</v>
      </c>
      <c r="N546" s="31">
        <v>0</v>
      </c>
      <c r="O546" s="31">
        <v>0</v>
      </c>
      <c r="P546" s="31">
        <v>0</v>
      </c>
      <c r="Q546" s="31">
        <v>0</v>
      </c>
      <c r="R546" s="31">
        <v>0</v>
      </c>
      <c r="S546" s="31">
        <v>0</v>
      </c>
      <c r="T546" s="31">
        <v>0</v>
      </c>
      <c r="U546" s="31">
        <v>0</v>
      </c>
      <c r="V546" s="31">
        <v>0</v>
      </c>
      <c r="W546" s="31">
        <v>0</v>
      </c>
      <c r="X546" s="31">
        <v>0</v>
      </c>
      <c r="Y546" s="31">
        <v>0</v>
      </c>
      <c r="Z546" s="31">
        <v>0</v>
      </c>
      <c r="AA546" s="31">
        <v>0</v>
      </c>
      <c r="AB546" s="31">
        <v>0</v>
      </c>
      <c r="AC546" s="31">
        <v>0</v>
      </c>
      <c r="AD546" s="31">
        <v>0</v>
      </c>
      <c r="AE546" s="31">
        <v>0</v>
      </c>
      <c r="AF546" s="31">
        <v>0</v>
      </c>
      <c r="AG546" s="31">
        <v>0</v>
      </c>
      <c r="AH546" s="31">
        <v>0</v>
      </c>
    </row>
    <row r="547" spans="1:34" x14ac:dyDescent="0.25">
      <c r="A547" s="31">
        <v>13</v>
      </c>
      <c r="B547" s="31">
        <v>13809</v>
      </c>
      <c r="C547" s="31">
        <v>1</v>
      </c>
      <c r="D547" s="31" t="s">
        <v>845</v>
      </c>
      <c r="E547" s="31"/>
      <c r="F547" s="31">
        <v>0</v>
      </c>
      <c r="G547" s="31">
        <v>0</v>
      </c>
      <c r="H547" s="31">
        <v>0</v>
      </c>
      <c r="I547" s="31">
        <v>0</v>
      </c>
      <c r="J547" s="31">
        <v>0</v>
      </c>
      <c r="K547" s="31" t="s">
        <v>882</v>
      </c>
      <c r="L547" s="31">
        <v>0</v>
      </c>
      <c r="M547" s="31">
        <v>0</v>
      </c>
      <c r="N547" s="31">
        <v>0</v>
      </c>
      <c r="O547" s="31">
        <v>0</v>
      </c>
      <c r="P547" s="31">
        <v>0</v>
      </c>
      <c r="Q547" s="31">
        <v>0</v>
      </c>
      <c r="R547" s="31">
        <v>0</v>
      </c>
      <c r="S547" s="31">
        <v>0</v>
      </c>
      <c r="T547" s="31">
        <v>0</v>
      </c>
      <c r="U547" s="31">
        <v>0</v>
      </c>
      <c r="V547" s="31">
        <v>0</v>
      </c>
      <c r="W547" s="31">
        <v>0</v>
      </c>
      <c r="X547" s="31">
        <v>0</v>
      </c>
      <c r="Y547" s="31">
        <v>0</v>
      </c>
      <c r="Z547" s="31">
        <v>0</v>
      </c>
      <c r="AA547" s="31">
        <v>0</v>
      </c>
      <c r="AB547" s="31">
        <v>0</v>
      </c>
      <c r="AC547" s="31">
        <v>0</v>
      </c>
      <c r="AD547" s="31">
        <v>0</v>
      </c>
      <c r="AE547" s="31">
        <v>0</v>
      </c>
      <c r="AF547" s="31">
        <v>0</v>
      </c>
      <c r="AG547" s="31">
        <v>0</v>
      </c>
      <c r="AH547" s="31">
        <v>0</v>
      </c>
    </row>
    <row r="548" spans="1:34" x14ac:dyDescent="0.25">
      <c r="A548" s="31">
        <v>13</v>
      </c>
      <c r="B548" s="31">
        <v>13809</v>
      </c>
      <c r="C548" s="31">
        <v>1</v>
      </c>
      <c r="D548" s="31" t="s">
        <v>846</v>
      </c>
      <c r="E548" s="31"/>
      <c r="F548" s="31">
        <v>0</v>
      </c>
      <c r="G548" s="31">
        <v>0</v>
      </c>
      <c r="H548" s="31">
        <v>0</v>
      </c>
      <c r="I548" s="31">
        <v>0</v>
      </c>
      <c r="J548" s="31">
        <v>0</v>
      </c>
      <c r="K548" s="31" t="s">
        <v>882</v>
      </c>
      <c r="L548" s="31">
        <v>0</v>
      </c>
      <c r="M548" s="31">
        <v>0</v>
      </c>
      <c r="N548" s="31">
        <v>0</v>
      </c>
      <c r="O548" s="31">
        <v>0</v>
      </c>
      <c r="P548" s="31">
        <v>0</v>
      </c>
      <c r="Q548" s="31">
        <v>0</v>
      </c>
      <c r="R548" s="31">
        <v>0</v>
      </c>
      <c r="S548" s="31">
        <v>0</v>
      </c>
      <c r="T548" s="31">
        <v>0</v>
      </c>
      <c r="U548" s="31">
        <v>0</v>
      </c>
      <c r="V548" s="31">
        <v>0</v>
      </c>
      <c r="W548" s="31">
        <v>0</v>
      </c>
      <c r="X548" s="31">
        <v>0</v>
      </c>
      <c r="Y548" s="31">
        <v>0</v>
      </c>
      <c r="Z548" s="31">
        <v>0</v>
      </c>
      <c r="AA548" s="31">
        <v>0</v>
      </c>
      <c r="AB548" s="31">
        <v>0</v>
      </c>
      <c r="AC548" s="31">
        <v>0</v>
      </c>
      <c r="AD548" s="31">
        <v>0</v>
      </c>
      <c r="AE548" s="31">
        <v>0</v>
      </c>
      <c r="AF548" s="31">
        <v>0</v>
      </c>
      <c r="AG548" s="31">
        <v>0</v>
      </c>
      <c r="AH548" s="31">
        <v>0</v>
      </c>
    </row>
    <row r="549" spans="1:34" x14ac:dyDescent="0.25">
      <c r="A549" s="31">
        <v>13</v>
      </c>
      <c r="B549" s="31">
        <v>13809</v>
      </c>
      <c r="C549" s="31">
        <v>1</v>
      </c>
      <c r="D549" s="31" t="s">
        <v>847</v>
      </c>
      <c r="E549" s="31"/>
      <c r="F549" s="31">
        <v>0</v>
      </c>
      <c r="G549" s="31">
        <v>0</v>
      </c>
      <c r="H549" s="31">
        <v>0</v>
      </c>
      <c r="I549" s="31">
        <v>0</v>
      </c>
      <c r="J549" s="31">
        <v>0</v>
      </c>
      <c r="K549" s="31" t="s">
        <v>882</v>
      </c>
      <c r="L549" s="31">
        <v>0</v>
      </c>
      <c r="M549" s="31">
        <v>0</v>
      </c>
      <c r="N549" s="31">
        <v>0</v>
      </c>
      <c r="O549" s="31">
        <v>0</v>
      </c>
      <c r="P549" s="31">
        <v>0</v>
      </c>
      <c r="Q549" s="31">
        <v>0</v>
      </c>
      <c r="R549" s="31">
        <v>0</v>
      </c>
      <c r="S549" s="31">
        <v>0</v>
      </c>
      <c r="T549" s="31">
        <v>0</v>
      </c>
      <c r="U549" s="31">
        <v>0</v>
      </c>
      <c r="V549" s="31">
        <v>0</v>
      </c>
      <c r="W549" s="31">
        <v>0</v>
      </c>
      <c r="X549" s="31">
        <v>0</v>
      </c>
      <c r="Y549" s="31">
        <v>0</v>
      </c>
      <c r="Z549" s="31">
        <v>0</v>
      </c>
      <c r="AA549" s="31">
        <v>0</v>
      </c>
      <c r="AB549" s="31">
        <v>0</v>
      </c>
      <c r="AC549" s="31">
        <v>0</v>
      </c>
      <c r="AD549" s="31">
        <v>0</v>
      </c>
      <c r="AE549" s="31">
        <v>0</v>
      </c>
      <c r="AF549" s="31">
        <v>0</v>
      </c>
      <c r="AG549" s="31">
        <v>0</v>
      </c>
      <c r="AH549" s="31">
        <v>0</v>
      </c>
    </row>
    <row r="550" spans="1:34" x14ac:dyDescent="0.25">
      <c r="A550" s="31">
        <v>13</v>
      </c>
      <c r="B550" s="31">
        <v>13809</v>
      </c>
      <c r="C550" s="31">
        <v>1</v>
      </c>
      <c r="D550" s="31" t="s">
        <v>848</v>
      </c>
      <c r="E550" s="31"/>
      <c r="F550" s="31">
        <v>0</v>
      </c>
      <c r="G550" s="31">
        <v>0</v>
      </c>
      <c r="H550" s="31">
        <v>0</v>
      </c>
      <c r="I550" s="31">
        <v>0</v>
      </c>
      <c r="J550" s="31">
        <v>0</v>
      </c>
      <c r="K550" s="31" t="s">
        <v>882</v>
      </c>
      <c r="L550" s="31">
        <v>0</v>
      </c>
      <c r="M550" s="31">
        <v>0</v>
      </c>
      <c r="N550" s="31">
        <v>0</v>
      </c>
      <c r="O550" s="31">
        <v>0</v>
      </c>
      <c r="P550" s="31">
        <v>0</v>
      </c>
      <c r="Q550" s="31">
        <v>0</v>
      </c>
      <c r="R550" s="31">
        <v>0</v>
      </c>
      <c r="S550" s="31">
        <v>0</v>
      </c>
      <c r="T550" s="31">
        <v>0</v>
      </c>
      <c r="U550" s="31">
        <v>0</v>
      </c>
      <c r="V550" s="31">
        <v>0</v>
      </c>
      <c r="W550" s="31">
        <v>0</v>
      </c>
      <c r="X550" s="31">
        <v>0</v>
      </c>
      <c r="Y550" s="31">
        <v>0</v>
      </c>
      <c r="Z550" s="31">
        <v>0</v>
      </c>
      <c r="AA550" s="31">
        <v>0</v>
      </c>
      <c r="AB550" s="31">
        <v>0</v>
      </c>
      <c r="AC550" s="31">
        <v>0</v>
      </c>
      <c r="AD550" s="31">
        <v>0</v>
      </c>
      <c r="AE550" s="31">
        <v>0</v>
      </c>
      <c r="AF550" s="31">
        <v>0</v>
      </c>
      <c r="AG550" s="31">
        <v>0</v>
      </c>
      <c r="AH550" s="31">
        <v>0</v>
      </c>
    </row>
    <row r="551" spans="1:34" x14ac:dyDescent="0.25">
      <c r="A551" s="31">
        <v>13</v>
      </c>
      <c r="B551" s="31">
        <v>13809</v>
      </c>
      <c r="C551" s="31">
        <v>1</v>
      </c>
      <c r="D551" s="31" t="s">
        <v>849</v>
      </c>
      <c r="E551" s="31"/>
      <c r="F551" s="31">
        <v>0</v>
      </c>
      <c r="G551" s="31">
        <v>0</v>
      </c>
      <c r="H551" s="31">
        <v>0</v>
      </c>
      <c r="I551" s="31">
        <v>0</v>
      </c>
      <c r="J551" s="31">
        <v>0</v>
      </c>
      <c r="K551" s="31" t="s">
        <v>882</v>
      </c>
      <c r="L551" s="31">
        <v>0</v>
      </c>
      <c r="M551" s="31">
        <v>0</v>
      </c>
      <c r="N551" s="31">
        <v>0</v>
      </c>
      <c r="O551" s="31">
        <v>0</v>
      </c>
      <c r="P551" s="31">
        <v>0</v>
      </c>
      <c r="Q551" s="31">
        <v>0</v>
      </c>
      <c r="R551" s="31">
        <v>0</v>
      </c>
      <c r="S551" s="31">
        <v>0</v>
      </c>
      <c r="T551" s="31">
        <v>0</v>
      </c>
      <c r="U551" s="31">
        <v>0</v>
      </c>
      <c r="V551" s="31">
        <v>0</v>
      </c>
      <c r="W551" s="31">
        <v>0</v>
      </c>
      <c r="X551" s="31">
        <v>0</v>
      </c>
      <c r="Y551" s="31">
        <v>0</v>
      </c>
      <c r="Z551" s="31">
        <v>0</v>
      </c>
      <c r="AA551" s="31">
        <v>0</v>
      </c>
      <c r="AB551" s="31">
        <v>0</v>
      </c>
      <c r="AC551" s="31">
        <v>0</v>
      </c>
      <c r="AD551" s="31">
        <v>0</v>
      </c>
      <c r="AE551" s="31">
        <v>0</v>
      </c>
      <c r="AF551" s="31">
        <v>0</v>
      </c>
      <c r="AG551" s="31">
        <v>0</v>
      </c>
      <c r="AH551" s="31">
        <v>0</v>
      </c>
    </row>
    <row r="552" spans="1:34" x14ac:dyDescent="0.25">
      <c r="A552" s="31">
        <v>13</v>
      </c>
      <c r="B552" s="31">
        <v>13809</v>
      </c>
      <c r="C552" s="31">
        <v>1</v>
      </c>
      <c r="D552" s="31" t="s">
        <v>850</v>
      </c>
      <c r="E552" s="31"/>
      <c r="F552" s="31">
        <v>0</v>
      </c>
      <c r="G552" s="31">
        <v>0</v>
      </c>
      <c r="H552" s="31">
        <v>0</v>
      </c>
      <c r="I552" s="31">
        <v>0</v>
      </c>
      <c r="J552" s="31">
        <v>0</v>
      </c>
      <c r="K552" s="31" t="s">
        <v>882</v>
      </c>
      <c r="L552" s="31">
        <v>0</v>
      </c>
      <c r="M552" s="31">
        <v>0</v>
      </c>
      <c r="N552" s="31">
        <v>0</v>
      </c>
      <c r="O552" s="31">
        <v>0</v>
      </c>
      <c r="P552" s="31">
        <v>0</v>
      </c>
      <c r="Q552" s="31">
        <v>0</v>
      </c>
      <c r="R552" s="31">
        <v>0</v>
      </c>
      <c r="S552" s="31">
        <v>0</v>
      </c>
      <c r="T552" s="31">
        <v>0</v>
      </c>
      <c r="U552" s="31">
        <v>0</v>
      </c>
      <c r="V552" s="31">
        <v>0</v>
      </c>
      <c r="W552" s="31">
        <v>0</v>
      </c>
      <c r="X552" s="31">
        <v>0</v>
      </c>
      <c r="Y552" s="31">
        <v>0</v>
      </c>
      <c r="Z552" s="31">
        <v>0</v>
      </c>
      <c r="AA552" s="31">
        <v>0</v>
      </c>
      <c r="AB552" s="31">
        <v>0</v>
      </c>
      <c r="AC552" s="31">
        <v>0</v>
      </c>
      <c r="AD552" s="31">
        <v>0</v>
      </c>
      <c r="AE552" s="31">
        <v>0</v>
      </c>
      <c r="AF552" s="31">
        <v>0</v>
      </c>
      <c r="AG552" s="31">
        <v>0</v>
      </c>
      <c r="AH552" s="31">
        <v>0</v>
      </c>
    </row>
    <row r="553" spans="1:34" x14ac:dyDescent="0.25">
      <c r="A553" s="31">
        <v>13</v>
      </c>
      <c r="B553" s="31">
        <v>13809</v>
      </c>
      <c r="C553" s="31">
        <v>2</v>
      </c>
      <c r="D553" s="31" t="s">
        <v>843</v>
      </c>
      <c r="E553" s="31"/>
      <c r="F553" s="31">
        <v>0</v>
      </c>
      <c r="G553" s="31">
        <v>0</v>
      </c>
      <c r="H553" s="31">
        <v>0</v>
      </c>
      <c r="I553" s="31">
        <v>0</v>
      </c>
      <c r="J553" s="31">
        <v>0</v>
      </c>
      <c r="K553" s="31" t="s">
        <v>882</v>
      </c>
      <c r="L553" s="31">
        <v>0</v>
      </c>
      <c r="M553" s="31">
        <v>0</v>
      </c>
      <c r="N553" s="31">
        <v>0</v>
      </c>
      <c r="O553" s="31">
        <v>0</v>
      </c>
      <c r="P553" s="31">
        <v>0</v>
      </c>
      <c r="Q553" s="31">
        <v>0</v>
      </c>
      <c r="R553" s="31">
        <v>0</v>
      </c>
      <c r="S553" s="31">
        <v>0</v>
      </c>
      <c r="T553" s="31">
        <v>0</v>
      </c>
      <c r="U553" s="31">
        <v>0</v>
      </c>
      <c r="V553" s="31">
        <v>0</v>
      </c>
      <c r="W553" s="31">
        <v>0</v>
      </c>
      <c r="X553" s="31">
        <v>0</v>
      </c>
      <c r="Y553" s="31">
        <v>0</v>
      </c>
      <c r="Z553" s="31">
        <v>0</v>
      </c>
      <c r="AA553" s="31">
        <v>0</v>
      </c>
      <c r="AB553" s="31">
        <v>0</v>
      </c>
      <c r="AC553" s="31">
        <v>0</v>
      </c>
      <c r="AD553" s="31">
        <v>0</v>
      </c>
      <c r="AE553" s="31">
        <v>0</v>
      </c>
      <c r="AF553" s="31">
        <v>0</v>
      </c>
      <c r="AG553" s="31">
        <v>0</v>
      </c>
      <c r="AH553" s="31">
        <v>0</v>
      </c>
    </row>
    <row r="554" spans="1:34" x14ac:dyDescent="0.25">
      <c r="A554" s="31">
        <v>13</v>
      </c>
      <c r="B554" s="31">
        <v>13809</v>
      </c>
      <c r="C554" s="31">
        <v>2</v>
      </c>
      <c r="D554" s="31" t="s">
        <v>844</v>
      </c>
      <c r="E554" s="31"/>
      <c r="F554" s="31">
        <v>0</v>
      </c>
      <c r="G554" s="31">
        <v>0</v>
      </c>
      <c r="H554" s="31">
        <v>0</v>
      </c>
      <c r="I554" s="31">
        <v>0</v>
      </c>
      <c r="J554" s="31">
        <v>0</v>
      </c>
      <c r="K554" s="31" t="s">
        <v>882</v>
      </c>
      <c r="L554" s="31">
        <v>0</v>
      </c>
      <c r="M554" s="31">
        <v>0</v>
      </c>
      <c r="N554" s="31">
        <v>0</v>
      </c>
      <c r="O554" s="31">
        <v>0</v>
      </c>
      <c r="P554" s="31">
        <v>0</v>
      </c>
      <c r="Q554" s="31">
        <v>0</v>
      </c>
      <c r="R554" s="31">
        <v>0</v>
      </c>
      <c r="S554" s="31">
        <v>0</v>
      </c>
      <c r="T554" s="31">
        <v>0</v>
      </c>
      <c r="U554" s="31">
        <v>0</v>
      </c>
      <c r="V554" s="31">
        <v>0</v>
      </c>
      <c r="W554" s="31">
        <v>0</v>
      </c>
      <c r="X554" s="31">
        <v>0</v>
      </c>
      <c r="Y554" s="31">
        <v>0</v>
      </c>
      <c r="Z554" s="31">
        <v>0</v>
      </c>
      <c r="AA554" s="31">
        <v>0</v>
      </c>
      <c r="AB554" s="31">
        <v>0</v>
      </c>
      <c r="AC554" s="31">
        <v>0</v>
      </c>
      <c r="AD554" s="31">
        <v>0</v>
      </c>
      <c r="AE554" s="31">
        <v>0</v>
      </c>
      <c r="AF554" s="31">
        <v>0</v>
      </c>
      <c r="AG554" s="31">
        <v>0</v>
      </c>
      <c r="AH554" s="31">
        <v>0</v>
      </c>
    </row>
    <row r="555" spans="1:34" x14ac:dyDescent="0.25">
      <c r="A555" s="31">
        <v>13</v>
      </c>
      <c r="B555" s="31">
        <v>13809</v>
      </c>
      <c r="C555" s="31">
        <v>2</v>
      </c>
      <c r="D555" s="31" t="s">
        <v>845</v>
      </c>
      <c r="E555" s="31"/>
      <c r="F555" s="31">
        <v>0</v>
      </c>
      <c r="G555" s="31">
        <v>0</v>
      </c>
      <c r="H555" s="31">
        <v>0</v>
      </c>
      <c r="I555" s="31">
        <v>0</v>
      </c>
      <c r="J555" s="31">
        <v>0</v>
      </c>
      <c r="K555" s="31" t="s">
        <v>882</v>
      </c>
      <c r="L555" s="31">
        <v>0</v>
      </c>
      <c r="M555" s="31">
        <v>0</v>
      </c>
      <c r="N555" s="31">
        <v>0</v>
      </c>
      <c r="O555" s="31">
        <v>0</v>
      </c>
      <c r="P555" s="31">
        <v>0</v>
      </c>
      <c r="Q555" s="31">
        <v>0</v>
      </c>
      <c r="R555" s="31">
        <v>0</v>
      </c>
      <c r="S555" s="31">
        <v>0</v>
      </c>
      <c r="T555" s="31">
        <v>0</v>
      </c>
      <c r="U555" s="31">
        <v>0</v>
      </c>
      <c r="V555" s="31">
        <v>0</v>
      </c>
      <c r="W555" s="31">
        <v>0</v>
      </c>
      <c r="X555" s="31">
        <v>0</v>
      </c>
      <c r="Y555" s="31">
        <v>0</v>
      </c>
      <c r="Z555" s="31">
        <v>0</v>
      </c>
      <c r="AA555" s="31">
        <v>0</v>
      </c>
      <c r="AB555" s="31">
        <v>0</v>
      </c>
      <c r="AC555" s="31">
        <v>0</v>
      </c>
      <c r="AD555" s="31">
        <v>0</v>
      </c>
      <c r="AE555" s="31">
        <v>0</v>
      </c>
      <c r="AF555" s="31">
        <v>0</v>
      </c>
      <c r="AG555" s="31">
        <v>0</v>
      </c>
      <c r="AH555" s="31">
        <v>0</v>
      </c>
    </row>
    <row r="556" spans="1:34" x14ac:dyDescent="0.25">
      <c r="A556" s="31">
        <v>13</v>
      </c>
      <c r="B556" s="31">
        <v>13809</v>
      </c>
      <c r="C556" s="31">
        <v>2</v>
      </c>
      <c r="D556" s="31" t="s">
        <v>846</v>
      </c>
      <c r="E556" s="31"/>
      <c r="F556" s="31">
        <v>0</v>
      </c>
      <c r="G556" s="31">
        <v>0</v>
      </c>
      <c r="H556" s="31">
        <v>0</v>
      </c>
      <c r="I556" s="31">
        <v>0</v>
      </c>
      <c r="J556" s="31">
        <v>0</v>
      </c>
      <c r="K556" s="31" t="s">
        <v>882</v>
      </c>
      <c r="L556" s="31">
        <v>0</v>
      </c>
      <c r="M556" s="31">
        <v>0</v>
      </c>
      <c r="N556" s="31">
        <v>0</v>
      </c>
      <c r="O556" s="31">
        <v>0</v>
      </c>
      <c r="P556" s="31">
        <v>0</v>
      </c>
      <c r="Q556" s="31">
        <v>0</v>
      </c>
      <c r="R556" s="31">
        <v>0</v>
      </c>
      <c r="S556" s="31">
        <v>0</v>
      </c>
      <c r="T556" s="31">
        <v>0</v>
      </c>
      <c r="U556" s="31">
        <v>0</v>
      </c>
      <c r="V556" s="31">
        <v>0</v>
      </c>
      <c r="W556" s="31">
        <v>0</v>
      </c>
      <c r="X556" s="31">
        <v>0</v>
      </c>
      <c r="Y556" s="31">
        <v>0</v>
      </c>
      <c r="Z556" s="31">
        <v>0</v>
      </c>
      <c r="AA556" s="31">
        <v>0</v>
      </c>
      <c r="AB556" s="31">
        <v>0</v>
      </c>
      <c r="AC556" s="31">
        <v>0</v>
      </c>
      <c r="AD556" s="31">
        <v>0</v>
      </c>
      <c r="AE556" s="31">
        <v>0</v>
      </c>
      <c r="AF556" s="31">
        <v>0</v>
      </c>
      <c r="AG556" s="31">
        <v>0</v>
      </c>
      <c r="AH556" s="31">
        <v>0</v>
      </c>
    </row>
    <row r="557" spans="1:34" x14ac:dyDescent="0.25">
      <c r="A557" s="31">
        <v>13</v>
      </c>
      <c r="B557" s="31">
        <v>13809</v>
      </c>
      <c r="C557" s="31">
        <v>2</v>
      </c>
      <c r="D557" s="31" t="s">
        <v>847</v>
      </c>
      <c r="E557" s="31"/>
      <c r="F557" s="31">
        <v>0</v>
      </c>
      <c r="G557" s="31">
        <v>0</v>
      </c>
      <c r="H557" s="31">
        <v>0</v>
      </c>
      <c r="I557" s="31">
        <v>0</v>
      </c>
      <c r="J557" s="31">
        <v>0</v>
      </c>
      <c r="K557" s="31" t="s">
        <v>882</v>
      </c>
      <c r="L557" s="31">
        <v>0</v>
      </c>
      <c r="M557" s="31">
        <v>0</v>
      </c>
      <c r="N557" s="31">
        <v>0</v>
      </c>
      <c r="O557" s="31">
        <v>0</v>
      </c>
      <c r="P557" s="31">
        <v>0</v>
      </c>
      <c r="Q557" s="31">
        <v>0</v>
      </c>
      <c r="R557" s="31">
        <v>0</v>
      </c>
      <c r="S557" s="31">
        <v>0</v>
      </c>
      <c r="T557" s="31">
        <v>0</v>
      </c>
      <c r="U557" s="31">
        <v>0</v>
      </c>
      <c r="V557" s="31">
        <v>0</v>
      </c>
      <c r="W557" s="31">
        <v>0</v>
      </c>
      <c r="X557" s="31">
        <v>0</v>
      </c>
      <c r="Y557" s="31">
        <v>0</v>
      </c>
      <c r="Z557" s="31">
        <v>0</v>
      </c>
      <c r="AA557" s="31">
        <v>0</v>
      </c>
      <c r="AB557" s="31">
        <v>0</v>
      </c>
      <c r="AC557" s="31">
        <v>0</v>
      </c>
      <c r="AD557" s="31">
        <v>0</v>
      </c>
      <c r="AE557" s="31">
        <v>0</v>
      </c>
      <c r="AF557" s="31">
        <v>0</v>
      </c>
      <c r="AG557" s="31">
        <v>0</v>
      </c>
      <c r="AH557" s="31">
        <v>0</v>
      </c>
    </row>
    <row r="558" spans="1:34" x14ac:dyDescent="0.25">
      <c r="A558" s="31">
        <v>13</v>
      </c>
      <c r="B558" s="31">
        <v>13809</v>
      </c>
      <c r="C558" s="31">
        <v>2</v>
      </c>
      <c r="D558" s="31" t="s">
        <v>848</v>
      </c>
      <c r="E558" s="31"/>
      <c r="F558" s="31">
        <v>0</v>
      </c>
      <c r="G558" s="31">
        <v>0</v>
      </c>
      <c r="H558" s="31">
        <v>0</v>
      </c>
      <c r="I558" s="31">
        <v>0</v>
      </c>
      <c r="J558" s="31">
        <v>0</v>
      </c>
      <c r="K558" s="31" t="s">
        <v>882</v>
      </c>
      <c r="L558" s="31">
        <v>0</v>
      </c>
      <c r="M558" s="31">
        <v>0</v>
      </c>
      <c r="N558" s="31">
        <v>0</v>
      </c>
      <c r="O558" s="31">
        <v>0</v>
      </c>
      <c r="P558" s="31">
        <v>0</v>
      </c>
      <c r="Q558" s="31">
        <v>0</v>
      </c>
      <c r="R558" s="31">
        <v>0</v>
      </c>
      <c r="S558" s="31">
        <v>0</v>
      </c>
      <c r="T558" s="31">
        <v>0</v>
      </c>
      <c r="U558" s="31">
        <v>0</v>
      </c>
      <c r="V558" s="31">
        <v>0</v>
      </c>
      <c r="W558" s="31">
        <v>0</v>
      </c>
      <c r="X558" s="31">
        <v>0</v>
      </c>
      <c r="Y558" s="31">
        <v>0</v>
      </c>
      <c r="Z558" s="31">
        <v>0</v>
      </c>
      <c r="AA558" s="31">
        <v>0</v>
      </c>
      <c r="AB558" s="31">
        <v>0</v>
      </c>
      <c r="AC558" s="31">
        <v>0</v>
      </c>
      <c r="AD558" s="31">
        <v>0</v>
      </c>
      <c r="AE558" s="31">
        <v>0</v>
      </c>
      <c r="AF558" s="31">
        <v>0</v>
      </c>
      <c r="AG558" s="31">
        <v>0</v>
      </c>
      <c r="AH558" s="31">
        <v>0</v>
      </c>
    </row>
    <row r="559" spans="1:34" x14ac:dyDescent="0.25">
      <c r="A559" s="31">
        <v>13</v>
      </c>
      <c r="B559" s="31">
        <v>13809</v>
      </c>
      <c r="C559" s="31">
        <v>2</v>
      </c>
      <c r="D559" s="31" t="s">
        <v>849</v>
      </c>
      <c r="E559" s="31"/>
      <c r="F559" s="31">
        <v>0</v>
      </c>
      <c r="G559" s="31">
        <v>0</v>
      </c>
      <c r="H559" s="31">
        <v>0</v>
      </c>
      <c r="I559" s="31">
        <v>0</v>
      </c>
      <c r="J559" s="31">
        <v>0</v>
      </c>
      <c r="K559" s="31" t="s">
        <v>882</v>
      </c>
      <c r="L559" s="31">
        <v>0</v>
      </c>
      <c r="M559" s="31">
        <v>0</v>
      </c>
      <c r="N559" s="31">
        <v>0</v>
      </c>
      <c r="O559" s="31">
        <v>0</v>
      </c>
      <c r="P559" s="31">
        <v>0</v>
      </c>
      <c r="Q559" s="31">
        <v>0</v>
      </c>
      <c r="R559" s="31">
        <v>0</v>
      </c>
      <c r="S559" s="31">
        <v>0</v>
      </c>
      <c r="T559" s="31">
        <v>0</v>
      </c>
      <c r="U559" s="31">
        <v>0</v>
      </c>
      <c r="V559" s="31">
        <v>0</v>
      </c>
      <c r="W559" s="31">
        <v>0</v>
      </c>
      <c r="X559" s="31">
        <v>0</v>
      </c>
      <c r="Y559" s="31">
        <v>0</v>
      </c>
      <c r="Z559" s="31">
        <v>0</v>
      </c>
      <c r="AA559" s="31">
        <v>0</v>
      </c>
      <c r="AB559" s="31">
        <v>0</v>
      </c>
      <c r="AC559" s="31">
        <v>0</v>
      </c>
      <c r="AD559" s="31">
        <v>0</v>
      </c>
      <c r="AE559" s="31">
        <v>0</v>
      </c>
      <c r="AF559" s="31">
        <v>0</v>
      </c>
      <c r="AG559" s="31">
        <v>0</v>
      </c>
      <c r="AH559" s="31">
        <v>0</v>
      </c>
    </row>
    <row r="560" spans="1:34" x14ac:dyDescent="0.25">
      <c r="A560" s="31">
        <v>13</v>
      </c>
      <c r="B560" s="31">
        <v>13809</v>
      </c>
      <c r="C560" s="31">
        <v>2</v>
      </c>
      <c r="D560" s="31" t="s">
        <v>850</v>
      </c>
      <c r="E560" s="31"/>
      <c r="F560" s="31">
        <v>0</v>
      </c>
      <c r="G560" s="31">
        <v>0</v>
      </c>
      <c r="H560" s="31">
        <v>0</v>
      </c>
      <c r="I560" s="31">
        <v>0</v>
      </c>
      <c r="J560" s="31">
        <v>0</v>
      </c>
      <c r="K560" s="31" t="s">
        <v>882</v>
      </c>
      <c r="L560" s="31">
        <v>0</v>
      </c>
      <c r="M560" s="31">
        <v>0</v>
      </c>
      <c r="N560" s="31">
        <v>0</v>
      </c>
      <c r="O560" s="31">
        <v>0</v>
      </c>
      <c r="P560" s="31">
        <v>0</v>
      </c>
      <c r="Q560" s="31">
        <v>0</v>
      </c>
      <c r="R560" s="31">
        <v>0</v>
      </c>
      <c r="S560" s="31">
        <v>0</v>
      </c>
      <c r="T560" s="31">
        <v>0</v>
      </c>
      <c r="U560" s="31">
        <v>0</v>
      </c>
      <c r="V560" s="31">
        <v>0</v>
      </c>
      <c r="W560" s="31">
        <v>0</v>
      </c>
      <c r="X560" s="31">
        <v>0</v>
      </c>
      <c r="Y560" s="31">
        <v>0</v>
      </c>
      <c r="Z560" s="31">
        <v>0</v>
      </c>
      <c r="AA560" s="31">
        <v>0</v>
      </c>
      <c r="AB560" s="31">
        <v>0</v>
      </c>
      <c r="AC560" s="31">
        <v>0</v>
      </c>
      <c r="AD560" s="31">
        <v>0</v>
      </c>
      <c r="AE560" s="31">
        <v>0</v>
      </c>
      <c r="AF560" s="31">
        <v>0</v>
      </c>
      <c r="AG560" s="31">
        <v>0</v>
      </c>
      <c r="AH560" s="31">
        <v>0</v>
      </c>
    </row>
    <row r="561" spans="1:34" x14ac:dyDescent="0.25">
      <c r="A561" s="31">
        <v>13</v>
      </c>
      <c r="B561" s="31">
        <v>13883</v>
      </c>
      <c r="C561" s="31">
        <v>1</v>
      </c>
      <c r="D561" s="31" t="s">
        <v>932</v>
      </c>
      <c r="E561" s="31"/>
      <c r="F561" s="31">
        <v>0</v>
      </c>
      <c r="G561" s="31">
        <v>0</v>
      </c>
      <c r="H561" s="31">
        <v>0</v>
      </c>
      <c r="I561" s="31">
        <v>0</v>
      </c>
      <c r="J561" s="31">
        <v>0</v>
      </c>
      <c r="K561" s="31" t="s">
        <v>882</v>
      </c>
      <c r="L561" s="31">
        <v>0</v>
      </c>
      <c r="M561" s="31">
        <v>0</v>
      </c>
      <c r="N561" s="31">
        <v>0</v>
      </c>
      <c r="O561" s="31">
        <v>0</v>
      </c>
      <c r="P561" s="31">
        <v>0</v>
      </c>
      <c r="Q561" s="31">
        <v>0</v>
      </c>
      <c r="R561" s="31">
        <v>0</v>
      </c>
      <c r="S561" s="31">
        <v>0</v>
      </c>
      <c r="T561" s="31">
        <v>0</v>
      </c>
      <c r="U561" s="31">
        <v>0</v>
      </c>
      <c r="V561" s="31">
        <v>0</v>
      </c>
      <c r="W561" s="31">
        <v>0</v>
      </c>
      <c r="X561" s="31">
        <v>0</v>
      </c>
      <c r="Y561" s="31">
        <v>0</v>
      </c>
      <c r="Z561" s="31">
        <v>0</v>
      </c>
      <c r="AA561" s="31">
        <v>0</v>
      </c>
      <c r="AB561" s="31">
        <v>0</v>
      </c>
      <c r="AC561" s="31">
        <v>0</v>
      </c>
      <c r="AD561" s="31">
        <v>0</v>
      </c>
      <c r="AE561" s="31">
        <v>0</v>
      </c>
      <c r="AF561" s="31">
        <v>0</v>
      </c>
      <c r="AG561" s="31">
        <v>0</v>
      </c>
      <c r="AH561" s="31">
        <v>0</v>
      </c>
    </row>
    <row r="562" spans="1:34" x14ac:dyDescent="0.25">
      <c r="A562" s="31">
        <v>13</v>
      </c>
      <c r="B562" s="31">
        <v>13882</v>
      </c>
      <c r="C562" s="31">
        <v>2</v>
      </c>
      <c r="D562" s="31" t="s">
        <v>851</v>
      </c>
      <c r="E562" s="31"/>
      <c r="F562" s="31">
        <v>0</v>
      </c>
      <c r="G562" s="31">
        <v>0</v>
      </c>
      <c r="H562" s="31">
        <v>0</v>
      </c>
      <c r="I562" s="31">
        <v>0</v>
      </c>
      <c r="J562" s="31">
        <v>0</v>
      </c>
      <c r="K562" s="31" t="s">
        <v>882</v>
      </c>
      <c r="L562" s="31">
        <v>0</v>
      </c>
      <c r="M562" s="31">
        <v>0</v>
      </c>
      <c r="N562" s="31">
        <v>0</v>
      </c>
      <c r="O562" s="31">
        <v>0</v>
      </c>
      <c r="P562" s="31">
        <v>0</v>
      </c>
      <c r="Q562" s="31">
        <v>0</v>
      </c>
      <c r="R562" s="31">
        <v>0</v>
      </c>
      <c r="S562" s="31">
        <v>0</v>
      </c>
      <c r="T562" s="31">
        <v>0</v>
      </c>
      <c r="U562" s="31">
        <v>0</v>
      </c>
      <c r="V562" s="31">
        <v>0</v>
      </c>
      <c r="W562" s="31">
        <v>0</v>
      </c>
      <c r="X562" s="31">
        <v>0</v>
      </c>
      <c r="Y562" s="31">
        <v>0</v>
      </c>
      <c r="Z562" s="31">
        <v>0</v>
      </c>
      <c r="AA562" s="31">
        <v>0</v>
      </c>
      <c r="AB562" s="31">
        <v>0</v>
      </c>
      <c r="AC562" s="31">
        <v>0</v>
      </c>
      <c r="AD562" s="31">
        <v>0</v>
      </c>
      <c r="AE562" s="31">
        <v>0</v>
      </c>
      <c r="AF562" s="31">
        <v>0</v>
      </c>
      <c r="AG562" s="31">
        <v>0</v>
      </c>
      <c r="AH562" s="31">
        <v>0</v>
      </c>
    </row>
    <row r="563" spans="1:34" x14ac:dyDescent="0.25">
      <c r="A563" s="31">
        <v>13</v>
      </c>
      <c r="B563" s="31">
        <v>13882</v>
      </c>
      <c r="C563" s="31">
        <v>2</v>
      </c>
      <c r="D563" s="31" t="s">
        <v>852</v>
      </c>
      <c r="E563" s="31"/>
      <c r="F563" s="31">
        <v>0</v>
      </c>
      <c r="G563" s="31">
        <v>0</v>
      </c>
      <c r="H563" s="31">
        <v>0</v>
      </c>
      <c r="I563" s="31">
        <v>0</v>
      </c>
      <c r="J563" s="31">
        <v>0</v>
      </c>
      <c r="K563" s="31" t="s">
        <v>882</v>
      </c>
      <c r="L563" s="31">
        <v>0</v>
      </c>
      <c r="M563" s="31">
        <v>0</v>
      </c>
      <c r="N563" s="31">
        <v>0</v>
      </c>
      <c r="O563" s="31">
        <v>0</v>
      </c>
      <c r="P563" s="31">
        <v>0</v>
      </c>
      <c r="Q563" s="31">
        <v>0</v>
      </c>
      <c r="R563" s="31">
        <v>0</v>
      </c>
      <c r="S563" s="31">
        <v>0</v>
      </c>
      <c r="T563" s="31">
        <v>0</v>
      </c>
      <c r="U563" s="31">
        <v>0</v>
      </c>
      <c r="V563" s="31">
        <v>0</v>
      </c>
      <c r="W563" s="31">
        <v>0</v>
      </c>
      <c r="X563" s="31">
        <v>0</v>
      </c>
      <c r="Y563" s="31">
        <v>0</v>
      </c>
      <c r="Z563" s="31">
        <v>0</v>
      </c>
      <c r="AA563" s="31">
        <v>0</v>
      </c>
      <c r="AB563" s="31">
        <v>0</v>
      </c>
      <c r="AC563" s="31">
        <v>0</v>
      </c>
      <c r="AD563" s="31">
        <v>0</v>
      </c>
      <c r="AE563" s="31">
        <v>0</v>
      </c>
      <c r="AF563" s="31">
        <v>0</v>
      </c>
      <c r="AG563" s="31">
        <v>0</v>
      </c>
      <c r="AH563" s="31">
        <v>0</v>
      </c>
    </row>
    <row r="564" spans="1:34" x14ac:dyDescent="0.25">
      <c r="A564" s="31">
        <v>13</v>
      </c>
      <c r="B564" s="31">
        <v>13882</v>
      </c>
      <c r="C564" s="31">
        <v>2</v>
      </c>
      <c r="D564" s="31" t="s">
        <v>853</v>
      </c>
      <c r="E564" s="31"/>
      <c r="F564" s="31">
        <v>0</v>
      </c>
      <c r="G564" s="31">
        <v>0</v>
      </c>
      <c r="H564" s="31">
        <v>0</v>
      </c>
      <c r="I564" s="31">
        <v>0</v>
      </c>
      <c r="J564" s="31">
        <v>0</v>
      </c>
      <c r="K564" s="31" t="s">
        <v>882</v>
      </c>
      <c r="L564" s="31">
        <v>0</v>
      </c>
      <c r="M564" s="31">
        <v>0</v>
      </c>
      <c r="N564" s="31">
        <v>0</v>
      </c>
      <c r="O564" s="31">
        <v>0</v>
      </c>
      <c r="P564" s="31">
        <v>0</v>
      </c>
      <c r="Q564" s="31">
        <v>0</v>
      </c>
      <c r="R564" s="31">
        <v>0</v>
      </c>
      <c r="S564" s="31">
        <v>0</v>
      </c>
      <c r="T564" s="31">
        <v>0</v>
      </c>
      <c r="U564" s="31">
        <v>0</v>
      </c>
      <c r="V564" s="31">
        <v>0</v>
      </c>
      <c r="W564" s="31">
        <v>0</v>
      </c>
      <c r="X564" s="31">
        <v>0</v>
      </c>
      <c r="Y564" s="31">
        <v>0</v>
      </c>
      <c r="Z564" s="31">
        <v>0</v>
      </c>
      <c r="AA564" s="31">
        <v>0</v>
      </c>
      <c r="AB564" s="31">
        <v>0</v>
      </c>
      <c r="AC564" s="31">
        <v>0</v>
      </c>
      <c r="AD564" s="31">
        <v>0</v>
      </c>
      <c r="AE564" s="31">
        <v>0</v>
      </c>
      <c r="AF564" s="31">
        <v>0</v>
      </c>
      <c r="AG564" s="31">
        <v>0</v>
      </c>
      <c r="AH564" s="31">
        <v>0</v>
      </c>
    </row>
    <row r="565" spans="1:34" x14ac:dyDescent="0.25">
      <c r="A565" s="31">
        <v>13</v>
      </c>
      <c r="B565" s="31">
        <v>25138</v>
      </c>
      <c r="C565" s="31" t="s">
        <v>439</v>
      </c>
      <c r="D565" s="31" t="s">
        <v>933</v>
      </c>
      <c r="E565" s="31"/>
      <c r="F565" s="31">
        <v>0</v>
      </c>
      <c r="G565" s="31">
        <v>0</v>
      </c>
      <c r="H565" s="31">
        <v>0</v>
      </c>
      <c r="I565" s="31">
        <v>0</v>
      </c>
      <c r="J565" s="31">
        <v>0</v>
      </c>
      <c r="K565" s="31" t="s">
        <v>882</v>
      </c>
      <c r="L565" s="31">
        <v>0</v>
      </c>
      <c r="M565" s="31">
        <v>0</v>
      </c>
      <c r="N565" s="31">
        <v>0</v>
      </c>
      <c r="O565" s="31">
        <v>0</v>
      </c>
      <c r="P565" s="31">
        <v>0</v>
      </c>
      <c r="Q565" s="31">
        <v>0</v>
      </c>
      <c r="R565" s="31">
        <v>0</v>
      </c>
      <c r="S565" s="31">
        <v>0</v>
      </c>
      <c r="T565" s="31">
        <v>0</v>
      </c>
      <c r="U565" s="31">
        <v>0</v>
      </c>
      <c r="V565" s="31">
        <v>0</v>
      </c>
      <c r="W565" s="31">
        <v>0</v>
      </c>
      <c r="X565" s="31">
        <v>0</v>
      </c>
      <c r="Y565" s="31">
        <v>0</v>
      </c>
      <c r="Z565" s="31">
        <v>0</v>
      </c>
      <c r="AA565" s="31">
        <v>0</v>
      </c>
      <c r="AB565" s="31">
        <v>0</v>
      </c>
      <c r="AC565" s="31">
        <v>0</v>
      </c>
      <c r="AD565" s="31">
        <v>0</v>
      </c>
      <c r="AE565" s="31">
        <v>0</v>
      </c>
      <c r="AF565" s="31">
        <v>0</v>
      </c>
      <c r="AG565" s="31">
        <v>0</v>
      </c>
      <c r="AH565" s="31">
        <v>0</v>
      </c>
    </row>
    <row r="566" spans="1:34" x14ac:dyDescent="0.25">
      <c r="A566" s="31">
        <v>13</v>
      </c>
      <c r="B566" s="31">
        <v>25138</v>
      </c>
      <c r="C566" s="31" t="s">
        <v>440</v>
      </c>
      <c r="D566" s="31" t="s">
        <v>934</v>
      </c>
      <c r="E566" s="31"/>
      <c r="F566" s="31">
        <v>0</v>
      </c>
      <c r="G566" s="31">
        <v>0</v>
      </c>
      <c r="H566" s="31">
        <v>0</v>
      </c>
      <c r="I566" s="31">
        <v>0</v>
      </c>
      <c r="J566" s="31">
        <v>0</v>
      </c>
      <c r="K566" s="31" t="s">
        <v>882</v>
      </c>
      <c r="L566" s="31">
        <v>0</v>
      </c>
      <c r="M566" s="31">
        <v>0</v>
      </c>
      <c r="N566" s="31">
        <v>0</v>
      </c>
      <c r="O566" s="31">
        <v>0</v>
      </c>
      <c r="P566" s="31">
        <v>0</v>
      </c>
      <c r="Q566" s="31">
        <v>0</v>
      </c>
      <c r="R566" s="31">
        <v>0</v>
      </c>
      <c r="S566" s="31">
        <v>0</v>
      </c>
      <c r="T566" s="31">
        <v>0</v>
      </c>
      <c r="U566" s="31">
        <v>0</v>
      </c>
      <c r="V566" s="31">
        <v>0</v>
      </c>
      <c r="W566" s="31">
        <v>0</v>
      </c>
      <c r="X566" s="31">
        <v>0</v>
      </c>
      <c r="Y566" s="31">
        <v>0</v>
      </c>
      <c r="Z566" s="31">
        <v>0</v>
      </c>
      <c r="AA566" s="31">
        <v>0</v>
      </c>
      <c r="AB566" s="31">
        <v>0</v>
      </c>
      <c r="AC566" s="31">
        <v>0</v>
      </c>
      <c r="AD566" s="31">
        <v>0</v>
      </c>
      <c r="AE566" s="31">
        <v>0</v>
      </c>
      <c r="AF566" s="31">
        <v>0</v>
      </c>
      <c r="AG566" s="31">
        <v>0</v>
      </c>
      <c r="AH566" s="31">
        <v>0</v>
      </c>
    </row>
    <row r="567" spans="1:34" x14ac:dyDescent="0.25">
      <c r="A567" s="31">
        <v>13</v>
      </c>
      <c r="B567" s="31">
        <v>25105</v>
      </c>
      <c r="C567" s="31">
        <v>3</v>
      </c>
      <c r="D567" s="31" t="s">
        <v>854</v>
      </c>
      <c r="E567" s="31"/>
      <c r="F567" s="31">
        <v>0</v>
      </c>
      <c r="G567" s="31">
        <v>0</v>
      </c>
      <c r="H567" s="31">
        <v>0</v>
      </c>
      <c r="I567" s="31">
        <v>0</v>
      </c>
      <c r="J567" s="31">
        <v>0</v>
      </c>
      <c r="K567" s="31" t="s">
        <v>882</v>
      </c>
      <c r="L567" s="31">
        <v>0</v>
      </c>
      <c r="M567" s="31">
        <v>0</v>
      </c>
      <c r="N567" s="31">
        <v>0</v>
      </c>
      <c r="O567" s="31">
        <v>0</v>
      </c>
      <c r="P567" s="31">
        <v>0</v>
      </c>
      <c r="Q567" s="31">
        <v>0</v>
      </c>
      <c r="R567" s="31">
        <v>0</v>
      </c>
      <c r="S567" s="31">
        <v>0</v>
      </c>
      <c r="T567" s="31">
        <v>0</v>
      </c>
      <c r="U567" s="31">
        <v>0</v>
      </c>
      <c r="V567" s="31">
        <v>0</v>
      </c>
      <c r="W567" s="31">
        <v>0</v>
      </c>
      <c r="X567" s="31">
        <v>0</v>
      </c>
      <c r="Y567" s="31">
        <v>0</v>
      </c>
      <c r="Z567" s="31">
        <v>0</v>
      </c>
      <c r="AA567" s="31">
        <v>0</v>
      </c>
      <c r="AB567" s="31">
        <v>0</v>
      </c>
      <c r="AC567" s="31">
        <v>0</v>
      </c>
      <c r="AD567" s="31">
        <v>0</v>
      </c>
      <c r="AE567" s="31">
        <v>0</v>
      </c>
      <c r="AF567" s="31">
        <v>0</v>
      </c>
      <c r="AG567" s="31">
        <v>0</v>
      </c>
      <c r="AH567" s="31">
        <v>0</v>
      </c>
    </row>
    <row r="568" spans="1:34" x14ac:dyDescent="0.25">
      <c r="A568" s="31">
        <v>13</v>
      </c>
      <c r="B568" s="31">
        <v>25133</v>
      </c>
      <c r="C568" s="31" t="s">
        <v>446</v>
      </c>
      <c r="D568" s="31" t="s">
        <v>935</v>
      </c>
      <c r="E568" s="31"/>
      <c r="F568" s="31">
        <v>0</v>
      </c>
      <c r="G568" s="31">
        <v>0</v>
      </c>
      <c r="H568" s="31">
        <v>0</v>
      </c>
      <c r="I568" s="31">
        <v>0</v>
      </c>
      <c r="J568" s="31">
        <v>0</v>
      </c>
      <c r="K568" s="31" t="s">
        <v>882</v>
      </c>
      <c r="L568" s="31">
        <v>0</v>
      </c>
      <c r="M568" s="31">
        <v>0</v>
      </c>
      <c r="N568" s="31">
        <v>0</v>
      </c>
      <c r="O568" s="31">
        <v>0</v>
      </c>
      <c r="P568" s="31">
        <v>0</v>
      </c>
      <c r="Q568" s="31">
        <v>0</v>
      </c>
      <c r="R568" s="31">
        <v>0</v>
      </c>
      <c r="S568" s="31">
        <v>0</v>
      </c>
      <c r="T568" s="31">
        <v>0</v>
      </c>
      <c r="U568" s="31">
        <v>0</v>
      </c>
      <c r="V568" s="31">
        <v>0</v>
      </c>
      <c r="W568" s="31">
        <v>0</v>
      </c>
      <c r="X568" s="31">
        <v>0</v>
      </c>
      <c r="Y568" s="31">
        <v>0</v>
      </c>
      <c r="Z568" s="31">
        <v>0</v>
      </c>
      <c r="AA568" s="31">
        <v>0</v>
      </c>
      <c r="AB568" s="31">
        <v>0</v>
      </c>
      <c r="AC568" s="31">
        <v>0</v>
      </c>
      <c r="AD568" s="31">
        <v>0</v>
      </c>
      <c r="AE568" s="31">
        <v>0</v>
      </c>
      <c r="AF568" s="31">
        <v>0</v>
      </c>
      <c r="AG568" s="31">
        <v>0</v>
      </c>
      <c r="AH568" s="31">
        <v>0</v>
      </c>
    </row>
    <row r="569" spans="1:34" x14ac:dyDescent="0.25">
      <c r="A569" s="31">
        <v>13</v>
      </c>
      <c r="B569" s="31">
        <v>25133</v>
      </c>
      <c r="C569" s="31" t="s">
        <v>446</v>
      </c>
      <c r="D569" s="31" t="s">
        <v>936</v>
      </c>
      <c r="E569" s="31"/>
      <c r="F569" s="31">
        <v>0</v>
      </c>
      <c r="G569" s="31">
        <v>0</v>
      </c>
      <c r="H569" s="31">
        <v>0</v>
      </c>
      <c r="I569" s="31">
        <v>0</v>
      </c>
      <c r="J569" s="31">
        <v>0</v>
      </c>
      <c r="K569" s="31" t="s">
        <v>882</v>
      </c>
      <c r="L569" s="31">
        <v>0</v>
      </c>
      <c r="M569" s="31">
        <v>0</v>
      </c>
      <c r="N569" s="31">
        <v>0</v>
      </c>
      <c r="O569" s="31">
        <v>0</v>
      </c>
      <c r="P569" s="31">
        <v>0</v>
      </c>
      <c r="Q569" s="31">
        <v>0</v>
      </c>
      <c r="R569" s="31">
        <v>0</v>
      </c>
      <c r="S569" s="31">
        <v>0</v>
      </c>
      <c r="T569" s="31">
        <v>0</v>
      </c>
      <c r="U569" s="31">
        <v>0</v>
      </c>
      <c r="V569" s="31">
        <v>0</v>
      </c>
      <c r="W569" s="31">
        <v>0</v>
      </c>
      <c r="X569" s="31">
        <v>0</v>
      </c>
      <c r="Y569" s="31">
        <v>0</v>
      </c>
      <c r="Z569" s="31">
        <v>0</v>
      </c>
      <c r="AA569" s="31">
        <v>0</v>
      </c>
      <c r="AB569" s="31">
        <v>0</v>
      </c>
      <c r="AC569" s="31">
        <v>0</v>
      </c>
      <c r="AD569" s="31">
        <v>0</v>
      </c>
      <c r="AE569" s="31">
        <v>0</v>
      </c>
      <c r="AF569" s="31">
        <v>0</v>
      </c>
      <c r="AG569" s="31">
        <v>0</v>
      </c>
      <c r="AH569" s="31">
        <v>0</v>
      </c>
    </row>
    <row r="570" spans="1:34" x14ac:dyDescent="0.25">
      <c r="A570" s="31">
        <v>13</v>
      </c>
      <c r="B570" s="31">
        <v>25133</v>
      </c>
      <c r="C570" s="31" t="s">
        <v>446</v>
      </c>
      <c r="D570" s="31" t="s">
        <v>937</v>
      </c>
      <c r="E570" s="31"/>
      <c r="F570" s="31">
        <v>0</v>
      </c>
      <c r="G570" s="31">
        <v>0</v>
      </c>
      <c r="H570" s="31">
        <v>0</v>
      </c>
      <c r="I570" s="31">
        <v>0</v>
      </c>
      <c r="J570" s="31">
        <v>0</v>
      </c>
      <c r="K570" s="31" t="s">
        <v>882</v>
      </c>
      <c r="L570" s="31">
        <v>0</v>
      </c>
      <c r="M570" s="31">
        <v>0</v>
      </c>
      <c r="N570" s="31">
        <v>0</v>
      </c>
      <c r="O570" s="31">
        <v>0</v>
      </c>
      <c r="P570" s="31">
        <v>0</v>
      </c>
      <c r="Q570" s="31">
        <v>0</v>
      </c>
      <c r="R570" s="31">
        <v>0</v>
      </c>
      <c r="S570" s="31">
        <v>0</v>
      </c>
      <c r="T570" s="31">
        <v>0</v>
      </c>
      <c r="U570" s="31">
        <v>0</v>
      </c>
      <c r="V570" s="31">
        <v>0</v>
      </c>
      <c r="W570" s="31">
        <v>0</v>
      </c>
      <c r="X570" s="31">
        <v>0</v>
      </c>
      <c r="Y570" s="31">
        <v>0</v>
      </c>
      <c r="Z570" s="31">
        <v>0</v>
      </c>
      <c r="AA570" s="31">
        <v>0</v>
      </c>
      <c r="AB570" s="31">
        <v>0</v>
      </c>
      <c r="AC570" s="31">
        <v>0</v>
      </c>
      <c r="AD570" s="31">
        <v>0</v>
      </c>
      <c r="AE570" s="31">
        <v>0</v>
      </c>
      <c r="AF570" s="31">
        <v>0</v>
      </c>
      <c r="AG570" s="31">
        <v>0</v>
      </c>
      <c r="AH570" s="31">
        <v>0</v>
      </c>
    </row>
    <row r="571" spans="1:34" x14ac:dyDescent="0.25">
      <c r="A571" s="31">
        <v>13</v>
      </c>
      <c r="B571" s="31">
        <v>25134</v>
      </c>
      <c r="C571" s="31">
        <v>2</v>
      </c>
      <c r="D571" s="31" t="s">
        <v>938</v>
      </c>
      <c r="E571" s="31"/>
      <c r="F571" s="31">
        <v>0</v>
      </c>
      <c r="G571" s="31">
        <v>0</v>
      </c>
      <c r="H571" s="31">
        <v>0</v>
      </c>
      <c r="I571" s="31">
        <v>0</v>
      </c>
      <c r="J571" s="31">
        <v>0</v>
      </c>
      <c r="K571" s="31" t="s">
        <v>882</v>
      </c>
      <c r="L571" s="31">
        <v>0</v>
      </c>
      <c r="M571" s="31">
        <v>0</v>
      </c>
      <c r="N571" s="31">
        <v>0</v>
      </c>
      <c r="O571" s="31">
        <v>0</v>
      </c>
      <c r="P571" s="31">
        <v>0</v>
      </c>
      <c r="Q571" s="31">
        <v>0</v>
      </c>
      <c r="R571" s="31">
        <v>0</v>
      </c>
      <c r="S571" s="31">
        <v>0</v>
      </c>
      <c r="T571" s="31">
        <v>0</v>
      </c>
      <c r="U571" s="31">
        <v>0</v>
      </c>
      <c r="V571" s="31">
        <v>0</v>
      </c>
      <c r="W571" s="31">
        <v>0</v>
      </c>
      <c r="X571" s="31">
        <v>0</v>
      </c>
      <c r="Y571" s="31">
        <v>0</v>
      </c>
      <c r="Z571" s="31">
        <v>0</v>
      </c>
      <c r="AA571" s="31">
        <v>0</v>
      </c>
      <c r="AB571" s="31">
        <v>0</v>
      </c>
      <c r="AC571" s="31">
        <v>0</v>
      </c>
      <c r="AD571" s="31">
        <v>0</v>
      </c>
      <c r="AE571" s="31">
        <v>0</v>
      </c>
      <c r="AF571" s="31">
        <v>0</v>
      </c>
      <c r="AG571" s="31">
        <v>0</v>
      </c>
      <c r="AH571" s="31">
        <v>0</v>
      </c>
    </row>
    <row r="572" spans="1:34" x14ac:dyDescent="0.25">
      <c r="A572" s="31">
        <v>13</v>
      </c>
      <c r="B572" s="31">
        <v>13880</v>
      </c>
      <c r="C572" s="31">
        <v>1</v>
      </c>
      <c r="D572" s="31" t="s">
        <v>855</v>
      </c>
      <c r="E572" s="31"/>
      <c r="F572" s="31">
        <v>0</v>
      </c>
      <c r="G572" s="31">
        <v>0</v>
      </c>
      <c r="H572" s="31">
        <v>0</v>
      </c>
      <c r="I572" s="31">
        <v>0</v>
      </c>
      <c r="J572" s="31">
        <v>0</v>
      </c>
      <c r="K572" s="31" t="s">
        <v>882</v>
      </c>
      <c r="L572" s="31">
        <v>0</v>
      </c>
      <c r="M572" s="31">
        <v>0</v>
      </c>
      <c r="N572" s="31">
        <v>0</v>
      </c>
      <c r="O572" s="31">
        <v>0</v>
      </c>
      <c r="P572" s="31">
        <v>0</v>
      </c>
      <c r="Q572" s="31">
        <v>0</v>
      </c>
      <c r="R572" s="31">
        <v>0</v>
      </c>
      <c r="S572" s="31">
        <v>0</v>
      </c>
      <c r="T572" s="31">
        <v>0</v>
      </c>
      <c r="U572" s="31">
        <v>0</v>
      </c>
      <c r="V572" s="31">
        <v>0</v>
      </c>
      <c r="W572" s="31">
        <v>0</v>
      </c>
      <c r="X572" s="31">
        <v>0</v>
      </c>
      <c r="Y572" s="31">
        <v>0</v>
      </c>
      <c r="Z572" s="31">
        <v>0</v>
      </c>
      <c r="AA572" s="31">
        <v>0</v>
      </c>
      <c r="AB572" s="31">
        <v>0</v>
      </c>
      <c r="AC572" s="31">
        <v>0</v>
      </c>
      <c r="AD572" s="31">
        <v>0</v>
      </c>
      <c r="AE572" s="31">
        <v>0</v>
      </c>
      <c r="AF572" s="31">
        <v>0</v>
      </c>
      <c r="AG572" s="31">
        <v>0</v>
      </c>
      <c r="AH572" s="31">
        <v>0</v>
      </c>
    </row>
    <row r="573" spans="1:34" x14ac:dyDescent="0.25">
      <c r="A573" s="31">
        <v>13</v>
      </c>
      <c r="B573" s="31">
        <v>13880</v>
      </c>
      <c r="C573" s="31">
        <v>1</v>
      </c>
      <c r="D573" s="31" t="s">
        <v>856</v>
      </c>
      <c r="E573" s="31"/>
      <c r="F573" s="31">
        <v>0</v>
      </c>
      <c r="G573" s="31">
        <v>0</v>
      </c>
      <c r="H573" s="31">
        <v>0</v>
      </c>
      <c r="I573" s="31">
        <v>0</v>
      </c>
      <c r="J573" s="31">
        <v>0</v>
      </c>
      <c r="K573" s="31" t="s">
        <v>882</v>
      </c>
      <c r="L573" s="31">
        <v>0</v>
      </c>
      <c r="M573" s="31">
        <v>0</v>
      </c>
      <c r="N573" s="31">
        <v>0</v>
      </c>
      <c r="O573" s="31">
        <v>0</v>
      </c>
      <c r="P573" s="31">
        <v>0</v>
      </c>
      <c r="Q573" s="31">
        <v>0</v>
      </c>
      <c r="R573" s="31">
        <v>0</v>
      </c>
      <c r="S573" s="31">
        <v>0</v>
      </c>
      <c r="T573" s="31">
        <v>0</v>
      </c>
      <c r="U573" s="31">
        <v>0</v>
      </c>
      <c r="V573" s="31">
        <v>0</v>
      </c>
      <c r="W573" s="31">
        <v>0</v>
      </c>
      <c r="X573" s="31">
        <v>0</v>
      </c>
      <c r="Y573" s="31">
        <v>0</v>
      </c>
      <c r="Z573" s="31">
        <v>0</v>
      </c>
      <c r="AA573" s="31">
        <v>0</v>
      </c>
      <c r="AB573" s="31">
        <v>0</v>
      </c>
      <c r="AC573" s="31">
        <v>0</v>
      </c>
      <c r="AD573" s="31">
        <v>0</v>
      </c>
      <c r="AE573" s="31">
        <v>0</v>
      </c>
      <c r="AF573" s="31">
        <v>0</v>
      </c>
      <c r="AG573" s="31">
        <v>0</v>
      </c>
      <c r="AH573" s="31">
        <v>0</v>
      </c>
    </row>
    <row r="574" spans="1:34" x14ac:dyDescent="0.25">
      <c r="A574" s="31">
        <v>13</v>
      </c>
      <c r="B574" s="31">
        <v>13880</v>
      </c>
      <c r="C574" s="31">
        <v>1</v>
      </c>
      <c r="D574" s="31" t="s">
        <v>857</v>
      </c>
      <c r="E574" s="31"/>
      <c r="F574" s="31">
        <v>0</v>
      </c>
      <c r="G574" s="31">
        <v>0</v>
      </c>
      <c r="H574" s="31">
        <v>0</v>
      </c>
      <c r="I574" s="31">
        <v>0</v>
      </c>
      <c r="J574" s="31">
        <v>0</v>
      </c>
      <c r="K574" s="31" t="s">
        <v>882</v>
      </c>
      <c r="L574" s="31">
        <v>0</v>
      </c>
      <c r="M574" s="31">
        <v>0</v>
      </c>
      <c r="N574" s="31">
        <v>0</v>
      </c>
      <c r="O574" s="31">
        <v>0</v>
      </c>
      <c r="P574" s="31">
        <v>0</v>
      </c>
      <c r="Q574" s="31">
        <v>0</v>
      </c>
      <c r="R574" s="31">
        <v>0</v>
      </c>
      <c r="S574" s="31">
        <v>0</v>
      </c>
      <c r="T574" s="31">
        <v>0</v>
      </c>
      <c r="U574" s="31">
        <v>0</v>
      </c>
      <c r="V574" s="31">
        <v>0</v>
      </c>
      <c r="W574" s="31">
        <v>0</v>
      </c>
      <c r="X574" s="31">
        <v>0</v>
      </c>
      <c r="Y574" s="31">
        <v>0</v>
      </c>
      <c r="Z574" s="31">
        <v>0</v>
      </c>
      <c r="AA574" s="31">
        <v>0</v>
      </c>
      <c r="AB574" s="31">
        <v>0</v>
      </c>
      <c r="AC574" s="31">
        <v>0</v>
      </c>
      <c r="AD574" s="31">
        <v>0</v>
      </c>
      <c r="AE574" s="31">
        <v>0</v>
      </c>
      <c r="AF574" s="31">
        <v>0</v>
      </c>
      <c r="AG574" s="31">
        <v>0</v>
      </c>
      <c r="AH574" s="31">
        <v>0</v>
      </c>
    </row>
    <row r="575" spans="1:34" x14ac:dyDescent="0.25">
      <c r="A575" s="31">
        <v>13</v>
      </c>
      <c r="B575" s="31">
        <v>13880</v>
      </c>
      <c r="C575" s="31">
        <v>1</v>
      </c>
      <c r="D575" s="31" t="s">
        <v>858</v>
      </c>
      <c r="E575" s="31"/>
      <c r="F575" s="31">
        <v>0</v>
      </c>
      <c r="G575" s="31">
        <v>0</v>
      </c>
      <c r="H575" s="31">
        <v>0</v>
      </c>
      <c r="I575" s="31">
        <v>0</v>
      </c>
      <c r="J575" s="31">
        <v>0</v>
      </c>
      <c r="K575" s="31" t="s">
        <v>882</v>
      </c>
      <c r="L575" s="31">
        <v>0</v>
      </c>
      <c r="M575" s="31">
        <v>0</v>
      </c>
      <c r="N575" s="31">
        <v>0</v>
      </c>
      <c r="O575" s="31">
        <v>0</v>
      </c>
      <c r="P575" s="31">
        <v>0</v>
      </c>
      <c r="Q575" s="31">
        <v>0</v>
      </c>
      <c r="R575" s="31">
        <v>0</v>
      </c>
      <c r="S575" s="31">
        <v>0</v>
      </c>
      <c r="T575" s="31">
        <v>0</v>
      </c>
      <c r="U575" s="31">
        <v>0</v>
      </c>
      <c r="V575" s="31">
        <v>0</v>
      </c>
      <c r="W575" s="31">
        <v>0</v>
      </c>
      <c r="X575" s="31">
        <v>0</v>
      </c>
      <c r="Y575" s="31">
        <v>0</v>
      </c>
      <c r="Z575" s="31">
        <v>0</v>
      </c>
      <c r="AA575" s="31">
        <v>0</v>
      </c>
      <c r="AB575" s="31">
        <v>0</v>
      </c>
      <c r="AC575" s="31">
        <v>0</v>
      </c>
      <c r="AD575" s="31">
        <v>0</v>
      </c>
      <c r="AE575" s="31">
        <v>0</v>
      </c>
      <c r="AF575" s="31">
        <v>0</v>
      </c>
      <c r="AG575" s="31">
        <v>0</v>
      </c>
      <c r="AH575" s="31">
        <v>0</v>
      </c>
    </row>
    <row r="576" spans="1:34" x14ac:dyDescent="0.25">
      <c r="A576" s="31">
        <v>13</v>
      </c>
      <c r="B576" s="31">
        <v>13880</v>
      </c>
      <c r="C576" s="31">
        <v>1</v>
      </c>
      <c r="D576" s="31" t="s">
        <v>859</v>
      </c>
      <c r="E576" s="31"/>
      <c r="F576" s="31">
        <v>0</v>
      </c>
      <c r="G576" s="31">
        <v>0</v>
      </c>
      <c r="H576" s="31">
        <v>0</v>
      </c>
      <c r="I576" s="31">
        <v>0</v>
      </c>
      <c r="J576" s="31">
        <v>0</v>
      </c>
      <c r="K576" s="31" t="s">
        <v>882</v>
      </c>
      <c r="L576" s="31">
        <v>0</v>
      </c>
      <c r="M576" s="31">
        <v>0</v>
      </c>
      <c r="N576" s="31">
        <v>0</v>
      </c>
      <c r="O576" s="31">
        <v>0</v>
      </c>
      <c r="P576" s="31">
        <v>0</v>
      </c>
      <c r="Q576" s="31">
        <v>0</v>
      </c>
      <c r="R576" s="31">
        <v>0</v>
      </c>
      <c r="S576" s="31">
        <v>0</v>
      </c>
      <c r="T576" s="31">
        <v>0</v>
      </c>
      <c r="U576" s="31">
        <v>0</v>
      </c>
      <c r="V576" s="31">
        <v>0</v>
      </c>
      <c r="W576" s="31">
        <v>0</v>
      </c>
      <c r="X576" s="31">
        <v>0</v>
      </c>
      <c r="Y576" s="31">
        <v>0</v>
      </c>
      <c r="Z576" s="31">
        <v>0</v>
      </c>
      <c r="AA576" s="31">
        <v>0</v>
      </c>
      <c r="AB576" s="31">
        <v>0</v>
      </c>
      <c r="AC576" s="31">
        <v>0</v>
      </c>
      <c r="AD576" s="31">
        <v>0</v>
      </c>
      <c r="AE576" s="31">
        <v>0</v>
      </c>
      <c r="AF576" s="31">
        <v>0</v>
      </c>
      <c r="AG576" s="31">
        <v>0</v>
      </c>
      <c r="AH576" s="31">
        <v>0</v>
      </c>
    </row>
    <row r="577" spans="1:34" x14ac:dyDescent="0.25">
      <c r="A577" s="31">
        <v>13</v>
      </c>
      <c r="B577" s="31">
        <v>13880</v>
      </c>
      <c r="C577" s="31">
        <v>1</v>
      </c>
      <c r="D577" s="31" t="s">
        <v>860</v>
      </c>
      <c r="E577" s="31"/>
      <c r="F577" s="31">
        <v>0</v>
      </c>
      <c r="G577" s="31">
        <v>0</v>
      </c>
      <c r="H577" s="31">
        <v>0</v>
      </c>
      <c r="I577" s="31">
        <v>0</v>
      </c>
      <c r="J577" s="31">
        <v>0</v>
      </c>
      <c r="K577" s="31" t="s">
        <v>882</v>
      </c>
      <c r="L577" s="31">
        <v>0</v>
      </c>
      <c r="M577" s="31">
        <v>0</v>
      </c>
      <c r="N577" s="31">
        <v>0</v>
      </c>
      <c r="O577" s="31">
        <v>0</v>
      </c>
      <c r="P577" s="31">
        <v>0</v>
      </c>
      <c r="Q577" s="31">
        <v>0</v>
      </c>
      <c r="R577" s="31">
        <v>0</v>
      </c>
      <c r="S577" s="31">
        <v>0</v>
      </c>
      <c r="T577" s="31">
        <v>0</v>
      </c>
      <c r="U577" s="31">
        <v>0</v>
      </c>
      <c r="V577" s="31">
        <v>0</v>
      </c>
      <c r="W577" s="31">
        <v>0</v>
      </c>
      <c r="X577" s="31">
        <v>0</v>
      </c>
      <c r="Y577" s="31">
        <v>0</v>
      </c>
      <c r="Z577" s="31">
        <v>0</v>
      </c>
      <c r="AA577" s="31">
        <v>0</v>
      </c>
      <c r="AB577" s="31">
        <v>0</v>
      </c>
      <c r="AC577" s="31">
        <v>0</v>
      </c>
      <c r="AD577" s="31">
        <v>0</v>
      </c>
      <c r="AE577" s="31">
        <v>0</v>
      </c>
      <c r="AF577" s="31">
        <v>0</v>
      </c>
      <c r="AG577" s="31">
        <v>0</v>
      </c>
      <c r="AH577" s="31">
        <v>0</v>
      </c>
    </row>
    <row r="578" spans="1:34" x14ac:dyDescent="0.25">
      <c r="A578" s="31">
        <v>13</v>
      </c>
      <c r="B578" s="31">
        <v>13880</v>
      </c>
      <c r="C578" s="31">
        <v>2</v>
      </c>
      <c r="D578" s="31" t="s">
        <v>855</v>
      </c>
      <c r="E578" s="31"/>
      <c r="F578" s="31">
        <v>0</v>
      </c>
      <c r="G578" s="31">
        <v>0</v>
      </c>
      <c r="H578" s="31">
        <v>0</v>
      </c>
      <c r="I578" s="31">
        <v>0</v>
      </c>
      <c r="J578" s="31">
        <v>0</v>
      </c>
      <c r="K578" s="31" t="s">
        <v>882</v>
      </c>
      <c r="L578" s="31">
        <v>0</v>
      </c>
      <c r="M578" s="31">
        <v>0</v>
      </c>
      <c r="N578" s="31">
        <v>0</v>
      </c>
      <c r="O578" s="31">
        <v>0</v>
      </c>
      <c r="P578" s="31">
        <v>0</v>
      </c>
      <c r="Q578" s="31">
        <v>0</v>
      </c>
      <c r="R578" s="31">
        <v>0</v>
      </c>
      <c r="S578" s="31">
        <v>0</v>
      </c>
      <c r="T578" s="31">
        <v>0</v>
      </c>
      <c r="U578" s="31">
        <v>0</v>
      </c>
      <c r="V578" s="31">
        <v>0</v>
      </c>
      <c r="W578" s="31">
        <v>0</v>
      </c>
      <c r="X578" s="31">
        <v>0</v>
      </c>
      <c r="Y578" s="31">
        <v>0</v>
      </c>
      <c r="Z578" s="31">
        <v>0</v>
      </c>
      <c r="AA578" s="31">
        <v>0</v>
      </c>
      <c r="AB578" s="31">
        <v>0</v>
      </c>
      <c r="AC578" s="31">
        <v>0</v>
      </c>
      <c r="AD578" s="31">
        <v>0</v>
      </c>
      <c r="AE578" s="31">
        <v>0</v>
      </c>
      <c r="AF578" s="31">
        <v>0</v>
      </c>
      <c r="AG578" s="31">
        <v>0</v>
      </c>
      <c r="AH578" s="31">
        <v>0</v>
      </c>
    </row>
    <row r="579" spans="1:34" x14ac:dyDescent="0.25">
      <c r="A579" s="31">
        <v>13</v>
      </c>
      <c r="B579" s="31">
        <v>13880</v>
      </c>
      <c r="C579" s="31">
        <v>2</v>
      </c>
      <c r="D579" s="31" t="s">
        <v>856</v>
      </c>
      <c r="E579" s="31"/>
      <c r="F579" s="31">
        <v>0</v>
      </c>
      <c r="G579" s="31">
        <v>0</v>
      </c>
      <c r="H579" s="31">
        <v>0</v>
      </c>
      <c r="I579" s="31">
        <v>0</v>
      </c>
      <c r="J579" s="31">
        <v>0</v>
      </c>
      <c r="K579" s="31" t="s">
        <v>882</v>
      </c>
      <c r="L579" s="31">
        <v>0</v>
      </c>
      <c r="M579" s="31">
        <v>0</v>
      </c>
      <c r="N579" s="31">
        <v>0</v>
      </c>
      <c r="O579" s="31">
        <v>0</v>
      </c>
      <c r="P579" s="31">
        <v>0</v>
      </c>
      <c r="Q579" s="31">
        <v>0</v>
      </c>
      <c r="R579" s="31">
        <v>0</v>
      </c>
      <c r="S579" s="31">
        <v>0</v>
      </c>
      <c r="T579" s="31">
        <v>0</v>
      </c>
      <c r="U579" s="31">
        <v>0</v>
      </c>
      <c r="V579" s="31">
        <v>0</v>
      </c>
      <c r="W579" s="31">
        <v>0</v>
      </c>
      <c r="X579" s="31">
        <v>0</v>
      </c>
      <c r="Y579" s="31">
        <v>0</v>
      </c>
      <c r="Z579" s="31">
        <v>0</v>
      </c>
      <c r="AA579" s="31">
        <v>0</v>
      </c>
      <c r="AB579" s="31">
        <v>0</v>
      </c>
      <c r="AC579" s="31">
        <v>0</v>
      </c>
      <c r="AD579" s="31">
        <v>0</v>
      </c>
      <c r="AE579" s="31">
        <v>0</v>
      </c>
      <c r="AF579" s="31">
        <v>0</v>
      </c>
      <c r="AG579" s="31">
        <v>0</v>
      </c>
      <c r="AH579" s="31">
        <v>0</v>
      </c>
    </row>
    <row r="580" spans="1:34" x14ac:dyDescent="0.25">
      <c r="A580" s="31">
        <v>13</v>
      </c>
      <c r="B580" s="31">
        <v>13880</v>
      </c>
      <c r="C580" s="31">
        <v>2</v>
      </c>
      <c r="D580" s="31" t="s">
        <v>857</v>
      </c>
      <c r="E580" s="31"/>
      <c r="F580" s="31">
        <v>0</v>
      </c>
      <c r="G580" s="31">
        <v>0</v>
      </c>
      <c r="H580" s="31">
        <v>0</v>
      </c>
      <c r="I580" s="31">
        <v>0</v>
      </c>
      <c r="J580" s="31">
        <v>0</v>
      </c>
      <c r="K580" s="31" t="s">
        <v>882</v>
      </c>
      <c r="L580" s="31">
        <v>0</v>
      </c>
      <c r="M580" s="31">
        <v>0</v>
      </c>
      <c r="N580" s="31">
        <v>0</v>
      </c>
      <c r="O580" s="31">
        <v>0</v>
      </c>
      <c r="P580" s="31">
        <v>0</v>
      </c>
      <c r="Q580" s="31">
        <v>0</v>
      </c>
      <c r="R580" s="31">
        <v>0</v>
      </c>
      <c r="S580" s="31">
        <v>0</v>
      </c>
      <c r="T580" s="31">
        <v>0</v>
      </c>
      <c r="U580" s="31">
        <v>0</v>
      </c>
      <c r="V580" s="31">
        <v>0</v>
      </c>
      <c r="W580" s="31">
        <v>0</v>
      </c>
      <c r="X580" s="31">
        <v>0</v>
      </c>
      <c r="Y580" s="31">
        <v>0</v>
      </c>
      <c r="Z580" s="31">
        <v>0</v>
      </c>
      <c r="AA580" s="31">
        <v>0</v>
      </c>
      <c r="AB580" s="31">
        <v>0</v>
      </c>
      <c r="AC580" s="31">
        <v>0</v>
      </c>
      <c r="AD580" s="31">
        <v>0</v>
      </c>
      <c r="AE580" s="31">
        <v>0</v>
      </c>
      <c r="AF580" s="31">
        <v>0</v>
      </c>
      <c r="AG580" s="31">
        <v>0</v>
      </c>
      <c r="AH580" s="31">
        <v>0</v>
      </c>
    </row>
    <row r="581" spans="1:34" x14ac:dyDescent="0.25">
      <c r="A581" s="31">
        <v>13</v>
      </c>
      <c r="B581" s="31">
        <v>13880</v>
      </c>
      <c r="C581" s="31">
        <v>2</v>
      </c>
      <c r="D581" s="31" t="s">
        <v>858</v>
      </c>
      <c r="E581" s="31"/>
      <c r="F581" s="31">
        <v>0</v>
      </c>
      <c r="G581" s="31">
        <v>0</v>
      </c>
      <c r="H581" s="31">
        <v>0</v>
      </c>
      <c r="I581" s="31">
        <v>0</v>
      </c>
      <c r="J581" s="31">
        <v>0</v>
      </c>
      <c r="K581" s="31" t="s">
        <v>882</v>
      </c>
      <c r="L581" s="31">
        <v>0</v>
      </c>
      <c r="M581" s="31">
        <v>0</v>
      </c>
      <c r="N581" s="31">
        <v>0</v>
      </c>
      <c r="O581" s="31">
        <v>0</v>
      </c>
      <c r="P581" s="31">
        <v>0</v>
      </c>
      <c r="Q581" s="31">
        <v>0</v>
      </c>
      <c r="R581" s="31">
        <v>0</v>
      </c>
      <c r="S581" s="31">
        <v>0</v>
      </c>
      <c r="T581" s="31">
        <v>0</v>
      </c>
      <c r="U581" s="31">
        <v>0</v>
      </c>
      <c r="V581" s="31">
        <v>0</v>
      </c>
      <c r="W581" s="31">
        <v>0</v>
      </c>
      <c r="X581" s="31">
        <v>0</v>
      </c>
      <c r="Y581" s="31">
        <v>0</v>
      </c>
      <c r="Z581" s="31">
        <v>0</v>
      </c>
      <c r="AA581" s="31">
        <v>0</v>
      </c>
      <c r="AB581" s="31">
        <v>0</v>
      </c>
      <c r="AC581" s="31">
        <v>0</v>
      </c>
      <c r="AD581" s="31">
        <v>0</v>
      </c>
      <c r="AE581" s="31">
        <v>0</v>
      </c>
      <c r="AF581" s="31">
        <v>0</v>
      </c>
      <c r="AG581" s="31">
        <v>0</v>
      </c>
      <c r="AH581" s="31">
        <v>0</v>
      </c>
    </row>
    <row r="582" spans="1:34" x14ac:dyDescent="0.25">
      <c r="A582" s="31">
        <v>13</v>
      </c>
      <c r="B582" s="31">
        <v>13880</v>
      </c>
      <c r="C582" s="31">
        <v>2</v>
      </c>
      <c r="D582" s="31" t="s">
        <v>859</v>
      </c>
      <c r="E582" s="31"/>
      <c r="F582" s="31">
        <v>0</v>
      </c>
      <c r="G582" s="31">
        <v>0</v>
      </c>
      <c r="H582" s="31">
        <v>0</v>
      </c>
      <c r="I582" s="31">
        <v>0</v>
      </c>
      <c r="J582" s="31">
        <v>0</v>
      </c>
      <c r="K582" s="31" t="s">
        <v>882</v>
      </c>
      <c r="L582" s="31">
        <v>0</v>
      </c>
      <c r="M582" s="31">
        <v>0</v>
      </c>
      <c r="N582" s="31">
        <v>0</v>
      </c>
      <c r="O582" s="31">
        <v>0</v>
      </c>
      <c r="P582" s="31">
        <v>0</v>
      </c>
      <c r="Q582" s="31">
        <v>0</v>
      </c>
      <c r="R582" s="31">
        <v>0</v>
      </c>
      <c r="S582" s="31">
        <v>0</v>
      </c>
      <c r="T582" s="31">
        <v>0</v>
      </c>
      <c r="U582" s="31">
        <v>0</v>
      </c>
      <c r="V582" s="31">
        <v>0</v>
      </c>
      <c r="W582" s="31">
        <v>0</v>
      </c>
      <c r="X582" s="31">
        <v>0</v>
      </c>
      <c r="Y582" s="31">
        <v>0</v>
      </c>
      <c r="Z582" s="31">
        <v>0</v>
      </c>
      <c r="AA582" s="31">
        <v>0</v>
      </c>
      <c r="AB582" s="31">
        <v>0</v>
      </c>
      <c r="AC582" s="31">
        <v>0</v>
      </c>
      <c r="AD582" s="31">
        <v>0</v>
      </c>
      <c r="AE582" s="31">
        <v>0</v>
      </c>
      <c r="AF582" s="31">
        <v>0</v>
      </c>
      <c r="AG582" s="31">
        <v>0</v>
      </c>
      <c r="AH582" s="31">
        <v>0</v>
      </c>
    </row>
    <row r="583" spans="1:34" x14ac:dyDescent="0.25">
      <c r="A583" s="31">
        <v>13</v>
      </c>
      <c r="B583" s="31">
        <v>13880</v>
      </c>
      <c r="C583" s="31">
        <v>2</v>
      </c>
      <c r="D583" s="31" t="s">
        <v>860</v>
      </c>
      <c r="E583" s="31"/>
      <c r="F583" s="31">
        <v>0</v>
      </c>
      <c r="G583" s="31">
        <v>0</v>
      </c>
      <c r="H583" s="31">
        <v>0</v>
      </c>
      <c r="I583" s="31">
        <v>0</v>
      </c>
      <c r="J583" s="31">
        <v>0</v>
      </c>
      <c r="K583" s="31" t="s">
        <v>882</v>
      </c>
      <c r="L583" s="31">
        <v>0</v>
      </c>
      <c r="M583" s="31">
        <v>0</v>
      </c>
      <c r="N583" s="31">
        <v>0</v>
      </c>
      <c r="O583" s="31">
        <v>0</v>
      </c>
      <c r="P583" s="31">
        <v>0</v>
      </c>
      <c r="Q583" s="31">
        <v>0</v>
      </c>
      <c r="R583" s="31">
        <v>0</v>
      </c>
      <c r="S583" s="31">
        <v>0</v>
      </c>
      <c r="T583" s="31">
        <v>0</v>
      </c>
      <c r="U583" s="31">
        <v>0</v>
      </c>
      <c r="V583" s="31">
        <v>0</v>
      </c>
      <c r="W583" s="31">
        <v>0</v>
      </c>
      <c r="X583" s="31">
        <v>0</v>
      </c>
      <c r="Y583" s="31">
        <v>0</v>
      </c>
      <c r="Z583" s="31">
        <v>0</v>
      </c>
      <c r="AA583" s="31">
        <v>0</v>
      </c>
      <c r="AB583" s="31">
        <v>0</v>
      </c>
      <c r="AC583" s="31">
        <v>0</v>
      </c>
      <c r="AD583" s="31">
        <v>0</v>
      </c>
      <c r="AE583" s="31">
        <v>0</v>
      </c>
      <c r="AF583" s="31">
        <v>0</v>
      </c>
      <c r="AG583" s="31">
        <v>0</v>
      </c>
      <c r="AH583" s="31">
        <v>0</v>
      </c>
    </row>
    <row r="584" spans="1:34" x14ac:dyDescent="0.25">
      <c r="A584" s="31">
        <v>14</v>
      </c>
      <c r="B584" s="31">
        <v>13880</v>
      </c>
      <c r="C584" s="31">
        <v>1</v>
      </c>
      <c r="D584" s="31" t="s">
        <v>861</v>
      </c>
      <c r="E584" s="31"/>
      <c r="F584" s="31">
        <v>0</v>
      </c>
      <c r="G584" s="31">
        <v>0</v>
      </c>
      <c r="H584" s="31">
        <v>0</v>
      </c>
      <c r="I584" s="31">
        <v>0</v>
      </c>
      <c r="J584" s="31">
        <v>0</v>
      </c>
      <c r="K584" s="31" t="s">
        <v>882</v>
      </c>
      <c r="L584" s="31">
        <v>0</v>
      </c>
      <c r="M584" s="31">
        <v>0</v>
      </c>
      <c r="N584" s="31">
        <v>0</v>
      </c>
      <c r="O584" s="31">
        <v>0</v>
      </c>
      <c r="P584" s="31">
        <v>0</v>
      </c>
      <c r="Q584" s="31">
        <v>0</v>
      </c>
      <c r="R584" s="31">
        <v>0</v>
      </c>
      <c r="S584" s="31">
        <v>0</v>
      </c>
      <c r="T584" s="31">
        <v>0</v>
      </c>
      <c r="U584" s="31">
        <v>0</v>
      </c>
      <c r="V584" s="31">
        <v>0</v>
      </c>
      <c r="W584" s="31">
        <v>0</v>
      </c>
      <c r="X584" s="31">
        <v>0</v>
      </c>
      <c r="Y584" s="31">
        <v>0</v>
      </c>
      <c r="Z584" s="31">
        <v>0</v>
      </c>
      <c r="AA584" s="31">
        <v>0</v>
      </c>
      <c r="AB584" s="31">
        <v>0</v>
      </c>
      <c r="AC584" s="31">
        <v>0</v>
      </c>
      <c r="AD584" s="31">
        <v>0</v>
      </c>
      <c r="AE584" s="31">
        <v>0</v>
      </c>
      <c r="AF584" s="31">
        <v>0</v>
      </c>
      <c r="AG584" s="31">
        <v>0</v>
      </c>
      <c r="AH584" s="31">
        <v>0</v>
      </c>
    </row>
    <row r="585" spans="1:34" x14ac:dyDescent="0.25">
      <c r="A585" s="31">
        <v>14</v>
      </c>
      <c r="B585" s="31">
        <v>13880</v>
      </c>
      <c r="C585" s="31">
        <v>1</v>
      </c>
      <c r="D585" s="31" t="s">
        <v>862</v>
      </c>
      <c r="E585" s="31"/>
      <c r="F585" s="31">
        <v>0</v>
      </c>
      <c r="G585" s="31">
        <v>0</v>
      </c>
      <c r="H585" s="31">
        <v>0</v>
      </c>
      <c r="I585" s="31">
        <v>0</v>
      </c>
      <c r="J585" s="31">
        <v>0</v>
      </c>
      <c r="K585" s="31" t="s">
        <v>882</v>
      </c>
      <c r="L585" s="31">
        <v>0</v>
      </c>
      <c r="M585" s="31">
        <v>0</v>
      </c>
      <c r="N585" s="31">
        <v>0</v>
      </c>
      <c r="O585" s="31">
        <v>0</v>
      </c>
      <c r="P585" s="31">
        <v>0</v>
      </c>
      <c r="Q585" s="31">
        <v>0</v>
      </c>
      <c r="R585" s="31">
        <v>0</v>
      </c>
      <c r="S585" s="31">
        <v>0</v>
      </c>
      <c r="T585" s="31">
        <v>0</v>
      </c>
      <c r="U585" s="31">
        <v>0</v>
      </c>
      <c r="V585" s="31">
        <v>0</v>
      </c>
      <c r="W585" s="31">
        <v>0</v>
      </c>
      <c r="X585" s="31">
        <v>0</v>
      </c>
      <c r="Y585" s="31">
        <v>0</v>
      </c>
      <c r="Z585" s="31">
        <v>0</v>
      </c>
      <c r="AA585" s="31">
        <v>0</v>
      </c>
      <c r="AB585" s="31">
        <v>0</v>
      </c>
      <c r="AC585" s="31">
        <v>0</v>
      </c>
      <c r="AD585" s="31">
        <v>0</v>
      </c>
      <c r="AE585" s="31">
        <v>0</v>
      </c>
      <c r="AF585" s="31">
        <v>0</v>
      </c>
      <c r="AG585" s="31">
        <v>0</v>
      </c>
      <c r="AH585" s="31">
        <v>0</v>
      </c>
    </row>
    <row r="586" spans="1:34" x14ac:dyDescent="0.25">
      <c r="A586" s="31">
        <v>14</v>
      </c>
      <c r="B586" s="31">
        <v>13880</v>
      </c>
      <c r="C586" s="31">
        <v>1</v>
      </c>
      <c r="D586" s="31" t="s">
        <v>863</v>
      </c>
      <c r="E586" s="31"/>
      <c r="F586" s="31">
        <v>0</v>
      </c>
      <c r="G586" s="31">
        <v>0</v>
      </c>
      <c r="H586" s="31">
        <v>0</v>
      </c>
      <c r="I586" s="31">
        <v>0</v>
      </c>
      <c r="J586" s="31">
        <v>0</v>
      </c>
      <c r="K586" s="31" t="s">
        <v>882</v>
      </c>
      <c r="L586" s="31">
        <v>0</v>
      </c>
      <c r="M586" s="31">
        <v>0</v>
      </c>
      <c r="N586" s="31">
        <v>0</v>
      </c>
      <c r="O586" s="31">
        <v>0</v>
      </c>
      <c r="P586" s="31">
        <v>0</v>
      </c>
      <c r="Q586" s="31">
        <v>0</v>
      </c>
      <c r="R586" s="31">
        <v>0</v>
      </c>
      <c r="S586" s="31">
        <v>0</v>
      </c>
      <c r="T586" s="31">
        <v>0</v>
      </c>
      <c r="U586" s="31">
        <v>0</v>
      </c>
      <c r="V586" s="31">
        <v>0</v>
      </c>
      <c r="W586" s="31">
        <v>0</v>
      </c>
      <c r="X586" s="31">
        <v>0</v>
      </c>
      <c r="Y586" s="31">
        <v>0</v>
      </c>
      <c r="Z586" s="31">
        <v>0</v>
      </c>
      <c r="AA586" s="31">
        <v>0</v>
      </c>
      <c r="AB586" s="31">
        <v>0</v>
      </c>
      <c r="AC586" s="31">
        <v>0</v>
      </c>
      <c r="AD586" s="31">
        <v>0</v>
      </c>
      <c r="AE586" s="31">
        <v>0</v>
      </c>
      <c r="AF586" s="31">
        <v>0</v>
      </c>
      <c r="AG586" s="31">
        <v>0</v>
      </c>
      <c r="AH586" s="31">
        <v>0</v>
      </c>
    </row>
    <row r="587" spans="1:34" x14ac:dyDescent="0.25">
      <c r="A587" s="31">
        <v>14</v>
      </c>
      <c r="B587" s="31">
        <v>13880</v>
      </c>
      <c r="C587" s="31">
        <v>1</v>
      </c>
      <c r="D587" s="31" t="s">
        <v>864</v>
      </c>
      <c r="E587" s="31"/>
      <c r="F587" s="31">
        <v>0</v>
      </c>
      <c r="G587" s="31">
        <v>0</v>
      </c>
      <c r="H587" s="31">
        <v>0</v>
      </c>
      <c r="I587" s="31">
        <v>0</v>
      </c>
      <c r="J587" s="31">
        <v>0</v>
      </c>
      <c r="K587" s="31" t="s">
        <v>882</v>
      </c>
      <c r="L587" s="31">
        <v>0</v>
      </c>
      <c r="M587" s="31">
        <v>0</v>
      </c>
      <c r="N587" s="31">
        <v>0</v>
      </c>
      <c r="O587" s="31">
        <v>0</v>
      </c>
      <c r="P587" s="31">
        <v>0</v>
      </c>
      <c r="Q587" s="31">
        <v>0</v>
      </c>
      <c r="R587" s="31">
        <v>0</v>
      </c>
      <c r="S587" s="31">
        <v>0</v>
      </c>
      <c r="T587" s="31">
        <v>0</v>
      </c>
      <c r="U587" s="31">
        <v>0</v>
      </c>
      <c r="V587" s="31">
        <v>0</v>
      </c>
      <c r="W587" s="31">
        <v>0</v>
      </c>
      <c r="X587" s="31">
        <v>0</v>
      </c>
      <c r="Y587" s="31">
        <v>0</v>
      </c>
      <c r="Z587" s="31">
        <v>0</v>
      </c>
      <c r="AA587" s="31">
        <v>0</v>
      </c>
      <c r="AB587" s="31">
        <v>0</v>
      </c>
      <c r="AC587" s="31">
        <v>0</v>
      </c>
      <c r="AD587" s="31">
        <v>0</v>
      </c>
      <c r="AE587" s="31">
        <v>0</v>
      </c>
      <c r="AF587" s="31">
        <v>0</v>
      </c>
      <c r="AG587" s="31">
        <v>0</v>
      </c>
      <c r="AH587" s="31">
        <v>0</v>
      </c>
    </row>
    <row r="588" spans="1:34" x14ac:dyDescent="0.25">
      <c r="A588" s="31">
        <v>14</v>
      </c>
      <c r="B588" s="31">
        <v>13880</v>
      </c>
      <c r="C588" s="31">
        <v>1</v>
      </c>
      <c r="D588" s="31" t="s">
        <v>865</v>
      </c>
      <c r="E588" s="31"/>
      <c r="F588" s="31">
        <v>0</v>
      </c>
      <c r="G588" s="31">
        <v>0</v>
      </c>
      <c r="H588" s="31">
        <v>0</v>
      </c>
      <c r="I588" s="31">
        <v>0</v>
      </c>
      <c r="J588" s="31">
        <v>0</v>
      </c>
      <c r="K588" s="31" t="s">
        <v>882</v>
      </c>
      <c r="L588" s="31">
        <v>0</v>
      </c>
      <c r="M588" s="31">
        <v>0</v>
      </c>
      <c r="N588" s="31">
        <v>0</v>
      </c>
      <c r="O588" s="31">
        <v>0</v>
      </c>
      <c r="P588" s="31">
        <v>0</v>
      </c>
      <c r="Q588" s="31">
        <v>0</v>
      </c>
      <c r="R588" s="31">
        <v>0</v>
      </c>
      <c r="S588" s="31">
        <v>0</v>
      </c>
      <c r="T588" s="31">
        <v>0</v>
      </c>
      <c r="U588" s="31">
        <v>0</v>
      </c>
      <c r="V588" s="31">
        <v>0</v>
      </c>
      <c r="W588" s="31">
        <v>0</v>
      </c>
      <c r="X588" s="31">
        <v>0</v>
      </c>
      <c r="Y588" s="31">
        <v>0</v>
      </c>
      <c r="Z588" s="31">
        <v>0</v>
      </c>
      <c r="AA588" s="31">
        <v>0</v>
      </c>
      <c r="AB588" s="31">
        <v>0</v>
      </c>
      <c r="AC588" s="31">
        <v>0</v>
      </c>
      <c r="AD588" s="31">
        <v>0</v>
      </c>
      <c r="AE588" s="31">
        <v>0</v>
      </c>
      <c r="AF588" s="31">
        <v>0</v>
      </c>
      <c r="AG588" s="31">
        <v>0</v>
      </c>
      <c r="AH588" s="31">
        <v>0</v>
      </c>
    </row>
    <row r="589" spans="1:34" x14ac:dyDescent="0.25">
      <c r="A589" s="31">
        <v>14</v>
      </c>
      <c r="B589" s="31">
        <v>13880</v>
      </c>
      <c r="C589" s="31">
        <v>1</v>
      </c>
      <c r="D589" s="31" t="s">
        <v>866</v>
      </c>
      <c r="E589" s="31"/>
      <c r="F589" s="31">
        <v>0</v>
      </c>
      <c r="G589" s="31">
        <v>0</v>
      </c>
      <c r="H589" s="31">
        <v>0</v>
      </c>
      <c r="I589" s="31">
        <v>0</v>
      </c>
      <c r="J589" s="31">
        <v>0</v>
      </c>
      <c r="K589" s="31" t="s">
        <v>882</v>
      </c>
      <c r="L589" s="31">
        <v>0</v>
      </c>
      <c r="M589" s="31">
        <v>0</v>
      </c>
      <c r="N589" s="31">
        <v>0</v>
      </c>
      <c r="O589" s="31">
        <v>0</v>
      </c>
      <c r="P589" s="31">
        <v>0</v>
      </c>
      <c r="Q589" s="31">
        <v>0</v>
      </c>
      <c r="R589" s="31">
        <v>0</v>
      </c>
      <c r="S589" s="31">
        <v>0</v>
      </c>
      <c r="T589" s="31">
        <v>0</v>
      </c>
      <c r="U589" s="31">
        <v>0</v>
      </c>
      <c r="V589" s="31">
        <v>0</v>
      </c>
      <c r="W589" s="31">
        <v>0</v>
      </c>
      <c r="X589" s="31">
        <v>0</v>
      </c>
      <c r="Y589" s="31">
        <v>0</v>
      </c>
      <c r="Z589" s="31">
        <v>0</v>
      </c>
      <c r="AA589" s="31">
        <v>0</v>
      </c>
      <c r="AB589" s="31">
        <v>0</v>
      </c>
      <c r="AC589" s="31">
        <v>0</v>
      </c>
      <c r="AD589" s="31">
        <v>0</v>
      </c>
      <c r="AE589" s="31">
        <v>0</v>
      </c>
      <c r="AF589" s="31">
        <v>0</v>
      </c>
      <c r="AG589" s="31">
        <v>0</v>
      </c>
      <c r="AH589" s="31">
        <v>0</v>
      </c>
    </row>
    <row r="590" spans="1:34" x14ac:dyDescent="0.25">
      <c r="A590" s="31">
        <v>14</v>
      </c>
      <c r="B590" s="31">
        <v>13880</v>
      </c>
      <c r="C590" s="31">
        <v>1</v>
      </c>
      <c r="D590" s="31" t="s">
        <v>867</v>
      </c>
      <c r="E590" s="31"/>
      <c r="F590" s="31">
        <v>0</v>
      </c>
      <c r="G590" s="31">
        <v>0</v>
      </c>
      <c r="H590" s="31">
        <v>0</v>
      </c>
      <c r="I590" s="31">
        <v>0</v>
      </c>
      <c r="J590" s="31">
        <v>0</v>
      </c>
      <c r="K590" s="31" t="s">
        <v>882</v>
      </c>
      <c r="L590" s="31">
        <v>0</v>
      </c>
      <c r="M590" s="31">
        <v>0</v>
      </c>
      <c r="N590" s="31">
        <v>0</v>
      </c>
      <c r="O590" s="31">
        <v>0</v>
      </c>
      <c r="P590" s="31">
        <v>0</v>
      </c>
      <c r="Q590" s="31">
        <v>0</v>
      </c>
      <c r="R590" s="31">
        <v>0</v>
      </c>
      <c r="S590" s="31">
        <v>0</v>
      </c>
      <c r="T590" s="31">
        <v>0</v>
      </c>
      <c r="U590" s="31">
        <v>0</v>
      </c>
      <c r="V590" s="31">
        <v>0</v>
      </c>
      <c r="W590" s="31">
        <v>0</v>
      </c>
      <c r="X590" s="31">
        <v>0</v>
      </c>
      <c r="Y590" s="31">
        <v>0</v>
      </c>
      <c r="Z590" s="31">
        <v>0</v>
      </c>
      <c r="AA590" s="31">
        <v>0</v>
      </c>
      <c r="AB590" s="31">
        <v>0</v>
      </c>
      <c r="AC590" s="31">
        <v>0</v>
      </c>
      <c r="AD590" s="31">
        <v>0</v>
      </c>
      <c r="AE590" s="31">
        <v>0</v>
      </c>
      <c r="AF590" s="31">
        <v>0</v>
      </c>
      <c r="AG590" s="31">
        <v>0</v>
      </c>
      <c r="AH590" s="31">
        <v>0</v>
      </c>
    </row>
    <row r="591" spans="1:34" x14ac:dyDescent="0.25">
      <c r="A591" s="31">
        <v>14</v>
      </c>
      <c r="B591" s="31">
        <v>13880</v>
      </c>
      <c r="C591" s="31">
        <v>1</v>
      </c>
      <c r="D591" s="31" t="s">
        <v>868</v>
      </c>
      <c r="E591" s="31"/>
      <c r="F591" s="31">
        <v>0</v>
      </c>
      <c r="G591" s="31">
        <v>0</v>
      </c>
      <c r="H591" s="31">
        <v>0</v>
      </c>
      <c r="I591" s="31">
        <v>0</v>
      </c>
      <c r="J591" s="31">
        <v>0</v>
      </c>
      <c r="K591" s="31" t="s">
        <v>882</v>
      </c>
      <c r="L591" s="31">
        <v>0</v>
      </c>
      <c r="M591" s="31">
        <v>0</v>
      </c>
      <c r="N591" s="31">
        <v>0</v>
      </c>
      <c r="O591" s="31">
        <v>0</v>
      </c>
      <c r="P591" s="31">
        <v>0</v>
      </c>
      <c r="Q591" s="31">
        <v>0</v>
      </c>
      <c r="R591" s="31">
        <v>0</v>
      </c>
      <c r="S591" s="31">
        <v>0</v>
      </c>
      <c r="T591" s="31">
        <v>0</v>
      </c>
      <c r="U591" s="31">
        <v>0</v>
      </c>
      <c r="V591" s="31">
        <v>0</v>
      </c>
      <c r="W591" s="31">
        <v>0</v>
      </c>
      <c r="X591" s="31">
        <v>0</v>
      </c>
      <c r="Y591" s="31">
        <v>0</v>
      </c>
      <c r="Z591" s="31">
        <v>0</v>
      </c>
      <c r="AA591" s="31">
        <v>0</v>
      </c>
      <c r="AB591" s="31">
        <v>0</v>
      </c>
      <c r="AC591" s="31">
        <v>0</v>
      </c>
      <c r="AD591" s="31">
        <v>0</v>
      </c>
      <c r="AE591" s="31">
        <v>0</v>
      </c>
      <c r="AF591" s="31">
        <v>0</v>
      </c>
      <c r="AG591" s="31">
        <v>0</v>
      </c>
      <c r="AH591" s="31">
        <v>0</v>
      </c>
    </row>
    <row r="592" spans="1:34" x14ac:dyDescent="0.25">
      <c r="A592" s="31">
        <v>14</v>
      </c>
      <c r="B592" s="31">
        <v>13880</v>
      </c>
      <c r="C592" s="31">
        <v>1</v>
      </c>
      <c r="D592" s="31" t="s">
        <v>869</v>
      </c>
      <c r="E592" s="31"/>
      <c r="F592" s="31">
        <v>0</v>
      </c>
      <c r="G592" s="31">
        <v>0</v>
      </c>
      <c r="H592" s="31">
        <v>0</v>
      </c>
      <c r="I592" s="31">
        <v>0</v>
      </c>
      <c r="J592" s="31">
        <v>0</v>
      </c>
      <c r="K592" s="31" t="s">
        <v>882</v>
      </c>
      <c r="L592" s="31">
        <v>0</v>
      </c>
      <c r="M592" s="31">
        <v>0</v>
      </c>
      <c r="N592" s="31">
        <v>0</v>
      </c>
      <c r="O592" s="31">
        <v>0</v>
      </c>
      <c r="P592" s="31">
        <v>0</v>
      </c>
      <c r="Q592" s="31">
        <v>0</v>
      </c>
      <c r="R592" s="31">
        <v>0</v>
      </c>
      <c r="S592" s="31">
        <v>0</v>
      </c>
      <c r="T592" s="31">
        <v>0</v>
      </c>
      <c r="U592" s="31">
        <v>0</v>
      </c>
      <c r="V592" s="31">
        <v>0</v>
      </c>
      <c r="W592" s="31">
        <v>0</v>
      </c>
      <c r="X592" s="31">
        <v>0</v>
      </c>
      <c r="Y592" s="31">
        <v>0</v>
      </c>
      <c r="Z592" s="31">
        <v>0</v>
      </c>
      <c r="AA592" s="31">
        <v>0</v>
      </c>
      <c r="AB592" s="31">
        <v>0</v>
      </c>
      <c r="AC592" s="31">
        <v>0</v>
      </c>
      <c r="AD592" s="31">
        <v>0</v>
      </c>
      <c r="AE592" s="31">
        <v>0</v>
      </c>
      <c r="AF592" s="31">
        <v>0</v>
      </c>
      <c r="AG592" s="31">
        <v>0</v>
      </c>
      <c r="AH592" s="31">
        <v>0</v>
      </c>
    </row>
    <row r="593" spans="1:34" x14ac:dyDescent="0.25">
      <c r="A593" s="31">
        <v>14</v>
      </c>
      <c r="B593" s="31">
        <v>13880</v>
      </c>
      <c r="C593" s="31">
        <v>1</v>
      </c>
      <c r="D593" s="31" t="s">
        <v>870</v>
      </c>
      <c r="E593" s="31"/>
      <c r="F593" s="31">
        <v>0</v>
      </c>
      <c r="G593" s="31">
        <v>0</v>
      </c>
      <c r="H593" s="31">
        <v>0</v>
      </c>
      <c r="I593" s="31">
        <v>0</v>
      </c>
      <c r="J593" s="31">
        <v>0</v>
      </c>
      <c r="K593" s="31" t="s">
        <v>882</v>
      </c>
      <c r="L593" s="31">
        <v>0</v>
      </c>
      <c r="M593" s="31">
        <v>0</v>
      </c>
      <c r="N593" s="31">
        <v>0</v>
      </c>
      <c r="O593" s="31">
        <v>0</v>
      </c>
      <c r="P593" s="31">
        <v>0</v>
      </c>
      <c r="Q593" s="31">
        <v>0</v>
      </c>
      <c r="R593" s="31">
        <v>0</v>
      </c>
      <c r="S593" s="31">
        <v>0</v>
      </c>
      <c r="T593" s="31">
        <v>0</v>
      </c>
      <c r="U593" s="31">
        <v>0</v>
      </c>
      <c r="V593" s="31">
        <v>0</v>
      </c>
      <c r="W593" s="31">
        <v>0</v>
      </c>
      <c r="X593" s="31">
        <v>0</v>
      </c>
      <c r="Y593" s="31">
        <v>0</v>
      </c>
      <c r="Z593" s="31">
        <v>0</v>
      </c>
      <c r="AA593" s="31">
        <v>0</v>
      </c>
      <c r="AB593" s="31">
        <v>0</v>
      </c>
      <c r="AC593" s="31">
        <v>0</v>
      </c>
      <c r="AD593" s="31">
        <v>0</v>
      </c>
      <c r="AE593" s="31">
        <v>0</v>
      </c>
      <c r="AF593" s="31">
        <v>0</v>
      </c>
      <c r="AG593" s="31">
        <v>0</v>
      </c>
      <c r="AH593" s="31">
        <v>0</v>
      </c>
    </row>
    <row r="594" spans="1:34" x14ac:dyDescent="0.25">
      <c r="A594" s="31">
        <v>14</v>
      </c>
      <c r="B594" s="31">
        <v>13880</v>
      </c>
      <c r="C594" s="31">
        <v>2</v>
      </c>
      <c r="D594" s="31" t="s">
        <v>861</v>
      </c>
      <c r="E594" s="31"/>
      <c r="F594" s="31">
        <v>0</v>
      </c>
      <c r="G594" s="31">
        <v>0</v>
      </c>
      <c r="H594" s="31">
        <v>0</v>
      </c>
      <c r="I594" s="31">
        <v>0</v>
      </c>
      <c r="J594" s="31">
        <v>0</v>
      </c>
      <c r="K594" s="31" t="s">
        <v>882</v>
      </c>
      <c r="L594" s="31">
        <v>0</v>
      </c>
      <c r="M594" s="31">
        <v>0</v>
      </c>
      <c r="N594" s="31">
        <v>0</v>
      </c>
      <c r="O594" s="31">
        <v>0</v>
      </c>
      <c r="P594" s="31">
        <v>0</v>
      </c>
      <c r="Q594" s="31">
        <v>0</v>
      </c>
      <c r="R594" s="31">
        <v>0</v>
      </c>
      <c r="S594" s="31">
        <v>0</v>
      </c>
      <c r="T594" s="31">
        <v>0</v>
      </c>
      <c r="U594" s="31">
        <v>0</v>
      </c>
      <c r="V594" s="31">
        <v>0</v>
      </c>
      <c r="W594" s="31">
        <v>0</v>
      </c>
      <c r="X594" s="31">
        <v>0</v>
      </c>
      <c r="Y594" s="31">
        <v>0</v>
      </c>
      <c r="Z594" s="31">
        <v>0</v>
      </c>
      <c r="AA594" s="31">
        <v>0</v>
      </c>
      <c r="AB594" s="31">
        <v>0</v>
      </c>
      <c r="AC594" s="31">
        <v>0</v>
      </c>
      <c r="AD594" s="31">
        <v>0</v>
      </c>
      <c r="AE594" s="31">
        <v>0</v>
      </c>
      <c r="AF594" s="31">
        <v>0</v>
      </c>
      <c r="AG594" s="31">
        <v>0</v>
      </c>
      <c r="AH594" s="31">
        <v>0</v>
      </c>
    </row>
    <row r="595" spans="1:34" x14ac:dyDescent="0.25">
      <c r="A595" s="31">
        <v>14</v>
      </c>
      <c r="B595" s="31">
        <v>13880</v>
      </c>
      <c r="C595" s="31">
        <v>2</v>
      </c>
      <c r="D595" s="31" t="s">
        <v>862</v>
      </c>
      <c r="E595" s="31"/>
      <c r="F595" s="31">
        <v>0</v>
      </c>
      <c r="G595" s="31">
        <v>0</v>
      </c>
      <c r="H595" s="31">
        <v>0</v>
      </c>
      <c r="I595" s="31">
        <v>0</v>
      </c>
      <c r="J595" s="31">
        <v>0</v>
      </c>
      <c r="K595" s="31" t="s">
        <v>882</v>
      </c>
      <c r="L595" s="31">
        <v>0</v>
      </c>
      <c r="M595" s="31">
        <v>0</v>
      </c>
      <c r="N595" s="31">
        <v>0</v>
      </c>
      <c r="O595" s="31">
        <v>0</v>
      </c>
      <c r="P595" s="31">
        <v>0</v>
      </c>
      <c r="Q595" s="31">
        <v>0</v>
      </c>
      <c r="R595" s="31">
        <v>0</v>
      </c>
      <c r="S595" s="31">
        <v>0</v>
      </c>
      <c r="T595" s="31">
        <v>0</v>
      </c>
      <c r="U595" s="31">
        <v>0</v>
      </c>
      <c r="V595" s="31">
        <v>0</v>
      </c>
      <c r="W595" s="31">
        <v>0</v>
      </c>
      <c r="X595" s="31">
        <v>0</v>
      </c>
      <c r="Y595" s="31">
        <v>0</v>
      </c>
      <c r="Z595" s="31">
        <v>0</v>
      </c>
      <c r="AA595" s="31">
        <v>0</v>
      </c>
      <c r="AB595" s="31">
        <v>0</v>
      </c>
      <c r="AC595" s="31">
        <v>0</v>
      </c>
      <c r="AD595" s="31">
        <v>0</v>
      </c>
      <c r="AE595" s="31">
        <v>0</v>
      </c>
      <c r="AF595" s="31">
        <v>0</v>
      </c>
      <c r="AG595" s="31">
        <v>0</v>
      </c>
      <c r="AH595" s="31">
        <v>0</v>
      </c>
    </row>
    <row r="596" spans="1:34" x14ac:dyDescent="0.25">
      <c r="A596" s="31">
        <v>14</v>
      </c>
      <c r="B596" s="31">
        <v>13880</v>
      </c>
      <c r="C596" s="31">
        <v>2</v>
      </c>
      <c r="D596" s="31" t="s">
        <v>863</v>
      </c>
      <c r="E596" s="31"/>
      <c r="F596" s="31">
        <v>0</v>
      </c>
      <c r="G596" s="31">
        <v>0</v>
      </c>
      <c r="H596" s="31">
        <v>0</v>
      </c>
      <c r="I596" s="31">
        <v>0</v>
      </c>
      <c r="J596" s="31">
        <v>0</v>
      </c>
      <c r="K596" s="31" t="s">
        <v>882</v>
      </c>
      <c r="L596" s="31">
        <v>0</v>
      </c>
      <c r="M596" s="31">
        <v>0</v>
      </c>
      <c r="N596" s="31">
        <v>0</v>
      </c>
      <c r="O596" s="31">
        <v>0</v>
      </c>
      <c r="P596" s="31">
        <v>0</v>
      </c>
      <c r="Q596" s="31">
        <v>0</v>
      </c>
      <c r="R596" s="31">
        <v>0</v>
      </c>
      <c r="S596" s="31">
        <v>0</v>
      </c>
      <c r="T596" s="31">
        <v>0</v>
      </c>
      <c r="U596" s="31">
        <v>0</v>
      </c>
      <c r="V596" s="31">
        <v>0</v>
      </c>
      <c r="W596" s="31">
        <v>0</v>
      </c>
      <c r="X596" s="31">
        <v>0</v>
      </c>
      <c r="Y596" s="31">
        <v>0</v>
      </c>
      <c r="Z596" s="31">
        <v>0</v>
      </c>
      <c r="AA596" s="31">
        <v>0</v>
      </c>
      <c r="AB596" s="31">
        <v>0</v>
      </c>
      <c r="AC596" s="31">
        <v>0</v>
      </c>
      <c r="AD596" s="31">
        <v>0</v>
      </c>
      <c r="AE596" s="31">
        <v>0</v>
      </c>
      <c r="AF596" s="31">
        <v>0</v>
      </c>
      <c r="AG596" s="31">
        <v>0</v>
      </c>
      <c r="AH596" s="31">
        <v>0</v>
      </c>
    </row>
    <row r="597" spans="1:34" x14ac:dyDescent="0.25">
      <c r="A597" s="31">
        <v>14</v>
      </c>
      <c r="B597" s="31">
        <v>13880</v>
      </c>
      <c r="C597" s="31">
        <v>2</v>
      </c>
      <c r="D597" s="31" t="s">
        <v>864</v>
      </c>
      <c r="E597" s="31"/>
      <c r="F597" s="31">
        <v>0</v>
      </c>
      <c r="G597" s="31">
        <v>0</v>
      </c>
      <c r="H597" s="31">
        <v>0</v>
      </c>
      <c r="I597" s="31">
        <v>0</v>
      </c>
      <c r="J597" s="31">
        <v>0</v>
      </c>
      <c r="K597" s="31" t="s">
        <v>882</v>
      </c>
      <c r="L597" s="31">
        <v>0</v>
      </c>
      <c r="M597" s="31">
        <v>0</v>
      </c>
      <c r="N597" s="31">
        <v>0</v>
      </c>
      <c r="O597" s="31">
        <v>0</v>
      </c>
      <c r="P597" s="31">
        <v>0</v>
      </c>
      <c r="Q597" s="31">
        <v>0</v>
      </c>
      <c r="R597" s="31">
        <v>0</v>
      </c>
      <c r="S597" s="31">
        <v>0</v>
      </c>
      <c r="T597" s="31">
        <v>0</v>
      </c>
      <c r="U597" s="31">
        <v>0</v>
      </c>
      <c r="V597" s="31">
        <v>0</v>
      </c>
      <c r="W597" s="31">
        <v>0</v>
      </c>
      <c r="X597" s="31">
        <v>0</v>
      </c>
      <c r="Y597" s="31">
        <v>0</v>
      </c>
      <c r="Z597" s="31">
        <v>0</v>
      </c>
      <c r="AA597" s="31">
        <v>0</v>
      </c>
      <c r="AB597" s="31">
        <v>0</v>
      </c>
      <c r="AC597" s="31">
        <v>0</v>
      </c>
      <c r="AD597" s="31">
        <v>0</v>
      </c>
      <c r="AE597" s="31">
        <v>0</v>
      </c>
      <c r="AF597" s="31">
        <v>0</v>
      </c>
      <c r="AG597" s="31">
        <v>0</v>
      </c>
      <c r="AH597" s="31">
        <v>0</v>
      </c>
    </row>
    <row r="598" spans="1:34" x14ac:dyDescent="0.25">
      <c r="A598" s="31">
        <v>14</v>
      </c>
      <c r="B598" s="31">
        <v>13880</v>
      </c>
      <c r="C598" s="31">
        <v>2</v>
      </c>
      <c r="D598" s="31" t="s">
        <v>865</v>
      </c>
      <c r="E598" s="31"/>
      <c r="F598" s="31">
        <v>0</v>
      </c>
      <c r="G598" s="31">
        <v>0</v>
      </c>
      <c r="H598" s="31">
        <v>0</v>
      </c>
      <c r="I598" s="31">
        <v>0</v>
      </c>
      <c r="J598" s="31">
        <v>0</v>
      </c>
      <c r="K598" s="31" t="s">
        <v>882</v>
      </c>
      <c r="L598" s="31">
        <v>0</v>
      </c>
      <c r="M598" s="31">
        <v>0</v>
      </c>
      <c r="N598" s="31">
        <v>0</v>
      </c>
      <c r="O598" s="31">
        <v>0</v>
      </c>
      <c r="P598" s="31">
        <v>0</v>
      </c>
      <c r="Q598" s="31">
        <v>0</v>
      </c>
      <c r="R598" s="31">
        <v>0</v>
      </c>
      <c r="S598" s="31">
        <v>0</v>
      </c>
      <c r="T598" s="31">
        <v>0</v>
      </c>
      <c r="U598" s="31">
        <v>0</v>
      </c>
      <c r="V598" s="31">
        <v>0</v>
      </c>
      <c r="W598" s="31">
        <v>0</v>
      </c>
      <c r="X598" s="31">
        <v>0</v>
      </c>
      <c r="Y598" s="31">
        <v>0</v>
      </c>
      <c r="Z598" s="31">
        <v>0</v>
      </c>
      <c r="AA598" s="31">
        <v>0</v>
      </c>
      <c r="AB598" s="31">
        <v>0</v>
      </c>
      <c r="AC598" s="31">
        <v>0</v>
      </c>
      <c r="AD598" s="31">
        <v>0</v>
      </c>
      <c r="AE598" s="31">
        <v>0</v>
      </c>
      <c r="AF598" s="31">
        <v>0</v>
      </c>
      <c r="AG598" s="31">
        <v>0</v>
      </c>
      <c r="AH598" s="31">
        <v>0</v>
      </c>
    </row>
    <row r="599" spans="1:34" x14ac:dyDescent="0.25">
      <c r="A599" s="31">
        <v>14</v>
      </c>
      <c r="B599" s="31">
        <v>13880</v>
      </c>
      <c r="C599" s="31">
        <v>2</v>
      </c>
      <c r="D599" s="31" t="s">
        <v>866</v>
      </c>
      <c r="E599" s="31"/>
      <c r="F599" s="31">
        <v>0</v>
      </c>
      <c r="G599" s="31">
        <v>0</v>
      </c>
      <c r="H599" s="31">
        <v>0</v>
      </c>
      <c r="I599" s="31">
        <v>0</v>
      </c>
      <c r="J599" s="31">
        <v>0</v>
      </c>
      <c r="K599" s="31" t="s">
        <v>882</v>
      </c>
      <c r="L599" s="31">
        <v>0</v>
      </c>
      <c r="M599" s="31">
        <v>0</v>
      </c>
      <c r="N599" s="31">
        <v>0</v>
      </c>
      <c r="O599" s="31">
        <v>0</v>
      </c>
      <c r="P599" s="31">
        <v>0</v>
      </c>
      <c r="Q599" s="31">
        <v>0</v>
      </c>
      <c r="R599" s="31">
        <v>0</v>
      </c>
      <c r="S599" s="31">
        <v>0</v>
      </c>
      <c r="T599" s="31">
        <v>0</v>
      </c>
      <c r="U599" s="31">
        <v>0</v>
      </c>
      <c r="V599" s="31">
        <v>0</v>
      </c>
      <c r="W599" s="31">
        <v>0</v>
      </c>
      <c r="X599" s="31">
        <v>0</v>
      </c>
      <c r="Y599" s="31">
        <v>0</v>
      </c>
      <c r="Z599" s="31">
        <v>0</v>
      </c>
      <c r="AA599" s="31">
        <v>0</v>
      </c>
      <c r="AB599" s="31">
        <v>0</v>
      </c>
      <c r="AC599" s="31">
        <v>0</v>
      </c>
      <c r="AD599" s="31">
        <v>0</v>
      </c>
      <c r="AE599" s="31">
        <v>0</v>
      </c>
      <c r="AF599" s="31">
        <v>0</v>
      </c>
      <c r="AG599" s="31">
        <v>0</v>
      </c>
      <c r="AH599" s="31">
        <v>0</v>
      </c>
    </row>
    <row r="600" spans="1:34" x14ac:dyDescent="0.25">
      <c r="A600" s="31">
        <v>14</v>
      </c>
      <c r="B600" s="31">
        <v>13880</v>
      </c>
      <c r="C600" s="31">
        <v>2</v>
      </c>
      <c r="D600" s="31" t="s">
        <v>867</v>
      </c>
      <c r="E600" s="31"/>
      <c r="F600" s="31">
        <v>0</v>
      </c>
      <c r="G600" s="31">
        <v>0</v>
      </c>
      <c r="H600" s="31">
        <v>0</v>
      </c>
      <c r="I600" s="31">
        <v>0</v>
      </c>
      <c r="J600" s="31">
        <v>0</v>
      </c>
      <c r="K600" s="31" t="s">
        <v>882</v>
      </c>
      <c r="L600" s="31">
        <v>0</v>
      </c>
      <c r="M600" s="31">
        <v>0</v>
      </c>
      <c r="N600" s="31">
        <v>0</v>
      </c>
      <c r="O600" s="31">
        <v>0</v>
      </c>
      <c r="P600" s="31">
        <v>0</v>
      </c>
      <c r="Q600" s="31">
        <v>0</v>
      </c>
      <c r="R600" s="31">
        <v>0</v>
      </c>
      <c r="S600" s="31">
        <v>0</v>
      </c>
      <c r="T600" s="31">
        <v>0</v>
      </c>
      <c r="U600" s="31">
        <v>0</v>
      </c>
      <c r="V600" s="31">
        <v>0</v>
      </c>
      <c r="W600" s="31">
        <v>0</v>
      </c>
      <c r="X600" s="31">
        <v>0</v>
      </c>
      <c r="Y600" s="31">
        <v>0</v>
      </c>
      <c r="Z600" s="31">
        <v>0</v>
      </c>
      <c r="AA600" s="31">
        <v>0</v>
      </c>
      <c r="AB600" s="31">
        <v>0</v>
      </c>
      <c r="AC600" s="31">
        <v>0</v>
      </c>
      <c r="AD600" s="31">
        <v>0</v>
      </c>
      <c r="AE600" s="31">
        <v>0</v>
      </c>
      <c r="AF600" s="31">
        <v>0</v>
      </c>
      <c r="AG600" s="31">
        <v>0</v>
      </c>
      <c r="AH600" s="31">
        <v>0</v>
      </c>
    </row>
    <row r="601" spans="1:34" x14ac:dyDescent="0.25">
      <c r="A601" s="31">
        <v>14</v>
      </c>
      <c r="B601" s="31">
        <v>13880</v>
      </c>
      <c r="C601" s="31">
        <v>2</v>
      </c>
      <c r="D601" s="31" t="s">
        <v>868</v>
      </c>
      <c r="E601" s="31"/>
      <c r="F601" s="31">
        <v>0</v>
      </c>
      <c r="G601" s="31">
        <v>0</v>
      </c>
      <c r="H601" s="31">
        <v>0</v>
      </c>
      <c r="I601" s="31">
        <v>0</v>
      </c>
      <c r="J601" s="31">
        <v>0</v>
      </c>
      <c r="K601" s="31" t="s">
        <v>882</v>
      </c>
      <c r="L601" s="31">
        <v>0</v>
      </c>
      <c r="M601" s="31">
        <v>0</v>
      </c>
      <c r="N601" s="31">
        <v>0</v>
      </c>
      <c r="O601" s="31">
        <v>0</v>
      </c>
      <c r="P601" s="31">
        <v>0</v>
      </c>
      <c r="Q601" s="31">
        <v>0</v>
      </c>
      <c r="R601" s="31">
        <v>0</v>
      </c>
      <c r="S601" s="31">
        <v>0</v>
      </c>
      <c r="T601" s="31">
        <v>0</v>
      </c>
      <c r="U601" s="31">
        <v>0</v>
      </c>
      <c r="V601" s="31">
        <v>0</v>
      </c>
      <c r="W601" s="31">
        <v>0</v>
      </c>
      <c r="X601" s="31">
        <v>0</v>
      </c>
      <c r="Y601" s="31">
        <v>0</v>
      </c>
      <c r="Z601" s="31">
        <v>0</v>
      </c>
      <c r="AA601" s="31">
        <v>0</v>
      </c>
      <c r="AB601" s="31">
        <v>0</v>
      </c>
      <c r="AC601" s="31">
        <v>0</v>
      </c>
      <c r="AD601" s="31">
        <v>0</v>
      </c>
      <c r="AE601" s="31">
        <v>0</v>
      </c>
      <c r="AF601" s="31">
        <v>0</v>
      </c>
      <c r="AG601" s="31">
        <v>0</v>
      </c>
      <c r="AH601" s="31">
        <v>0</v>
      </c>
    </row>
    <row r="602" spans="1:34" x14ac:dyDescent="0.25">
      <c r="A602" s="31">
        <v>14</v>
      </c>
      <c r="B602" s="31">
        <v>13880</v>
      </c>
      <c r="C602" s="31">
        <v>2</v>
      </c>
      <c r="D602" s="31" t="s">
        <v>869</v>
      </c>
      <c r="E602" s="31"/>
      <c r="F602" s="31">
        <v>0</v>
      </c>
      <c r="G602" s="31">
        <v>0</v>
      </c>
      <c r="H602" s="31">
        <v>0</v>
      </c>
      <c r="I602" s="31">
        <v>0</v>
      </c>
      <c r="J602" s="31">
        <v>0</v>
      </c>
      <c r="K602" s="31" t="s">
        <v>882</v>
      </c>
      <c r="L602" s="31">
        <v>0</v>
      </c>
      <c r="M602" s="31">
        <v>0</v>
      </c>
      <c r="N602" s="31">
        <v>0</v>
      </c>
      <c r="O602" s="31">
        <v>0</v>
      </c>
      <c r="P602" s="31">
        <v>0</v>
      </c>
      <c r="Q602" s="31">
        <v>0</v>
      </c>
      <c r="R602" s="31">
        <v>0</v>
      </c>
      <c r="S602" s="31">
        <v>0</v>
      </c>
      <c r="T602" s="31">
        <v>0</v>
      </c>
      <c r="U602" s="31">
        <v>0</v>
      </c>
      <c r="V602" s="31">
        <v>0</v>
      </c>
      <c r="W602" s="31">
        <v>0</v>
      </c>
      <c r="X602" s="31">
        <v>0</v>
      </c>
      <c r="Y602" s="31">
        <v>0</v>
      </c>
      <c r="Z602" s="31">
        <v>0</v>
      </c>
      <c r="AA602" s="31">
        <v>0</v>
      </c>
      <c r="AB602" s="31">
        <v>0</v>
      </c>
      <c r="AC602" s="31">
        <v>0</v>
      </c>
      <c r="AD602" s="31">
        <v>0</v>
      </c>
      <c r="AE602" s="31">
        <v>0</v>
      </c>
      <c r="AF602" s="31">
        <v>0</v>
      </c>
      <c r="AG602" s="31">
        <v>0</v>
      </c>
      <c r="AH602" s="31">
        <v>0</v>
      </c>
    </row>
    <row r="603" spans="1:34" x14ac:dyDescent="0.25">
      <c r="A603" s="31">
        <v>14</v>
      </c>
      <c r="B603" s="31">
        <v>13880</v>
      </c>
      <c r="C603" s="31">
        <v>2</v>
      </c>
      <c r="D603" s="31" t="s">
        <v>870</v>
      </c>
      <c r="E603" s="31"/>
      <c r="F603" s="31">
        <v>0</v>
      </c>
      <c r="G603" s="31">
        <v>0</v>
      </c>
      <c r="H603" s="31">
        <v>0</v>
      </c>
      <c r="I603" s="31">
        <v>0</v>
      </c>
      <c r="J603" s="31">
        <v>0</v>
      </c>
      <c r="K603" s="31" t="s">
        <v>882</v>
      </c>
      <c r="L603" s="31">
        <v>0</v>
      </c>
      <c r="M603" s="31">
        <v>0</v>
      </c>
      <c r="N603" s="31">
        <v>0</v>
      </c>
      <c r="O603" s="31">
        <v>0</v>
      </c>
      <c r="P603" s="31">
        <v>0</v>
      </c>
      <c r="Q603" s="31">
        <v>0</v>
      </c>
      <c r="R603" s="31">
        <v>0</v>
      </c>
      <c r="S603" s="31">
        <v>0</v>
      </c>
      <c r="T603" s="31">
        <v>0</v>
      </c>
      <c r="U603" s="31">
        <v>0</v>
      </c>
      <c r="V603" s="31">
        <v>0</v>
      </c>
      <c r="W603" s="31">
        <v>0</v>
      </c>
      <c r="X603" s="31">
        <v>0</v>
      </c>
      <c r="Y603" s="31">
        <v>0</v>
      </c>
      <c r="Z603" s="31">
        <v>0</v>
      </c>
      <c r="AA603" s="31">
        <v>0</v>
      </c>
      <c r="AB603" s="31">
        <v>0</v>
      </c>
      <c r="AC603" s="31">
        <v>0</v>
      </c>
      <c r="AD603" s="31">
        <v>0</v>
      </c>
      <c r="AE603" s="31">
        <v>0</v>
      </c>
      <c r="AF603" s="31">
        <v>0</v>
      </c>
      <c r="AG603" s="31">
        <v>0</v>
      </c>
      <c r="AH603" s="31">
        <v>0</v>
      </c>
    </row>
    <row r="604" spans="1:34" x14ac:dyDescent="0.25">
      <c r="A604" s="31">
        <v>14</v>
      </c>
      <c r="B604" s="31">
        <v>13880</v>
      </c>
      <c r="C604" s="31">
        <v>2</v>
      </c>
      <c r="D604" s="31" t="s">
        <v>871</v>
      </c>
      <c r="E604" s="31"/>
      <c r="F604" s="31">
        <v>0</v>
      </c>
      <c r="G604" s="31">
        <v>0</v>
      </c>
      <c r="H604" s="31">
        <v>0</v>
      </c>
      <c r="I604" s="31">
        <v>0</v>
      </c>
      <c r="J604" s="31">
        <v>0</v>
      </c>
      <c r="K604" s="31" t="s">
        <v>882</v>
      </c>
      <c r="L604" s="31">
        <v>0</v>
      </c>
      <c r="M604" s="31">
        <v>0</v>
      </c>
      <c r="N604" s="31">
        <v>0</v>
      </c>
      <c r="O604" s="31">
        <v>0</v>
      </c>
      <c r="P604" s="31">
        <v>0</v>
      </c>
      <c r="Q604" s="31">
        <v>0</v>
      </c>
      <c r="R604" s="31">
        <v>0</v>
      </c>
      <c r="S604" s="31">
        <v>0</v>
      </c>
      <c r="T604" s="31">
        <v>0</v>
      </c>
      <c r="U604" s="31">
        <v>0</v>
      </c>
      <c r="V604" s="31">
        <v>0</v>
      </c>
      <c r="W604" s="31">
        <v>0</v>
      </c>
      <c r="X604" s="31">
        <v>0</v>
      </c>
      <c r="Y604" s="31">
        <v>0</v>
      </c>
      <c r="Z604" s="31">
        <v>0</v>
      </c>
      <c r="AA604" s="31">
        <v>0</v>
      </c>
      <c r="AB604" s="31">
        <v>0</v>
      </c>
      <c r="AC604" s="31">
        <v>0</v>
      </c>
      <c r="AD604" s="31">
        <v>0</v>
      </c>
      <c r="AE604" s="31">
        <v>0</v>
      </c>
      <c r="AF604" s="31">
        <v>0</v>
      </c>
      <c r="AG604" s="31">
        <v>0</v>
      </c>
      <c r="AH604" s="31">
        <v>0</v>
      </c>
    </row>
    <row r="605" spans="1:34" x14ac:dyDescent="0.25">
      <c r="A605" s="31">
        <v>14</v>
      </c>
      <c r="B605" s="31">
        <v>13880</v>
      </c>
      <c r="C605" s="31">
        <v>1</v>
      </c>
      <c r="D605" s="31" t="s">
        <v>872</v>
      </c>
      <c r="E605" s="31"/>
      <c r="F605" s="31">
        <v>0</v>
      </c>
      <c r="G605" s="31">
        <v>0</v>
      </c>
      <c r="H605" s="31">
        <v>0</v>
      </c>
      <c r="I605" s="31">
        <v>0</v>
      </c>
      <c r="J605" s="31">
        <v>0</v>
      </c>
      <c r="K605" s="31" t="s">
        <v>882</v>
      </c>
      <c r="L605" s="31">
        <v>0</v>
      </c>
      <c r="M605" s="31">
        <v>0</v>
      </c>
      <c r="N605" s="31">
        <v>0</v>
      </c>
      <c r="O605" s="31">
        <v>0</v>
      </c>
      <c r="P605" s="31">
        <v>0</v>
      </c>
      <c r="Q605" s="31">
        <v>0</v>
      </c>
      <c r="R605" s="31">
        <v>0</v>
      </c>
      <c r="S605" s="31">
        <v>0</v>
      </c>
      <c r="T605" s="31">
        <v>0</v>
      </c>
      <c r="U605" s="31">
        <v>0</v>
      </c>
      <c r="V605" s="31">
        <v>0</v>
      </c>
      <c r="W605" s="31">
        <v>0</v>
      </c>
      <c r="X605" s="31">
        <v>0</v>
      </c>
      <c r="Y605" s="31">
        <v>0</v>
      </c>
      <c r="Z605" s="31">
        <v>0</v>
      </c>
      <c r="AA605" s="31">
        <v>0</v>
      </c>
      <c r="AB605" s="31">
        <v>0</v>
      </c>
      <c r="AC605" s="31">
        <v>0</v>
      </c>
      <c r="AD605" s="31">
        <v>0</v>
      </c>
      <c r="AE605" s="31">
        <v>0</v>
      </c>
      <c r="AF605" s="31">
        <v>0</v>
      </c>
      <c r="AG605" s="31">
        <v>0</v>
      </c>
      <c r="AH605" s="31">
        <v>0</v>
      </c>
    </row>
    <row r="606" spans="1:34" x14ac:dyDescent="0.25">
      <c r="A606" s="31">
        <v>14</v>
      </c>
      <c r="B606" s="31">
        <v>13880</v>
      </c>
      <c r="C606" s="31">
        <v>1</v>
      </c>
      <c r="D606" s="31" t="s">
        <v>873</v>
      </c>
      <c r="E606" s="31"/>
      <c r="F606" s="31">
        <v>0</v>
      </c>
      <c r="G606" s="31">
        <v>0</v>
      </c>
      <c r="H606" s="31">
        <v>0</v>
      </c>
      <c r="I606" s="31">
        <v>0</v>
      </c>
      <c r="J606" s="31">
        <v>0</v>
      </c>
      <c r="K606" s="31" t="s">
        <v>882</v>
      </c>
      <c r="L606" s="31">
        <v>0</v>
      </c>
      <c r="M606" s="31">
        <v>0</v>
      </c>
      <c r="N606" s="31">
        <v>0</v>
      </c>
      <c r="O606" s="31">
        <v>0</v>
      </c>
      <c r="P606" s="31">
        <v>0</v>
      </c>
      <c r="Q606" s="31">
        <v>0</v>
      </c>
      <c r="R606" s="31">
        <v>0</v>
      </c>
      <c r="S606" s="31">
        <v>0</v>
      </c>
      <c r="T606" s="31">
        <v>0</v>
      </c>
      <c r="U606" s="31">
        <v>0</v>
      </c>
      <c r="V606" s="31">
        <v>0</v>
      </c>
      <c r="W606" s="31">
        <v>0</v>
      </c>
      <c r="X606" s="31">
        <v>0</v>
      </c>
      <c r="Y606" s="31">
        <v>0</v>
      </c>
      <c r="Z606" s="31">
        <v>0</v>
      </c>
      <c r="AA606" s="31">
        <v>0</v>
      </c>
      <c r="AB606" s="31">
        <v>0</v>
      </c>
      <c r="AC606" s="31">
        <v>0</v>
      </c>
      <c r="AD606" s="31">
        <v>0</v>
      </c>
      <c r="AE606" s="31">
        <v>0</v>
      </c>
      <c r="AF606" s="31">
        <v>0</v>
      </c>
      <c r="AG606" s="31">
        <v>0</v>
      </c>
      <c r="AH606" s="31">
        <v>0</v>
      </c>
    </row>
    <row r="607" spans="1:34" x14ac:dyDescent="0.25">
      <c r="A607" s="31">
        <v>14</v>
      </c>
      <c r="B607" s="31">
        <v>13880</v>
      </c>
      <c r="C607" s="31">
        <v>1</v>
      </c>
      <c r="D607" s="31" t="s">
        <v>874</v>
      </c>
      <c r="E607" s="31"/>
      <c r="F607" s="31">
        <v>0</v>
      </c>
      <c r="G607" s="31">
        <v>0</v>
      </c>
      <c r="H607" s="31">
        <v>0</v>
      </c>
      <c r="I607" s="31">
        <v>0</v>
      </c>
      <c r="J607" s="31">
        <v>0</v>
      </c>
      <c r="K607" s="31" t="s">
        <v>882</v>
      </c>
      <c r="L607" s="31">
        <v>0</v>
      </c>
      <c r="M607" s="31">
        <v>0</v>
      </c>
      <c r="N607" s="31">
        <v>0</v>
      </c>
      <c r="O607" s="31">
        <v>0</v>
      </c>
      <c r="P607" s="31">
        <v>0</v>
      </c>
      <c r="Q607" s="31">
        <v>0</v>
      </c>
      <c r="R607" s="31">
        <v>0</v>
      </c>
      <c r="S607" s="31">
        <v>0</v>
      </c>
      <c r="T607" s="31">
        <v>0</v>
      </c>
      <c r="U607" s="31">
        <v>0</v>
      </c>
      <c r="V607" s="31">
        <v>0</v>
      </c>
      <c r="W607" s="31">
        <v>0</v>
      </c>
      <c r="X607" s="31">
        <v>0</v>
      </c>
      <c r="Y607" s="31">
        <v>0</v>
      </c>
      <c r="Z607" s="31">
        <v>0</v>
      </c>
      <c r="AA607" s="31">
        <v>0</v>
      </c>
      <c r="AB607" s="31">
        <v>0</v>
      </c>
      <c r="AC607" s="31">
        <v>0</v>
      </c>
      <c r="AD607" s="31">
        <v>0</v>
      </c>
      <c r="AE607" s="31">
        <v>0</v>
      </c>
      <c r="AF607" s="31">
        <v>0</v>
      </c>
      <c r="AG607" s="31">
        <v>0</v>
      </c>
      <c r="AH607" s="31">
        <v>0</v>
      </c>
    </row>
    <row r="608" spans="1:34" x14ac:dyDescent="0.25">
      <c r="A608" s="31">
        <v>14</v>
      </c>
      <c r="B608" s="31">
        <v>13880</v>
      </c>
      <c r="C608" s="31">
        <v>1</v>
      </c>
      <c r="D608" s="31" t="s">
        <v>875</v>
      </c>
      <c r="E608" s="31"/>
      <c r="F608" s="31">
        <v>0</v>
      </c>
      <c r="G608" s="31">
        <v>0</v>
      </c>
      <c r="H608" s="31">
        <v>0</v>
      </c>
      <c r="I608" s="31">
        <v>0</v>
      </c>
      <c r="J608" s="31">
        <v>0</v>
      </c>
      <c r="K608" s="31" t="s">
        <v>882</v>
      </c>
      <c r="L608" s="31">
        <v>0</v>
      </c>
      <c r="M608" s="31">
        <v>0</v>
      </c>
      <c r="N608" s="31">
        <v>0</v>
      </c>
      <c r="O608" s="31">
        <v>0</v>
      </c>
      <c r="P608" s="31">
        <v>0</v>
      </c>
      <c r="Q608" s="31">
        <v>0</v>
      </c>
      <c r="R608" s="31">
        <v>0</v>
      </c>
      <c r="S608" s="31">
        <v>0</v>
      </c>
      <c r="T608" s="31">
        <v>0</v>
      </c>
      <c r="U608" s="31">
        <v>0</v>
      </c>
      <c r="V608" s="31">
        <v>0</v>
      </c>
      <c r="W608" s="31">
        <v>0</v>
      </c>
      <c r="X608" s="31">
        <v>0</v>
      </c>
      <c r="Y608" s="31">
        <v>0</v>
      </c>
      <c r="Z608" s="31">
        <v>0</v>
      </c>
      <c r="AA608" s="31">
        <v>0</v>
      </c>
      <c r="AB608" s="31">
        <v>0</v>
      </c>
      <c r="AC608" s="31">
        <v>0</v>
      </c>
      <c r="AD608" s="31">
        <v>0</v>
      </c>
      <c r="AE608" s="31">
        <v>0</v>
      </c>
      <c r="AF608" s="31">
        <v>0</v>
      </c>
      <c r="AG608" s="31">
        <v>0</v>
      </c>
      <c r="AH608" s="31">
        <v>0</v>
      </c>
    </row>
    <row r="609" spans="1:34" x14ac:dyDescent="0.25">
      <c r="A609" s="31">
        <v>14</v>
      </c>
      <c r="B609" s="31">
        <v>25136</v>
      </c>
      <c r="C609" s="31">
        <v>1</v>
      </c>
      <c r="D609" s="31" t="s">
        <v>876</v>
      </c>
      <c r="E609" s="31"/>
      <c r="F609" s="31">
        <v>0</v>
      </c>
      <c r="G609" s="31">
        <v>0</v>
      </c>
      <c r="H609" s="31">
        <v>0</v>
      </c>
      <c r="I609" s="31">
        <v>0</v>
      </c>
      <c r="J609" s="31">
        <v>0</v>
      </c>
      <c r="K609" s="31" t="s">
        <v>882</v>
      </c>
      <c r="L609" s="31">
        <v>0</v>
      </c>
      <c r="M609" s="31">
        <v>0</v>
      </c>
      <c r="N609" s="31">
        <v>0</v>
      </c>
      <c r="O609" s="31">
        <v>0</v>
      </c>
      <c r="P609" s="31">
        <v>0</v>
      </c>
      <c r="Q609" s="31">
        <v>0</v>
      </c>
      <c r="R609" s="31">
        <v>0</v>
      </c>
      <c r="S609" s="31">
        <v>0</v>
      </c>
      <c r="T609" s="31">
        <v>0</v>
      </c>
      <c r="U609" s="31">
        <v>0</v>
      </c>
      <c r="V609" s="31">
        <v>0</v>
      </c>
      <c r="W609" s="31">
        <v>0</v>
      </c>
      <c r="X609" s="31">
        <v>0</v>
      </c>
      <c r="Y609" s="31">
        <v>0</v>
      </c>
      <c r="Z609" s="31">
        <v>0</v>
      </c>
      <c r="AA609" s="31">
        <v>0</v>
      </c>
      <c r="AB609" s="31">
        <v>0</v>
      </c>
      <c r="AC609" s="31">
        <v>0</v>
      </c>
      <c r="AD609" s="31">
        <v>0</v>
      </c>
      <c r="AE609" s="31">
        <v>0</v>
      </c>
      <c r="AF609" s="31">
        <v>0</v>
      </c>
      <c r="AG609" s="31">
        <v>0</v>
      </c>
      <c r="AH609" s="31">
        <v>0</v>
      </c>
    </row>
    <row r="610" spans="1:34" x14ac:dyDescent="0.25">
      <c r="A610" s="31">
        <v>14</v>
      </c>
      <c r="B610" s="31">
        <v>25136</v>
      </c>
      <c r="C610" s="31">
        <v>1</v>
      </c>
      <c r="D610" s="31" t="s">
        <v>877</v>
      </c>
      <c r="E610" s="31"/>
      <c r="F610" s="31">
        <v>0</v>
      </c>
      <c r="G610" s="31">
        <v>0</v>
      </c>
      <c r="H610" s="31">
        <v>0</v>
      </c>
      <c r="I610" s="31">
        <v>0</v>
      </c>
      <c r="J610" s="31">
        <v>0</v>
      </c>
      <c r="K610" s="31" t="s">
        <v>882</v>
      </c>
      <c r="L610" s="31">
        <v>0</v>
      </c>
      <c r="M610" s="31">
        <v>0</v>
      </c>
      <c r="N610" s="31">
        <v>0</v>
      </c>
      <c r="O610" s="31">
        <v>0</v>
      </c>
      <c r="P610" s="31">
        <v>0</v>
      </c>
      <c r="Q610" s="31">
        <v>0</v>
      </c>
      <c r="R610" s="31">
        <v>0</v>
      </c>
      <c r="S610" s="31">
        <v>0</v>
      </c>
      <c r="T610" s="31">
        <v>0</v>
      </c>
      <c r="U610" s="31">
        <v>0</v>
      </c>
      <c r="V610" s="31">
        <v>0</v>
      </c>
      <c r="W610" s="31">
        <v>0</v>
      </c>
      <c r="X610" s="31">
        <v>0</v>
      </c>
      <c r="Y610" s="31">
        <v>0</v>
      </c>
      <c r="Z610" s="31">
        <v>0</v>
      </c>
      <c r="AA610" s="31">
        <v>0</v>
      </c>
      <c r="AB610" s="31">
        <v>0</v>
      </c>
      <c r="AC610" s="31">
        <v>0</v>
      </c>
      <c r="AD610" s="31">
        <v>0</v>
      </c>
      <c r="AE610" s="31">
        <v>0</v>
      </c>
      <c r="AF610" s="31">
        <v>0</v>
      </c>
      <c r="AG610" s="31">
        <v>0</v>
      </c>
      <c r="AH610" s="31">
        <v>0</v>
      </c>
    </row>
    <row r="611" spans="1:34" x14ac:dyDescent="0.25">
      <c r="A611" s="31">
        <v>14</v>
      </c>
      <c r="B611" s="31">
        <v>25136</v>
      </c>
      <c r="C611" s="31">
        <v>2</v>
      </c>
      <c r="D611" s="31" t="s">
        <v>876</v>
      </c>
      <c r="E611" s="31"/>
      <c r="F611" s="31">
        <v>0</v>
      </c>
      <c r="G611" s="31">
        <v>0</v>
      </c>
      <c r="H611" s="31">
        <v>0</v>
      </c>
      <c r="I611" s="31">
        <v>0</v>
      </c>
      <c r="J611" s="31">
        <v>0</v>
      </c>
      <c r="K611" s="31" t="s">
        <v>882</v>
      </c>
      <c r="L611" s="31">
        <v>0</v>
      </c>
      <c r="M611" s="31">
        <v>0</v>
      </c>
      <c r="N611" s="31">
        <v>0</v>
      </c>
      <c r="O611" s="31">
        <v>0</v>
      </c>
      <c r="P611" s="31">
        <v>0</v>
      </c>
      <c r="Q611" s="31">
        <v>0</v>
      </c>
      <c r="R611" s="31">
        <v>0</v>
      </c>
      <c r="S611" s="31">
        <v>0</v>
      </c>
      <c r="T611" s="31">
        <v>0</v>
      </c>
      <c r="U611" s="31">
        <v>0</v>
      </c>
      <c r="V611" s="31">
        <v>0</v>
      </c>
      <c r="W611" s="31">
        <v>0</v>
      </c>
      <c r="X611" s="31">
        <v>0</v>
      </c>
      <c r="Y611" s="31">
        <v>0</v>
      </c>
      <c r="Z611" s="31">
        <v>0</v>
      </c>
      <c r="AA611" s="31">
        <v>0</v>
      </c>
      <c r="AB611" s="31">
        <v>0</v>
      </c>
      <c r="AC611" s="31">
        <v>0</v>
      </c>
      <c r="AD611" s="31">
        <v>0</v>
      </c>
      <c r="AE611" s="31">
        <v>0</v>
      </c>
      <c r="AF611" s="31">
        <v>0</v>
      </c>
      <c r="AG611" s="31">
        <v>0</v>
      </c>
      <c r="AH611" s="31">
        <v>0</v>
      </c>
    </row>
    <row r="612" spans="1:34" x14ac:dyDescent="0.25">
      <c r="A612" s="31">
        <v>14</v>
      </c>
      <c r="B612" s="31">
        <v>25136</v>
      </c>
      <c r="C612" s="31">
        <v>2</v>
      </c>
      <c r="D612" s="31" t="s">
        <v>877</v>
      </c>
      <c r="E612" s="31"/>
      <c r="F612" s="31">
        <v>0</v>
      </c>
      <c r="G612" s="31">
        <v>0</v>
      </c>
      <c r="H612" s="31">
        <v>0</v>
      </c>
      <c r="I612" s="31">
        <v>0</v>
      </c>
      <c r="J612" s="31">
        <v>0</v>
      </c>
      <c r="K612" s="31" t="s">
        <v>882</v>
      </c>
      <c r="L612" s="31">
        <v>0</v>
      </c>
      <c r="M612" s="31">
        <v>0</v>
      </c>
      <c r="N612" s="31">
        <v>0</v>
      </c>
      <c r="O612" s="31">
        <v>0</v>
      </c>
      <c r="P612" s="31">
        <v>0</v>
      </c>
      <c r="Q612" s="31">
        <v>0</v>
      </c>
      <c r="R612" s="31">
        <v>0</v>
      </c>
      <c r="S612" s="31">
        <v>0</v>
      </c>
      <c r="T612" s="31">
        <v>0</v>
      </c>
      <c r="U612" s="31">
        <v>0</v>
      </c>
      <c r="V612" s="31">
        <v>0</v>
      </c>
      <c r="W612" s="31">
        <v>0</v>
      </c>
      <c r="X612" s="31">
        <v>0</v>
      </c>
      <c r="Y612" s="31">
        <v>0</v>
      </c>
      <c r="Z612" s="31">
        <v>0</v>
      </c>
      <c r="AA612" s="31">
        <v>0</v>
      </c>
      <c r="AB612" s="31">
        <v>0</v>
      </c>
      <c r="AC612" s="31">
        <v>0</v>
      </c>
      <c r="AD612" s="31">
        <v>0</v>
      </c>
      <c r="AE612" s="31">
        <v>0</v>
      </c>
      <c r="AF612" s="31">
        <v>0</v>
      </c>
      <c r="AG612" s="31">
        <v>0</v>
      </c>
      <c r="AH612" s="31">
        <v>0</v>
      </c>
    </row>
    <row r="613" spans="1:34" x14ac:dyDescent="0.25">
      <c r="A613" s="31">
        <v>14</v>
      </c>
      <c r="B613" s="31">
        <v>25136</v>
      </c>
      <c r="C613" s="31">
        <v>2</v>
      </c>
      <c r="D613" s="31" t="s">
        <v>878</v>
      </c>
      <c r="E613" s="31"/>
      <c r="F613" s="31">
        <v>0</v>
      </c>
      <c r="G613" s="31">
        <v>0</v>
      </c>
      <c r="H613" s="31">
        <v>0</v>
      </c>
      <c r="I613" s="31">
        <v>0</v>
      </c>
      <c r="J613" s="31">
        <v>0</v>
      </c>
      <c r="K613" s="31" t="s">
        <v>882</v>
      </c>
      <c r="L613" s="31">
        <v>0</v>
      </c>
      <c r="M613" s="31">
        <v>0</v>
      </c>
      <c r="N613" s="31">
        <v>0</v>
      </c>
      <c r="O613" s="31">
        <v>0</v>
      </c>
      <c r="P613" s="31">
        <v>0</v>
      </c>
      <c r="Q613" s="31">
        <v>0</v>
      </c>
      <c r="R613" s="31">
        <v>0</v>
      </c>
      <c r="S613" s="31">
        <v>0</v>
      </c>
      <c r="T613" s="31">
        <v>0</v>
      </c>
      <c r="U613" s="31">
        <v>0</v>
      </c>
      <c r="V613" s="31">
        <v>0</v>
      </c>
      <c r="W613" s="31">
        <v>0</v>
      </c>
      <c r="X613" s="31">
        <v>0</v>
      </c>
      <c r="Y613" s="31">
        <v>0</v>
      </c>
      <c r="Z613" s="31">
        <v>0</v>
      </c>
      <c r="AA613" s="31">
        <v>0</v>
      </c>
      <c r="AB613" s="31">
        <v>0</v>
      </c>
      <c r="AC613" s="31">
        <v>0</v>
      </c>
      <c r="AD613" s="31">
        <v>0</v>
      </c>
      <c r="AE613" s="31">
        <v>0</v>
      </c>
      <c r="AF613" s="31">
        <v>0</v>
      </c>
      <c r="AG613" s="31">
        <v>0</v>
      </c>
      <c r="AH613" s="31">
        <v>0</v>
      </c>
    </row>
    <row r="614" spans="1:34" x14ac:dyDescent="0.25">
      <c r="A614" s="31">
        <v>14</v>
      </c>
      <c r="B614" s="31">
        <v>25191</v>
      </c>
      <c r="C614" s="31" t="s">
        <v>421</v>
      </c>
      <c r="D614" s="31" t="s">
        <v>939</v>
      </c>
      <c r="E614" s="31"/>
      <c r="F614" s="31">
        <v>0</v>
      </c>
      <c r="G614" s="31">
        <v>0</v>
      </c>
      <c r="H614" s="31">
        <v>0</v>
      </c>
      <c r="I614" s="31">
        <v>0</v>
      </c>
      <c r="J614" s="31">
        <v>0</v>
      </c>
      <c r="K614" s="31" t="s">
        <v>882</v>
      </c>
      <c r="L614" s="31">
        <v>0</v>
      </c>
      <c r="M614" s="31">
        <v>0</v>
      </c>
      <c r="N614" s="31">
        <v>0</v>
      </c>
      <c r="O614" s="31">
        <v>0</v>
      </c>
      <c r="P614" s="31">
        <v>0</v>
      </c>
      <c r="Q614" s="31">
        <v>0</v>
      </c>
      <c r="R614" s="31">
        <v>0</v>
      </c>
      <c r="S614" s="31">
        <v>0</v>
      </c>
      <c r="T614" s="31">
        <v>0</v>
      </c>
      <c r="U614" s="31">
        <v>0</v>
      </c>
      <c r="V614" s="31">
        <v>0</v>
      </c>
      <c r="W614" s="31">
        <v>0</v>
      </c>
      <c r="X614" s="31">
        <v>0</v>
      </c>
      <c r="Y614" s="31">
        <v>0</v>
      </c>
      <c r="Z614" s="31">
        <v>0</v>
      </c>
      <c r="AA614" s="31">
        <v>0</v>
      </c>
      <c r="AB614" s="31">
        <v>0</v>
      </c>
      <c r="AC614" s="31">
        <v>0</v>
      </c>
      <c r="AD614" s="31">
        <v>0</v>
      </c>
      <c r="AE614" s="31">
        <v>0</v>
      </c>
      <c r="AF614" s="31">
        <v>0</v>
      </c>
      <c r="AG614" s="31">
        <v>0</v>
      </c>
      <c r="AH614" s="31">
        <v>0</v>
      </c>
    </row>
    <row r="615" spans="1:34" x14ac:dyDescent="0.25">
      <c r="A615" s="31">
        <v>32</v>
      </c>
      <c r="B615" s="31">
        <v>25202</v>
      </c>
      <c r="C615" s="31">
        <v>1</v>
      </c>
      <c r="D615" s="31" t="s">
        <v>1004</v>
      </c>
      <c r="E615" s="31"/>
      <c r="F615" s="31">
        <v>0</v>
      </c>
      <c r="G615" s="31">
        <v>0</v>
      </c>
      <c r="H615" s="31">
        <v>0</v>
      </c>
      <c r="I615" s="31">
        <v>0</v>
      </c>
      <c r="J615" s="31">
        <v>0</v>
      </c>
      <c r="K615" s="31" t="s">
        <v>882</v>
      </c>
      <c r="L615" s="31">
        <v>0</v>
      </c>
      <c r="M615" s="31">
        <v>0</v>
      </c>
      <c r="N615" s="31">
        <v>0</v>
      </c>
      <c r="O615" s="31">
        <v>0</v>
      </c>
      <c r="P615" s="31">
        <v>0</v>
      </c>
      <c r="Q615" s="31">
        <v>0</v>
      </c>
      <c r="R615" s="31">
        <v>0</v>
      </c>
      <c r="S615" s="31">
        <v>0</v>
      </c>
      <c r="T615" s="31">
        <v>0</v>
      </c>
      <c r="U615" s="31">
        <v>0</v>
      </c>
      <c r="V615" s="31">
        <v>0</v>
      </c>
      <c r="W615" s="31">
        <v>0</v>
      </c>
      <c r="X615" s="31">
        <v>0</v>
      </c>
      <c r="Y615" s="31">
        <v>0</v>
      </c>
      <c r="Z615" s="31">
        <v>0</v>
      </c>
      <c r="AA615" s="31">
        <v>0</v>
      </c>
      <c r="AB615" s="31">
        <v>0</v>
      </c>
      <c r="AC615" s="31">
        <v>0</v>
      </c>
      <c r="AD615" s="31">
        <v>0</v>
      </c>
      <c r="AE615" s="31">
        <v>0</v>
      </c>
      <c r="AF615" s="31">
        <v>0</v>
      </c>
      <c r="AG615" s="31">
        <v>0</v>
      </c>
      <c r="AH615" s="31">
        <v>0</v>
      </c>
    </row>
    <row r="616" spans="1:34" x14ac:dyDescent="0.25">
      <c r="A616" s="31">
        <v>32</v>
      </c>
      <c r="B616" s="31">
        <v>25202</v>
      </c>
      <c r="C616" s="31">
        <v>3</v>
      </c>
      <c r="D616" s="31" t="s">
        <v>1005</v>
      </c>
      <c r="E616" s="31"/>
      <c r="F616" s="31">
        <v>0</v>
      </c>
      <c r="G616" s="31">
        <v>0</v>
      </c>
      <c r="H616" s="31">
        <v>0</v>
      </c>
      <c r="I616" s="31">
        <v>0</v>
      </c>
      <c r="J616" s="31">
        <v>0</v>
      </c>
      <c r="K616" s="31" t="s">
        <v>882</v>
      </c>
      <c r="L616" s="31">
        <v>0</v>
      </c>
      <c r="M616" s="31">
        <v>0</v>
      </c>
      <c r="N616" s="31">
        <v>0</v>
      </c>
      <c r="O616" s="31">
        <v>0</v>
      </c>
      <c r="P616" s="31">
        <v>0</v>
      </c>
      <c r="Q616" s="31">
        <v>0</v>
      </c>
      <c r="R616" s="31">
        <v>0</v>
      </c>
      <c r="S616" s="31">
        <v>0</v>
      </c>
      <c r="T616" s="31">
        <v>0</v>
      </c>
      <c r="U616" s="31">
        <v>0</v>
      </c>
      <c r="V616" s="31">
        <v>0</v>
      </c>
      <c r="W616" s="31">
        <v>0</v>
      </c>
      <c r="X616" s="31">
        <v>0</v>
      </c>
      <c r="Y616" s="31">
        <v>0</v>
      </c>
      <c r="Z616" s="31">
        <v>0</v>
      </c>
      <c r="AA616" s="31">
        <v>0</v>
      </c>
      <c r="AB616" s="31">
        <v>0</v>
      </c>
      <c r="AC616" s="31">
        <v>0</v>
      </c>
      <c r="AD616" s="31">
        <v>0</v>
      </c>
      <c r="AE616" s="31">
        <v>0</v>
      </c>
      <c r="AF616" s="31">
        <v>0</v>
      </c>
      <c r="AG616" s="31">
        <v>0</v>
      </c>
      <c r="AH616" s="31">
        <v>0</v>
      </c>
    </row>
    <row r="617" spans="1:34" x14ac:dyDescent="0.25">
      <c r="A617" s="31">
        <v>32</v>
      </c>
      <c r="B617" s="31">
        <v>25202</v>
      </c>
      <c r="C617" s="31">
        <v>1</v>
      </c>
      <c r="D617" s="31" t="s">
        <v>1006</v>
      </c>
      <c r="E617" s="31"/>
      <c r="F617" s="31">
        <v>0</v>
      </c>
      <c r="G617" s="31">
        <v>0</v>
      </c>
      <c r="H617" s="31">
        <v>0</v>
      </c>
      <c r="I617" s="31">
        <v>0</v>
      </c>
      <c r="J617" s="31">
        <v>0</v>
      </c>
      <c r="K617" s="31" t="s">
        <v>882</v>
      </c>
      <c r="L617" s="31">
        <v>0</v>
      </c>
      <c r="M617" s="31">
        <v>0</v>
      </c>
      <c r="N617" s="31">
        <v>0</v>
      </c>
      <c r="O617" s="31">
        <v>0</v>
      </c>
      <c r="P617" s="31">
        <v>0</v>
      </c>
      <c r="Q617" s="31">
        <v>0</v>
      </c>
      <c r="R617" s="31">
        <v>0</v>
      </c>
      <c r="S617" s="31">
        <v>0</v>
      </c>
      <c r="T617" s="31">
        <v>0</v>
      </c>
      <c r="U617" s="31">
        <v>0</v>
      </c>
      <c r="V617" s="31">
        <v>0</v>
      </c>
      <c r="W617" s="31">
        <v>0</v>
      </c>
      <c r="X617" s="31">
        <v>0</v>
      </c>
      <c r="Y617" s="31">
        <v>0</v>
      </c>
      <c r="Z617" s="31">
        <v>0</v>
      </c>
      <c r="AA617" s="31">
        <v>0</v>
      </c>
      <c r="AB617" s="31">
        <v>0</v>
      </c>
      <c r="AC617" s="31">
        <v>0</v>
      </c>
      <c r="AD617" s="31">
        <v>0</v>
      </c>
      <c r="AE617" s="31">
        <v>0</v>
      </c>
      <c r="AF617" s="31">
        <v>0</v>
      </c>
      <c r="AG617" s="31">
        <v>0</v>
      </c>
      <c r="AH617" s="31">
        <v>0</v>
      </c>
    </row>
    <row r="618" spans="1:34" x14ac:dyDescent="0.25">
      <c r="A618" s="31">
        <v>32</v>
      </c>
      <c r="B618" s="31">
        <v>25202</v>
      </c>
      <c r="C618" s="31">
        <v>2</v>
      </c>
      <c r="D618" s="31" t="s">
        <v>1007</v>
      </c>
      <c r="E618" s="31"/>
      <c r="F618" s="31">
        <v>0</v>
      </c>
      <c r="G618" s="31">
        <v>0</v>
      </c>
      <c r="H618" s="31">
        <v>0</v>
      </c>
      <c r="I618" s="31">
        <v>0</v>
      </c>
      <c r="J618" s="31">
        <v>0</v>
      </c>
      <c r="K618" s="31" t="s">
        <v>882</v>
      </c>
      <c r="L618" s="31">
        <v>0</v>
      </c>
      <c r="M618" s="31">
        <v>0</v>
      </c>
      <c r="N618" s="31">
        <v>0</v>
      </c>
      <c r="O618" s="31">
        <v>0</v>
      </c>
      <c r="P618" s="31">
        <v>0</v>
      </c>
      <c r="Q618" s="31">
        <v>0</v>
      </c>
      <c r="R618" s="31">
        <v>0</v>
      </c>
      <c r="S618" s="31">
        <v>0</v>
      </c>
      <c r="T618" s="31">
        <v>0</v>
      </c>
      <c r="U618" s="31">
        <v>0</v>
      </c>
      <c r="V618" s="31">
        <v>0</v>
      </c>
      <c r="W618" s="31">
        <v>0</v>
      </c>
      <c r="X618" s="31">
        <v>0</v>
      </c>
      <c r="Y618" s="31">
        <v>0</v>
      </c>
      <c r="Z618" s="31">
        <v>0</v>
      </c>
      <c r="AA618" s="31">
        <v>0</v>
      </c>
      <c r="AB618" s="31">
        <v>0</v>
      </c>
      <c r="AC618" s="31">
        <v>0</v>
      </c>
      <c r="AD618" s="31">
        <v>0</v>
      </c>
      <c r="AE618" s="31">
        <v>0</v>
      </c>
      <c r="AF618" s="31">
        <v>0</v>
      </c>
      <c r="AG618" s="31">
        <v>0</v>
      </c>
      <c r="AH618" s="31">
        <v>0</v>
      </c>
    </row>
    <row r="619" spans="1:34" x14ac:dyDescent="0.25">
      <c r="A619" s="31">
        <v>32</v>
      </c>
      <c r="B619" s="31">
        <v>25202</v>
      </c>
      <c r="C619" s="31">
        <v>45</v>
      </c>
      <c r="D619" s="31" t="s">
        <v>1008</v>
      </c>
      <c r="E619" s="31"/>
      <c r="F619" s="31">
        <v>0</v>
      </c>
      <c r="G619" s="31">
        <v>0</v>
      </c>
      <c r="H619" s="31">
        <v>0</v>
      </c>
      <c r="I619" s="31">
        <v>0</v>
      </c>
      <c r="J619" s="31">
        <v>0</v>
      </c>
      <c r="K619" s="31" t="s">
        <v>882</v>
      </c>
      <c r="L619" s="31">
        <v>0</v>
      </c>
      <c r="M619" s="31">
        <v>0</v>
      </c>
      <c r="N619" s="31">
        <v>0</v>
      </c>
      <c r="O619" s="31">
        <v>0</v>
      </c>
      <c r="P619" s="31">
        <v>0</v>
      </c>
      <c r="Q619" s="31">
        <v>0</v>
      </c>
      <c r="R619" s="31">
        <v>0</v>
      </c>
      <c r="S619" s="31">
        <v>0</v>
      </c>
      <c r="T619" s="31">
        <v>0</v>
      </c>
      <c r="U619" s="31">
        <v>0</v>
      </c>
      <c r="V619" s="31">
        <v>0</v>
      </c>
      <c r="W619" s="31">
        <v>0</v>
      </c>
      <c r="X619" s="31">
        <v>0</v>
      </c>
      <c r="Y619" s="31">
        <v>0</v>
      </c>
      <c r="Z619" s="31">
        <v>0</v>
      </c>
      <c r="AA619" s="31">
        <v>0</v>
      </c>
      <c r="AB619" s="31">
        <v>0</v>
      </c>
      <c r="AC619" s="31">
        <v>0</v>
      </c>
      <c r="AD619" s="31">
        <v>0</v>
      </c>
      <c r="AE619" s="31">
        <v>0</v>
      </c>
      <c r="AF619" s="31">
        <v>0</v>
      </c>
      <c r="AG619" s="31">
        <v>0</v>
      </c>
      <c r="AH619" s="31">
        <v>0</v>
      </c>
    </row>
    <row r="620" spans="1:34" x14ac:dyDescent="0.25">
      <c r="A620" s="31">
        <v>32</v>
      </c>
      <c r="B620" s="31">
        <v>25202</v>
      </c>
      <c r="C620" s="31">
        <v>24</v>
      </c>
      <c r="D620" s="31" t="s">
        <v>1008</v>
      </c>
      <c r="E620" s="31"/>
      <c r="F620" s="31">
        <v>0</v>
      </c>
      <c r="G620" s="31">
        <v>0</v>
      </c>
      <c r="H620" s="31">
        <v>0</v>
      </c>
      <c r="I620" s="31">
        <v>0</v>
      </c>
      <c r="J620" s="31">
        <v>0</v>
      </c>
      <c r="K620" s="31" t="s">
        <v>882</v>
      </c>
      <c r="L620" s="31">
        <v>0</v>
      </c>
      <c r="M620" s="31">
        <v>0</v>
      </c>
      <c r="N620" s="31">
        <v>0</v>
      </c>
      <c r="O620" s="31">
        <v>0</v>
      </c>
      <c r="P620" s="31">
        <v>0</v>
      </c>
      <c r="Q620" s="31">
        <v>0</v>
      </c>
      <c r="R620" s="31">
        <v>0</v>
      </c>
      <c r="S620" s="31">
        <v>0</v>
      </c>
      <c r="T620" s="31">
        <v>0</v>
      </c>
      <c r="U620" s="31">
        <v>0</v>
      </c>
      <c r="V620" s="31">
        <v>0</v>
      </c>
      <c r="W620" s="31">
        <v>0</v>
      </c>
      <c r="X620" s="31">
        <v>0</v>
      </c>
      <c r="Y620" s="31">
        <v>0</v>
      </c>
      <c r="Z620" s="31">
        <v>0</v>
      </c>
      <c r="AA620" s="31">
        <v>0</v>
      </c>
      <c r="AB620" s="31">
        <v>0</v>
      </c>
      <c r="AC620" s="31">
        <v>0</v>
      </c>
      <c r="AD620" s="31">
        <v>0</v>
      </c>
      <c r="AE620" s="31">
        <v>0</v>
      </c>
      <c r="AF620" s="31">
        <v>0</v>
      </c>
      <c r="AG620" s="31">
        <v>0</v>
      </c>
      <c r="AH620" s="31">
        <v>0</v>
      </c>
    </row>
    <row r="621" spans="1:34" x14ac:dyDescent="0.25">
      <c r="A621" s="31">
        <v>32</v>
      </c>
      <c r="B621" s="31">
        <v>25202</v>
      </c>
      <c r="C621" s="31">
        <v>1</v>
      </c>
      <c r="D621" s="31" t="s">
        <v>1008</v>
      </c>
      <c r="E621" s="31"/>
      <c r="F621" s="31">
        <v>0</v>
      </c>
      <c r="G621" s="31">
        <v>0</v>
      </c>
      <c r="H621" s="31">
        <v>0</v>
      </c>
      <c r="I621" s="31">
        <v>0</v>
      </c>
      <c r="J621" s="31">
        <v>0</v>
      </c>
      <c r="K621" s="31" t="s">
        <v>882</v>
      </c>
      <c r="L621" s="31">
        <v>0</v>
      </c>
      <c r="M621" s="31">
        <v>0</v>
      </c>
      <c r="N621" s="31">
        <v>0</v>
      </c>
      <c r="O621" s="31">
        <v>0</v>
      </c>
      <c r="P621" s="31">
        <v>0</v>
      </c>
      <c r="Q621" s="31">
        <v>0</v>
      </c>
      <c r="R621" s="31">
        <v>0</v>
      </c>
      <c r="S621" s="31">
        <v>0</v>
      </c>
      <c r="T621" s="31">
        <v>0</v>
      </c>
      <c r="U621" s="31">
        <v>0</v>
      </c>
      <c r="V621" s="31">
        <v>0</v>
      </c>
      <c r="W621" s="31">
        <v>0</v>
      </c>
      <c r="X621" s="31">
        <v>0</v>
      </c>
      <c r="Y621" s="31">
        <v>0</v>
      </c>
      <c r="Z621" s="31">
        <v>0</v>
      </c>
      <c r="AA621" s="31">
        <v>0</v>
      </c>
      <c r="AB621" s="31">
        <v>0</v>
      </c>
      <c r="AC621" s="31">
        <v>0</v>
      </c>
      <c r="AD621" s="31">
        <v>0</v>
      </c>
      <c r="AE621" s="31">
        <v>0</v>
      </c>
      <c r="AF621" s="31">
        <v>0</v>
      </c>
      <c r="AG621" s="31">
        <v>0</v>
      </c>
      <c r="AH621" s="31">
        <v>0</v>
      </c>
    </row>
    <row r="622" spans="1:34" x14ac:dyDescent="0.25">
      <c r="A622" s="31">
        <v>32</v>
      </c>
      <c r="B622" s="31">
        <v>25202</v>
      </c>
      <c r="C622" s="31">
        <v>1</v>
      </c>
      <c r="D622" s="31" t="s">
        <v>1009</v>
      </c>
      <c r="E622" s="31"/>
      <c r="F622" s="31">
        <v>0</v>
      </c>
      <c r="G622" s="31">
        <v>0</v>
      </c>
      <c r="H622" s="31">
        <v>0</v>
      </c>
      <c r="I622" s="31">
        <v>0</v>
      </c>
      <c r="J622" s="31">
        <v>0</v>
      </c>
      <c r="K622" s="31" t="s">
        <v>882</v>
      </c>
      <c r="L622" s="31">
        <v>0</v>
      </c>
      <c r="M622" s="31">
        <v>0</v>
      </c>
      <c r="N622" s="31">
        <v>0</v>
      </c>
      <c r="O622" s="31">
        <v>0</v>
      </c>
      <c r="P622" s="31">
        <v>0</v>
      </c>
      <c r="Q622" s="31">
        <v>0</v>
      </c>
      <c r="R622" s="31">
        <v>0</v>
      </c>
      <c r="S622" s="31">
        <v>0</v>
      </c>
      <c r="T622" s="31">
        <v>0</v>
      </c>
      <c r="U622" s="31">
        <v>0</v>
      </c>
      <c r="V622" s="31">
        <v>0</v>
      </c>
      <c r="W622" s="31">
        <v>0</v>
      </c>
      <c r="X622" s="31">
        <v>0</v>
      </c>
      <c r="Y622" s="31">
        <v>0</v>
      </c>
      <c r="Z622" s="31">
        <v>0</v>
      </c>
      <c r="AA622" s="31">
        <v>0</v>
      </c>
      <c r="AB622" s="31">
        <v>0</v>
      </c>
      <c r="AC622" s="31">
        <v>0</v>
      </c>
      <c r="AD622" s="31">
        <v>0</v>
      </c>
      <c r="AE622" s="31">
        <v>0</v>
      </c>
      <c r="AF622" s="31">
        <v>0</v>
      </c>
      <c r="AG622" s="31">
        <v>0</v>
      </c>
      <c r="AH622" s="31">
        <v>0</v>
      </c>
    </row>
    <row r="623" spans="1:34" x14ac:dyDescent="0.25">
      <c r="A623" s="31">
        <v>32</v>
      </c>
      <c r="B623" s="31">
        <v>25202</v>
      </c>
      <c r="C623" s="31">
        <v>1</v>
      </c>
      <c r="D623" s="31" t="s">
        <v>1010</v>
      </c>
      <c r="E623" s="31"/>
      <c r="F623" s="31">
        <v>0</v>
      </c>
      <c r="G623" s="31">
        <v>0</v>
      </c>
      <c r="H623" s="31">
        <v>0</v>
      </c>
      <c r="I623" s="31">
        <v>0</v>
      </c>
      <c r="J623" s="31">
        <v>0</v>
      </c>
      <c r="K623" s="31" t="s">
        <v>882</v>
      </c>
      <c r="L623" s="31">
        <v>0</v>
      </c>
      <c r="M623" s="31">
        <v>0</v>
      </c>
      <c r="N623" s="31">
        <v>0</v>
      </c>
      <c r="O623" s="31">
        <v>0</v>
      </c>
      <c r="P623" s="31">
        <v>0</v>
      </c>
      <c r="Q623" s="31">
        <v>0</v>
      </c>
      <c r="R623" s="31">
        <v>0</v>
      </c>
      <c r="S623" s="31">
        <v>0</v>
      </c>
      <c r="T623" s="31">
        <v>0</v>
      </c>
      <c r="U623" s="31">
        <v>0</v>
      </c>
      <c r="V623" s="31">
        <v>0</v>
      </c>
      <c r="W623" s="31">
        <v>0</v>
      </c>
      <c r="X623" s="31">
        <v>0</v>
      </c>
      <c r="Y623" s="31">
        <v>0</v>
      </c>
      <c r="Z623" s="31">
        <v>0</v>
      </c>
      <c r="AA623" s="31">
        <v>0</v>
      </c>
      <c r="AB623" s="31">
        <v>0</v>
      </c>
      <c r="AC623" s="31">
        <v>0</v>
      </c>
      <c r="AD623" s="31">
        <v>0</v>
      </c>
      <c r="AE623" s="31">
        <v>0</v>
      </c>
      <c r="AF623" s="31">
        <v>0</v>
      </c>
      <c r="AG623" s="31">
        <v>0</v>
      </c>
      <c r="AH623" s="31">
        <v>0</v>
      </c>
    </row>
    <row r="624" spans="1:34" x14ac:dyDescent="0.25">
      <c r="A624" s="31">
        <v>32</v>
      </c>
      <c r="B624" s="31">
        <v>25202</v>
      </c>
      <c r="C624" s="31">
        <v>2</v>
      </c>
      <c r="D624" s="31" t="s">
        <v>1011</v>
      </c>
      <c r="E624" s="31"/>
      <c r="F624" s="31">
        <v>0</v>
      </c>
      <c r="G624" s="31">
        <v>0</v>
      </c>
      <c r="H624" s="31">
        <v>0</v>
      </c>
      <c r="I624" s="31">
        <v>0</v>
      </c>
      <c r="J624" s="31">
        <v>0</v>
      </c>
      <c r="K624" s="31" t="s">
        <v>882</v>
      </c>
      <c r="L624" s="31">
        <v>0</v>
      </c>
      <c r="M624" s="31">
        <v>0</v>
      </c>
      <c r="N624" s="31">
        <v>0</v>
      </c>
      <c r="O624" s="31">
        <v>0</v>
      </c>
      <c r="P624" s="31">
        <v>0</v>
      </c>
      <c r="Q624" s="31">
        <v>0</v>
      </c>
      <c r="R624" s="31">
        <v>0</v>
      </c>
      <c r="S624" s="31">
        <v>0</v>
      </c>
      <c r="T624" s="31">
        <v>0</v>
      </c>
      <c r="U624" s="31">
        <v>0</v>
      </c>
      <c r="V624" s="31">
        <v>0</v>
      </c>
      <c r="W624" s="31">
        <v>0</v>
      </c>
      <c r="X624" s="31">
        <v>0</v>
      </c>
      <c r="Y624" s="31">
        <v>0</v>
      </c>
      <c r="Z624" s="31">
        <v>0</v>
      </c>
      <c r="AA624" s="31">
        <v>0</v>
      </c>
      <c r="AB624" s="31">
        <v>0</v>
      </c>
      <c r="AC624" s="31">
        <v>0</v>
      </c>
      <c r="AD624" s="31">
        <v>0</v>
      </c>
      <c r="AE624" s="31">
        <v>0</v>
      </c>
      <c r="AF624" s="31">
        <v>0</v>
      </c>
      <c r="AG624" s="31">
        <v>0</v>
      </c>
      <c r="AH624" s="31">
        <v>0</v>
      </c>
    </row>
    <row r="625" spans="1:34" x14ac:dyDescent="0.25">
      <c r="A625" s="31">
        <v>32</v>
      </c>
      <c r="B625" s="31">
        <v>25202</v>
      </c>
      <c r="C625" s="31">
        <v>1</v>
      </c>
      <c r="D625" s="31" t="s">
        <v>1012</v>
      </c>
      <c r="E625" s="31"/>
      <c r="F625" s="31">
        <v>0</v>
      </c>
      <c r="G625" s="31">
        <v>0</v>
      </c>
      <c r="H625" s="31">
        <v>0</v>
      </c>
      <c r="I625" s="31">
        <v>0</v>
      </c>
      <c r="J625" s="31">
        <v>0</v>
      </c>
      <c r="K625" s="31" t="s">
        <v>882</v>
      </c>
      <c r="L625" s="31">
        <v>0</v>
      </c>
      <c r="M625" s="31">
        <v>0</v>
      </c>
      <c r="N625" s="31">
        <v>0</v>
      </c>
      <c r="O625" s="31">
        <v>0</v>
      </c>
      <c r="P625" s="31">
        <v>0</v>
      </c>
      <c r="Q625" s="31">
        <v>0</v>
      </c>
      <c r="R625" s="31">
        <v>0</v>
      </c>
      <c r="S625" s="31">
        <v>0</v>
      </c>
      <c r="T625" s="31">
        <v>0</v>
      </c>
      <c r="U625" s="31">
        <v>0</v>
      </c>
      <c r="V625" s="31">
        <v>0</v>
      </c>
      <c r="W625" s="31">
        <v>0</v>
      </c>
      <c r="X625" s="31">
        <v>0</v>
      </c>
      <c r="Y625" s="31">
        <v>0</v>
      </c>
      <c r="Z625" s="31">
        <v>0</v>
      </c>
      <c r="AA625" s="31">
        <v>0</v>
      </c>
      <c r="AB625" s="31">
        <v>0</v>
      </c>
      <c r="AC625" s="31">
        <v>0</v>
      </c>
      <c r="AD625" s="31">
        <v>0</v>
      </c>
      <c r="AE625" s="31">
        <v>0</v>
      </c>
      <c r="AF625" s="31">
        <v>0</v>
      </c>
      <c r="AG625" s="31">
        <v>0</v>
      </c>
      <c r="AH625" s="31">
        <v>0</v>
      </c>
    </row>
    <row r="626" spans="1:34" x14ac:dyDescent="0.25">
      <c r="A626" s="31">
        <v>32</v>
      </c>
      <c r="B626" s="31">
        <v>25202</v>
      </c>
      <c r="C626" s="31">
        <v>1</v>
      </c>
      <c r="D626" s="31" t="s">
        <v>1013</v>
      </c>
      <c r="E626" s="31"/>
      <c r="F626" s="31">
        <v>0</v>
      </c>
      <c r="G626" s="31">
        <v>0</v>
      </c>
      <c r="H626" s="31">
        <v>0</v>
      </c>
      <c r="I626" s="31">
        <v>0</v>
      </c>
      <c r="J626" s="31">
        <v>0</v>
      </c>
      <c r="K626" s="31" t="s">
        <v>882</v>
      </c>
      <c r="L626" s="31">
        <v>0</v>
      </c>
      <c r="M626" s="31">
        <v>0</v>
      </c>
      <c r="N626" s="31">
        <v>0</v>
      </c>
      <c r="O626" s="31">
        <v>0</v>
      </c>
      <c r="P626" s="31">
        <v>0</v>
      </c>
      <c r="Q626" s="31">
        <v>0</v>
      </c>
      <c r="R626" s="31">
        <v>0</v>
      </c>
      <c r="S626" s="31">
        <v>0</v>
      </c>
      <c r="T626" s="31">
        <v>0</v>
      </c>
      <c r="U626" s="31">
        <v>0</v>
      </c>
      <c r="V626" s="31">
        <v>0</v>
      </c>
      <c r="W626" s="31">
        <v>0</v>
      </c>
      <c r="X626" s="31">
        <v>0</v>
      </c>
      <c r="Y626" s="31">
        <v>0</v>
      </c>
      <c r="Z626" s="31">
        <v>0</v>
      </c>
      <c r="AA626" s="31">
        <v>0</v>
      </c>
      <c r="AB626" s="31">
        <v>0</v>
      </c>
      <c r="AC626" s="31">
        <v>0</v>
      </c>
      <c r="AD626" s="31">
        <v>0</v>
      </c>
      <c r="AE626" s="31">
        <v>0</v>
      </c>
      <c r="AF626" s="31">
        <v>0</v>
      </c>
      <c r="AG626" s="31">
        <v>0</v>
      </c>
      <c r="AH626" s="31">
        <v>0</v>
      </c>
    </row>
    <row r="627" spans="1:34" x14ac:dyDescent="0.25">
      <c r="A627" s="31">
        <v>32</v>
      </c>
      <c r="B627" s="31">
        <v>25202</v>
      </c>
      <c r="C627" s="31">
        <v>1</v>
      </c>
      <c r="D627" s="31" t="s">
        <v>1014</v>
      </c>
      <c r="E627" s="31"/>
      <c r="F627" s="31">
        <v>0</v>
      </c>
      <c r="G627" s="31">
        <v>0</v>
      </c>
      <c r="H627" s="31">
        <v>0</v>
      </c>
      <c r="I627" s="31">
        <v>0</v>
      </c>
      <c r="J627" s="31">
        <v>0</v>
      </c>
      <c r="K627" s="31" t="s">
        <v>882</v>
      </c>
      <c r="L627" s="31">
        <v>0</v>
      </c>
      <c r="M627" s="31">
        <v>0</v>
      </c>
      <c r="N627" s="31">
        <v>0</v>
      </c>
      <c r="O627" s="31">
        <v>0</v>
      </c>
      <c r="P627" s="31">
        <v>0</v>
      </c>
      <c r="Q627" s="31">
        <v>0</v>
      </c>
      <c r="R627" s="31">
        <v>0</v>
      </c>
      <c r="S627" s="31">
        <v>0</v>
      </c>
      <c r="T627" s="31">
        <v>0</v>
      </c>
      <c r="U627" s="31">
        <v>0</v>
      </c>
      <c r="V627" s="31">
        <v>0</v>
      </c>
      <c r="W627" s="31">
        <v>0</v>
      </c>
      <c r="X627" s="31">
        <v>0</v>
      </c>
      <c r="Y627" s="31">
        <v>0</v>
      </c>
      <c r="Z627" s="31">
        <v>0</v>
      </c>
      <c r="AA627" s="31">
        <v>0</v>
      </c>
      <c r="AB627" s="31">
        <v>0</v>
      </c>
      <c r="AC627" s="31">
        <v>0</v>
      </c>
      <c r="AD627" s="31">
        <v>0</v>
      </c>
      <c r="AE627" s="31">
        <v>0</v>
      </c>
      <c r="AF627" s="31">
        <v>0</v>
      </c>
      <c r="AG627" s="31">
        <v>0</v>
      </c>
      <c r="AH627" s="31">
        <v>0</v>
      </c>
    </row>
    <row r="628" spans="1:34" x14ac:dyDescent="0.25">
      <c r="A628" s="31">
        <v>32</v>
      </c>
      <c r="B628" s="31">
        <v>25202</v>
      </c>
      <c r="C628" s="31">
        <v>1</v>
      </c>
      <c r="D628" s="31" t="s">
        <v>1015</v>
      </c>
      <c r="E628" s="31"/>
      <c r="F628" s="31">
        <v>0</v>
      </c>
      <c r="G628" s="31">
        <v>0</v>
      </c>
      <c r="H628" s="31">
        <v>0</v>
      </c>
      <c r="I628" s="31">
        <v>0</v>
      </c>
      <c r="J628" s="31">
        <v>0</v>
      </c>
      <c r="K628" s="31" t="s">
        <v>882</v>
      </c>
      <c r="L628" s="31">
        <v>0</v>
      </c>
      <c r="M628" s="31">
        <v>0</v>
      </c>
      <c r="N628" s="31">
        <v>0</v>
      </c>
      <c r="O628" s="31">
        <v>0</v>
      </c>
      <c r="P628" s="31">
        <v>0</v>
      </c>
      <c r="Q628" s="31">
        <v>0</v>
      </c>
      <c r="R628" s="31">
        <v>0</v>
      </c>
      <c r="S628" s="31">
        <v>0</v>
      </c>
      <c r="T628" s="31">
        <v>0</v>
      </c>
      <c r="U628" s="31">
        <v>0</v>
      </c>
      <c r="V628" s="31">
        <v>0</v>
      </c>
      <c r="W628" s="31">
        <v>0</v>
      </c>
      <c r="X628" s="31">
        <v>0</v>
      </c>
      <c r="Y628" s="31">
        <v>0</v>
      </c>
      <c r="Z628" s="31">
        <v>0</v>
      </c>
      <c r="AA628" s="31">
        <v>0</v>
      </c>
      <c r="AB628" s="31">
        <v>0</v>
      </c>
      <c r="AC628" s="31">
        <v>0</v>
      </c>
      <c r="AD628" s="31">
        <v>0</v>
      </c>
      <c r="AE628" s="31">
        <v>0</v>
      </c>
      <c r="AF628" s="31">
        <v>0</v>
      </c>
      <c r="AG628" s="31">
        <v>0</v>
      </c>
      <c r="AH628" s="31">
        <v>0</v>
      </c>
    </row>
    <row r="629" spans="1:34" x14ac:dyDescent="0.25">
      <c r="A629" s="31">
        <v>32</v>
      </c>
      <c r="B629" s="31">
        <v>25202</v>
      </c>
      <c r="C629" s="31">
        <v>31</v>
      </c>
      <c r="D629" s="31" t="s">
        <v>1015</v>
      </c>
      <c r="E629" s="31"/>
      <c r="F629" s="31">
        <v>0</v>
      </c>
      <c r="G629" s="31">
        <v>0</v>
      </c>
      <c r="H629" s="31">
        <v>0</v>
      </c>
      <c r="I629" s="31">
        <v>0</v>
      </c>
      <c r="J629" s="31">
        <v>0</v>
      </c>
      <c r="K629" s="31" t="s">
        <v>882</v>
      </c>
      <c r="L629" s="31">
        <v>0</v>
      </c>
      <c r="M629" s="31">
        <v>0</v>
      </c>
      <c r="N629" s="31">
        <v>0</v>
      </c>
      <c r="O629" s="31">
        <v>0</v>
      </c>
      <c r="P629" s="31">
        <v>0</v>
      </c>
      <c r="Q629" s="31">
        <v>0</v>
      </c>
      <c r="R629" s="31">
        <v>0</v>
      </c>
      <c r="S629" s="31">
        <v>0</v>
      </c>
      <c r="T629" s="31">
        <v>0</v>
      </c>
      <c r="U629" s="31">
        <v>0</v>
      </c>
      <c r="V629" s="31">
        <v>0</v>
      </c>
      <c r="W629" s="31">
        <v>0</v>
      </c>
      <c r="X629" s="31">
        <v>0</v>
      </c>
      <c r="Y629" s="31">
        <v>0</v>
      </c>
      <c r="Z629" s="31">
        <v>0</v>
      </c>
      <c r="AA629" s="31">
        <v>0</v>
      </c>
      <c r="AB629" s="31">
        <v>0</v>
      </c>
      <c r="AC629" s="31">
        <v>0</v>
      </c>
      <c r="AD629" s="31">
        <v>0</v>
      </c>
      <c r="AE629" s="31">
        <v>0</v>
      </c>
      <c r="AF629" s="31">
        <v>0</v>
      </c>
      <c r="AG629" s="31">
        <v>0</v>
      </c>
      <c r="AH629" s="31">
        <v>0</v>
      </c>
    </row>
    <row r="630" spans="1:34" x14ac:dyDescent="0.25">
      <c r="A630" s="31">
        <v>32</v>
      </c>
      <c r="B630" s="31">
        <v>25202</v>
      </c>
      <c r="C630" s="31">
        <v>11</v>
      </c>
      <c r="D630" s="31" t="s">
        <v>1015</v>
      </c>
      <c r="E630" s="31"/>
      <c r="F630" s="31">
        <v>0</v>
      </c>
      <c r="G630" s="31">
        <v>0</v>
      </c>
      <c r="H630" s="31">
        <v>0</v>
      </c>
      <c r="I630" s="31">
        <v>0</v>
      </c>
      <c r="J630" s="31">
        <v>0</v>
      </c>
      <c r="K630" s="31" t="s">
        <v>882</v>
      </c>
      <c r="L630" s="31">
        <v>0</v>
      </c>
      <c r="M630" s="31">
        <v>0</v>
      </c>
      <c r="N630" s="31">
        <v>0</v>
      </c>
      <c r="O630" s="31">
        <v>0</v>
      </c>
      <c r="P630" s="31">
        <v>0</v>
      </c>
      <c r="Q630" s="31">
        <v>0</v>
      </c>
      <c r="R630" s="31">
        <v>0</v>
      </c>
      <c r="S630" s="31">
        <v>0</v>
      </c>
      <c r="T630" s="31">
        <v>0</v>
      </c>
      <c r="U630" s="31">
        <v>0</v>
      </c>
      <c r="V630" s="31">
        <v>0</v>
      </c>
      <c r="W630" s="31">
        <v>0</v>
      </c>
      <c r="X630" s="31">
        <v>0</v>
      </c>
      <c r="Y630" s="31">
        <v>0</v>
      </c>
      <c r="Z630" s="31">
        <v>0</v>
      </c>
      <c r="AA630" s="31">
        <v>0</v>
      </c>
      <c r="AB630" s="31">
        <v>0</v>
      </c>
      <c r="AC630" s="31">
        <v>0</v>
      </c>
      <c r="AD630" s="31">
        <v>0</v>
      </c>
      <c r="AE630" s="31">
        <v>0</v>
      </c>
      <c r="AF630" s="31">
        <v>0</v>
      </c>
      <c r="AG630" s="31">
        <v>0</v>
      </c>
      <c r="AH630" s="31">
        <v>0</v>
      </c>
    </row>
    <row r="631" spans="1:34" x14ac:dyDescent="0.25">
      <c r="A631" s="31">
        <v>32</v>
      </c>
      <c r="B631" s="31">
        <v>25202</v>
      </c>
      <c r="C631" s="31">
        <v>41</v>
      </c>
      <c r="D631" s="31" t="s">
        <v>1015</v>
      </c>
      <c r="E631" s="31"/>
      <c r="F631" s="31">
        <v>0</v>
      </c>
      <c r="G631" s="31">
        <v>0</v>
      </c>
      <c r="H631" s="31">
        <v>0</v>
      </c>
      <c r="I631" s="31">
        <v>0</v>
      </c>
      <c r="J631" s="31">
        <v>0</v>
      </c>
      <c r="K631" s="31" t="s">
        <v>882</v>
      </c>
      <c r="L631" s="31">
        <v>0</v>
      </c>
      <c r="M631" s="31">
        <v>0</v>
      </c>
      <c r="N631" s="31">
        <v>0</v>
      </c>
      <c r="O631" s="31">
        <v>0</v>
      </c>
      <c r="P631" s="31">
        <v>0</v>
      </c>
      <c r="Q631" s="31">
        <v>0</v>
      </c>
      <c r="R631" s="31">
        <v>0</v>
      </c>
      <c r="S631" s="31">
        <v>0</v>
      </c>
      <c r="T631" s="31">
        <v>0</v>
      </c>
      <c r="U631" s="31">
        <v>0</v>
      </c>
      <c r="V631" s="31">
        <v>0</v>
      </c>
      <c r="W631" s="31">
        <v>0</v>
      </c>
      <c r="X631" s="31">
        <v>0</v>
      </c>
      <c r="Y631" s="31">
        <v>0</v>
      </c>
      <c r="Z631" s="31">
        <v>0</v>
      </c>
      <c r="AA631" s="31">
        <v>0</v>
      </c>
      <c r="AB631" s="31">
        <v>0</v>
      </c>
      <c r="AC631" s="31">
        <v>0</v>
      </c>
      <c r="AD631" s="31">
        <v>0</v>
      </c>
      <c r="AE631" s="31">
        <v>0</v>
      </c>
      <c r="AF631" s="31">
        <v>0</v>
      </c>
      <c r="AG631" s="31">
        <v>0</v>
      </c>
      <c r="AH631" s="31">
        <v>0</v>
      </c>
    </row>
    <row r="632" spans="1:34" x14ac:dyDescent="0.25">
      <c r="A632" s="31">
        <v>32</v>
      </c>
      <c r="B632" s="31">
        <v>25202</v>
      </c>
      <c r="C632" s="31">
        <v>1</v>
      </c>
      <c r="D632" s="31" t="s">
        <v>1016</v>
      </c>
      <c r="E632" s="31"/>
      <c r="F632" s="31">
        <v>0</v>
      </c>
      <c r="G632" s="31">
        <v>0</v>
      </c>
      <c r="H632" s="31">
        <v>0</v>
      </c>
      <c r="I632" s="31">
        <v>0</v>
      </c>
      <c r="J632" s="31">
        <v>0</v>
      </c>
      <c r="K632" s="31" t="s">
        <v>882</v>
      </c>
      <c r="L632" s="31">
        <v>0</v>
      </c>
      <c r="M632" s="31">
        <v>0</v>
      </c>
      <c r="N632" s="31">
        <v>0</v>
      </c>
      <c r="O632" s="31">
        <v>0</v>
      </c>
      <c r="P632" s="31">
        <v>0</v>
      </c>
      <c r="Q632" s="31">
        <v>0</v>
      </c>
      <c r="R632" s="31">
        <v>0</v>
      </c>
      <c r="S632" s="31">
        <v>0</v>
      </c>
      <c r="T632" s="31">
        <v>0</v>
      </c>
      <c r="U632" s="31">
        <v>0</v>
      </c>
      <c r="V632" s="31">
        <v>0</v>
      </c>
      <c r="W632" s="31">
        <v>0</v>
      </c>
      <c r="X632" s="31">
        <v>0</v>
      </c>
      <c r="Y632" s="31">
        <v>0</v>
      </c>
      <c r="Z632" s="31">
        <v>0</v>
      </c>
      <c r="AA632" s="31">
        <v>0</v>
      </c>
      <c r="AB632" s="31">
        <v>0</v>
      </c>
      <c r="AC632" s="31">
        <v>0</v>
      </c>
      <c r="AD632" s="31">
        <v>0</v>
      </c>
      <c r="AE632" s="31">
        <v>0</v>
      </c>
      <c r="AF632" s="31">
        <v>0</v>
      </c>
      <c r="AG632" s="31">
        <v>0</v>
      </c>
      <c r="AH632" s="31">
        <v>0</v>
      </c>
    </row>
    <row r="633" spans="1:34" x14ac:dyDescent="0.25">
      <c r="A633" s="31">
        <v>32</v>
      </c>
      <c r="B633" s="31">
        <v>25236</v>
      </c>
      <c r="C633" s="31">
        <v>12</v>
      </c>
      <c r="D633" s="31" t="s">
        <v>1017</v>
      </c>
      <c r="E633" s="31"/>
      <c r="F633" s="31">
        <v>0</v>
      </c>
      <c r="G633" s="31">
        <v>0</v>
      </c>
      <c r="H633" s="31">
        <v>0</v>
      </c>
      <c r="I633" s="31">
        <v>0</v>
      </c>
      <c r="J633" s="31">
        <v>0</v>
      </c>
      <c r="K633" s="31" t="s">
        <v>882</v>
      </c>
      <c r="L633" s="31">
        <v>0</v>
      </c>
      <c r="M633" s="31">
        <v>0</v>
      </c>
      <c r="N633" s="31">
        <v>0</v>
      </c>
      <c r="O633" s="31">
        <v>0</v>
      </c>
      <c r="P633" s="31">
        <v>0</v>
      </c>
      <c r="Q633" s="31">
        <v>0</v>
      </c>
      <c r="R633" s="31">
        <v>0</v>
      </c>
      <c r="S633" s="31">
        <v>0</v>
      </c>
      <c r="T633" s="31">
        <v>0</v>
      </c>
      <c r="U633" s="31">
        <v>0</v>
      </c>
      <c r="V633" s="31">
        <v>0</v>
      </c>
      <c r="W633" s="31">
        <v>0</v>
      </c>
      <c r="X633" s="31">
        <v>0</v>
      </c>
      <c r="Y633" s="31">
        <v>0</v>
      </c>
      <c r="Z633" s="31">
        <v>0</v>
      </c>
      <c r="AA633" s="31">
        <v>0</v>
      </c>
      <c r="AB633" s="31">
        <v>0</v>
      </c>
      <c r="AC633" s="31">
        <v>0</v>
      </c>
      <c r="AD633" s="31">
        <v>0</v>
      </c>
      <c r="AE633" s="31">
        <v>0</v>
      </c>
      <c r="AF633" s="31">
        <v>0</v>
      </c>
      <c r="AG633" s="31">
        <v>0</v>
      </c>
      <c r="AH633" s="31">
        <v>0</v>
      </c>
    </row>
    <row r="634" spans="1:34" x14ac:dyDescent="0.25">
      <c r="A634" s="31">
        <v>32</v>
      </c>
      <c r="B634" s="31">
        <v>25202</v>
      </c>
      <c r="C634" s="31">
        <v>13</v>
      </c>
      <c r="D634" s="31" t="s">
        <v>1017</v>
      </c>
      <c r="E634" s="31"/>
      <c r="F634" s="31">
        <v>0</v>
      </c>
      <c r="G634" s="31">
        <v>0</v>
      </c>
      <c r="H634" s="31">
        <v>0</v>
      </c>
      <c r="I634" s="31">
        <v>0</v>
      </c>
      <c r="J634" s="31">
        <v>0</v>
      </c>
      <c r="K634" s="31" t="s">
        <v>882</v>
      </c>
      <c r="L634" s="31">
        <v>0</v>
      </c>
      <c r="M634" s="31">
        <v>0</v>
      </c>
      <c r="N634" s="31">
        <v>0</v>
      </c>
      <c r="O634" s="31">
        <v>0</v>
      </c>
      <c r="P634" s="31">
        <v>0</v>
      </c>
      <c r="Q634" s="31">
        <v>0</v>
      </c>
      <c r="R634" s="31">
        <v>0</v>
      </c>
      <c r="S634" s="31">
        <v>0</v>
      </c>
      <c r="T634" s="31">
        <v>0</v>
      </c>
      <c r="U634" s="31">
        <v>0</v>
      </c>
      <c r="V634" s="31">
        <v>0</v>
      </c>
      <c r="W634" s="31">
        <v>0</v>
      </c>
      <c r="X634" s="31">
        <v>0</v>
      </c>
      <c r="Y634" s="31">
        <v>0</v>
      </c>
      <c r="Z634" s="31">
        <v>0</v>
      </c>
      <c r="AA634" s="31">
        <v>0</v>
      </c>
      <c r="AB634" s="31">
        <v>0</v>
      </c>
      <c r="AC634" s="31">
        <v>0</v>
      </c>
      <c r="AD634" s="31">
        <v>0</v>
      </c>
      <c r="AE634" s="31">
        <v>0</v>
      </c>
      <c r="AF634" s="31">
        <v>0</v>
      </c>
      <c r="AG634" s="31">
        <v>0</v>
      </c>
      <c r="AH634" s="31">
        <v>0</v>
      </c>
    </row>
    <row r="635" spans="1:34" x14ac:dyDescent="0.25">
      <c r="A635" s="31">
        <v>32</v>
      </c>
      <c r="B635" s="31">
        <v>25236</v>
      </c>
      <c r="C635" s="31">
        <v>21</v>
      </c>
      <c r="D635" s="31" t="s">
        <v>1017</v>
      </c>
      <c r="E635" s="31"/>
      <c r="F635" s="31">
        <v>0</v>
      </c>
      <c r="G635" s="31">
        <v>0</v>
      </c>
      <c r="H635" s="31">
        <v>0</v>
      </c>
      <c r="I635" s="31">
        <v>0</v>
      </c>
      <c r="J635" s="31">
        <v>0</v>
      </c>
      <c r="K635" s="31" t="s">
        <v>882</v>
      </c>
      <c r="L635" s="31">
        <v>0</v>
      </c>
      <c r="M635" s="31">
        <v>0</v>
      </c>
      <c r="N635" s="31">
        <v>0</v>
      </c>
      <c r="O635" s="31">
        <v>0</v>
      </c>
      <c r="P635" s="31">
        <v>0</v>
      </c>
      <c r="Q635" s="31">
        <v>0</v>
      </c>
      <c r="R635" s="31">
        <v>0</v>
      </c>
      <c r="S635" s="31">
        <v>0</v>
      </c>
      <c r="T635" s="31">
        <v>0</v>
      </c>
      <c r="U635" s="31">
        <v>0</v>
      </c>
      <c r="V635" s="31">
        <v>0</v>
      </c>
      <c r="W635" s="31">
        <v>0</v>
      </c>
      <c r="X635" s="31">
        <v>0</v>
      </c>
      <c r="Y635" s="31">
        <v>0</v>
      </c>
      <c r="Z635" s="31">
        <v>0</v>
      </c>
      <c r="AA635" s="31">
        <v>0</v>
      </c>
      <c r="AB635" s="31">
        <v>0</v>
      </c>
      <c r="AC635" s="31">
        <v>0</v>
      </c>
      <c r="AD635" s="31">
        <v>0</v>
      </c>
      <c r="AE635" s="31">
        <v>0</v>
      </c>
      <c r="AF635" s="31">
        <v>0</v>
      </c>
      <c r="AG635" s="31">
        <v>0</v>
      </c>
      <c r="AH635" s="31">
        <v>0</v>
      </c>
    </row>
    <row r="636" spans="1:34" x14ac:dyDescent="0.25">
      <c r="A636" s="31">
        <v>32</v>
      </c>
      <c r="B636" s="31">
        <v>25236</v>
      </c>
      <c r="C636" s="31">
        <v>1</v>
      </c>
      <c r="D636" s="31" t="s">
        <v>1017</v>
      </c>
      <c r="E636" s="31"/>
      <c r="F636" s="31">
        <v>0</v>
      </c>
      <c r="G636" s="31">
        <v>0</v>
      </c>
      <c r="H636" s="31">
        <v>0</v>
      </c>
      <c r="I636" s="31">
        <v>0</v>
      </c>
      <c r="J636" s="31">
        <v>0</v>
      </c>
      <c r="K636" s="31" t="s">
        <v>882</v>
      </c>
      <c r="L636" s="31">
        <v>0</v>
      </c>
      <c r="M636" s="31">
        <v>0</v>
      </c>
      <c r="N636" s="31">
        <v>0</v>
      </c>
      <c r="O636" s="31">
        <v>0</v>
      </c>
      <c r="P636" s="31">
        <v>0</v>
      </c>
      <c r="Q636" s="31">
        <v>0</v>
      </c>
      <c r="R636" s="31">
        <v>0</v>
      </c>
      <c r="S636" s="31">
        <v>0</v>
      </c>
      <c r="T636" s="31">
        <v>0</v>
      </c>
      <c r="U636" s="31">
        <v>0</v>
      </c>
      <c r="V636" s="31">
        <v>0</v>
      </c>
      <c r="W636" s="31">
        <v>0</v>
      </c>
      <c r="X636" s="31">
        <v>0</v>
      </c>
      <c r="Y636" s="31">
        <v>0</v>
      </c>
      <c r="Z636" s="31">
        <v>0</v>
      </c>
      <c r="AA636" s="31">
        <v>0</v>
      </c>
      <c r="AB636" s="31">
        <v>0</v>
      </c>
      <c r="AC636" s="31">
        <v>0</v>
      </c>
      <c r="AD636" s="31">
        <v>0</v>
      </c>
      <c r="AE636" s="31">
        <v>0</v>
      </c>
      <c r="AF636" s="31">
        <v>0</v>
      </c>
      <c r="AG636" s="31">
        <v>0</v>
      </c>
      <c r="AH636" s="31">
        <v>0</v>
      </c>
    </row>
    <row r="637" spans="1:34" x14ac:dyDescent="0.25">
      <c r="A637" s="31">
        <v>32</v>
      </c>
      <c r="B637" s="31">
        <v>25236</v>
      </c>
      <c r="C637" s="31">
        <v>12</v>
      </c>
      <c r="D637" s="31" t="s">
        <v>1017</v>
      </c>
      <c r="E637" s="31"/>
      <c r="F637" s="31">
        <v>0</v>
      </c>
      <c r="G637" s="31">
        <v>0</v>
      </c>
      <c r="H637" s="31">
        <v>0</v>
      </c>
      <c r="I637" s="31">
        <v>0</v>
      </c>
      <c r="J637" s="31">
        <v>0</v>
      </c>
      <c r="K637" s="31" t="s">
        <v>882</v>
      </c>
      <c r="L637" s="31">
        <v>0</v>
      </c>
      <c r="M637" s="31">
        <v>0</v>
      </c>
      <c r="N637" s="31">
        <v>0</v>
      </c>
      <c r="O637" s="31">
        <v>0</v>
      </c>
      <c r="P637" s="31">
        <v>0</v>
      </c>
      <c r="Q637" s="31">
        <v>0</v>
      </c>
      <c r="R637" s="31">
        <v>0</v>
      </c>
      <c r="S637" s="31">
        <v>0</v>
      </c>
      <c r="T637" s="31">
        <v>0</v>
      </c>
      <c r="U637" s="31">
        <v>0</v>
      </c>
      <c r="V637" s="31">
        <v>0</v>
      </c>
      <c r="W637" s="31">
        <v>0</v>
      </c>
      <c r="X637" s="31">
        <v>0</v>
      </c>
      <c r="Y637" s="31">
        <v>0</v>
      </c>
      <c r="Z637" s="31">
        <v>0</v>
      </c>
      <c r="AA637" s="31">
        <v>0</v>
      </c>
      <c r="AB637" s="31">
        <v>0</v>
      </c>
      <c r="AC637" s="31">
        <v>0</v>
      </c>
      <c r="AD637" s="31">
        <v>0</v>
      </c>
      <c r="AE637" s="31">
        <v>0</v>
      </c>
      <c r="AF637" s="31">
        <v>0</v>
      </c>
      <c r="AG637" s="31">
        <v>0</v>
      </c>
      <c r="AH637" s="31">
        <v>0</v>
      </c>
    </row>
    <row r="638" spans="1:34" x14ac:dyDescent="0.25">
      <c r="A638" s="31">
        <v>32</v>
      </c>
      <c r="B638" s="31">
        <v>25236</v>
      </c>
      <c r="C638" s="31">
        <v>11</v>
      </c>
      <c r="D638" s="31" t="s">
        <v>1017</v>
      </c>
      <c r="E638" s="31"/>
      <c r="F638" s="31">
        <v>0</v>
      </c>
      <c r="G638" s="31">
        <v>0</v>
      </c>
      <c r="H638" s="31">
        <v>0</v>
      </c>
      <c r="I638" s="31">
        <v>0</v>
      </c>
      <c r="J638" s="31">
        <v>0</v>
      </c>
      <c r="K638" s="31" t="s">
        <v>882</v>
      </c>
      <c r="L638" s="31">
        <v>0</v>
      </c>
      <c r="M638" s="31">
        <v>0</v>
      </c>
      <c r="N638" s="31">
        <v>0</v>
      </c>
      <c r="O638" s="31">
        <v>0</v>
      </c>
      <c r="P638" s="31">
        <v>0</v>
      </c>
      <c r="Q638" s="31">
        <v>0</v>
      </c>
      <c r="R638" s="31">
        <v>0</v>
      </c>
      <c r="S638" s="31">
        <v>0</v>
      </c>
      <c r="T638" s="31">
        <v>0</v>
      </c>
      <c r="U638" s="31">
        <v>0</v>
      </c>
      <c r="V638" s="31">
        <v>0</v>
      </c>
      <c r="W638" s="31">
        <v>0</v>
      </c>
      <c r="X638" s="31">
        <v>0</v>
      </c>
      <c r="Y638" s="31">
        <v>0</v>
      </c>
      <c r="Z638" s="31">
        <v>0</v>
      </c>
      <c r="AA638" s="31">
        <v>0</v>
      </c>
      <c r="AB638" s="31">
        <v>0</v>
      </c>
      <c r="AC638" s="31">
        <v>0</v>
      </c>
      <c r="AD638" s="31">
        <v>0</v>
      </c>
      <c r="AE638" s="31">
        <v>0</v>
      </c>
      <c r="AF638" s="31">
        <v>0</v>
      </c>
      <c r="AG638" s="31">
        <v>0</v>
      </c>
      <c r="AH638" s="31">
        <v>0</v>
      </c>
    </row>
    <row r="639" spans="1:34" x14ac:dyDescent="0.25">
      <c r="A639" s="31">
        <v>32</v>
      </c>
      <c r="B639" s="31">
        <v>25237</v>
      </c>
      <c r="C639" s="31">
        <v>1</v>
      </c>
      <c r="D639" s="31" t="s">
        <v>1018</v>
      </c>
      <c r="E639" s="31"/>
      <c r="F639" s="31">
        <v>0</v>
      </c>
      <c r="G639" s="31">
        <v>0</v>
      </c>
      <c r="H639" s="31">
        <v>0</v>
      </c>
      <c r="I639" s="31">
        <v>0</v>
      </c>
      <c r="J639" s="31">
        <v>0</v>
      </c>
      <c r="K639" s="31" t="s">
        <v>882</v>
      </c>
      <c r="L639" s="31">
        <v>0</v>
      </c>
      <c r="M639" s="31">
        <v>0</v>
      </c>
      <c r="N639" s="31">
        <v>0</v>
      </c>
      <c r="O639" s="31">
        <v>0</v>
      </c>
      <c r="P639" s="31">
        <v>0</v>
      </c>
      <c r="Q639" s="31">
        <v>0</v>
      </c>
      <c r="R639" s="31">
        <v>0</v>
      </c>
      <c r="S639" s="31">
        <v>0</v>
      </c>
      <c r="T639" s="31">
        <v>0</v>
      </c>
      <c r="U639" s="31">
        <v>0</v>
      </c>
      <c r="V639" s="31">
        <v>0</v>
      </c>
      <c r="W639" s="31">
        <v>0</v>
      </c>
      <c r="X639" s="31">
        <v>0</v>
      </c>
      <c r="Y639" s="31">
        <v>0</v>
      </c>
      <c r="Z639" s="31">
        <v>0</v>
      </c>
      <c r="AA639" s="31">
        <v>0</v>
      </c>
      <c r="AB639" s="31">
        <v>0</v>
      </c>
      <c r="AC639" s="31">
        <v>0</v>
      </c>
      <c r="AD639" s="31">
        <v>0</v>
      </c>
      <c r="AE639" s="31">
        <v>0</v>
      </c>
      <c r="AF639" s="31">
        <v>0</v>
      </c>
      <c r="AG639" s="31">
        <v>0</v>
      </c>
      <c r="AH639" s="31">
        <v>0</v>
      </c>
    </row>
    <row r="640" spans="1:34" x14ac:dyDescent="0.25">
      <c r="A640" s="31">
        <v>32</v>
      </c>
      <c r="B640" s="31">
        <v>25231</v>
      </c>
      <c r="C640" s="31">
        <v>1</v>
      </c>
      <c r="D640" s="31" t="s">
        <v>1019</v>
      </c>
      <c r="E640" s="31"/>
      <c r="F640" s="31">
        <v>0</v>
      </c>
      <c r="G640" s="31">
        <v>0</v>
      </c>
      <c r="H640" s="31">
        <v>0</v>
      </c>
      <c r="I640" s="31">
        <v>0</v>
      </c>
      <c r="J640" s="31">
        <v>0</v>
      </c>
      <c r="K640" s="31" t="s">
        <v>882</v>
      </c>
      <c r="L640" s="31">
        <v>0</v>
      </c>
      <c r="M640" s="31">
        <v>0</v>
      </c>
      <c r="N640" s="31">
        <v>0</v>
      </c>
      <c r="O640" s="31">
        <v>0</v>
      </c>
      <c r="P640" s="31">
        <v>0</v>
      </c>
      <c r="Q640" s="31">
        <v>0</v>
      </c>
      <c r="R640" s="31">
        <v>0</v>
      </c>
      <c r="S640" s="31">
        <v>0</v>
      </c>
      <c r="T640" s="31">
        <v>0</v>
      </c>
      <c r="U640" s="31">
        <v>0</v>
      </c>
      <c r="V640" s="31">
        <v>0</v>
      </c>
      <c r="W640" s="31">
        <v>0</v>
      </c>
      <c r="X640" s="31">
        <v>0</v>
      </c>
      <c r="Y640" s="31">
        <v>0</v>
      </c>
      <c r="Z640" s="31">
        <v>0</v>
      </c>
      <c r="AA640" s="31">
        <v>0</v>
      </c>
      <c r="AB640" s="31">
        <v>0</v>
      </c>
      <c r="AC640" s="31">
        <v>0</v>
      </c>
      <c r="AD640" s="31">
        <v>0</v>
      </c>
      <c r="AE640" s="31">
        <v>0</v>
      </c>
      <c r="AF640" s="31">
        <v>0</v>
      </c>
      <c r="AG640" s="31">
        <v>0</v>
      </c>
      <c r="AH640" s="31">
        <v>0</v>
      </c>
    </row>
    <row r="641" spans="1:34" x14ac:dyDescent="0.25">
      <c r="A641" s="31">
        <v>32</v>
      </c>
      <c r="B641" s="31">
        <v>25233</v>
      </c>
      <c r="C641" s="31">
        <v>1</v>
      </c>
      <c r="D641" s="31" t="s">
        <v>1020</v>
      </c>
      <c r="E641" s="31"/>
      <c r="F641" s="31">
        <v>0</v>
      </c>
      <c r="G641" s="31">
        <v>0</v>
      </c>
      <c r="H641" s="31">
        <v>0</v>
      </c>
      <c r="I641" s="31">
        <v>0</v>
      </c>
      <c r="J641" s="31">
        <v>0</v>
      </c>
      <c r="K641" s="31" t="s">
        <v>882</v>
      </c>
      <c r="L641" s="31">
        <v>0</v>
      </c>
      <c r="M641" s="31">
        <v>0</v>
      </c>
      <c r="N641" s="31">
        <v>0</v>
      </c>
      <c r="O641" s="31">
        <v>0</v>
      </c>
      <c r="P641" s="31">
        <v>0</v>
      </c>
      <c r="Q641" s="31">
        <v>0</v>
      </c>
      <c r="R641" s="31">
        <v>0</v>
      </c>
      <c r="S641" s="31">
        <v>0</v>
      </c>
      <c r="T641" s="31">
        <v>0</v>
      </c>
      <c r="U641" s="31">
        <v>0</v>
      </c>
      <c r="V641" s="31">
        <v>0</v>
      </c>
      <c r="W641" s="31">
        <v>0</v>
      </c>
      <c r="X641" s="31">
        <v>0</v>
      </c>
      <c r="Y641" s="31">
        <v>0</v>
      </c>
      <c r="Z641" s="31">
        <v>0</v>
      </c>
      <c r="AA641" s="31">
        <v>0</v>
      </c>
      <c r="AB641" s="31">
        <v>0</v>
      </c>
      <c r="AC641" s="31">
        <v>0</v>
      </c>
      <c r="AD641" s="31">
        <v>0</v>
      </c>
      <c r="AE641" s="31">
        <v>0</v>
      </c>
      <c r="AF641" s="31">
        <v>0</v>
      </c>
      <c r="AG641" s="31">
        <v>0</v>
      </c>
      <c r="AH641" s="31">
        <v>0</v>
      </c>
    </row>
    <row r="642" spans="1:34" x14ac:dyDescent="0.25">
      <c r="A642" s="31">
        <v>32</v>
      </c>
      <c r="B642" s="31">
        <v>25235</v>
      </c>
      <c r="C642" s="31">
        <v>1</v>
      </c>
      <c r="D642" s="31" t="s">
        <v>1021</v>
      </c>
      <c r="E642" s="31"/>
      <c r="F642" s="31">
        <v>0</v>
      </c>
      <c r="G642" s="31">
        <v>0</v>
      </c>
      <c r="H642" s="31">
        <v>0</v>
      </c>
      <c r="I642" s="31">
        <v>0</v>
      </c>
      <c r="J642" s="31">
        <v>0</v>
      </c>
      <c r="K642" s="31" t="s">
        <v>882</v>
      </c>
      <c r="L642" s="31">
        <v>0</v>
      </c>
      <c r="M642" s="31">
        <v>0</v>
      </c>
      <c r="N642" s="31">
        <v>0</v>
      </c>
      <c r="O642" s="31">
        <v>0</v>
      </c>
      <c r="P642" s="31">
        <v>0</v>
      </c>
      <c r="Q642" s="31">
        <v>0</v>
      </c>
      <c r="R642" s="31">
        <v>0</v>
      </c>
      <c r="S642" s="31">
        <v>0</v>
      </c>
      <c r="T642" s="31">
        <v>0</v>
      </c>
      <c r="U642" s="31">
        <v>0</v>
      </c>
      <c r="V642" s="31">
        <v>0</v>
      </c>
      <c r="W642" s="31">
        <v>0</v>
      </c>
      <c r="X642" s="31">
        <v>0</v>
      </c>
      <c r="Y642" s="31">
        <v>0</v>
      </c>
      <c r="Z642" s="31">
        <v>0</v>
      </c>
      <c r="AA642" s="31">
        <v>0</v>
      </c>
      <c r="AB642" s="31">
        <v>0</v>
      </c>
      <c r="AC642" s="31">
        <v>0</v>
      </c>
      <c r="AD642" s="31">
        <v>0</v>
      </c>
      <c r="AE642" s="31">
        <v>0</v>
      </c>
      <c r="AF642" s="31">
        <v>0</v>
      </c>
      <c r="AG642" s="31">
        <v>0</v>
      </c>
      <c r="AH642" s="31">
        <v>0</v>
      </c>
    </row>
    <row r="643" spans="1:34" x14ac:dyDescent="0.25">
      <c r="A643" s="31">
        <v>32</v>
      </c>
      <c r="B643" s="31">
        <v>25201</v>
      </c>
      <c r="C643" s="31">
        <v>1</v>
      </c>
      <c r="D643" s="31" t="s">
        <v>1022</v>
      </c>
      <c r="E643" s="31"/>
      <c r="F643" s="31">
        <v>0</v>
      </c>
      <c r="G643" s="31">
        <v>0</v>
      </c>
      <c r="H643" s="31">
        <v>0</v>
      </c>
      <c r="I643" s="31">
        <v>0</v>
      </c>
      <c r="J643" s="31">
        <v>0</v>
      </c>
      <c r="K643" s="31" t="s">
        <v>882</v>
      </c>
      <c r="L643" s="31">
        <v>0</v>
      </c>
      <c r="M643" s="31">
        <v>0</v>
      </c>
      <c r="N643" s="31">
        <v>0</v>
      </c>
      <c r="O643" s="31">
        <v>0</v>
      </c>
      <c r="P643" s="31">
        <v>0</v>
      </c>
      <c r="Q643" s="31">
        <v>0</v>
      </c>
      <c r="R643" s="31">
        <v>0</v>
      </c>
      <c r="S643" s="31">
        <v>0</v>
      </c>
      <c r="T643" s="31">
        <v>0</v>
      </c>
      <c r="U643" s="31">
        <v>0</v>
      </c>
      <c r="V643" s="31">
        <v>0</v>
      </c>
      <c r="W643" s="31">
        <v>0</v>
      </c>
      <c r="X643" s="31">
        <v>0</v>
      </c>
      <c r="Y643" s="31">
        <v>0</v>
      </c>
      <c r="Z643" s="31">
        <v>0</v>
      </c>
      <c r="AA643" s="31">
        <v>0</v>
      </c>
      <c r="AB643" s="31">
        <v>0</v>
      </c>
      <c r="AC643" s="31">
        <v>0</v>
      </c>
      <c r="AD643" s="31">
        <v>0</v>
      </c>
      <c r="AE643" s="31">
        <v>0</v>
      </c>
      <c r="AF643" s="31">
        <v>0</v>
      </c>
      <c r="AG643" s="31">
        <v>0</v>
      </c>
      <c r="AH643" s="31">
        <v>0</v>
      </c>
    </row>
    <row r="644" spans="1:34" x14ac:dyDescent="0.25">
      <c r="A644" s="31">
        <v>32</v>
      </c>
      <c r="B644" s="31">
        <v>25201</v>
      </c>
      <c r="C644" s="31">
        <v>3</v>
      </c>
      <c r="D644" s="31" t="s">
        <v>1023</v>
      </c>
      <c r="E644" s="31"/>
      <c r="F644" s="31">
        <v>0</v>
      </c>
      <c r="G644" s="31">
        <v>0</v>
      </c>
      <c r="H644" s="31">
        <v>0</v>
      </c>
      <c r="I644" s="31">
        <v>0</v>
      </c>
      <c r="J644" s="31">
        <v>0</v>
      </c>
      <c r="K644" s="31" t="s">
        <v>882</v>
      </c>
      <c r="L644" s="31">
        <v>0</v>
      </c>
      <c r="M644" s="31">
        <v>0</v>
      </c>
      <c r="N644" s="31">
        <v>0</v>
      </c>
      <c r="O644" s="31">
        <v>0</v>
      </c>
      <c r="P644" s="31">
        <v>0</v>
      </c>
      <c r="Q644" s="31">
        <v>0</v>
      </c>
      <c r="R644" s="31">
        <v>0</v>
      </c>
      <c r="S644" s="31">
        <v>0</v>
      </c>
      <c r="T644" s="31">
        <v>0</v>
      </c>
      <c r="U644" s="31">
        <v>0</v>
      </c>
      <c r="V644" s="31">
        <v>0</v>
      </c>
      <c r="W644" s="31">
        <v>0</v>
      </c>
      <c r="X644" s="31">
        <v>0</v>
      </c>
      <c r="Y644" s="31">
        <v>0</v>
      </c>
      <c r="Z644" s="31">
        <v>0</v>
      </c>
      <c r="AA644" s="31">
        <v>0</v>
      </c>
      <c r="AB644" s="31">
        <v>0</v>
      </c>
      <c r="AC644" s="31">
        <v>0</v>
      </c>
      <c r="AD644" s="31">
        <v>0</v>
      </c>
      <c r="AE644" s="31">
        <v>0</v>
      </c>
      <c r="AF644" s="31">
        <v>0</v>
      </c>
      <c r="AG644" s="31">
        <v>0</v>
      </c>
      <c r="AH644" s="31">
        <v>0</v>
      </c>
    </row>
    <row r="645" spans="1:34" x14ac:dyDescent="0.25">
      <c r="A645" s="31">
        <v>32</v>
      </c>
      <c r="B645" s="31">
        <v>25201</v>
      </c>
      <c r="C645" s="31">
        <v>1</v>
      </c>
      <c r="D645" s="31" t="s">
        <v>1024</v>
      </c>
      <c r="E645" s="31"/>
      <c r="F645" s="31">
        <v>0</v>
      </c>
      <c r="G645" s="31">
        <v>0</v>
      </c>
      <c r="H645" s="31">
        <v>0</v>
      </c>
      <c r="I645" s="31">
        <v>0</v>
      </c>
      <c r="J645" s="31">
        <v>0</v>
      </c>
      <c r="K645" s="31" t="s">
        <v>882</v>
      </c>
      <c r="L645" s="31">
        <v>0</v>
      </c>
      <c r="M645" s="31">
        <v>0</v>
      </c>
      <c r="N645" s="31">
        <v>0</v>
      </c>
      <c r="O645" s="31">
        <v>0</v>
      </c>
      <c r="P645" s="31">
        <v>0</v>
      </c>
      <c r="Q645" s="31">
        <v>0</v>
      </c>
      <c r="R645" s="31">
        <v>0</v>
      </c>
      <c r="S645" s="31">
        <v>0</v>
      </c>
      <c r="T645" s="31">
        <v>0</v>
      </c>
      <c r="U645" s="31">
        <v>0</v>
      </c>
      <c r="V645" s="31">
        <v>0</v>
      </c>
      <c r="W645" s="31">
        <v>0</v>
      </c>
      <c r="X645" s="31">
        <v>0</v>
      </c>
      <c r="Y645" s="31">
        <v>0</v>
      </c>
      <c r="Z645" s="31">
        <v>0</v>
      </c>
      <c r="AA645" s="31">
        <v>0</v>
      </c>
      <c r="AB645" s="31">
        <v>0</v>
      </c>
      <c r="AC645" s="31">
        <v>0</v>
      </c>
      <c r="AD645" s="31">
        <v>0</v>
      </c>
      <c r="AE645" s="31">
        <v>0</v>
      </c>
      <c r="AF645" s="31">
        <v>0</v>
      </c>
      <c r="AG645" s="31">
        <v>0</v>
      </c>
      <c r="AH645" s="31">
        <v>0</v>
      </c>
    </row>
    <row r="646" spans="1:34" x14ac:dyDescent="0.25">
      <c r="A646" s="31">
        <v>32</v>
      </c>
      <c r="B646" s="31">
        <v>25201</v>
      </c>
      <c r="C646" s="31">
        <v>1</v>
      </c>
      <c r="D646" s="31" t="s">
        <v>1025</v>
      </c>
      <c r="E646" s="31"/>
      <c r="F646" s="31">
        <v>0</v>
      </c>
      <c r="G646" s="31">
        <v>0</v>
      </c>
      <c r="H646" s="31">
        <v>0</v>
      </c>
      <c r="I646" s="31">
        <v>0</v>
      </c>
      <c r="J646" s="31">
        <v>0</v>
      </c>
      <c r="K646" s="31" t="s">
        <v>882</v>
      </c>
      <c r="L646" s="31">
        <v>0</v>
      </c>
      <c r="M646" s="31">
        <v>0</v>
      </c>
      <c r="N646" s="31">
        <v>0</v>
      </c>
      <c r="O646" s="31">
        <v>0</v>
      </c>
      <c r="P646" s="31">
        <v>0</v>
      </c>
      <c r="Q646" s="31">
        <v>0</v>
      </c>
      <c r="R646" s="31">
        <v>0</v>
      </c>
      <c r="S646" s="31">
        <v>0</v>
      </c>
      <c r="T646" s="31">
        <v>0</v>
      </c>
      <c r="U646" s="31">
        <v>0</v>
      </c>
      <c r="V646" s="31">
        <v>0</v>
      </c>
      <c r="W646" s="31">
        <v>0</v>
      </c>
      <c r="X646" s="31">
        <v>0</v>
      </c>
      <c r="Y646" s="31">
        <v>0</v>
      </c>
      <c r="Z646" s="31">
        <v>0</v>
      </c>
      <c r="AA646" s="31">
        <v>0</v>
      </c>
      <c r="AB646" s="31">
        <v>0</v>
      </c>
      <c r="AC646" s="31">
        <v>0</v>
      </c>
      <c r="AD646" s="31">
        <v>0</v>
      </c>
      <c r="AE646" s="31">
        <v>0</v>
      </c>
      <c r="AF646" s="31">
        <v>0</v>
      </c>
      <c r="AG646" s="31">
        <v>0</v>
      </c>
      <c r="AH646" s="31">
        <v>0</v>
      </c>
    </row>
    <row r="647" spans="1:34" x14ac:dyDescent="0.25">
      <c r="A647" s="31">
        <v>32</v>
      </c>
      <c r="B647" s="31">
        <v>25201</v>
      </c>
      <c r="C647" s="31">
        <v>2</v>
      </c>
      <c r="D647" s="31" t="s">
        <v>1025</v>
      </c>
      <c r="E647" s="31"/>
      <c r="F647" s="31">
        <v>0</v>
      </c>
      <c r="G647" s="31">
        <v>0</v>
      </c>
      <c r="H647" s="31">
        <v>0</v>
      </c>
      <c r="I647" s="31">
        <v>0</v>
      </c>
      <c r="J647" s="31">
        <v>0</v>
      </c>
      <c r="K647" s="31" t="s">
        <v>882</v>
      </c>
      <c r="L647" s="31">
        <v>0</v>
      </c>
      <c r="M647" s="31">
        <v>0</v>
      </c>
      <c r="N647" s="31">
        <v>0</v>
      </c>
      <c r="O647" s="31">
        <v>0</v>
      </c>
      <c r="P647" s="31">
        <v>0</v>
      </c>
      <c r="Q647" s="31">
        <v>0</v>
      </c>
      <c r="R647" s="31">
        <v>0</v>
      </c>
      <c r="S647" s="31">
        <v>0</v>
      </c>
      <c r="T647" s="31">
        <v>0</v>
      </c>
      <c r="U647" s="31">
        <v>0</v>
      </c>
      <c r="V647" s="31">
        <v>0</v>
      </c>
      <c r="W647" s="31">
        <v>0</v>
      </c>
      <c r="X647" s="31">
        <v>0</v>
      </c>
      <c r="Y647" s="31">
        <v>0</v>
      </c>
      <c r="Z647" s="31">
        <v>0</v>
      </c>
      <c r="AA647" s="31">
        <v>0</v>
      </c>
      <c r="AB647" s="31">
        <v>0</v>
      </c>
      <c r="AC647" s="31">
        <v>0</v>
      </c>
      <c r="AD647" s="31">
        <v>0</v>
      </c>
      <c r="AE647" s="31">
        <v>0</v>
      </c>
      <c r="AF647" s="31">
        <v>0</v>
      </c>
      <c r="AG647" s="31">
        <v>0</v>
      </c>
      <c r="AH647" s="31">
        <v>0</v>
      </c>
    </row>
    <row r="648" spans="1:34" x14ac:dyDescent="0.25">
      <c r="A648" s="31">
        <v>32</v>
      </c>
      <c r="B648" s="31">
        <v>25201</v>
      </c>
      <c r="C648" s="31">
        <v>1</v>
      </c>
      <c r="D648" s="31" t="s">
        <v>1026</v>
      </c>
      <c r="E648" s="31"/>
      <c r="F648" s="31">
        <v>0</v>
      </c>
      <c r="G648" s="31">
        <v>0</v>
      </c>
      <c r="H648" s="31">
        <v>0</v>
      </c>
      <c r="I648" s="31">
        <v>0</v>
      </c>
      <c r="J648" s="31">
        <v>0</v>
      </c>
      <c r="K648" s="31" t="s">
        <v>882</v>
      </c>
      <c r="L648" s="31">
        <v>0</v>
      </c>
      <c r="M648" s="31">
        <v>0</v>
      </c>
      <c r="N648" s="31">
        <v>0</v>
      </c>
      <c r="O648" s="31">
        <v>0</v>
      </c>
      <c r="P648" s="31">
        <v>0</v>
      </c>
      <c r="Q648" s="31">
        <v>0</v>
      </c>
      <c r="R648" s="31">
        <v>0</v>
      </c>
      <c r="S648" s="31">
        <v>0</v>
      </c>
      <c r="T648" s="31">
        <v>0</v>
      </c>
      <c r="U648" s="31">
        <v>0</v>
      </c>
      <c r="V648" s="31">
        <v>0</v>
      </c>
      <c r="W648" s="31">
        <v>0</v>
      </c>
      <c r="X648" s="31">
        <v>0</v>
      </c>
      <c r="Y648" s="31">
        <v>0</v>
      </c>
      <c r="Z648" s="31">
        <v>0</v>
      </c>
      <c r="AA648" s="31">
        <v>0</v>
      </c>
      <c r="AB648" s="31">
        <v>0</v>
      </c>
      <c r="AC648" s="31">
        <v>0</v>
      </c>
      <c r="AD648" s="31">
        <v>0</v>
      </c>
      <c r="AE648" s="31">
        <v>0</v>
      </c>
      <c r="AF648" s="31">
        <v>0</v>
      </c>
      <c r="AG648" s="31">
        <v>0</v>
      </c>
      <c r="AH648" s="31">
        <v>0</v>
      </c>
    </row>
    <row r="649" spans="1:34" x14ac:dyDescent="0.25">
      <c r="A649" s="31">
        <v>32</v>
      </c>
      <c r="B649" s="31">
        <v>25201</v>
      </c>
      <c r="C649" s="31">
        <v>4</v>
      </c>
      <c r="D649" s="31" t="s">
        <v>1027</v>
      </c>
      <c r="E649" s="31"/>
      <c r="F649" s="31">
        <v>0</v>
      </c>
      <c r="G649" s="31">
        <v>0</v>
      </c>
      <c r="H649" s="31">
        <v>0</v>
      </c>
      <c r="I649" s="31">
        <v>0</v>
      </c>
      <c r="J649" s="31">
        <v>0</v>
      </c>
      <c r="K649" s="31" t="s">
        <v>882</v>
      </c>
      <c r="L649" s="31">
        <v>0</v>
      </c>
      <c r="M649" s="31">
        <v>0</v>
      </c>
      <c r="N649" s="31">
        <v>0</v>
      </c>
      <c r="O649" s="31">
        <v>0</v>
      </c>
      <c r="P649" s="31">
        <v>0</v>
      </c>
      <c r="Q649" s="31">
        <v>0</v>
      </c>
      <c r="R649" s="31">
        <v>0</v>
      </c>
      <c r="S649" s="31">
        <v>0</v>
      </c>
      <c r="T649" s="31">
        <v>0</v>
      </c>
      <c r="U649" s="31">
        <v>0</v>
      </c>
      <c r="V649" s="31">
        <v>0</v>
      </c>
      <c r="W649" s="31">
        <v>0</v>
      </c>
      <c r="X649" s="31">
        <v>0</v>
      </c>
      <c r="Y649" s="31">
        <v>0</v>
      </c>
      <c r="Z649" s="31">
        <v>0</v>
      </c>
      <c r="AA649" s="31">
        <v>0</v>
      </c>
      <c r="AB649" s="31">
        <v>0</v>
      </c>
      <c r="AC649" s="31">
        <v>0</v>
      </c>
      <c r="AD649" s="31">
        <v>0</v>
      </c>
      <c r="AE649" s="31">
        <v>0</v>
      </c>
      <c r="AF649" s="31">
        <v>0</v>
      </c>
      <c r="AG649" s="31">
        <v>0</v>
      </c>
      <c r="AH649" s="31">
        <v>0</v>
      </c>
    </row>
    <row r="650" spans="1:34" x14ac:dyDescent="0.25">
      <c r="A650" s="31">
        <v>32</v>
      </c>
      <c r="B650" s="31">
        <v>25201</v>
      </c>
      <c r="C650" s="31">
        <v>1</v>
      </c>
      <c r="D650" s="31" t="s">
        <v>1028</v>
      </c>
      <c r="E650" s="31"/>
      <c r="F650" s="31">
        <v>0</v>
      </c>
      <c r="G650" s="31">
        <v>0</v>
      </c>
      <c r="H650" s="31">
        <v>0</v>
      </c>
      <c r="I650" s="31">
        <v>0</v>
      </c>
      <c r="J650" s="31">
        <v>0</v>
      </c>
      <c r="K650" s="31" t="s">
        <v>882</v>
      </c>
      <c r="L650" s="31">
        <v>0</v>
      </c>
      <c r="M650" s="31">
        <v>0</v>
      </c>
      <c r="N650" s="31">
        <v>0</v>
      </c>
      <c r="O650" s="31">
        <v>0</v>
      </c>
      <c r="P650" s="31">
        <v>0</v>
      </c>
      <c r="Q650" s="31">
        <v>0</v>
      </c>
      <c r="R650" s="31">
        <v>0</v>
      </c>
      <c r="S650" s="31">
        <v>0</v>
      </c>
      <c r="T650" s="31">
        <v>0</v>
      </c>
      <c r="U650" s="31">
        <v>0</v>
      </c>
      <c r="V650" s="31">
        <v>0</v>
      </c>
      <c r="W650" s="31">
        <v>0</v>
      </c>
      <c r="X650" s="31">
        <v>0</v>
      </c>
      <c r="Y650" s="31">
        <v>0</v>
      </c>
      <c r="Z650" s="31">
        <v>0</v>
      </c>
      <c r="AA650" s="31">
        <v>0</v>
      </c>
      <c r="AB650" s="31">
        <v>0</v>
      </c>
      <c r="AC650" s="31">
        <v>0</v>
      </c>
      <c r="AD650" s="31">
        <v>0</v>
      </c>
      <c r="AE650" s="31">
        <v>0</v>
      </c>
      <c r="AF650" s="31">
        <v>0</v>
      </c>
      <c r="AG650" s="31">
        <v>0</v>
      </c>
      <c r="AH650" s="31">
        <v>0</v>
      </c>
    </row>
    <row r="651" spans="1:34" x14ac:dyDescent="0.25">
      <c r="A651" s="31">
        <v>32</v>
      </c>
      <c r="B651" s="31">
        <v>25201</v>
      </c>
      <c r="C651" s="31">
        <v>2</v>
      </c>
      <c r="D651" s="31" t="s">
        <v>1029</v>
      </c>
      <c r="E651" s="31"/>
      <c r="F651" s="31">
        <v>0</v>
      </c>
      <c r="G651" s="31">
        <v>0</v>
      </c>
      <c r="H651" s="31">
        <v>0</v>
      </c>
      <c r="I651" s="31">
        <v>0</v>
      </c>
      <c r="J651" s="31">
        <v>0</v>
      </c>
      <c r="K651" s="31" t="s">
        <v>882</v>
      </c>
      <c r="L651" s="31">
        <v>0</v>
      </c>
      <c r="M651" s="31">
        <v>0</v>
      </c>
      <c r="N651" s="31">
        <v>0</v>
      </c>
      <c r="O651" s="31">
        <v>0</v>
      </c>
      <c r="P651" s="31">
        <v>0</v>
      </c>
      <c r="Q651" s="31">
        <v>0</v>
      </c>
      <c r="R651" s="31">
        <v>0</v>
      </c>
      <c r="S651" s="31">
        <v>0</v>
      </c>
      <c r="T651" s="31">
        <v>0</v>
      </c>
      <c r="U651" s="31">
        <v>0</v>
      </c>
      <c r="V651" s="31">
        <v>0</v>
      </c>
      <c r="W651" s="31">
        <v>0</v>
      </c>
      <c r="X651" s="31">
        <v>0</v>
      </c>
      <c r="Y651" s="31">
        <v>0</v>
      </c>
      <c r="Z651" s="31">
        <v>0</v>
      </c>
      <c r="AA651" s="31">
        <v>0</v>
      </c>
      <c r="AB651" s="31">
        <v>0</v>
      </c>
      <c r="AC651" s="31">
        <v>0</v>
      </c>
      <c r="AD651" s="31">
        <v>0</v>
      </c>
      <c r="AE651" s="31">
        <v>0</v>
      </c>
      <c r="AF651" s="31">
        <v>0</v>
      </c>
      <c r="AG651" s="31">
        <v>0</v>
      </c>
      <c r="AH651" s="31">
        <v>0</v>
      </c>
    </row>
    <row r="652" spans="1:34" x14ac:dyDescent="0.25">
      <c r="A652" s="31">
        <v>32</v>
      </c>
      <c r="B652" s="31">
        <v>25201</v>
      </c>
      <c r="C652" s="31">
        <v>3</v>
      </c>
      <c r="D652" s="31" t="s">
        <v>1029</v>
      </c>
      <c r="E652" s="31"/>
      <c r="F652" s="31">
        <v>0</v>
      </c>
      <c r="G652" s="31">
        <v>0</v>
      </c>
      <c r="H652" s="31">
        <v>0</v>
      </c>
      <c r="I652" s="31">
        <v>0</v>
      </c>
      <c r="J652" s="31">
        <v>0</v>
      </c>
      <c r="K652" s="31" t="s">
        <v>882</v>
      </c>
      <c r="L652" s="31">
        <v>0</v>
      </c>
      <c r="M652" s="31">
        <v>0</v>
      </c>
      <c r="N652" s="31">
        <v>0</v>
      </c>
      <c r="O652" s="31">
        <v>0</v>
      </c>
      <c r="P652" s="31">
        <v>0</v>
      </c>
      <c r="Q652" s="31">
        <v>0</v>
      </c>
      <c r="R652" s="31">
        <v>0</v>
      </c>
      <c r="S652" s="31">
        <v>0</v>
      </c>
      <c r="T652" s="31">
        <v>0</v>
      </c>
      <c r="U652" s="31">
        <v>0</v>
      </c>
      <c r="V652" s="31">
        <v>0</v>
      </c>
      <c r="W652" s="31">
        <v>0</v>
      </c>
      <c r="X652" s="31">
        <v>0</v>
      </c>
      <c r="Y652" s="31">
        <v>0</v>
      </c>
      <c r="Z652" s="31">
        <v>0</v>
      </c>
      <c r="AA652" s="31">
        <v>0</v>
      </c>
      <c r="AB652" s="31">
        <v>0</v>
      </c>
      <c r="AC652" s="31">
        <v>0</v>
      </c>
      <c r="AD652" s="31">
        <v>0</v>
      </c>
      <c r="AE652" s="31">
        <v>0</v>
      </c>
      <c r="AF652" s="31">
        <v>0</v>
      </c>
      <c r="AG652" s="31">
        <v>0</v>
      </c>
      <c r="AH652" s="31">
        <v>0</v>
      </c>
    </row>
    <row r="653" spans="1:34" x14ac:dyDescent="0.25">
      <c r="A653" s="31">
        <v>32</v>
      </c>
      <c r="B653" s="31">
        <v>25201</v>
      </c>
      <c r="C653" s="31">
        <v>1</v>
      </c>
      <c r="D653" s="31" t="s">
        <v>1030</v>
      </c>
      <c r="E653" s="31"/>
      <c r="F653" s="31">
        <v>0</v>
      </c>
      <c r="G653" s="31">
        <v>0</v>
      </c>
      <c r="H653" s="31">
        <v>0</v>
      </c>
      <c r="I653" s="31">
        <v>0</v>
      </c>
      <c r="J653" s="31">
        <v>0</v>
      </c>
      <c r="K653" s="31" t="s">
        <v>882</v>
      </c>
      <c r="L653" s="31">
        <v>0</v>
      </c>
      <c r="M653" s="31">
        <v>0</v>
      </c>
      <c r="N653" s="31">
        <v>0</v>
      </c>
      <c r="O653" s="31">
        <v>0</v>
      </c>
      <c r="P653" s="31">
        <v>0</v>
      </c>
      <c r="Q653" s="31">
        <v>0</v>
      </c>
      <c r="R653" s="31">
        <v>0</v>
      </c>
      <c r="S653" s="31">
        <v>0</v>
      </c>
      <c r="T653" s="31">
        <v>0</v>
      </c>
      <c r="U653" s="31">
        <v>0</v>
      </c>
      <c r="V653" s="31">
        <v>0</v>
      </c>
      <c r="W653" s="31">
        <v>0</v>
      </c>
      <c r="X653" s="31">
        <v>0</v>
      </c>
      <c r="Y653" s="31">
        <v>0</v>
      </c>
      <c r="Z653" s="31">
        <v>0</v>
      </c>
      <c r="AA653" s="31">
        <v>0</v>
      </c>
      <c r="AB653" s="31">
        <v>0</v>
      </c>
      <c r="AC653" s="31">
        <v>0</v>
      </c>
      <c r="AD653" s="31">
        <v>0</v>
      </c>
      <c r="AE653" s="31">
        <v>0</v>
      </c>
      <c r="AF653" s="31">
        <v>0</v>
      </c>
      <c r="AG653" s="31">
        <v>0</v>
      </c>
      <c r="AH653" s="31">
        <v>0</v>
      </c>
    </row>
    <row r="654" spans="1:34" x14ac:dyDescent="0.25">
      <c r="A654" s="31">
        <v>32</v>
      </c>
      <c r="B654" s="31">
        <v>25201</v>
      </c>
      <c r="C654" s="31">
        <v>1</v>
      </c>
      <c r="D654" s="31" t="s">
        <v>1031</v>
      </c>
      <c r="E654" s="31"/>
      <c r="F654" s="31">
        <v>0</v>
      </c>
      <c r="G654" s="31">
        <v>0</v>
      </c>
      <c r="H654" s="31">
        <v>0</v>
      </c>
      <c r="I654" s="31">
        <v>0</v>
      </c>
      <c r="J654" s="31">
        <v>0</v>
      </c>
      <c r="K654" s="31" t="s">
        <v>882</v>
      </c>
      <c r="L654" s="31">
        <v>0</v>
      </c>
      <c r="M654" s="31">
        <v>0</v>
      </c>
      <c r="N654" s="31">
        <v>0</v>
      </c>
      <c r="O654" s="31">
        <v>0</v>
      </c>
      <c r="P654" s="31">
        <v>0</v>
      </c>
      <c r="Q654" s="31">
        <v>0</v>
      </c>
      <c r="R654" s="31">
        <v>0</v>
      </c>
      <c r="S654" s="31">
        <v>0</v>
      </c>
      <c r="T654" s="31">
        <v>0</v>
      </c>
      <c r="U654" s="31">
        <v>0</v>
      </c>
      <c r="V654" s="31">
        <v>0</v>
      </c>
      <c r="W654" s="31">
        <v>0</v>
      </c>
      <c r="X654" s="31">
        <v>0</v>
      </c>
      <c r="Y654" s="31">
        <v>0</v>
      </c>
      <c r="Z654" s="31">
        <v>0</v>
      </c>
      <c r="AA654" s="31">
        <v>0</v>
      </c>
      <c r="AB654" s="31">
        <v>0</v>
      </c>
      <c r="AC654" s="31">
        <v>0</v>
      </c>
      <c r="AD654" s="31">
        <v>0</v>
      </c>
      <c r="AE654" s="31">
        <v>0</v>
      </c>
      <c r="AF654" s="31">
        <v>0</v>
      </c>
      <c r="AG654" s="31">
        <v>0</v>
      </c>
      <c r="AH654" s="31">
        <v>0</v>
      </c>
    </row>
    <row r="655" spans="1:34" x14ac:dyDescent="0.25">
      <c r="A655" s="31">
        <v>32</v>
      </c>
      <c r="B655" s="31">
        <v>25201</v>
      </c>
      <c r="C655" s="31">
        <v>2</v>
      </c>
      <c r="D655" s="31" t="s">
        <v>1032</v>
      </c>
      <c r="E655" s="31"/>
      <c r="F655" s="31">
        <v>0</v>
      </c>
      <c r="G655" s="31">
        <v>0</v>
      </c>
      <c r="H655" s="31">
        <v>0</v>
      </c>
      <c r="I655" s="31">
        <v>0</v>
      </c>
      <c r="J655" s="31">
        <v>0</v>
      </c>
      <c r="K655" s="31" t="s">
        <v>882</v>
      </c>
      <c r="L655" s="31">
        <v>0</v>
      </c>
      <c r="M655" s="31">
        <v>0</v>
      </c>
      <c r="N655" s="31">
        <v>0</v>
      </c>
      <c r="O655" s="31">
        <v>0</v>
      </c>
      <c r="P655" s="31">
        <v>0</v>
      </c>
      <c r="Q655" s="31">
        <v>0</v>
      </c>
      <c r="R655" s="31">
        <v>0</v>
      </c>
      <c r="S655" s="31">
        <v>0</v>
      </c>
      <c r="T655" s="31">
        <v>0</v>
      </c>
      <c r="U655" s="31">
        <v>0</v>
      </c>
      <c r="V655" s="31">
        <v>0</v>
      </c>
      <c r="W655" s="31">
        <v>0</v>
      </c>
      <c r="X655" s="31">
        <v>0</v>
      </c>
      <c r="Y655" s="31">
        <v>0</v>
      </c>
      <c r="Z655" s="31">
        <v>0</v>
      </c>
      <c r="AA655" s="31">
        <v>0</v>
      </c>
      <c r="AB655" s="31">
        <v>0</v>
      </c>
      <c r="AC655" s="31">
        <v>0</v>
      </c>
      <c r="AD655" s="31">
        <v>0</v>
      </c>
      <c r="AE655" s="31">
        <v>0</v>
      </c>
      <c r="AF655" s="31">
        <v>0</v>
      </c>
      <c r="AG655" s="31">
        <v>0</v>
      </c>
      <c r="AH655" s="31">
        <v>0</v>
      </c>
    </row>
    <row r="656" spans="1:34" x14ac:dyDescent="0.25">
      <c r="A656" s="31">
        <v>32</v>
      </c>
      <c r="B656" s="31">
        <v>25201</v>
      </c>
      <c r="C656" s="31">
        <v>1</v>
      </c>
      <c r="D656" s="31" t="s">
        <v>1033</v>
      </c>
      <c r="E656" s="31"/>
      <c r="F656" s="31">
        <v>0</v>
      </c>
      <c r="G656" s="31">
        <v>0</v>
      </c>
      <c r="H656" s="31">
        <v>0</v>
      </c>
      <c r="I656" s="31">
        <v>0</v>
      </c>
      <c r="J656" s="31">
        <v>0</v>
      </c>
      <c r="K656" s="31" t="s">
        <v>882</v>
      </c>
      <c r="L656" s="31">
        <v>0</v>
      </c>
      <c r="M656" s="31">
        <v>0</v>
      </c>
      <c r="N656" s="31">
        <v>0</v>
      </c>
      <c r="O656" s="31">
        <v>0</v>
      </c>
      <c r="P656" s="31">
        <v>0</v>
      </c>
      <c r="Q656" s="31">
        <v>0</v>
      </c>
      <c r="R656" s="31">
        <v>0</v>
      </c>
      <c r="S656" s="31">
        <v>0</v>
      </c>
      <c r="T656" s="31">
        <v>0</v>
      </c>
      <c r="U656" s="31">
        <v>0</v>
      </c>
      <c r="V656" s="31">
        <v>0</v>
      </c>
      <c r="W656" s="31">
        <v>0</v>
      </c>
      <c r="X656" s="31">
        <v>0</v>
      </c>
      <c r="Y656" s="31">
        <v>0</v>
      </c>
      <c r="Z656" s="31">
        <v>0</v>
      </c>
      <c r="AA656" s="31">
        <v>0</v>
      </c>
      <c r="AB656" s="31">
        <v>0</v>
      </c>
      <c r="AC656" s="31">
        <v>0</v>
      </c>
      <c r="AD656" s="31">
        <v>0</v>
      </c>
      <c r="AE656" s="31">
        <v>0</v>
      </c>
      <c r="AF656" s="31">
        <v>0</v>
      </c>
      <c r="AG656" s="31">
        <v>0</v>
      </c>
      <c r="AH656" s="31">
        <v>0</v>
      </c>
    </row>
    <row r="657" spans="1:34" x14ac:dyDescent="0.25">
      <c r="A657" s="31">
        <v>32</v>
      </c>
      <c r="B657" s="31">
        <v>25201</v>
      </c>
      <c r="C657" s="31">
        <v>4</v>
      </c>
      <c r="D657" s="31" t="s">
        <v>1034</v>
      </c>
      <c r="E657" s="31"/>
      <c r="F657" s="31">
        <v>0</v>
      </c>
      <c r="G657" s="31">
        <v>0</v>
      </c>
      <c r="H657" s="31">
        <v>0</v>
      </c>
      <c r="I657" s="31">
        <v>0</v>
      </c>
      <c r="J657" s="31">
        <v>0</v>
      </c>
      <c r="K657" s="31" t="s">
        <v>882</v>
      </c>
      <c r="L657" s="31">
        <v>0</v>
      </c>
      <c r="M657" s="31">
        <v>0</v>
      </c>
      <c r="N657" s="31">
        <v>0</v>
      </c>
      <c r="O657" s="31">
        <v>0</v>
      </c>
      <c r="P657" s="31">
        <v>0</v>
      </c>
      <c r="Q657" s="31">
        <v>0</v>
      </c>
      <c r="R657" s="31">
        <v>0</v>
      </c>
      <c r="S657" s="31">
        <v>0</v>
      </c>
      <c r="T657" s="31">
        <v>0</v>
      </c>
      <c r="U657" s="31">
        <v>0</v>
      </c>
      <c r="V657" s="31">
        <v>0</v>
      </c>
      <c r="W657" s="31">
        <v>0</v>
      </c>
      <c r="X657" s="31">
        <v>0</v>
      </c>
      <c r="Y657" s="31">
        <v>0</v>
      </c>
      <c r="Z657" s="31">
        <v>0</v>
      </c>
      <c r="AA657" s="31">
        <v>0</v>
      </c>
      <c r="AB657" s="31">
        <v>0</v>
      </c>
      <c r="AC657" s="31">
        <v>0</v>
      </c>
      <c r="AD657" s="31">
        <v>0</v>
      </c>
      <c r="AE657" s="31">
        <v>0</v>
      </c>
      <c r="AF657" s="31">
        <v>0</v>
      </c>
      <c r="AG657" s="31">
        <v>0</v>
      </c>
      <c r="AH657" s="31">
        <v>0</v>
      </c>
    </row>
    <row r="658" spans="1:34" x14ac:dyDescent="0.25">
      <c r="A658" s="31">
        <v>32</v>
      </c>
      <c r="B658" s="31">
        <v>25201</v>
      </c>
      <c r="C658" s="31">
        <v>1</v>
      </c>
      <c r="D658" s="31" t="s">
        <v>1035</v>
      </c>
      <c r="E658" s="31"/>
      <c r="F658" s="31">
        <v>0</v>
      </c>
      <c r="G658" s="31">
        <v>0</v>
      </c>
      <c r="H658" s="31">
        <v>0</v>
      </c>
      <c r="I658" s="31">
        <v>0</v>
      </c>
      <c r="J658" s="31">
        <v>0</v>
      </c>
      <c r="K658" s="31" t="s">
        <v>882</v>
      </c>
      <c r="L658" s="31">
        <v>0</v>
      </c>
      <c r="M658" s="31">
        <v>0</v>
      </c>
      <c r="N658" s="31">
        <v>0</v>
      </c>
      <c r="O658" s="31">
        <v>0</v>
      </c>
      <c r="P658" s="31">
        <v>0</v>
      </c>
      <c r="Q658" s="31">
        <v>0</v>
      </c>
      <c r="R658" s="31">
        <v>0</v>
      </c>
      <c r="S658" s="31">
        <v>0</v>
      </c>
      <c r="T658" s="31">
        <v>0</v>
      </c>
      <c r="U658" s="31">
        <v>0</v>
      </c>
      <c r="V658" s="31">
        <v>0</v>
      </c>
      <c r="W658" s="31">
        <v>0</v>
      </c>
      <c r="X658" s="31">
        <v>0</v>
      </c>
      <c r="Y658" s="31">
        <v>0</v>
      </c>
      <c r="Z658" s="31">
        <v>0</v>
      </c>
      <c r="AA658" s="31">
        <v>0</v>
      </c>
      <c r="AB658" s="31">
        <v>0</v>
      </c>
      <c r="AC658" s="31">
        <v>0</v>
      </c>
      <c r="AD658" s="31">
        <v>0</v>
      </c>
      <c r="AE658" s="31">
        <v>0</v>
      </c>
      <c r="AF658" s="31">
        <v>0</v>
      </c>
      <c r="AG658" s="31">
        <v>0</v>
      </c>
      <c r="AH658" s="31">
        <v>0</v>
      </c>
    </row>
    <row r="659" spans="1:34" x14ac:dyDescent="0.25">
      <c r="A659" s="31">
        <v>32</v>
      </c>
      <c r="B659" s="31">
        <v>25201</v>
      </c>
      <c r="C659" s="31">
        <v>1</v>
      </c>
      <c r="D659" s="31" t="s">
        <v>1036</v>
      </c>
      <c r="E659" s="31"/>
      <c r="F659" s="31">
        <v>0</v>
      </c>
      <c r="G659" s="31">
        <v>0</v>
      </c>
      <c r="H659" s="31">
        <v>0</v>
      </c>
      <c r="I659" s="31">
        <v>0</v>
      </c>
      <c r="J659" s="31">
        <v>0</v>
      </c>
      <c r="K659" s="31" t="s">
        <v>882</v>
      </c>
      <c r="L659" s="31">
        <v>0</v>
      </c>
      <c r="M659" s="31">
        <v>0</v>
      </c>
      <c r="N659" s="31">
        <v>0</v>
      </c>
      <c r="O659" s="31">
        <v>0</v>
      </c>
      <c r="P659" s="31">
        <v>0</v>
      </c>
      <c r="Q659" s="31">
        <v>0</v>
      </c>
      <c r="R659" s="31">
        <v>0</v>
      </c>
      <c r="S659" s="31">
        <v>0</v>
      </c>
      <c r="T659" s="31">
        <v>0</v>
      </c>
      <c r="U659" s="31">
        <v>0</v>
      </c>
      <c r="V659" s="31">
        <v>0</v>
      </c>
      <c r="W659" s="31">
        <v>0</v>
      </c>
      <c r="X659" s="31">
        <v>0</v>
      </c>
      <c r="Y659" s="31">
        <v>0</v>
      </c>
      <c r="Z659" s="31">
        <v>0</v>
      </c>
      <c r="AA659" s="31">
        <v>0</v>
      </c>
      <c r="AB659" s="31">
        <v>0</v>
      </c>
      <c r="AC659" s="31">
        <v>0</v>
      </c>
      <c r="AD659" s="31">
        <v>0</v>
      </c>
      <c r="AE659" s="31">
        <v>0</v>
      </c>
      <c r="AF659" s="31">
        <v>0</v>
      </c>
      <c r="AG659" s="31">
        <v>0</v>
      </c>
      <c r="AH659" s="31">
        <v>0</v>
      </c>
    </row>
    <row r="660" spans="1:34" x14ac:dyDescent="0.25">
      <c r="A660" s="31">
        <v>32</v>
      </c>
      <c r="B660" s="31">
        <v>25201</v>
      </c>
      <c r="C660" s="31">
        <v>2</v>
      </c>
      <c r="D660" s="31" t="s">
        <v>1037</v>
      </c>
      <c r="E660" s="31"/>
      <c r="F660" s="31">
        <v>0</v>
      </c>
      <c r="G660" s="31">
        <v>0</v>
      </c>
      <c r="H660" s="31">
        <v>0</v>
      </c>
      <c r="I660" s="31">
        <v>0</v>
      </c>
      <c r="J660" s="31">
        <v>0</v>
      </c>
      <c r="K660" s="31" t="s">
        <v>882</v>
      </c>
      <c r="L660" s="31">
        <v>0</v>
      </c>
      <c r="M660" s="31">
        <v>0</v>
      </c>
      <c r="N660" s="31">
        <v>0</v>
      </c>
      <c r="O660" s="31">
        <v>0</v>
      </c>
      <c r="P660" s="31">
        <v>0</v>
      </c>
      <c r="Q660" s="31">
        <v>0</v>
      </c>
      <c r="R660" s="31">
        <v>0</v>
      </c>
      <c r="S660" s="31">
        <v>0</v>
      </c>
      <c r="T660" s="31">
        <v>0</v>
      </c>
      <c r="U660" s="31">
        <v>0</v>
      </c>
      <c r="V660" s="31">
        <v>0</v>
      </c>
      <c r="W660" s="31">
        <v>0</v>
      </c>
      <c r="X660" s="31">
        <v>0</v>
      </c>
      <c r="Y660" s="31">
        <v>0</v>
      </c>
      <c r="Z660" s="31">
        <v>0</v>
      </c>
      <c r="AA660" s="31">
        <v>0</v>
      </c>
      <c r="AB660" s="31">
        <v>0</v>
      </c>
      <c r="AC660" s="31">
        <v>0</v>
      </c>
      <c r="AD660" s="31">
        <v>0</v>
      </c>
      <c r="AE660" s="31">
        <v>0</v>
      </c>
      <c r="AF660" s="31">
        <v>0</v>
      </c>
      <c r="AG660" s="31">
        <v>0</v>
      </c>
      <c r="AH660" s="31">
        <v>0</v>
      </c>
    </row>
    <row r="661" spans="1:34" x14ac:dyDescent="0.25">
      <c r="A661" s="31">
        <v>32</v>
      </c>
      <c r="B661" s="31">
        <v>25201</v>
      </c>
      <c r="C661" s="31">
        <v>1</v>
      </c>
      <c r="D661" s="31" t="s">
        <v>1038</v>
      </c>
      <c r="E661" s="31"/>
      <c r="F661" s="31">
        <v>0</v>
      </c>
      <c r="G661" s="31">
        <v>0</v>
      </c>
      <c r="H661" s="31">
        <v>0</v>
      </c>
      <c r="I661" s="31">
        <v>0</v>
      </c>
      <c r="J661" s="31">
        <v>0</v>
      </c>
      <c r="K661" s="31" t="s">
        <v>882</v>
      </c>
      <c r="L661" s="31">
        <v>0</v>
      </c>
      <c r="M661" s="31">
        <v>0</v>
      </c>
      <c r="N661" s="31">
        <v>0</v>
      </c>
      <c r="O661" s="31">
        <v>0</v>
      </c>
      <c r="P661" s="31">
        <v>0</v>
      </c>
      <c r="Q661" s="31">
        <v>0</v>
      </c>
      <c r="R661" s="31">
        <v>0</v>
      </c>
      <c r="S661" s="31">
        <v>0</v>
      </c>
      <c r="T661" s="31">
        <v>0</v>
      </c>
      <c r="U661" s="31">
        <v>0</v>
      </c>
      <c r="V661" s="31">
        <v>0</v>
      </c>
      <c r="W661" s="31">
        <v>0</v>
      </c>
      <c r="X661" s="31">
        <v>0</v>
      </c>
      <c r="Y661" s="31">
        <v>0</v>
      </c>
      <c r="Z661" s="31">
        <v>0</v>
      </c>
      <c r="AA661" s="31">
        <v>0</v>
      </c>
      <c r="AB661" s="31">
        <v>0</v>
      </c>
      <c r="AC661" s="31">
        <v>0</v>
      </c>
      <c r="AD661" s="31">
        <v>0</v>
      </c>
      <c r="AE661" s="31">
        <v>0</v>
      </c>
      <c r="AF661" s="31">
        <v>0</v>
      </c>
      <c r="AG661" s="31">
        <v>0</v>
      </c>
      <c r="AH661" s="31">
        <v>0</v>
      </c>
    </row>
    <row r="662" spans="1:34" x14ac:dyDescent="0.25">
      <c r="A662" s="31">
        <v>32</v>
      </c>
      <c r="B662" s="31">
        <v>25201</v>
      </c>
      <c r="C662" s="31">
        <v>2</v>
      </c>
      <c r="D662" s="31" t="s">
        <v>1039</v>
      </c>
      <c r="E662" s="31"/>
      <c r="F662" s="31">
        <v>0</v>
      </c>
      <c r="G662" s="31">
        <v>0</v>
      </c>
      <c r="H662" s="31">
        <v>0</v>
      </c>
      <c r="I662" s="31">
        <v>0</v>
      </c>
      <c r="J662" s="31">
        <v>0</v>
      </c>
      <c r="K662" s="31" t="s">
        <v>882</v>
      </c>
      <c r="L662" s="31">
        <v>0</v>
      </c>
      <c r="M662" s="31">
        <v>0</v>
      </c>
      <c r="N662" s="31">
        <v>0</v>
      </c>
      <c r="O662" s="31">
        <v>0</v>
      </c>
      <c r="P662" s="31">
        <v>0</v>
      </c>
      <c r="Q662" s="31">
        <v>0</v>
      </c>
      <c r="R662" s="31">
        <v>0</v>
      </c>
      <c r="S662" s="31">
        <v>0</v>
      </c>
      <c r="T662" s="31">
        <v>0</v>
      </c>
      <c r="U662" s="31">
        <v>0</v>
      </c>
      <c r="V662" s="31">
        <v>0</v>
      </c>
      <c r="W662" s="31">
        <v>0</v>
      </c>
      <c r="X662" s="31">
        <v>0</v>
      </c>
      <c r="Y662" s="31">
        <v>0</v>
      </c>
      <c r="Z662" s="31">
        <v>0</v>
      </c>
      <c r="AA662" s="31">
        <v>0</v>
      </c>
      <c r="AB662" s="31">
        <v>0</v>
      </c>
      <c r="AC662" s="31">
        <v>0</v>
      </c>
      <c r="AD662" s="31">
        <v>0</v>
      </c>
      <c r="AE662" s="31">
        <v>0</v>
      </c>
      <c r="AF662" s="31">
        <v>0</v>
      </c>
      <c r="AG662" s="31">
        <v>0</v>
      </c>
      <c r="AH662" s="31">
        <v>0</v>
      </c>
    </row>
    <row r="663" spans="1:34" x14ac:dyDescent="0.25">
      <c r="A663" s="31">
        <v>32</v>
      </c>
      <c r="B663" s="31">
        <v>25201</v>
      </c>
      <c r="C663" s="31">
        <v>1</v>
      </c>
      <c r="D663" s="31" t="s">
        <v>1040</v>
      </c>
      <c r="E663" s="31"/>
      <c r="F663" s="31">
        <v>0</v>
      </c>
      <c r="G663" s="31">
        <v>0</v>
      </c>
      <c r="H663" s="31">
        <v>0</v>
      </c>
      <c r="I663" s="31">
        <v>0</v>
      </c>
      <c r="J663" s="31">
        <v>0</v>
      </c>
      <c r="K663" s="31" t="s">
        <v>882</v>
      </c>
      <c r="L663" s="31">
        <v>0</v>
      </c>
      <c r="M663" s="31">
        <v>0</v>
      </c>
      <c r="N663" s="31">
        <v>0</v>
      </c>
      <c r="O663" s="31">
        <v>0</v>
      </c>
      <c r="P663" s="31">
        <v>0</v>
      </c>
      <c r="Q663" s="31">
        <v>0</v>
      </c>
      <c r="R663" s="31">
        <v>0</v>
      </c>
      <c r="S663" s="31">
        <v>0</v>
      </c>
      <c r="T663" s="31">
        <v>0</v>
      </c>
      <c r="U663" s="31">
        <v>0</v>
      </c>
      <c r="V663" s="31">
        <v>0</v>
      </c>
      <c r="W663" s="31">
        <v>0</v>
      </c>
      <c r="X663" s="31">
        <v>0</v>
      </c>
      <c r="Y663" s="31">
        <v>0</v>
      </c>
      <c r="Z663" s="31">
        <v>0</v>
      </c>
      <c r="AA663" s="31">
        <v>0</v>
      </c>
      <c r="AB663" s="31">
        <v>0</v>
      </c>
      <c r="AC663" s="31">
        <v>0</v>
      </c>
      <c r="AD663" s="31">
        <v>0</v>
      </c>
      <c r="AE663" s="31">
        <v>0</v>
      </c>
      <c r="AF663" s="31">
        <v>0</v>
      </c>
      <c r="AG663" s="31">
        <v>0</v>
      </c>
      <c r="AH663" s="31">
        <v>0</v>
      </c>
    </row>
    <row r="664" spans="1:34" x14ac:dyDescent="0.25">
      <c r="A664" s="31">
        <v>32</v>
      </c>
      <c r="B664" s="31">
        <v>25201</v>
      </c>
      <c r="C664" s="31">
        <v>1</v>
      </c>
      <c r="D664" s="31" t="s">
        <v>1041</v>
      </c>
      <c r="E664" s="31"/>
      <c r="F664" s="31">
        <v>0</v>
      </c>
      <c r="G664" s="31">
        <v>0</v>
      </c>
      <c r="H664" s="31">
        <v>0</v>
      </c>
      <c r="I664" s="31">
        <v>0</v>
      </c>
      <c r="J664" s="31">
        <v>0</v>
      </c>
      <c r="K664" s="31" t="s">
        <v>882</v>
      </c>
      <c r="L664" s="31">
        <v>0</v>
      </c>
      <c r="M664" s="31">
        <v>0</v>
      </c>
      <c r="N664" s="31">
        <v>0</v>
      </c>
      <c r="O664" s="31">
        <v>0</v>
      </c>
      <c r="P664" s="31">
        <v>0</v>
      </c>
      <c r="Q664" s="31">
        <v>0</v>
      </c>
      <c r="R664" s="31">
        <v>0</v>
      </c>
      <c r="S664" s="31">
        <v>0</v>
      </c>
      <c r="T664" s="31">
        <v>0</v>
      </c>
      <c r="U664" s="31">
        <v>0</v>
      </c>
      <c r="V664" s="31">
        <v>0</v>
      </c>
      <c r="W664" s="31">
        <v>0</v>
      </c>
      <c r="X664" s="31">
        <v>0</v>
      </c>
      <c r="Y664" s="31">
        <v>0</v>
      </c>
      <c r="Z664" s="31">
        <v>0</v>
      </c>
      <c r="AA664" s="31">
        <v>0</v>
      </c>
      <c r="AB664" s="31">
        <v>0</v>
      </c>
      <c r="AC664" s="31">
        <v>0</v>
      </c>
      <c r="AD664" s="31">
        <v>0</v>
      </c>
      <c r="AE664" s="31">
        <v>0</v>
      </c>
      <c r="AF664" s="31">
        <v>0</v>
      </c>
      <c r="AG664" s="31">
        <v>0</v>
      </c>
      <c r="AH664" s="31">
        <v>0</v>
      </c>
    </row>
    <row r="665" spans="1:34" x14ac:dyDescent="0.25">
      <c r="A665" s="31">
        <v>32</v>
      </c>
      <c r="B665" s="31">
        <v>25201</v>
      </c>
      <c r="C665" s="31">
        <v>1</v>
      </c>
      <c r="D665" s="31" t="s">
        <v>1042</v>
      </c>
      <c r="E665" s="31"/>
      <c r="F665" s="31">
        <v>0</v>
      </c>
      <c r="G665" s="31">
        <v>0</v>
      </c>
      <c r="H665" s="31">
        <v>0</v>
      </c>
      <c r="I665" s="31">
        <v>0</v>
      </c>
      <c r="J665" s="31">
        <v>0</v>
      </c>
      <c r="K665" s="31" t="s">
        <v>882</v>
      </c>
      <c r="L665" s="31">
        <v>0</v>
      </c>
      <c r="M665" s="31">
        <v>0</v>
      </c>
      <c r="N665" s="31">
        <v>0</v>
      </c>
      <c r="O665" s="31">
        <v>0</v>
      </c>
      <c r="P665" s="31">
        <v>0</v>
      </c>
      <c r="Q665" s="31">
        <v>0</v>
      </c>
      <c r="R665" s="31">
        <v>0</v>
      </c>
      <c r="S665" s="31">
        <v>0</v>
      </c>
      <c r="T665" s="31">
        <v>0</v>
      </c>
      <c r="U665" s="31">
        <v>0</v>
      </c>
      <c r="V665" s="31">
        <v>0</v>
      </c>
      <c r="W665" s="31">
        <v>0</v>
      </c>
      <c r="X665" s="31">
        <v>0</v>
      </c>
      <c r="Y665" s="31">
        <v>0</v>
      </c>
      <c r="Z665" s="31">
        <v>0</v>
      </c>
      <c r="AA665" s="31">
        <v>0</v>
      </c>
      <c r="AB665" s="31">
        <v>0</v>
      </c>
      <c r="AC665" s="31">
        <v>0</v>
      </c>
      <c r="AD665" s="31">
        <v>0</v>
      </c>
      <c r="AE665" s="31">
        <v>0</v>
      </c>
      <c r="AF665" s="31">
        <v>0</v>
      </c>
      <c r="AG665" s="31">
        <v>0</v>
      </c>
      <c r="AH665" s="31">
        <v>0</v>
      </c>
    </row>
    <row r="666" spans="1:34" x14ac:dyDescent="0.25">
      <c r="A666" s="31">
        <v>32</v>
      </c>
      <c r="B666" s="31">
        <v>25201</v>
      </c>
      <c r="C666" s="31">
        <v>1</v>
      </c>
      <c r="D666" s="31" t="s">
        <v>1043</v>
      </c>
      <c r="E666" s="31"/>
      <c r="F666" s="31">
        <v>0</v>
      </c>
      <c r="G666" s="31">
        <v>0</v>
      </c>
      <c r="H666" s="31">
        <v>0</v>
      </c>
      <c r="I666" s="31">
        <v>0</v>
      </c>
      <c r="J666" s="31">
        <v>0</v>
      </c>
      <c r="K666" s="31" t="s">
        <v>882</v>
      </c>
      <c r="L666" s="31">
        <v>0</v>
      </c>
      <c r="M666" s="31">
        <v>0</v>
      </c>
      <c r="N666" s="31">
        <v>0</v>
      </c>
      <c r="O666" s="31">
        <v>0</v>
      </c>
      <c r="P666" s="31">
        <v>0</v>
      </c>
      <c r="Q666" s="31">
        <v>0</v>
      </c>
      <c r="R666" s="31">
        <v>0</v>
      </c>
      <c r="S666" s="31">
        <v>0</v>
      </c>
      <c r="T666" s="31">
        <v>0</v>
      </c>
      <c r="U666" s="31">
        <v>0</v>
      </c>
      <c r="V666" s="31">
        <v>0</v>
      </c>
      <c r="W666" s="31">
        <v>0</v>
      </c>
      <c r="X666" s="31">
        <v>0</v>
      </c>
      <c r="Y666" s="31">
        <v>0</v>
      </c>
      <c r="Z666" s="31">
        <v>0</v>
      </c>
      <c r="AA666" s="31">
        <v>0</v>
      </c>
      <c r="AB666" s="31">
        <v>0</v>
      </c>
      <c r="AC666" s="31">
        <v>0</v>
      </c>
      <c r="AD666" s="31">
        <v>0</v>
      </c>
      <c r="AE666" s="31">
        <v>0</v>
      </c>
      <c r="AF666" s="31">
        <v>0</v>
      </c>
      <c r="AG666" s="31">
        <v>0</v>
      </c>
      <c r="AH666" s="31">
        <v>0</v>
      </c>
    </row>
    <row r="667" spans="1:34" x14ac:dyDescent="0.25">
      <c r="A667" s="31">
        <v>32</v>
      </c>
      <c r="B667" s="31">
        <v>25201</v>
      </c>
      <c r="C667" s="31">
        <v>1</v>
      </c>
      <c r="D667" s="31" t="s">
        <v>1044</v>
      </c>
      <c r="E667" s="31"/>
      <c r="F667" s="31">
        <v>0</v>
      </c>
      <c r="G667" s="31">
        <v>0</v>
      </c>
      <c r="H667" s="31">
        <v>0</v>
      </c>
      <c r="I667" s="31">
        <v>0</v>
      </c>
      <c r="J667" s="31">
        <v>0</v>
      </c>
      <c r="K667" s="31" t="s">
        <v>882</v>
      </c>
      <c r="L667" s="31">
        <v>0</v>
      </c>
      <c r="M667" s="31">
        <v>0</v>
      </c>
      <c r="N667" s="31">
        <v>0</v>
      </c>
      <c r="O667" s="31">
        <v>0</v>
      </c>
      <c r="P667" s="31">
        <v>0</v>
      </c>
      <c r="Q667" s="31">
        <v>0</v>
      </c>
      <c r="R667" s="31">
        <v>0</v>
      </c>
      <c r="S667" s="31">
        <v>0</v>
      </c>
      <c r="T667" s="31">
        <v>0</v>
      </c>
      <c r="U667" s="31">
        <v>0</v>
      </c>
      <c r="V667" s="31">
        <v>0</v>
      </c>
      <c r="W667" s="31">
        <v>0</v>
      </c>
      <c r="X667" s="31">
        <v>0</v>
      </c>
      <c r="Y667" s="31">
        <v>0</v>
      </c>
      <c r="Z667" s="31">
        <v>0</v>
      </c>
      <c r="AA667" s="31">
        <v>0</v>
      </c>
      <c r="AB667" s="31">
        <v>0</v>
      </c>
      <c r="AC667" s="31">
        <v>0</v>
      </c>
      <c r="AD667" s="31">
        <v>0</v>
      </c>
      <c r="AE667" s="31">
        <v>0</v>
      </c>
      <c r="AF667" s="31">
        <v>0</v>
      </c>
      <c r="AG667" s="31">
        <v>0</v>
      </c>
      <c r="AH667" s="31">
        <v>0</v>
      </c>
    </row>
    <row r="668" spans="1:34" x14ac:dyDescent="0.25">
      <c r="A668" s="31">
        <v>32</v>
      </c>
      <c r="B668" s="31">
        <v>25201</v>
      </c>
      <c r="C668" s="31">
        <v>1</v>
      </c>
      <c r="D668" s="31" t="s">
        <v>1045</v>
      </c>
      <c r="E668" s="31"/>
      <c r="F668" s="31">
        <v>0</v>
      </c>
      <c r="G668" s="31">
        <v>0</v>
      </c>
      <c r="H668" s="31">
        <v>0</v>
      </c>
      <c r="I668" s="31">
        <v>0</v>
      </c>
      <c r="J668" s="31">
        <v>0</v>
      </c>
      <c r="K668" s="31" t="s">
        <v>882</v>
      </c>
      <c r="L668" s="31">
        <v>0</v>
      </c>
      <c r="M668" s="31">
        <v>0</v>
      </c>
      <c r="N668" s="31">
        <v>0</v>
      </c>
      <c r="O668" s="31">
        <v>0</v>
      </c>
      <c r="P668" s="31">
        <v>0</v>
      </c>
      <c r="Q668" s="31">
        <v>0</v>
      </c>
      <c r="R668" s="31">
        <v>0</v>
      </c>
      <c r="S668" s="31">
        <v>0</v>
      </c>
      <c r="T668" s="31">
        <v>0</v>
      </c>
      <c r="U668" s="31">
        <v>0</v>
      </c>
      <c r="V668" s="31">
        <v>0</v>
      </c>
      <c r="W668" s="31">
        <v>0</v>
      </c>
      <c r="X668" s="31">
        <v>0</v>
      </c>
      <c r="Y668" s="31">
        <v>0</v>
      </c>
      <c r="Z668" s="31">
        <v>0</v>
      </c>
      <c r="AA668" s="31">
        <v>0</v>
      </c>
      <c r="AB668" s="31">
        <v>0</v>
      </c>
      <c r="AC668" s="31">
        <v>0</v>
      </c>
      <c r="AD668" s="31">
        <v>0</v>
      </c>
      <c r="AE668" s="31">
        <v>0</v>
      </c>
      <c r="AF668" s="31">
        <v>0</v>
      </c>
      <c r="AG668" s="31">
        <v>0</v>
      </c>
      <c r="AH668" s="31">
        <v>0</v>
      </c>
    </row>
    <row r="669" spans="1:34" x14ac:dyDescent="0.25">
      <c r="A669" s="31">
        <v>32</v>
      </c>
      <c r="B669" s="31">
        <v>25201</v>
      </c>
      <c r="C669" s="31">
        <v>5</v>
      </c>
      <c r="D669" s="31" t="s">
        <v>1046</v>
      </c>
      <c r="E669" s="31"/>
      <c r="F669" s="31">
        <v>0</v>
      </c>
      <c r="G669" s="31">
        <v>0</v>
      </c>
      <c r="H669" s="31">
        <v>0</v>
      </c>
      <c r="I669" s="31">
        <v>0</v>
      </c>
      <c r="J669" s="31">
        <v>0</v>
      </c>
      <c r="K669" s="31" t="s">
        <v>882</v>
      </c>
      <c r="L669" s="31">
        <v>0</v>
      </c>
      <c r="M669" s="31">
        <v>0</v>
      </c>
      <c r="N669" s="31">
        <v>0</v>
      </c>
      <c r="O669" s="31">
        <v>0</v>
      </c>
      <c r="P669" s="31">
        <v>0</v>
      </c>
      <c r="Q669" s="31">
        <v>0</v>
      </c>
      <c r="R669" s="31">
        <v>0</v>
      </c>
      <c r="S669" s="31">
        <v>0</v>
      </c>
      <c r="T669" s="31">
        <v>0</v>
      </c>
      <c r="U669" s="31">
        <v>0</v>
      </c>
      <c r="V669" s="31">
        <v>0</v>
      </c>
      <c r="W669" s="31">
        <v>0</v>
      </c>
      <c r="X669" s="31">
        <v>0</v>
      </c>
      <c r="Y669" s="31">
        <v>0</v>
      </c>
      <c r="Z669" s="31">
        <v>0</v>
      </c>
      <c r="AA669" s="31">
        <v>0</v>
      </c>
      <c r="AB669" s="31">
        <v>0</v>
      </c>
      <c r="AC669" s="31">
        <v>0</v>
      </c>
      <c r="AD669" s="31">
        <v>0</v>
      </c>
      <c r="AE669" s="31">
        <v>0</v>
      </c>
      <c r="AF669" s="31">
        <v>0</v>
      </c>
      <c r="AG669" s="31">
        <v>0</v>
      </c>
      <c r="AH669" s="31">
        <v>0</v>
      </c>
    </row>
    <row r="670" spans="1:34" x14ac:dyDescent="0.25">
      <c r="A670" s="31">
        <v>32</v>
      </c>
      <c r="B670" s="31">
        <v>25201</v>
      </c>
      <c r="C670" s="31">
        <v>1</v>
      </c>
      <c r="D670" s="31" t="s">
        <v>1047</v>
      </c>
      <c r="E670" s="31"/>
      <c r="F670" s="31">
        <v>0</v>
      </c>
      <c r="G670" s="31">
        <v>0</v>
      </c>
      <c r="H670" s="31">
        <v>0</v>
      </c>
      <c r="I670" s="31">
        <v>0</v>
      </c>
      <c r="J670" s="31">
        <v>0</v>
      </c>
      <c r="K670" s="31" t="s">
        <v>882</v>
      </c>
      <c r="L670" s="31">
        <v>0</v>
      </c>
      <c r="M670" s="31">
        <v>0</v>
      </c>
      <c r="N670" s="31">
        <v>0</v>
      </c>
      <c r="O670" s="31">
        <v>0</v>
      </c>
      <c r="P670" s="31">
        <v>0</v>
      </c>
      <c r="Q670" s="31">
        <v>0</v>
      </c>
      <c r="R670" s="31">
        <v>0</v>
      </c>
      <c r="S670" s="31">
        <v>0</v>
      </c>
      <c r="T670" s="31">
        <v>0</v>
      </c>
      <c r="U670" s="31">
        <v>0</v>
      </c>
      <c r="V670" s="31">
        <v>0</v>
      </c>
      <c r="W670" s="31">
        <v>0</v>
      </c>
      <c r="X670" s="31">
        <v>0</v>
      </c>
      <c r="Y670" s="31">
        <v>0</v>
      </c>
      <c r="Z670" s="31">
        <v>0</v>
      </c>
      <c r="AA670" s="31">
        <v>0</v>
      </c>
      <c r="AB670" s="31">
        <v>0</v>
      </c>
      <c r="AC670" s="31">
        <v>0</v>
      </c>
      <c r="AD670" s="31">
        <v>0</v>
      </c>
      <c r="AE670" s="31">
        <v>0</v>
      </c>
      <c r="AF670" s="31">
        <v>0</v>
      </c>
      <c r="AG670" s="31">
        <v>0</v>
      </c>
      <c r="AH670" s="31">
        <v>0</v>
      </c>
    </row>
    <row r="671" spans="1:34" x14ac:dyDescent="0.25">
      <c r="A671" s="31">
        <v>32</v>
      </c>
      <c r="B671" s="31">
        <v>25201</v>
      </c>
      <c r="C671" s="31">
        <v>1</v>
      </c>
      <c r="D671" s="31" t="s">
        <v>1048</v>
      </c>
      <c r="E671" s="31"/>
      <c r="F671" s="31">
        <v>0</v>
      </c>
      <c r="G671" s="31">
        <v>0</v>
      </c>
      <c r="H671" s="31">
        <v>0</v>
      </c>
      <c r="I671" s="31">
        <v>0</v>
      </c>
      <c r="J671" s="31">
        <v>0</v>
      </c>
      <c r="K671" s="31" t="s">
        <v>882</v>
      </c>
      <c r="L671" s="31">
        <v>0</v>
      </c>
      <c r="M671" s="31">
        <v>0</v>
      </c>
      <c r="N671" s="31">
        <v>0</v>
      </c>
      <c r="O671" s="31">
        <v>0</v>
      </c>
      <c r="P671" s="31">
        <v>0</v>
      </c>
      <c r="Q671" s="31">
        <v>0</v>
      </c>
      <c r="R671" s="31">
        <v>0</v>
      </c>
      <c r="S671" s="31">
        <v>0</v>
      </c>
      <c r="T671" s="31">
        <v>0</v>
      </c>
      <c r="U671" s="31">
        <v>0</v>
      </c>
      <c r="V671" s="31">
        <v>0</v>
      </c>
      <c r="W671" s="31">
        <v>0</v>
      </c>
      <c r="X671" s="31">
        <v>0</v>
      </c>
      <c r="Y671" s="31">
        <v>0</v>
      </c>
      <c r="Z671" s="31">
        <v>0</v>
      </c>
      <c r="AA671" s="31">
        <v>0</v>
      </c>
      <c r="AB671" s="31">
        <v>0</v>
      </c>
      <c r="AC671" s="31">
        <v>0</v>
      </c>
      <c r="AD671" s="31">
        <v>0</v>
      </c>
      <c r="AE671" s="31">
        <v>0</v>
      </c>
      <c r="AF671" s="31">
        <v>0</v>
      </c>
      <c r="AG671" s="31">
        <v>0</v>
      </c>
      <c r="AH671" s="31">
        <v>0</v>
      </c>
    </row>
    <row r="672" spans="1:34" x14ac:dyDescent="0.25">
      <c r="A672" s="31">
        <v>32</v>
      </c>
      <c r="B672" s="31">
        <v>25201</v>
      </c>
      <c r="C672" s="31">
        <v>2</v>
      </c>
      <c r="D672" s="31" t="s">
        <v>1049</v>
      </c>
      <c r="E672" s="31"/>
      <c r="F672" s="31">
        <v>0</v>
      </c>
      <c r="G672" s="31">
        <v>0</v>
      </c>
      <c r="H672" s="31">
        <v>0</v>
      </c>
      <c r="I672" s="31">
        <v>0</v>
      </c>
      <c r="J672" s="31">
        <v>0</v>
      </c>
      <c r="K672" s="31" t="s">
        <v>882</v>
      </c>
      <c r="L672" s="31">
        <v>0</v>
      </c>
      <c r="M672" s="31">
        <v>0</v>
      </c>
      <c r="N672" s="31">
        <v>0</v>
      </c>
      <c r="O672" s="31">
        <v>0</v>
      </c>
      <c r="P672" s="31">
        <v>0</v>
      </c>
      <c r="Q672" s="31">
        <v>0</v>
      </c>
      <c r="R672" s="31">
        <v>0</v>
      </c>
      <c r="S672" s="31">
        <v>0</v>
      </c>
      <c r="T672" s="31">
        <v>0</v>
      </c>
      <c r="U672" s="31">
        <v>0</v>
      </c>
      <c r="V672" s="31">
        <v>0</v>
      </c>
      <c r="W672" s="31">
        <v>0</v>
      </c>
      <c r="X672" s="31">
        <v>0</v>
      </c>
      <c r="Y672" s="31">
        <v>0</v>
      </c>
      <c r="Z672" s="31">
        <v>0</v>
      </c>
      <c r="AA672" s="31">
        <v>0</v>
      </c>
      <c r="AB672" s="31">
        <v>0</v>
      </c>
      <c r="AC672" s="31">
        <v>0</v>
      </c>
      <c r="AD672" s="31">
        <v>0</v>
      </c>
      <c r="AE672" s="31">
        <v>0</v>
      </c>
      <c r="AF672" s="31">
        <v>0</v>
      </c>
      <c r="AG672" s="31">
        <v>0</v>
      </c>
      <c r="AH672" s="31">
        <v>0</v>
      </c>
    </row>
    <row r="673" spans="1:34" x14ac:dyDescent="0.25">
      <c r="A673" s="31">
        <v>32</v>
      </c>
      <c r="B673" s="31">
        <v>25201</v>
      </c>
      <c r="C673" s="31">
        <v>1</v>
      </c>
      <c r="D673" s="31" t="s">
        <v>1050</v>
      </c>
      <c r="E673" s="31"/>
      <c r="F673" s="31">
        <v>0</v>
      </c>
      <c r="G673" s="31">
        <v>0</v>
      </c>
      <c r="H673" s="31">
        <v>0</v>
      </c>
      <c r="I673" s="31">
        <v>0</v>
      </c>
      <c r="J673" s="31">
        <v>0</v>
      </c>
      <c r="K673" s="31" t="s">
        <v>882</v>
      </c>
      <c r="L673" s="31">
        <v>0</v>
      </c>
      <c r="M673" s="31">
        <v>0</v>
      </c>
      <c r="N673" s="31">
        <v>0</v>
      </c>
      <c r="O673" s="31">
        <v>0</v>
      </c>
      <c r="P673" s="31">
        <v>0</v>
      </c>
      <c r="Q673" s="31">
        <v>0</v>
      </c>
      <c r="R673" s="31">
        <v>0</v>
      </c>
      <c r="S673" s="31">
        <v>0</v>
      </c>
      <c r="T673" s="31">
        <v>0</v>
      </c>
      <c r="U673" s="31">
        <v>0</v>
      </c>
      <c r="V673" s="31">
        <v>0</v>
      </c>
      <c r="W673" s="31">
        <v>0</v>
      </c>
      <c r="X673" s="31">
        <v>0</v>
      </c>
      <c r="Y673" s="31">
        <v>0</v>
      </c>
      <c r="Z673" s="31">
        <v>0</v>
      </c>
      <c r="AA673" s="31">
        <v>0</v>
      </c>
      <c r="AB673" s="31">
        <v>0</v>
      </c>
      <c r="AC673" s="31">
        <v>0</v>
      </c>
      <c r="AD673" s="31">
        <v>0</v>
      </c>
      <c r="AE673" s="31">
        <v>0</v>
      </c>
      <c r="AF673" s="31">
        <v>0</v>
      </c>
      <c r="AG673" s="31">
        <v>0</v>
      </c>
      <c r="AH673" s="31">
        <v>0</v>
      </c>
    </row>
    <row r="674" spans="1:34" x14ac:dyDescent="0.25">
      <c r="A674" s="31">
        <v>32</v>
      </c>
      <c r="B674" s="31">
        <v>25201</v>
      </c>
      <c r="C674" s="31">
        <v>3</v>
      </c>
      <c r="D674" s="31" t="s">
        <v>1051</v>
      </c>
      <c r="E674" s="31"/>
      <c r="F674" s="31">
        <v>0</v>
      </c>
      <c r="G674" s="31">
        <v>0</v>
      </c>
      <c r="H674" s="31">
        <v>0</v>
      </c>
      <c r="I674" s="31">
        <v>0</v>
      </c>
      <c r="J674" s="31">
        <v>0</v>
      </c>
      <c r="K674" s="31" t="s">
        <v>882</v>
      </c>
      <c r="L674" s="31">
        <v>0</v>
      </c>
      <c r="M674" s="31">
        <v>0</v>
      </c>
      <c r="N674" s="31">
        <v>0</v>
      </c>
      <c r="O674" s="31">
        <v>0</v>
      </c>
      <c r="P674" s="31">
        <v>0</v>
      </c>
      <c r="Q674" s="31">
        <v>0</v>
      </c>
      <c r="R674" s="31">
        <v>0</v>
      </c>
      <c r="S674" s="31">
        <v>0</v>
      </c>
      <c r="T674" s="31">
        <v>0</v>
      </c>
      <c r="U674" s="31">
        <v>0</v>
      </c>
      <c r="V674" s="31">
        <v>0</v>
      </c>
      <c r="W674" s="31">
        <v>0</v>
      </c>
      <c r="X674" s="31">
        <v>0</v>
      </c>
      <c r="Y674" s="31">
        <v>0</v>
      </c>
      <c r="Z674" s="31">
        <v>0</v>
      </c>
      <c r="AA674" s="31">
        <v>0</v>
      </c>
      <c r="AB674" s="31">
        <v>0</v>
      </c>
      <c r="AC674" s="31">
        <v>0</v>
      </c>
      <c r="AD674" s="31">
        <v>0</v>
      </c>
      <c r="AE674" s="31">
        <v>0</v>
      </c>
      <c r="AF674" s="31">
        <v>0</v>
      </c>
      <c r="AG674" s="31">
        <v>0</v>
      </c>
      <c r="AH674" s="31">
        <v>0</v>
      </c>
    </row>
    <row r="675" spans="1:34" x14ac:dyDescent="0.25">
      <c r="A675" s="31">
        <v>32</v>
      </c>
      <c r="B675" s="31">
        <v>25201</v>
      </c>
      <c r="C675" s="31">
        <v>1</v>
      </c>
      <c r="D675" s="31" t="s">
        <v>1052</v>
      </c>
      <c r="E675" s="31"/>
      <c r="F675" s="31">
        <v>0</v>
      </c>
      <c r="G675" s="31">
        <v>0</v>
      </c>
      <c r="H675" s="31">
        <v>0</v>
      </c>
      <c r="I675" s="31">
        <v>0</v>
      </c>
      <c r="J675" s="31">
        <v>0</v>
      </c>
      <c r="K675" s="31" t="s">
        <v>882</v>
      </c>
      <c r="L675" s="31">
        <v>0</v>
      </c>
      <c r="M675" s="31">
        <v>0</v>
      </c>
      <c r="N675" s="31">
        <v>0</v>
      </c>
      <c r="O675" s="31">
        <v>0</v>
      </c>
      <c r="P675" s="31">
        <v>0</v>
      </c>
      <c r="Q675" s="31">
        <v>0</v>
      </c>
      <c r="R675" s="31">
        <v>0</v>
      </c>
      <c r="S675" s="31">
        <v>0</v>
      </c>
      <c r="T675" s="31">
        <v>0</v>
      </c>
      <c r="U675" s="31">
        <v>0</v>
      </c>
      <c r="V675" s="31">
        <v>0</v>
      </c>
      <c r="W675" s="31">
        <v>0</v>
      </c>
      <c r="X675" s="31">
        <v>0</v>
      </c>
      <c r="Y675" s="31">
        <v>0</v>
      </c>
      <c r="Z675" s="31">
        <v>0</v>
      </c>
      <c r="AA675" s="31">
        <v>0</v>
      </c>
      <c r="AB675" s="31">
        <v>0</v>
      </c>
      <c r="AC675" s="31">
        <v>0</v>
      </c>
      <c r="AD675" s="31">
        <v>0</v>
      </c>
      <c r="AE675" s="31">
        <v>0</v>
      </c>
      <c r="AF675" s="31">
        <v>0</v>
      </c>
      <c r="AG675" s="31">
        <v>0</v>
      </c>
      <c r="AH675" s="31">
        <v>0</v>
      </c>
    </row>
    <row r="676" spans="1:34" x14ac:dyDescent="0.25">
      <c r="A676" s="31">
        <v>32</v>
      </c>
      <c r="B676" s="31">
        <v>25201</v>
      </c>
      <c r="C676" s="31">
        <v>2</v>
      </c>
      <c r="D676" s="31" t="s">
        <v>1053</v>
      </c>
      <c r="E676" s="31"/>
      <c r="F676" s="31">
        <v>0</v>
      </c>
      <c r="G676" s="31">
        <v>0</v>
      </c>
      <c r="H676" s="31">
        <v>0</v>
      </c>
      <c r="I676" s="31">
        <v>0</v>
      </c>
      <c r="J676" s="31">
        <v>0</v>
      </c>
      <c r="K676" s="31" t="s">
        <v>882</v>
      </c>
      <c r="L676" s="31">
        <v>0</v>
      </c>
      <c r="M676" s="31">
        <v>0</v>
      </c>
      <c r="N676" s="31">
        <v>0</v>
      </c>
      <c r="O676" s="31">
        <v>0</v>
      </c>
      <c r="P676" s="31">
        <v>0</v>
      </c>
      <c r="Q676" s="31">
        <v>0</v>
      </c>
      <c r="R676" s="31">
        <v>0</v>
      </c>
      <c r="S676" s="31">
        <v>0</v>
      </c>
      <c r="T676" s="31">
        <v>0</v>
      </c>
      <c r="U676" s="31">
        <v>0</v>
      </c>
      <c r="V676" s="31">
        <v>0</v>
      </c>
      <c r="W676" s="31">
        <v>0</v>
      </c>
      <c r="X676" s="31">
        <v>0</v>
      </c>
      <c r="Y676" s="31">
        <v>0</v>
      </c>
      <c r="Z676" s="31">
        <v>0</v>
      </c>
      <c r="AA676" s="31">
        <v>0</v>
      </c>
      <c r="AB676" s="31">
        <v>0</v>
      </c>
      <c r="AC676" s="31">
        <v>0</v>
      </c>
      <c r="AD676" s="31">
        <v>0</v>
      </c>
      <c r="AE676" s="31">
        <v>0</v>
      </c>
      <c r="AF676" s="31">
        <v>0</v>
      </c>
      <c r="AG676" s="31">
        <v>0</v>
      </c>
      <c r="AH676" s="31">
        <v>0</v>
      </c>
    </row>
    <row r="677" spans="1:34" x14ac:dyDescent="0.25">
      <c r="A677" s="31">
        <v>32</v>
      </c>
      <c r="B677" s="31">
        <v>25201</v>
      </c>
      <c r="C677" s="31">
        <v>1</v>
      </c>
      <c r="D677" s="31" t="s">
        <v>1054</v>
      </c>
      <c r="E677" s="31"/>
      <c r="F677" s="31">
        <v>0</v>
      </c>
      <c r="G677" s="31">
        <v>0</v>
      </c>
      <c r="H677" s="31">
        <v>0</v>
      </c>
      <c r="I677" s="31">
        <v>0</v>
      </c>
      <c r="J677" s="31">
        <v>0</v>
      </c>
      <c r="K677" s="31" t="s">
        <v>882</v>
      </c>
      <c r="L677" s="31">
        <v>0</v>
      </c>
      <c r="M677" s="31">
        <v>0</v>
      </c>
      <c r="N677" s="31">
        <v>0</v>
      </c>
      <c r="O677" s="31">
        <v>0</v>
      </c>
      <c r="P677" s="31">
        <v>0</v>
      </c>
      <c r="Q677" s="31">
        <v>0</v>
      </c>
      <c r="R677" s="31">
        <v>0</v>
      </c>
      <c r="S677" s="31">
        <v>0</v>
      </c>
      <c r="T677" s="31">
        <v>0</v>
      </c>
      <c r="U677" s="31">
        <v>0</v>
      </c>
      <c r="V677" s="31">
        <v>0</v>
      </c>
      <c r="W677" s="31">
        <v>0</v>
      </c>
      <c r="X677" s="31">
        <v>0</v>
      </c>
      <c r="Y677" s="31">
        <v>0</v>
      </c>
      <c r="Z677" s="31">
        <v>0</v>
      </c>
      <c r="AA677" s="31">
        <v>0</v>
      </c>
      <c r="AB677" s="31">
        <v>0</v>
      </c>
      <c r="AC677" s="31">
        <v>0</v>
      </c>
      <c r="AD677" s="31">
        <v>0</v>
      </c>
      <c r="AE677" s="31">
        <v>0</v>
      </c>
      <c r="AF677" s="31">
        <v>0</v>
      </c>
      <c r="AG677" s="31">
        <v>0</v>
      </c>
      <c r="AH677" s="31">
        <v>0</v>
      </c>
    </row>
    <row r="678" spans="1:34" x14ac:dyDescent="0.25">
      <c r="A678" s="31">
        <v>32</v>
      </c>
      <c r="B678" s="31">
        <v>25201</v>
      </c>
      <c r="C678" s="31">
        <v>2</v>
      </c>
      <c r="D678" s="31" t="s">
        <v>1055</v>
      </c>
      <c r="E678" s="31"/>
      <c r="F678" s="31">
        <v>0</v>
      </c>
      <c r="G678" s="31">
        <v>0</v>
      </c>
      <c r="H678" s="31">
        <v>0</v>
      </c>
      <c r="I678" s="31">
        <v>0</v>
      </c>
      <c r="J678" s="31">
        <v>0</v>
      </c>
      <c r="K678" s="31" t="s">
        <v>882</v>
      </c>
      <c r="L678" s="31">
        <v>0</v>
      </c>
      <c r="M678" s="31">
        <v>0</v>
      </c>
      <c r="N678" s="31">
        <v>0</v>
      </c>
      <c r="O678" s="31">
        <v>0</v>
      </c>
      <c r="P678" s="31">
        <v>0</v>
      </c>
      <c r="Q678" s="31">
        <v>0</v>
      </c>
      <c r="R678" s="31">
        <v>0</v>
      </c>
      <c r="S678" s="31">
        <v>0</v>
      </c>
      <c r="T678" s="31">
        <v>0</v>
      </c>
      <c r="U678" s="31">
        <v>0</v>
      </c>
      <c r="V678" s="31">
        <v>0</v>
      </c>
      <c r="W678" s="31">
        <v>0</v>
      </c>
      <c r="X678" s="31">
        <v>0</v>
      </c>
      <c r="Y678" s="31">
        <v>0</v>
      </c>
      <c r="Z678" s="31">
        <v>0</v>
      </c>
      <c r="AA678" s="31">
        <v>0</v>
      </c>
      <c r="AB678" s="31">
        <v>0</v>
      </c>
      <c r="AC678" s="31">
        <v>0</v>
      </c>
      <c r="AD678" s="31">
        <v>0</v>
      </c>
      <c r="AE678" s="31">
        <v>0</v>
      </c>
      <c r="AF678" s="31">
        <v>0</v>
      </c>
      <c r="AG678" s="31">
        <v>0</v>
      </c>
      <c r="AH678" s="31">
        <v>0</v>
      </c>
    </row>
    <row r="679" spans="1:34" x14ac:dyDescent="0.25">
      <c r="A679" s="31">
        <v>32</v>
      </c>
      <c r="B679" s="31">
        <v>25201</v>
      </c>
      <c r="C679" s="31">
        <v>1</v>
      </c>
      <c r="D679" s="31" t="s">
        <v>1056</v>
      </c>
      <c r="E679" s="31"/>
      <c r="F679" s="31">
        <v>0</v>
      </c>
      <c r="G679" s="31">
        <v>0</v>
      </c>
      <c r="H679" s="31">
        <v>0</v>
      </c>
      <c r="I679" s="31">
        <v>0</v>
      </c>
      <c r="J679" s="31">
        <v>0</v>
      </c>
      <c r="K679" s="31" t="s">
        <v>882</v>
      </c>
      <c r="L679" s="31">
        <v>0</v>
      </c>
      <c r="M679" s="31">
        <v>0</v>
      </c>
      <c r="N679" s="31">
        <v>0</v>
      </c>
      <c r="O679" s="31">
        <v>0</v>
      </c>
      <c r="P679" s="31">
        <v>0</v>
      </c>
      <c r="Q679" s="31">
        <v>0</v>
      </c>
      <c r="R679" s="31">
        <v>0</v>
      </c>
      <c r="S679" s="31">
        <v>0</v>
      </c>
      <c r="T679" s="31">
        <v>0</v>
      </c>
      <c r="U679" s="31">
        <v>0</v>
      </c>
      <c r="V679" s="31">
        <v>0</v>
      </c>
      <c r="W679" s="31">
        <v>0</v>
      </c>
      <c r="X679" s="31">
        <v>0</v>
      </c>
      <c r="Y679" s="31">
        <v>0</v>
      </c>
      <c r="Z679" s="31">
        <v>0</v>
      </c>
      <c r="AA679" s="31">
        <v>0</v>
      </c>
      <c r="AB679" s="31">
        <v>0</v>
      </c>
      <c r="AC679" s="31">
        <v>0</v>
      </c>
      <c r="AD679" s="31">
        <v>0</v>
      </c>
      <c r="AE679" s="31">
        <v>0</v>
      </c>
      <c r="AF679" s="31">
        <v>0</v>
      </c>
      <c r="AG679" s="31">
        <v>0</v>
      </c>
      <c r="AH679" s="31">
        <v>0</v>
      </c>
    </row>
    <row r="680" spans="1:34" x14ac:dyDescent="0.25">
      <c r="A680" s="31">
        <v>32</v>
      </c>
      <c r="B680" s="31">
        <v>25201</v>
      </c>
      <c r="C680" s="31">
        <v>2</v>
      </c>
      <c r="D680" s="31" t="s">
        <v>1057</v>
      </c>
      <c r="E680" s="31"/>
      <c r="F680" s="31">
        <v>0</v>
      </c>
      <c r="G680" s="31">
        <v>0</v>
      </c>
      <c r="H680" s="31">
        <v>0</v>
      </c>
      <c r="I680" s="31">
        <v>0</v>
      </c>
      <c r="J680" s="31">
        <v>0</v>
      </c>
      <c r="K680" s="31" t="s">
        <v>882</v>
      </c>
      <c r="L680" s="31">
        <v>0</v>
      </c>
      <c r="M680" s="31">
        <v>0</v>
      </c>
      <c r="N680" s="31">
        <v>0</v>
      </c>
      <c r="O680" s="31">
        <v>0</v>
      </c>
      <c r="P680" s="31">
        <v>0</v>
      </c>
      <c r="Q680" s="31">
        <v>0</v>
      </c>
      <c r="R680" s="31">
        <v>0</v>
      </c>
      <c r="S680" s="31">
        <v>0</v>
      </c>
      <c r="T680" s="31">
        <v>0</v>
      </c>
      <c r="U680" s="31">
        <v>0</v>
      </c>
      <c r="V680" s="31">
        <v>0</v>
      </c>
      <c r="W680" s="31">
        <v>0</v>
      </c>
      <c r="X680" s="31">
        <v>0</v>
      </c>
      <c r="Y680" s="31">
        <v>0</v>
      </c>
      <c r="Z680" s="31">
        <v>0</v>
      </c>
      <c r="AA680" s="31">
        <v>0</v>
      </c>
      <c r="AB680" s="31">
        <v>0</v>
      </c>
      <c r="AC680" s="31">
        <v>0</v>
      </c>
      <c r="AD680" s="31">
        <v>0</v>
      </c>
      <c r="AE680" s="31">
        <v>0</v>
      </c>
      <c r="AF680" s="31">
        <v>0</v>
      </c>
      <c r="AG680" s="31">
        <v>0</v>
      </c>
      <c r="AH680" s="31">
        <v>0</v>
      </c>
    </row>
    <row r="681" spans="1:34" x14ac:dyDescent="0.25">
      <c r="A681" s="31">
        <v>32</v>
      </c>
      <c r="B681" s="31">
        <v>25201</v>
      </c>
      <c r="C681" s="31">
        <v>1</v>
      </c>
      <c r="D681" s="31" t="s">
        <v>1058</v>
      </c>
      <c r="E681" s="31"/>
      <c r="F681" s="31">
        <v>0</v>
      </c>
      <c r="G681" s="31">
        <v>0</v>
      </c>
      <c r="H681" s="31">
        <v>0</v>
      </c>
      <c r="I681" s="31">
        <v>0</v>
      </c>
      <c r="J681" s="31">
        <v>0</v>
      </c>
      <c r="K681" s="31" t="s">
        <v>882</v>
      </c>
      <c r="L681" s="31">
        <v>0</v>
      </c>
      <c r="M681" s="31">
        <v>0</v>
      </c>
      <c r="N681" s="31">
        <v>0</v>
      </c>
      <c r="O681" s="31">
        <v>0</v>
      </c>
      <c r="P681" s="31">
        <v>0</v>
      </c>
      <c r="Q681" s="31">
        <v>0</v>
      </c>
      <c r="R681" s="31">
        <v>0</v>
      </c>
      <c r="S681" s="31">
        <v>0</v>
      </c>
      <c r="T681" s="31">
        <v>0</v>
      </c>
      <c r="U681" s="31">
        <v>0</v>
      </c>
      <c r="V681" s="31">
        <v>0</v>
      </c>
      <c r="W681" s="31">
        <v>0</v>
      </c>
      <c r="X681" s="31">
        <v>0</v>
      </c>
      <c r="Y681" s="31">
        <v>0</v>
      </c>
      <c r="Z681" s="31">
        <v>0</v>
      </c>
      <c r="AA681" s="31">
        <v>0</v>
      </c>
      <c r="AB681" s="31">
        <v>0</v>
      </c>
      <c r="AC681" s="31">
        <v>0</v>
      </c>
      <c r="AD681" s="31">
        <v>0</v>
      </c>
      <c r="AE681" s="31">
        <v>0</v>
      </c>
      <c r="AF681" s="31">
        <v>0</v>
      </c>
      <c r="AG681" s="31">
        <v>0</v>
      </c>
      <c r="AH681" s="31">
        <v>0</v>
      </c>
    </row>
    <row r="682" spans="1:34" x14ac:dyDescent="0.25">
      <c r="A682" s="31">
        <v>32</v>
      </c>
      <c r="B682" s="31">
        <v>25201</v>
      </c>
      <c r="C682" s="31">
        <v>2</v>
      </c>
      <c r="D682" s="31" t="s">
        <v>1059</v>
      </c>
      <c r="E682" s="31"/>
      <c r="F682" s="31">
        <v>0</v>
      </c>
      <c r="G682" s="31">
        <v>0</v>
      </c>
      <c r="H682" s="31">
        <v>0</v>
      </c>
      <c r="I682" s="31">
        <v>0</v>
      </c>
      <c r="J682" s="31">
        <v>0</v>
      </c>
      <c r="K682" s="31" t="s">
        <v>882</v>
      </c>
      <c r="L682" s="31">
        <v>0</v>
      </c>
      <c r="M682" s="31">
        <v>0</v>
      </c>
      <c r="N682" s="31">
        <v>0</v>
      </c>
      <c r="O682" s="31">
        <v>0</v>
      </c>
      <c r="P682" s="31">
        <v>0</v>
      </c>
      <c r="Q682" s="31">
        <v>0</v>
      </c>
      <c r="R682" s="31">
        <v>0</v>
      </c>
      <c r="S682" s="31">
        <v>0</v>
      </c>
      <c r="T682" s="31">
        <v>0</v>
      </c>
      <c r="U682" s="31">
        <v>0</v>
      </c>
      <c r="V682" s="31">
        <v>0</v>
      </c>
      <c r="W682" s="31">
        <v>0</v>
      </c>
      <c r="X682" s="31">
        <v>0</v>
      </c>
      <c r="Y682" s="31">
        <v>0</v>
      </c>
      <c r="Z682" s="31">
        <v>0</v>
      </c>
      <c r="AA682" s="31">
        <v>0</v>
      </c>
      <c r="AB682" s="31">
        <v>0</v>
      </c>
      <c r="AC682" s="31">
        <v>0</v>
      </c>
      <c r="AD682" s="31">
        <v>0</v>
      </c>
      <c r="AE682" s="31">
        <v>0</v>
      </c>
      <c r="AF682" s="31">
        <v>0</v>
      </c>
      <c r="AG682" s="31">
        <v>0</v>
      </c>
      <c r="AH682" s="31">
        <v>0</v>
      </c>
    </row>
    <row r="683" spans="1:34" x14ac:dyDescent="0.25">
      <c r="A683" s="31">
        <v>32</v>
      </c>
      <c r="B683" s="31">
        <v>25201</v>
      </c>
      <c r="C683" s="31">
        <v>1</v>
      </c>
      <c r="D683" s="31" t="s">
        <v>1060</v>
      </c>
      <c r="E683" s="31"/>
      <c r="F683" s="31">
        <v>0</v>
      </c>
      <c r="G683" s="31">
        <v>0</v>
      </c>
      <c r="H683" s="31">
        <v>0</v>
      </c>
      <c r="I683" s="31">
        <v>0</v>
      </c>
      <c r="J683" s="31">
        <v>0</v>
      </c>
      <c r="K683" s="31" t="s">
        <v>882</v>
      </c>
      <c r="L683" s="31">
        <v>0</v>
      </c>
      <c r="M683" s="31">
        <v>0</v>
      </c>
      <c r="N683" s="31">
        <v>0</v>
      </c>
      <c r="O683" s="31">
        <v>0</v>
      </c>
      <c r="P683" s="31">
        <v>0</v>
      </c>
      <c r="Q683" s="31">
        <v>0</v>
      </c>
      <c r="R683" s="31">
        <v>0</v>
      </c>
      <c r="S683" s="31">
        <v>0</v>
      </c>
      <c r="T683" s="31">
        <v>0</v>
      </c>
      <c r="U683" s="31">
        <v>0</v>
      </c>
      <c r="V683" s="31">
        <v>0</v>
      </c>
      <c r="W683" s="31">
        <v>0</v>
      </c>
      <c r="X683" s="31">
        <v>0</v>
      </c>
      <c r="Y683" s="31">
        <v>0</v>
      </c>
      <c r="Z683" s="31">
        <v>0</v>
      </c>
      <c r="AA683" s="31">
        <v>0</v>
      </c>
      <c r="AB683" s="31">
        <v>0</v>
      </c>
      <c r="AC683" s="31">
        <v>0</v>
      </c>
      <c r="AD683" s="31">
        <v>0</v>
      </c>
      <c r="AE683" s="31">
        <v>0</v>
      </c>
      <c r="AF683" s="31">
        <v>0</v>
      </c>
      <c r="AG683" s="31">
        <v>0</v>
      </c>
      <c r="AH683" s="31">
        <v>0</v>
      </c>
    </row>
    <row r="684" spans="1:34" x14ac:dyDescent="0.25">
      <c r="A684" s="31">
        <v>32</v>
      </c>
      <c r="B684" s="31">
        <v>25201</v>
      </c>
      <c r="C684" s="31">
        <v>2</v>
      </c>
      <c r="D684" s="31" t="s">
        <v>1061</v>
      </c>
      <c r="E684" s="31"/>
      <c r="F684" s="31">
        <v>0</v>
      </c>
      <c r="G684" s="31">
        <v>0</v>
      </c>
      <c r="H684" s="31">
        <v>0</v>
      </c>
      <c r="I684" s="31">
        <v>0</v>
      </c>
      <c r="J684" s="31">
        <v>0</v>
      </c>
      <c r="K684" s="31" t="s">
        <v>882</v>
      </c>
      <c r="L684" s="31">
        <v>0</v>
      </c>
      <c r="M684" s="31">
        <v>0</v>
      </c>
      <c r="N684" s="31">
        <v>0</v>
      </c>
      <c r="O684" s="31">
        <v>0</v>
      </c>
      <c r="P684" s="31">
        <v>0</v>
      </c>
      <c r="Q684" s="31">
        <v>0</v>
      </c>
      <c r="R684" s="31">
        <v>0</v>
      </c>
      <c r="S684" s="31">
        <v>0</v>
      </c>
      <c r="T684" s="31">
        <v>0</v>
      </c>
      <c r="U684" s="31">
        <v>0</v>
      </c>
      <c r="V684" s="31">
        <v>0</v>
      </c>
      <c r="W684" s="31">
        <v>0</v>
      </c>
      <c r="X684" s="31">
        <v>0</v>
      </c>
      <c r="Y684" s="31">
        <v>0</v>
      </c>
      <c r="Z684" s="31">
        <v>0</v>
      </c>
      <c r="AA684" s="31">
        <v>0</v>
      </c>
      <c r="AB684" s="31">
        <v>0</v>
      </c>
      <c r="AC684" s="31">
        <v>0</v>
      </c>
      <c r="AD684" s="31">
        <v>0</v>
      </c>
      <c r="AE684" s="31">
        <v>0</v>
      </c>
      <c r="AF684" s="31">
        <v>0</v>
      </c>
      <c r="AG684" s="31">
        <v>0</v>
      </c>
      <c r="AH684" s="31">
        <v>0</v>
      </c>
    </row>
    <row r="685" spans="1:34" x14ac:dyDescent="0.25">
      <c r="A685" s="31">
        <v>32</v>
      </c>
      <c r="B685" s="31">
        <v>25201</v>
      </c>
      <c r="C685" s="31">
        <v>1</v>
      </c>
      <c r="D685" s="31" t="s">
        <v>1062</v>
      </c>
      <c r="E685" s="31"/>
      <c r="F685" s="31">
        <v>0</v>
      </c>
      <c r="G685" s="31">
        <v>0</v>
      </c>
      <c r="H685" s="31">
        <v>0</v>
      </c>
      <c r="I685" s="31">
        <v>0</v>
      </c>
      <c r="J685" s="31">
        <v>0</v>
      </c>
      <c r="K685" s="31" t="s">
        <v>882</v>
      </c>
      <c r="L685" s="31">
        <v>0</v>
      </c>
      <c r="M685" s="31">
        <v>0</v>
      </c>
      <c r="N685" s="31">
        <v>0</v>
      </c>
      <c r="O685" s="31">
        <v>0</v>
      </c>
      <c r="P685" s="31">
        <v>0</v>
      </c>
      <c r="Q685" s="31">
        <v>0</v>
      </c>
      <c r="R685" s="31">
        <v>0</v>
      </c>
      <c r="S685" s="31">
        <v>0</v>
      </c>
      <c r="T685" s="31">
        <v>0</v>
      </c>
      <c r="U685" s="31">
        <v>0</v>
      </c>
      <c r="V685" s="31">
        <v>0</v>
      </c>
      <c r="W685" s="31">
        <v>0</v>
      </c>
      <c r="X685" s="31">
        <v>0</v>
      </c>
      <c r="Y685" s="31">
        <v>0</v>
      </c>
      <c r="Z685" s="31">
        <v>0</v>
      </c>
      <c r="AA685" s="31">
        <v>0</v>
      </c>
      <c r="AB685" s="31">
        <v>0</v>
      </c>
      <c r="AC685" s="31">
        <v>0</v>
      </c>
      <c r="AD685" s="31">
        <v>0</v>
      </c>
      <c r="AE685" s="31">
        <v>0</v>
      </c>
      <c r="AF685" s="31">
        <v>0</v>
      </c>
      <c r="AG685" s="31">
        <v>0</v>
      </c>
      <c r="AH685" s="31">
        <v>0</v>
      </c>
    </row>
    <row r="686" spans="1:34" x14ac:dyDescent="0.25">
      <c r="A686" s="31">
        <v>32</v>
      </c>
      <c r="B686" s="31">
        <v>25201</v>
      </c>
      <c r="C686" s="31">
        <v>1</v>
      </c>
      <c r="D686" s="31" t="s">
        <v>1063</v>
      </c>
      <c r="E686" s="31"/>
      <c r="F686" s="31">
        <v>0</v>
      </c>
      <c r="G686" s="31">
        <v>0</v>
      </c>
      <c r="H686" s="31">
        <v>0</v>
      </c>
      <c r="I686" s="31">
        <v>0</v>
      </c>
      <c r="J686" s="31">
        <v>0</v>
      </c>
      <c r="K686" s="31" t="s">
        <v>882</v>
      </c>
      <c r="L686" s="31">
        <v>0</v>
      </c>
      <c r="M686" s="31">
        <v>0</v>
      </c>
      <c r="N686" s="31">
        <v>0</v>
      </c>
      <c r="O686" s="31">
        <v>0</v>
      </c>
      <c r="P686" s="31">
        <v>0</v>
      </c>
      <c r="Q686" s="31">
        <v>0</v>
      </c>
      <c r="R686" s="31">
        <v>0</v>
      </c>
      <c r="S686" s="31">
        <v>0</v>
      </c>
      <c r="T686" s="31">
        <v>0</v>
      </c>
      <c r="U686" s="31">
        <v>0</v>
      </c>
      <c r="V686" s="31">
        <v>0</v>
      </c>
      <c r="W686" s="31">
        <v>0</v>
      </c>
      <c r="X686" s="31">
        <v>0</v>
      </c>
      <c r="Y686" s="31">
        <v>0</v>
      </c>
      <c r="Z686" s="31">
        <v>0</v>
      </c>
      <c r="AA686" s="31">
        <v>0</v>
      </c>
      <c r="AB686" s="31">
        <v>0</v>
      </c>
      <c r="AC686" s="31">
        <v>0</v>
      </c>
      <c r="AD686" s="31">
        <v>0</v>
      </c>
      <c r="AE686" s="31">
        <v>0</v>
      </c>
      <c r="AF686" s="31">
        <v>0</v>
      </c>
      <c r="AG686" s="31">
        <v>0</v>
      </c>
      <c r="AH686" s="31">
        <v>0</v>
      </c>
    </row>
    <row r="687" spans="1:34" x14ac:dyDescent="0.25">
      <c r="A687" s="31">
        <v>32</v>
      </c>
      <c r="B687" s="31">
        <v>25201</v>
      </c>
      <c r="C687" s="31">
        <v>2</v>
      </c>
      <c r="D687" s="31" t="s">
        <v>1064</v>
      </c>
      <c r="E687" s="31"/>
      <c r="F687" s="31">
        <v>0</v>
      </c>
      <c r="G687" s="31">
        <v>0</v>
      </c>
      <c r="H687" s="31">
        <v>0</v>
      </c>
      <c r="I687" s="31">
        <v>0</v>
      </c>
      <c r="J687" s="31">
        <v>0</v>
      </c>
      <c r="K687" s="31" t="s">
        <v>882</v>
      </c>
      <c r="L687" s="31">
        <v>0</v>
      </c>
      <c r="M687" s="31">
        <v>0</v>
      </c>
      <c r="N687" s="31">
        <v>0</v>
      </c>
      <c r="O687" s="31">
        <v>0</v>
      </c>
      <c r="P687" s="31">
        <v>0</v>
      </c>
      <c r="Q687" s="31">
        <v>0</v>
      </c>
      <c r="R687" s="31">
        <v>0</v>
      </c>
      <c r="S687" s="31">
        <v>0</v>
      </c>
      <c r="T687" s="31">
        <v>0</v>
      </c>
      <c r="U687" s="31">
        <v>0</v>
      </c>
      <c r="V687" s="31">
        <v>0</v>
      </c>
      <c r="W687" s="31">
        <v>0</v>
      </c>
      <c r="X687" s="31">
        <v>0</v>
      </c>
      <c r="Y687" s="31">
        <v>0</v>
      </c>
      <c r="Z687" s="31">
        <v>0</v>
      </c>
      <c r="AA687" s="31">
        <v>0</v>
      </c>
      <c r="AB687" s="31">
        <v>0</v>
      </c>
      <c r="AC687" s="31">
        <v>0</v>
      </c>
      <c r="AD687" s="31">
        <v>0</v>
      </c>
      <c r="AE687" s="31">
        <v>0</v>
      </c>
      <c r="AF687" s="31">
        <v>0</v>
      </c>
      <c r="AG687" s="31">
        <v>0</v>
      </c>
      <c r="AH687" s="31">
        <v>0</v>
      </c>
    </row>
    <row r="688" spans="1:34" x14ac:dyDescent="0.25">
      <c r="A688" s="31">
        <v>32</v>
      </c>
      <c r="B688" s="31">
        <v>25201</v>
      </c>
      <c r="C688" s="31">
        <v>1</v>
      </c>
      <c r="D688" s="31" t="s">
        <v>1064</v>
      </c>
      <c r="E688" s="31"/>
      <c r="F688" s="31">
        <v>0</v>
      </c>
      <c r="G688" s="31">
        <v>0</v>
      </c>
      <c r="H688" s="31">
        <v>0</v>
      </c>
      <c r="I688" s="31">
        <v>0</v>
      </c>
      <c r="J688" s="31">
        <v>0</v>
      </c>
      <c r="K688" s="31" t="s">
        <v>882</v>
      </c>
      <c r="L688" s="31">
        <v>0</v>
      </c>
      <c r="M688" s="31">
        <v>0</v>
      </c>
      <c r="N688" s="31">
        <v>0</v>
      </c>
      <c r="O688" s="31">
        <v>0</v>
      </c>
      <c r="P688" s="31">
        <v>0</v>
      </c>
      <c r="Q688" s="31">
        <v>0</v>
      </c>
      <c r="R688" s="31">
        <v>0</v>
      </c>
      <c r="S688" s="31">
        <v>0</v>
      </c>
      <c r="T688" s="31">
        <v>0</v>
      </c>
      <c r="U688" s="31">
        <v>0</v>
      </c>
      <c r="V688" s="31">
        <v>0</v>
      </c>
      <c r="W688" s="31">
        <v>0</v>
      </c>
      <c r="X688" s="31">
        <v>0</v>
      </c>
      <c r="Y688" s="31">
        <v>0</v>
      </c>
      <c r="Z688" s="31">
        <v>0</v>
      </c>
      <c r="AA688" s="31">
        <v>0</v>
      </c>
      <c r="AB688" s="31">
        <v>0</v>
      </c>
      <c r="AC688" s="31">
        <v>0</v>
      </c>
      <c r="AD688" s="31">
        <v>0</v>
      </c>
      <c r="AE688" s="31">
        <v>0</v>
      </c>
      <c r="AF688" s="31">
        <v>0</v>
      </c>
      <c r="AG688" s="31">
        <v>0</v>
      </c>
      <c r="AH688" s="31">
        <v>0</v>
      </c>
    </row>
  </sheetData>
  <autoFilter ref="A2:AH2"/>
  <sortState ref="A3:AH1117">
    <sortCondition descending="1" ref="K3:K1117"/>
  </sortState>
  <mergeCells count="17">
    <mergeCell ref="K1:K2"/>
    <mergeCell ref="A1:A2"/>
    <mergeCell ref="B1:B2"/>
    <mergeCell ref="C1:C2"/>
    <mergeCell ref="D1:D2"/>
    <mergeCell ref="F1:I1"/>
    <mergeCell ref="E1:E2"/>
    <mergeCell ref="J1:J2"/>
    <mergeCell ref="AD1:AF1"/>
    <mergeCell ref="AG1:AG2"/>
    <mergeCell ref="AH1:AH2"/>
    <mergeCell ref="L1:N1"/>
    <mergeCell ref="O1:Q1"/>
    <mergeCell ref="R1:T1"/>
    <mergeCell ref="U1:W1"/>
    <mergeCell ref="X1:Z1"/>
    <mergeCell ref="AA1:AC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CommandButton1">
          <controlPr defaultSize="0" autoLine="0" r:id="rId5">
            <anchor moveWithCells="1">
              <from>
                <xdr:col>34</xdr:col>
                <xdr:colOff>123825</xdr:colOff>
                <xdr:row>0</xdr:row>
                <xdr:rowOff>38100</xdr:rowOff>
              </from>
              <to>
                <xdr:col>36</xdr:col>
                <xdr:colOff>342900</xdr:colOff>
                <xdr:row>1</xdr:row>
                <xdr:rowOff>123825</xdr:rowOff>
              </to>
            </anchor>
          </controlPr>
        </control>
      </mc:Choice>
      <mc:Fallback>
        <control shapeId="1025" r:id="rId4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G687"/>
  <sheetViews>
    <sheetView tabSelected="1" topLeftCell="A178" zoomScale="85" zoomScaleNormal="85" workbookViewId="0">
      <selection activeCell="D212" sqref="D212"/>
    </sheetView>
  </sheetViews>
  <sheetFormatPr defaultRowHeight="15" x14ac:dyDescent="0.25"/>
  <cols>
    <col min="1" max="1" width="10.140625" customWidth="1"/>
    <col min="2" max="2" width="18.42578125" customWidth="1"/>
    <col min="3" max="3" width="9.28515625" style="4" customWidth="1"/>
    <col min="4" max="5" width="26.42578125" bestFit="1" customWidth="1"/>
    <col min="6" max="6" width="10.7109375" customWidth="1"/>
    <col min="7" max="7" width="10" customWidth="1"/>
    <col min="10" max="10" width="23" customWidth="1"/>
    <col min="12" max="13" width="26.7109375" bestFit="1" customWidth="1"/>
  </cols>
  <sheetData>
    <row r="1" spans="1:7" x14ac:dyDescent="0.25">
      <c r="A1" s="1" t="s">
        <v>17</v>
      </c>
      <c r="B1" s="1" t="s">
        <v>116</v>
      </c>
      <c r="C1" s="3" t="s">
        <v>451</v>
      </c>
      <c r="D1" s="1" t="s">
        <v>117</v>
      </c>
      <c r="E1" s="1" t="s">
        <v>118</v>
      </c>
      <c r="F1" s="1" t="s">
        <v>15</v>
      </c>
      <c r="G1" s="1" t="s">
        <v>16</v>
      </c>
    </row>
    <row r="2" spans="1:7" x14ac:dyDescent="0.25">
      <c r="A2" s="9">
        <v>1</v>
      </c>
      <c r="B2" s="9">
        <v>13808</v>
      </c>
      <c r="C2" s="10" t="s">
        <v>453</v>
      </c>
      <c r="D2" s="9" t="s">
        <v>0</v>
      </c>
      <c r="E2" s="9" t="s">
        <v>0</v>
      </c>
      <c r="F2" s="2">
        <v>8078</v>
      </c>
      <c r="G2" s="2">
        <v>8082</v>
      </c>
    </row>
    <row r="3" spans="1:7" x14ac:dyDescent="0.25">
      <c r="A3" s="9">
        <v>1</v>
      </c>
      <c r="B3" s="9">
        <v>13808</v>
      </c>
      <c r="C3" s="10" t="s">
        <v>266</v>
      </c>
      <c r="D3" s="9" t="s">
        <v>0</v>
      </c>
      <c r="E3" s="9" t="s">
        <v>1</v>
      </c>
      <c r="F3" s="2">
        <v>8078</v>
      </c>
      <c r="G3" s="2">
        <v>8090</v>
      </c>
    </row>
    <row r="4" spans="1:7" x14ac:dyDescent="0.25">
      <c r="A4" s="9">
        <v>1</v>
      </c>
      <c r="B4" s="9">
        <v>13808</v>
      </c>
      <c r="C4" s="10" t="s">
        <v>266</v>
      </c>
      <c r="D4" s="9" t="s">
        <v>1</v>
      </c>
      <c r="E4" s="9" t="s">
        <v>2</v>
      </c>
      <c r="F4" s="2">
        <v>8091</v>
      </c>
      <c r="G4" s="2">
        <v>8101</v>
      </c>
    </row>
    <row r="5" spans="1:7" x14ac:dyDescent="0.25">
      <c r="A5" s="9">
        <v>1</v>
      </c>
      <c r="B5" s="9">
        <v>13808</v>
      </c>
      <c r="C5" s="10" t="s">
        <v>266</v>
      </c>
      <c r="D5" s="9" t="s">
        <v>2</v>
      </c>
      <c r="E5" s="9" t="s">
        <v>3</v>
      </c>
      <c r="F5" s="2">
        <v>8102</v>
      </c>
      <c r="G5" s="2">
        <v>8111</v>
      </c>
    </row>
    <row r="6" spans="1:7" x14ac:dyDescent="0.25">
      <c r="A6" s="9">
        <v>1</v>
      </c>
      <c r="B6" s="9">
        <v>13808</v>
      </c>
      <c r="C6" s="10" t="s">
        <v>266</v>
      </c>
      <c r="D6" s="9" t="s">
        <v>3</v>
      </c>
      <c r="E6" s="9" t="s">
        <v>4</v>
      </c>
      <c r="F6" s="2">
        <v>8112</v>
      </c>
      <c r="G6" s="2">
        <v>8120</v>
      </c>
    </row>
    <row r="7" spans="1:7" x14ac:dyDescent="0.25">
      <c r="A7" s="9">
        <v>1</v>
      </c>
      <c r="B7" s="9">
        <v>13808</v>
      </c>
      <c r="C7" s="10" t="s">
        <v>266</v>
      </c>
      <c r="D7" s="9" t="s">
        <v>4</v>
      </c>
      <c r="E7" s="9" t="s">
        <v>5</v>
      </c>
      <c r="F7" s="2">
        <v>8121</v>
      </c>
      <c r="G7" s="2">
        <v>8137</v>
      </c>
    </row>
    <row r="8" spans="1:7" x14ac:dyDescent="0.25">
      <c r="A8" s="9">
        <v>1</v>
      </c>
      <c r="B8" s="9">
        <v>13808</v>
      </c>
      <c r="C8" s="10" t="s">
        <v>266</v>
      </c>
      <c r="D8" s="9" t="s">
        <v>5</v>
      </c>
      <c r="E8" s="9" t="s">
        <v>6</v>
      </c>
      <c r="F8" s="2">
        <v>8138</v>
      </c>
      <c r="G8" s="2">
        <v>8143</v>
      </c>
    </row>
    <row r="9" spans="1:7" x14ac:dyDescent="0.25">
      <c r="A9" s="9">
        <v>1</v>
      </c>
      <c r="B9" s="9">
        <v>13808</v>
      </c>
      <c r="C9" s="10" t="s">
        <v>266</v>
      </c>
      <c r="D9" s="9" t="s">
        <v>6</v>
      </c>
      <c r="E9" s="9" t="s">
        <v>7</v>
      </c>
      <c r="F9" s="2">
        <v>8144</v>
      </c>
      <c r="G9" s="2">
        <v>8154</v>
      </c>
    </row>
    <row r="10" spans="1:7" x14ac:dyDescent="0.25">
      <c r="A10" s="9">
        <v>1</v>
      </c>
      <c r="B10" s="9">
        <v>13808</v>
      </c>
      <c r="C10" s="10" t="s">
        <v>266</v>
      </c>
      <c r="D10" s="9" t="s">
        <v>7</v>
      </c>
      <c r="E10" s="9" t="s">
        <v>8</v>
      </c>
      <c r="F10" s="2">
        <v>8155</v>
      </c>
      <c r="G10" s="2">
        <v>8163</v>
      </c>
    </row>
    <row r="11" spans="1:7" x14ac:dyDescent="0.25">
      <c r="A11" s="9">
        <v>1</v>
      </c>
      <c r="B11" s="9">
        <v>13808</v>
      </c>
      <c r="C11" s="10" t="s">
        <v>266</v>
      </c>
      <c r="D11" s="9" t="s">
        <v>8</v>
      </c>
      <c r="E11" s="9" t="s">
        <v>9</v>
      </c>
      <c r="F11" s="2">
        <v>8164</v>
      </c>
      <c r="G11" s="2">
        <v>8183</v>
      </c>
    </row>
    <row r="12" spans="1:7" x14ac:dyDescent="0.25">
      <c r="A12" s="9">
        <v>1</v>
      </c>
      <c r="B12" s="9">
        <v>13808</v>
      </c>
      <c r="C12" s="10" t="s">
        <v>266</v>
      </c>
      <c r="D12" s="9" t="s">
        <v>9</v>
      </c>
      <c r="E12" s="9" t="s">
        <v>10</v>
      </c>
      <c r="F12" s="2">
        <v>8184</v>
      </c>
      <c r="G12" s="2">
        <v>8189</v>
      </c>
    </row>
    <row r="13" spans="1:7" x14ac:dyDescent="0.25">
      <c r="A13" s="9">
        <v>1</v>
      </c>
      <c r="B13" s="9">
        <v>13810</v>
      </c>
      <c r="C13" s="10" t="s">
        <v>266</v>
      </c>
      <c r="D13" s="9" t="s">
        <v>10</v>
      </c>
      <c r="E13" s="9" t="s">
        <v>10</v>
      </c>
      <c r="F13" s="2">
        <v>1</v>
      </c>
      <c r="G13" s="2">
        <v>3</v>
      </c>
    </row>
    <row r="14" spans="1:7" x14ac:dyDescent="0.25">
      <c r="A14" s="9">
        <v>1</v>
      </c>
      <c r="B14" s="9">
        <v>13808</v>
      </c>
      <c r="C14" s="10" t="s">
        <v>266</v>
      </c>
      <c r="D14" s="9" t="s">
        <v>10</v>
      </c>
      <c r="E14" s="9" t="s">
        <v>11</v>
      </c>
      <c r="F14" s="2">
        <v>8190</v>
      </c>
      <c r="G14" s="2">
        <v>8198</v>
      </c>
    </row>
    <row r="15" spans="1:7" x14ac:dyDescent="0.25">
      <c r="A15" s="9">
        <v>1</v>
      </c>
      <c r="B15" s="9">
        <v>13808</v>
      </c>
      <c r="C15" s="10" t="s">
        <v>266</v>
      </c>
      <c r="D15" s="9" t="s">
        <v>11</v>
      </c>
      <c r="E15" s="9" t="s">
        <v>12</v>
      </c>
      <c r="F15" s="2">
        <v>8199</v>
      </c>
      <c r="G15" s="2">
        <v>8207</v>
      </c>
    </row>
    <row r="16" spans="1:7" x14ac:dyDescent="0.25">
      <c r="A16" s="9">
        <v>1</v>
      </c>
      <c r="B16" s="9">
        <v>13808</v>
      </c>
      <c r="C16" s="10" t="s">
        <v>266</v>
      </c>
      <c r="D16" s="9" t="s">
        <v>12</v>
      </c>
      <c r="E16" s="9" t="s">
        <v>13</v>
      </c>
      <c r="F16" s="2">
        <v>8208</v>
      </c>
      <c r="G16" s="2">
        <v>8223</v>
      </c>
    </row>
    <row r="17" spans="1:7" x14ac:dyDescent="0.25">
      <c r="A17" s="9">
        <v>1</v>
      </c>
      <c r="B17" s="9">
        <v>13808</v>
      </c>
      <c r="C17" s="10" t="s">
        <v>266</v>
      </c>
      <c r="D17" s="9" t="s">
        <v>13</v>
      </c>
      <c r="E17" s="9" t="s">
        <v>14</v>
      </c>
      <c r="F17" s="2">
        <v>8224</v>
      </c>
      <c r="G17" s="2">
        <v>8229</v>
      </c>
    </row>
    <row r="18" spans="1:7" x14ac:dyDescent="0.25">
      <c r="A18" s="9">
        <v>1</v>
      </c>
      <c r="B18" s="9">
        <v>13808</v>
      </c>
      <c r="C18" s="10" t="s">
        <v>273</v>
      </c>
      <c r="D18" s="9" t="s">
        <v>0</v>
      </c>
      <c r="E18" s="9" t="s">
        <v>1</v>
      </c>
      <c r="F18" s="2">
        <v>8078</v>
      </c>
      <c r="G18" s="2">
        <v>8090</v>
      </c>
    </row>
    <row r="19" spans="1:7" x14ac:dyDescent="0.25">
      <c r="A19" s="9">
        <v>1</v>
      </c>
      <c r="B19" s="9">
        <v>13808</v>
      </c>
      <c r="C19" s="10" t="s">
        <v>273</v>
      </c>
      <c r="D19" s="9" t="s">
        <v>1</v>
      </c>
      <c r="E19" s="9" t="s">
        <v>2</v>
      </c>
      <c r="F19" s="2">
        <v>8091</v>
      </c>
      <c r="G19" s="2">
        <v>8101</v>
      </c>
    </row>
    <row r="20" spans="1:7" x14ac:dyDescent="0.25">
      <c r="A20" s="9">
        <v>1</v>
      </c>
      <c r="B20" s="9">
        <v>13808</v>
      </c>
      <c r="C20" s="10" t="s">
        <v>273</v>
      </c>
      <c r="D20" s="9" t="s">
        <v>2</v>
      </c>
      <c r="E20" s="9" t="s">
        <v>3</v>
      </c>
      <c r="F20" s="2">
        <v>8102</v>
      </c>
      <c r="G20" s="2">
        <v>8111</v>
      </c>
    </row>
    <row r="21" spans="1:7" x14ac:dyDescent="0.25">
      <c r="A21" s="9">
        <v>1</v>
      </c>
      <c r="B21" s="9">
        <v>13808</v>
      </c>
      <c r="C21" s="10" t="s">
        <v>273</v>
      </c>
      <c r="D21" s="9" t="s">
        <v>3</v>
      </c>
      <c r="E21" s="9" t="s">
        <v>4</v>
      </c>
      <c r="F21" s="2">
        <v>8112</v>
      </c>
      <c r="G21" s="2">
        <v>8120</v>
      </c>
    </row>
    <row r="22" spans="1:7" x14ac:dyDescent="0.25">
      <c r="A22" s="9">
        <v>1</v>
      </c>
      <c r="B22" s="9">
        <v>13808</v>
      </c>
      <c r="C22" s="10" t="s">
        <v>273</v>
      </c>
      <c r="D22" s="9" t="s">
        <v>4</v>
      </c>
      <c r="E22" s="9" t="s">
        <v>5</v>
      </c>
      <c r="F22" s="2">
        <v>8121</v>
      </c>
      <c r="G22" s="2">
        <v>8137</v>
      </c>
    </row>
    <row r="23" spans="1:7" x14ac:dyDescent="0.25">
      <c r="A23" s="9">
        <v>1</v>
      </c>
      <c r="B23" s="9">
        <v>13808</v>
      </c>
      <c r="C23" s="10" t="s">
        <v>273</v>
      </c>
      <c r="D23" s="9" t="s">
        <v>5</v>
      </c>
      <c r="E23" s="9" t="s">
        <v>6</v>
      </c>
      <c r="F23" s="2">
        <v>8138</v>
      </c>
      <c r="G23" s="2">
        <v>8143</v>
      </c>
    </row>
    <row r="24" spans="1:7" x14ac:dyDescent="0.25">
      <c r="A24" s="9">
        <v>1</v>
      </c>
      <c r="B24" s="9">
        <v>13808</v>
      </c>
      <c r="C24" s="10" t="s">
        <v>273</v>
      </c>
      <c r="D24" s="9" t="s">
        <v>6</v>
      </c>
      <c r="E24" s="9" t="s">
        <v>7</v>
      </c>
      <c r="F24" s="2">
        <v>8144</v>
      </c>
      <c r="G24" s="2">
        <v>8154</v>
      </c>
    </row>
    <row r="25" spans="1:7" x14ac:dyDescent="0.25">
      <c r="A25" s="9">
        <v>1</v>
      </c>
      <c r="B25" s="9">
        <v>13808</v>
      </c>
      <c r="C25" s="10" t="s">
        <v>273</v>
      </c>
      <c r="D25" s="9" t="s">
        <v>7</v>
      </c>
      <c r="E25" s="9" t="s">
        <v>8</v>
      </c>
      <c r="F25" s="2">
        <v>8155</v>
      </c>
      <c r="G25" s="2">
        <v>8163</v>
      </c>
    </row>
    <row r="26" spans="1:7" x14ac:dyDescent="0.25">
      <c r="A26" s="9">
        <v>1</v>
      </c>
      <c r="B26" s="9">
        <v>13808</v>
      </c>
      <c r="C26" s="10" t="s">
        <v>273</v>
      </c>
      <c r="D26" s="9" t="s">
        <v>8</v>
      </c>
      <c r="E26" s="9" t="s">
        <v>9</v>
      </c>
      <c r="F26" s="2">
        <v>8164</v>
      </c>
      <c r="G26" s="2">
        <v>8183</v>
      </c>
    </row>
    <row r="27" spans="1:7" x14ac:dyDescent="0.25">
      <c r="A27" s="9">
        <v>1</v>
      </c>
      <c r="B27" s="9">
        <v>13808</v>
      </c>
      <c r="C27" s="10" t="s">
        <v>273</v>
      </c>
      <c r="D27" s="9" t="s">
        <v>9</v>
      </c>
      <c r="E27" s="9" t="s">
        <v>10</v>
      </c>
      <c r="F27" s="2">
        <v>8184</v>
      </c>
      <c r="G27" s="2">
        <v>8189</v>
      </c>
    </row>
    <row r="28" spans="1:7" x14ac:dyDescent="0.25">
      <c r="A28" s="9">
        <v>1</v>
      </c>
      <c r="B28" s="9">
        <v>13808</v>
      </c>
      <c r="C28" s="10" t="s">
        <v>273</v>
      </c>
      <c r="D28" s="9" t="s">
        <v>10</v>
      </c>
      <c r="E28" s="9" t="s">
        <v>11</v>
      </c>
      <c r="F28" s="2">
        <v>8190</v>
      </c>
      <c r="G28" s="2">
        <v>8198</v>
      </c>
    </row>
    <row r="29" spans="1:7" x14ac:dyDescent="0.25">
      <c r="A29" s="9">
        <v>1</v>
      </c>
      <c r="B29" s="9">
        <v>13808</v>
      </c>
      <c r="C29" s="10" t="s">
        <v>273</v>
      </c>
      <c r="D29" s="9" t="s">
        <v>11</v>
      </c>
      <c r="E29" s="9" t="s">
        <v>12</v>
      </c>
      <c r="F29" s="2">
        <v>8199</v>
      </c>
      <c r="G29" s="2">
        <v>8207</v>
      </c>
    </row>
    <row r="30" spans="1:7" x14ac:dyDescent="0.25">
      <c r="A30" s="9">
        <v>1</v>
      </c>
      <c r="B30" s="9">
        <v>13808</v>
      </c>
      <c r="C30" s="10" t="s">
        <v>273</v>
      </c>
      <c r="D30" s="9" t="s">
        <v>12</v>
      </c>
      <c r="E30" s="9" t="s">
        <v>13</v>
      </c>
      <c r="F30" s="2">
        <v>8208</v>
      </c>
      <c r="G30" s="2">
        <v>8223</v>
      </c>
    </row>
    <row r="31" spans="1:7" x14ac:dyDescent="0.25">
      <c r="A31" s="9">
        <v>1</v>
      </c>
      <c r="B31" s="9">
        <v>13808</v>
      </c>
      <c r="C31" s="10" t="s">
        <v>273</v>
      </c>
      <c r="D31" s="9" t="s">
        <v>13</v>
      </c>
      <c r="E31" s="9" t="s">
        <v>14</v>
      </c>
      <c r="F31" s="2">
        <v>8224</v>
      </c>
      <c r="G31" s="2">
        <v>8229</v>
      </c>
    </row>
    <row r="32" spans="1:7" x14ac:dyDescent="0.25">
      <c r="A32" s="9">
        <v>2</v>
      </c>
      <c r="B32" s="9">
        <v>13808</v>
      </c>
      <c r="C32" s="10" t="s">
        <v>266</v>
      </c>
      <c r="D32" s="9" t="s">
        <v>13</v>
      </c>
      <c r="E32" s="9" t="s">
        <v>14</v>
      </c>
      <c r="F32" s="2">
        <v>8230</v>
      </c>
      <c r="G32" s="2">
        <v>8234</v>
      </c>
    </row>
    <row r="33" spans="1:7" x14ac:dyDescent="0.25">
      <c r="A33" s="9">
        <v>2</v>
      </c>
      <c r="B33" s="9">
        <v>13808</v>
      </c>
      <c r="C33" s="10" t="s">
        <v>266</v>
      </c>
      <c r="D33" s="9" t="s">
        <v>14</v>
      </c>
      <c r="E33" s="9" t="s">
        <v>384</v>
      </c>
      <c r="F33" s="2">
        <v>8235</v>
      </c>
      <c r="G33" s="2">
        <v>8248</v>
      </c>
    </row>
    <row r="34" spans="1:7" x14ac:dyDescent="0.25">
      <c r="A34" s="9">
        <v>2</v>
      </c>
      <c r="B34" s="9">
        <v>13808</v>
      </c>
      <c r="C34" s="10" t="s">
        <v>266</v>
      </c>
      <c r="D34" s="9" t="s">
        <v>384</v>
      </c>
      <c r="E34" s="9" t="s">
        <v>385</v>
      </c>
      <c r="F34" s="2">
        <v>8249</v>
      </c>
      <c r="G34" s="2">
        <v>8260</v>
      </c>
    </row>
    <row r="35" spans="1:7" x14ac:dyDescent="0.25">
      <c r="A35" s="9">
        <v>2</v>
      </c>
      <c r="B35" s="9">
        <v>13808</v>
      </c>
      <c r="C35" s="10" t="s">
        <v>266</v>
      </c>
      <c r="D35" s="9" t="s">
        <v>385</v>
      </c>
      <c r="E35" s="9" t="s">
        <v>386</v>
      </c>
      <c r="F35" s="2">
        <v>8261</v>
      </c>
      <c r="G35" s="2">
        <v>8265</v>
      </c>
    </row>
    <row r="36" spans="1:7" x14ac:dyDescent="0.25">
      <c r="A36" s="9">
        <v>2</v>
      </c>
      <c r="B36" s="9">
        <v>13808</v>
      </c>
      <c r="C36" s="10" t="s">
        <v>266</v>
      </c>
      <c r="D36" s="9" t="s">
        <v>386</v>
      </c>
      <c r="E36" s="9" t="s">
        <v>387</v>
      </c>
      <c r="F36" s="2">
        <v>8266</v>
      </c>
      <c r="G36" s="2">
        <v>8270</v>
      </c>
    </row>
    <row r="37" spans="1:7" x14ac:dyDescent="0.25">
      <c r="A37" s="9">
        <v>2</v>
      </c>
      <c r="B37" s="9">
        <v>13808</v>
      </c>
      <c r="C37" s="10" t="s">
        <v>266</v>
      </c>
      <c r="D37" s="9" t="s">
        <v>387</v>
      </c>
      <c r="E37" s="9" t="s">
        <v>388</v>
      </c>
      <c r="F37" s="2">
        <v>8271</v>
      </c>
      <c r="G37" s="2">
        <v>8289</v>
      </c>
    </row>
    <row r="38" spans="1:7" x14ac:dyDescent="0.25">
      <c r="A38" s="9">
        <v>2</v>
      </c>
      <c r="B38" s="9">
        <v>13808</v>
      </c>
      <c r="C38" s="10" t="s">
        <v>266</v>
      </c>
      <c r="D38" s="9" t="s">
        <v>388</v>
      </c>
      <c r="E38" s="9" t="s">
        <v>389</v>
      </c>
      <c r="F38" s="2">
        <v>8290</v>
      </c>
      <c r="G38" s="2">
        <v>8306</v>
      </c>
    </row>
    <row r="39" spans="1:7" x14ac:dyDescent="0.25">
      <c r="A39" s="9">
        <v>2</v>
      </c>
      <c r="B39" s="9">
        <v>13808</v>
      </c>
      <c r="C39" s="10" t="s">
        <v>452</v>
      </c>
      <c r="D39" s="9" t="s">
        <v>389</v>
      </c>
      <c r="E39" s="9" t="s">
        <v>389</v>
      </c>
      <c r="F39" s="2">
        <v>8305</v>
      </c>
      <c r="G39" s="2">
        <v>8308</v>
      </c>
    </row>
    <row r="40" spans="1:7" x14ac:dyDescent="0.25">
      <c r="A40" s="9">
        <v>2</v>
      </c>
      <c r="B40" s="9">
        <v>13808</v>
      </c>
      <c r="C40" s="10" t="s">
        <v>266</v>
      </c>
      <c r="D40" s="9" t="s">
        <v>389</v>
      </c>
      <c r="E40" s="9" t="s">
        <v>390</v>
      </c>
      <c r="F40" s="2">
        <v>8307</v>
      </c>
      <c r="G40" s="2">
        <v>8315</v>
      </c>
    </row>
    <row r="41" spans="1:7" x14ac:dyDescent="0.25">
      <c r="A41" s="9">
        <v>2</v>
      </c>
      <c r="B41" s="9">
        <v>13808</v>
      </c>
      <c r="C41" s="10" t="s">
        <v>266</v>
      </c>
      <c r="D41" s="9" t="s">
        <v>390</v>
      </c>
      <c r="E41" s="9" t="s">
        <v>391</v>
      </c>
      <c r="F41" s="2">
        <v>8316</v>
      </c>
      <c r="G41" s="2">
        <v>8340</v>
      </c>
    </row>
    <row r="42" spans="1:7" x14ac:dyDescent="0.25">
      <c r="A42" s="9">
        <v>2</v>
      </c>
      <c r="B42" s="9">
        <v>13808</v>
      </c>
      <c r="C42" s="10" t="s">
        <v>266</v>
      </c>
      <c r="D42" s="9" t="s">
        <v>391</v>
      </c>
      <c r="E42" s="9" t="s">
        <v>363</v>
      </c>
      <c r="F42" s="2">
        <v>8341</v>
      </c>
      <c r="G42" s="2">
        <v>8352</v>
      </c>
    </row>
    <row r="43" spans="1:7" x14ac:dyDescent="0.25">
      <c r="A43" s="9">
        <v>2</v>
      </c>
      <c r="B43" s="9">
        <v>13808</v>
      </c>
      <c r="C43" s="10" t="s">
        <v>273</v>
      </c>
      <c r="D43" s="9" t="s">
        <v>13</v>
      </c>
      <c r="E43" s="9" t="s">
        <v>14</v>
      </c>
      <c r="F43" s="2">
        <v>8230</v>
      </c>
      <c r="G43" s="2">
        <v>8234</v>
      </c>
    </row>
    <row r="44" spans="1:7" x14ac:dyDescent="0.25">
      <c r="A44" s="9">
        <v>2</v>
      </c>
      <c r="B44" s="9">
        <v>13808</v>
      </c>
      <c r="C44" s="10" t="s">
        <v>273</v>
      </c>
      <c r="D44" s="9" t="s">
        <v>14</v>
      </c>
      <c r="E44" s="9" t="s">
        <v>384</v>
      </c>
      <c r="F44" s="2">
        <v>8235</v>
      </c>
      <c r="G44" s="2">
        <v>8248</v>
      </c>
    </row>
    <row r="45" spans="1:7" x14ac:dyDescent="0.25">
      <c r="A45" s="9">
        <v>2</v>
      </c>
      <c r="B45" s="9">
        <v>13808</v>
      </c>
      <c r="C45" s="10" t="s">
        <v>273</v>
      </c>
      <c r="D45" s="9" t="s">
        <v>384</v>
      </c>
      <c r="E45" s="9" t="s">
        <v>385</v>
      </c>
      <c r="F45" s="2">
        <v>8249</v>
      </c>
      <c r="G45" s="2">
        <v>8260</v>
      </c>
    </row>
    <row r="46" spans="1:7" x14ac:dyDescent="0.25">
      <c r="A46" s="9">
        <v>2</v>
      </c>
      <c r="B46" s="9">
        <v>13808</v>
      </c>
      <c r="C46" s="10" t="s">
        <v>273</v>
      </c>
      <c r="D46" s="9" t="s">
        <v>385</v>
      </c>
      <c r="E46" s="9" t="s">
        <v>386</v>
      </c>
      <c r="F46" s="2">
        <v>8261</v>
      </c>
      <c r="G46" s="2">
        <v>8265</v>
      </c>
    </row>
    <row r="47" spans="1:7" x14ac:dyDescent="0.25">
      <c r="A47" s="9">
        <v>2</v>
      </c>
      <c r="B47" s="9">
        <v>13808</v>
      </c>
      <c r="C47" s="10" t="s">
        <v>273</v>
      </c>
      <c r="D47" s="9" t="s">
        <v>386</v>
      </c>
      <c r="E47" s="9" t="s">
        <v>387</v>
      </c>
      <c r="F47" s="2">
        <v>8266</v>
      </c>
      <c r="G47" s="2">
        <v>8270</v>
      </c>
    </row>
    <row r="48" spans="1:7" x14ac:dyDescent="0.25">
      <c r="A48" s="9">
        <v>2</v>
      </c>
      <c r="B48" s="9">
        <v>13808</v>
      </c>
      <c r="C48" s="10" t="s">
        <v>273</v>
      </c>
      <c r="D48" s="9" t="s">
        <v>387</v>
      </c>
      <c r="E48" s="9" t="s">
        <v>388</v>
      </c>
      <c r="F48" s="2">
        <v>8271</v>
      </c>
      <c r="G48" s="2">
        <v>8289</v>
      </c>
    </row>
    <row r="49" spans="1:7" x14ac:dyDescent="0.25">
      <c r="A49" s="9">
        <v>2</v>
      </c>
      <c r="B49" s="9">
        <v>13808</v>
      </c>
      <c r="C49" s="10" t="s">
        <v>273</v>
      </c>
      <c r="D49" s="9" t="s">
        <v>388</v>
      </c>
      <c r="E49" s="9" t="s">
        <v>389</v>
      </c>
      <c r="F49" s="2">
        <v>8290</v>
      </c>
      <c r="G49" s="2">
        <v>8306</v>
      </c>
    </row>
    <row r="50" spans="1:7" x14ac:dyDescent="0.25">
      <c r="A50" s="9">
        <v>2</v>
      </c>
      <c r="B50" s="9">
        <v>13808</v>
      </c>
      <c r="C50" s="10" t="s">
        <v>273</v>
      </c>
      <c r="D50" s="9" t="s">
        <v>389</v>
      </c>
      <c r="E50" s="9" t="s">
        <v>390</v>
      </c>
      <c r="F50" s="2">
        <v>8307</v>
      </c>
      <c r="G50" s="2">
        <v>8315</v>
      </c>
    </row>
    <row r="51" spans="1:7" x14ac:dyDescent="0.25">
      <c r="A51" s="9">
        <v>2</v>
      </c>
      <c r="B51" s="9">
        <v>13808</v>
      </c>
      <c r="C51" s="10" t="s">
        <v>273</v>
      </c>
      <c r="D51" s="9" t="s">
        <v>390</v>
      </c>
      <c r="E51" s="9" t="s">
        <v>391</v>
      </c>
      <c r="F51" s="2">
        <v>8316</v>
      </c>
      <c r="G51" s="2">
        <v>8340</v>
      </c>
    </row>
    <row r="52" spans="1:7" x14ac:dyDescent="0.25">
      <c r="A52" s="9">
        <v>2</v>
      </c>
      <c r="B52" s="9">
        <v>13808</v>
      </c>
      <c r="C52" s="10" t="s">
        <v>273</v>
      </c>
      <c r="D52" s="9" t="s">
        <v>391</v>
      </c>
      <c r="E52" s="9" t="s">
        <v>363</v>
      </c>
      <c r="F52" s="2">
        <v>8341</v>
      </c>
      <c r="G52" s="2">
        <v>8352</v>
      </c>
    </row>
    <row r="53" spans="1:7" x14ac:dyDescent="0.25">
      <c r="A53" s="9">
        <v>2</v>
      </c>
      <c r="B53" s="9">
        <v>13873</v>
      </c>
      <c r="C53" s="10" t="s">
        <v>396</v>
      </c>
      <c r="D53" s="9" t="s">
        <v>363</v>
      </c>
      <c r="E53" s="9" t="s">
        <v>392</v>
      </c>
      <c r="F53" s="2">
        <v>1</v>
      </c>
      <c r="G53" s="2">
        <v>9</v>
      </c>
    </row>
    <row r="54" spans="1:7" x14ac:dyDescent="0.25">
      <c r="A54" s="9">
        <v>2</v>
      </c>
      <c r="B54" s="9">
        <v>13873</v>
      </c>
      <c r="C54" s="10" t="s">
        <v>396</v>
      </c>
      <c r="D54" s="9" t="s">
        <v>392</v>
      </c>
      <c r="E54" s="9" t="s">
        <v>393</v>
      </c>
      <c r="F54" s="2">
        <v>10</v>
      </c>
      <c r="G54" s="2">
        <v>48</v>
      </c>
    </row>
    <row r="55" spans="1:7" x14ac:dyDescent="0.25">
      <c r="A55" s="9">
        <v>2</v>
      </c>
      <c r="B55" s="9">
        <v>13873</v>
      </c>
      <c r="C55" s="10" t="s">
        <v>396</v>
      </c>
      <c r="D55" s="9" t="s">
        <v>393</v>
      </c>
      <c r="E55" s="9" t="s">
        <v>394</v>
      </c>
      <c r="F55" s="2">
        <v>49</v>
      </c>
      <c r="G55" s="2">
        <v>83</v>
      </c>
    </row>
    <row r="56" spans="1:7" x14ac:dyDescent="0.25">
      <c r="A56" s="9">
        <v>2</v>
      </c>
      <c r="B56" s="9">
        <v>13873</v>
      </c>
      <c r="C56" s="10" t="s">
        <v>396</v>
      </c>
      <c r="D56" s="9" t="s">
        <v>394</v>
      </c>
      <c r="E56" s="9" t="s">
        <v>395</v>
      </c>
      <c r="F56" s="2">
        <v>84</v>
      </c>
      <c r="G56" s="2">
        <v>127</v>
      </c>
    </row>
    <row r="57" spans="1:7" x14ac:dyDescent="0.25">
      <c r="A57" s="9">
        <v>2</v>
      </c>
      <c r="B57" s="9">
        <v>24901</v>
      </c>
      <c r="C57" s="10">
        <v>1</v>
      </c>
      <c r="D57" s="9" t="s">
        <v>14</v>
      </c>
      <c r="E57" s="9" t="s">
        <v>241</v>
      </c>
      <c r="F57" s="2">
        <v>1</v>
      </c>
      <c r="G57" s="2">
        <v>4</v>
      </c>
    </row>
    <row r="58" spans="1:7" x14ac:dyDescent="0.25">
      <c r="A58" s="9">
        <v>28</v>
      </c>
      <c r="B58" s="9">
        <v>24901</v>
      </c>
      <c r="C58" s="10">
        <v>1</v>
      </c>
      <c r="D58" s="9" t="s">
        <v>14</v>
      </c>
      <c r="E58" s="9" t="s">
        <v>241</v>
      </c>
      <c r="F58" s="2">
        <v>4</v>
      </c>
      <c r="G58" s="2">
        <v>17</v>
      </c>
    </row>
    <row r="59" spans="1:7" x14ac:dyDescent="0.25">
      <c r="A59" s="9">
        <v>28</v>
      </c>
      <c r="B59" s="9">
        <v>24901</v>
      </c>
      <c r="C59" s="10">
        <v>1</v>
      </c>
      <c r="D59" s="9" t="s">
        <v>241</v>
      </c>
      <c r="E59" s="9" t="s">
        <v>242</v>
      </c>
      <c r="F59" s="2">
        <v>18</v>
      </c>
      <c r="G59" s="2">
        <v>29</v>
      </c>
    </row>
    <row r="60" spans="1:7" x14ac:dyDescent="0.25">
      <c r="A60" s="9">
        <v>28</v>
      </c>
      <c r="B60" s="9">
        <v>24901</v>
      </c>
      <c r="C60" s="10">
        <v>1</v>
      </c>
      <c r="D60" s="9" t="s">
        <v>242</v>
      </c>
      <c r="E60" s="9" t="s">
        <v>243</v>
      </c>
      <c r="F60" s="2">
        <v>30</v>
      </c>
      <c r="G60" s="2">
        <v>50</v>
      </c>
    </row>
    <row r="61" spans="1:7" x14ac:dyDescent="0.25">
      <c r="A61" s="9">
        <v>28</v>
      </c>
      <c r="B61" s="9">
        <v>24901</v>
      </c>
      <c r="C61" s="10">
        <v>1</v>
      </c>
      <c r="D61" s="9" t="s">
        <v>243</v>
      </c>
      <c r="E61" s="9" t="s">
        <v>244</v>
      </c>
      <c r="F61" s="2">
        <v>51</v>
      </c>
      <c r="G61" s="2">
        <v>78</v>
      </c>
    </row>
    <row r="62" spans="1:7" x14ac:dyDescent="0.25">
      <c r="A62" s="9">
        <v>28</v>
      </c>
      <c r="B62" s="9">
        <v>24901</v>
      </c>
      <c r="C62" s="10">
        <v>1</v>
      </c>
      <c r="D62" s="9" t="s">
        <v>244</v>
      </c>
      <c r="E62" s="9" t="s">
        <v>245</v>
      </c>
      <c r="F62" s="2">
        <v>79</v>
      </c>
      <c r="G62" s="2">
        <v>98</v>
      </c>
    </row>
    <row r="63" spans="1:7" x14ac:dyDescent="0.25">
      <c r="A63" s="9">
        <v>28</v>
      </c>
      <c r="B63" s="9">
        <v>24901</v>
      </c>
      <c r="C63" s="10">
        <v>1</v>
      </c>
      <c r="D63" s="9" t="s">
        <v>245</v>
      </c>
      <c r="E63" s="9" t="s">
        <v>246</v>
      </c>
      <c r="F63" s="2">
        <v>99</v>
      </c>
      <c r="G63" s="2">
        <v>120</v>
      </c>
    </row>
    <row r="64" spans="1:7" x14ac:dyDescent="0.25">
      <c r="A64" s="9">
        <v>28</v>
      </c>
      <c r="B64" s="9">
        <v>24901</v>
      </c>
      <c r="C64" s="10">
        <v>1</v>
      </c>
      <c r="D64" s="9" t="s">
        <v>246</v>
      </c>
      <c r="E64" s="9" t="s">
        <v>247</v>
      </c>
      <c r="F64" s="2">
        <v>121</v>
      </c>
      <c r="G64" s="2">
        <v>133</v>
      </c>
    </row>
    <row r="65" spans="1:7" x14ac:dyDescent="0.25">
      <c r="A65" s="9">
        <v>28</v>
      </c>
      <c r="B65" s="9">
        <v>24901</v>
      </c>
      <c r="C65" s="10">
        <v>1</v>
      </c>
      <c r="D65" s="9" t="s">
        <v>247</v>
      </c>
      <c r="E65" s="9" t="s">
        <v>248</v>
      </c>
      <c r="F65" s="2">
        <v>134</v>
      </c>
      <c r="G65" s="2">
        <v>155</v>
      </c>
    </row>
    <row r="66" spans="1:7" x14ac:dyDescent="0.25">
      <c r="A66" s="9">
        <v>28</v>
      </c>
      <c r="B66" s="9">
        <v>24901</v>
      </c>
      <c r="C66" s="10">
        <v>1</v>
      </c>
      <c r="D66" s="9" t="s">
        <v>248</v>
      </c>
      <c r="E66" s="9" t="s">
        <v>249</v>
      </c>
      <c r="F66" s="2">
        <v>156</v>
      </c>
      <c r="G66" s="2">
        <v>169</v>
      </c>
    </row>
    <row r="67" spans="1:7" x14ac:dyDescent="0.25">
      <c r="A67" s="9">
        <v>28</v>
      </c>
      <c r="B67" s="9">
        <v>24901</v>
      </c>
      <c r="C67" s="10">
        <v>1</v>
      </c>
      <c r="D67" s="9" t="s">
        <v>249</v>
      </c>
      <c r="E67" s="9" t="s">
        <v>250</v>
      </c>
      <c r="F67" s="2">
        <v>170</v>
      </c>
      <c r="G67" s="2">
        <v>185</v>
      </c>
    </row>
    <row r="68" spans="1:7" x14ac:dyDescent="0.25">
      <c r="A68" s="9">
        <v>28</v>
      </c>
      <c r="B68" s="9">
        <v>24901</v>
      </c>
      <c r="C68" s="10">
        <v>1</v>
      </c>
      <c r="D68" s="9" t="s">
        <v>250</v>
      </c>
      <c r="E68" s="9" t="s">
        <v>251</v>
      </c>
      <c r="F68" s="2">
        <v>186</v>
      </c>
      <c r="G68" s="2">
        <v>202</v>
      </c>
    </row>
    <row r="69" spans="1:7" x14ac:dyDescent="0.25">
      <c r="A69" s="9">
        <v>28</v>
      </c>
      <c r="B69" s="9">
        <v>24901</v>
      </c>
      <c r="C69" s="10">
        <v>1</v>
      </c>
      <c r="D69" s="9" t="s">
        <v>251</v>
      </c>
      <c r="E69" s="9" t="s">
        <v>252</v>
      </c>
      <c r="F69" s="2">
        <v>203</v>
      </c>
      <c r="G69" s="2">
        <v>209</v>
      </c>
    </row>
    <row r="70" spans="1:7" x14ac:dyDescent="0.25">
      <c r="A70" s="9">
        <v>28</v>
      </c>
      <c r="B70" s="9">
        <v>24901</v>
      </c>
      <c r="C70" s="10">
        <v>1</v>
      </c>
      <c r="D70" s="9" t="s">
        <v>252</v>
      </c>
      <c r="E70" s="9" t="s">
        <v>240</v>
      </c>
      <c r="F70" s="2">
        <v>210</v>
      </c>
      <c r="G70" s="2">
        <v>224</v>
      </c>
    </row>
    <row r="71" spans="1:7" x14ac:dyDescent="0.25">
      <c r="A71" s="9">
        <v>28</v>
      </c>
      <c r="B71" s="9">
        <v>24901</v>
      </c>
      <c r="C71" s="10">
        <v>1</v>
      </c>
      <c r="D71" s="9" t="s">
        <v>240</v>
      </c>
      <c r="E71" s="9" t="s">
        <v>156</v>
      </c>
      <c r="F71" s="2">
        <v>225</v>
      </c>
      <c r="G71" s="2">
        <v>240</v>
      </c>
    </row>
    <row r="72" spans="1:7" x14ac:dyDescent="0.25">
      <c r="A72" s="9">
        <v>29</v>
      </c>
      <c r="B72" s="9">
        <v>24901</v>
      </c>
      <c r="C72" s="10">
        <v>1</v>
      </c>
      <c r="D72" s="9" t="s">
        <v>156</v>
      </c>
      <c r="E72" s="9" t="s">
        <v>157</v>
      </c>
      <c r="F72" s="2">
        <v>241</v>
      </c>
      <c r="G72" s="2">
        <v>254</v>
      </c>
    </row>
    <row r="73" spans="1:7" x14ac:dyDescent="0.25">
      <c r="A73" s="9">
        <v>29</v>
      </c>
      <c r="B73" s="9">
        <v>24901</v>
      </c>
      <c r="C73" s="10">
        <v>1</v>
      </c>
      <c r="D73" s="9" t="s">
        <v>157</v>
      </c>
      <c r="E73" s="9" t="s">
        <v>158</v>
      </c>
      <c r="F73" s="2">
        <v>255</v>
      </c>
      <c r="G73" s="2">
        <v>273</v>
      </c>
    </row>
    <row r="74" spans="1:7" x14ac:dyDescent="0.25">
      <c r="A74" s="9">
        <v>29</v>
      </c>
      <c r="B74" s="9">
        <v>24901</v>
      </c>
      <c r="C74" s="10">
        <v>1</v>
      </c>
      <c r="D74" s="9" t="s">
        <v>158</v>
      </c>
      <c r="E74" s="9" t="s">
        <v>159</v>
      </c>
      <c r="F74" s="2">
        <v>274</v>
      </c>
      <c r="G74" s="2">
        <v>285</v>
      </c>
    </row>
    <row r="75" spans="1:7" x14ac:dyDescent="0.25">
      <c r="A75" s="9">
        <v>29</v>
      </c>
      <c r="B75" s="9">
        <v>24901</v>
      </c>
      <c r="C75" s="10">
        <v>1</v>
      </c>
      <c r="D75" s="9" t="s">
        <v>159</v>
      </c>
      <c r="E75" s="9" t="s">
        <v>160</v>
      </c>
      <c r="F75" s="2">
        <v>286</v>
      </c>
      <c r="G75" s="2">
        <v>304</v>
      </c>
    </row>
    <row r="76" spans="1:7" x14ac:dyDescent="0.25">
      <c r="A76" s="9">
        <v>29</v>
      </c>
      <c r="B76" s="9">
        <v>24901</v>
      </c>
      <c r="C76" s="10">
        <v>1</v>
      </c>
      <c r="D76" s="9" t="s">
        <v>160</v>
      </c>
      <c r="E76" s="9" t="s">
        <v>155</v>
      </c>
      <c r="F76" s="2">
        <v>305</v>
      </c>
      <c r="G76" s="2">
        <v>326</v>
      </c>
    </row>
    <row r="77" spans="1:7" x14ac:dyDescent="0.25">
      <c r="A77" s="9">
        <v>29</v>
      </c>
      <c r="B77" s="9">
        <v>24901</v>
      </c>
      <c r="C77" s="10">
        <v>1</v>
      </c>
      <c r="D77" s="9" t="s">
        <v>155</v>
      </c>
      <c r="E77" s="9" t="s">
        <v>397</v>
      </c>
      <c r="F77" s="2">
        <v>327</v>
      </c>
      <c r="G77" s="2">
        <v>346</v>
      </c>
    </row>
    <row r="78" spans="1:7" x14ac:dyDescent="0.25">
      <c r="A78" s="9">
        <v>29</v>
      </c>
      <c r="B78" s="9">
        <v>24901</v>
      </c>
      <c r="C78" s="10">
        <v>1</v>
      </c>
      <c r="D78" s="9" t="s">
        <v>397</v>
      </c>
      <c r="E78" s="9" t="s">
        <v>162</v>
      </c>
      <c r="F78" s="2">
        <v>347</v>
      </c>
      <c r="G78" s="2">
        <v>357</v>
      </c>
    </row>
    <row r="79" spans="1:7" x14ac:dyDescent="0.25">
      <c r="A79" s="9">
        <v>29</v>
      </c>
      <c r="B79" s="9">
        <v>24901</v>
      </c>
      <c r="C79" s="10">
        <v>1</v>
      </c>
      <c r="D79" s="9" t="s">
        <v>162</v>
      </c>
      <c r="E79" s="9" t="s">
        <v>163</v>
      </c>
      <c r="F79" s="2">
        <v>358</v>
      </c>
      <c r="G79" s="2">
        <v>366</v>
      </c>
    </row>
    <row r="80" spans="1:7" x14ac:dyDescent="0.25">
      <c r="A80" s="9">
        <v>29</v>
      </c>
      <c r="B80" s="9">
        <v>24901</v>
      </c>
      <c r="C80" s="10">
        <v>1</v>
      </c>
      <c r="D80" s="9" t="s">
        <v>163</v>
      </c>
      <c r="E80" s="9" t="s">
        <v>161</v>
      </c>
      <c r="F80" s="2">
        <v>367</v>
      </c>
      <c r="G80" s="2">
        <v>374</v>
      </c>
    </row>
    <row r="81" spans="1:7" x14ac:dyDescent="0.25">
      <c r="A81" s="9">
        <v>20</v>
      </c>
      <c r="B81" s="9">
        <v>24602</v>
      </c>
      <c r="C81" s="10">
        <v>1</v>
      </c>
      <c r="D81" s="9" t="s">
        <v>18</v>
      </c>
      <c r="E81" s="9" t="s">
        <v>18</v>
      </c>
      <c r="F81" s="2">
        <v>1862</v>
      </c>
      <c r="G81" s="2">
        <v>1865</v>
      </c>
    </row>
    <row r="82" spans="1:7" x14ac:dyDescent="0.25">
      <c r="A82" s="9">
        <v>20</v>
      </c>
      <c r="B82" s="9">
        <v>24602</v>
      </c>
      <c r="C82" s="10" t="s">
        <v>273</v>
      </c>
      <c r="D82" s="9" t="s">
        <v>18</v>
      </c>
      <c r="E82" s="9" t="s">
        <v>18</v>
      </c>
      <c r="F82" s="2">
        <v>1862</v>
      </c>
      <c r="G82" s="2">
        <v>1865</v>
      </c>
    </row>
    <row r="83" spans="1:7" x14ac:dyDescent="0.25">
      <c r="A83" s="9">
        <v>20</v>
      </c>
      <c r="B83" s="9">
        <v>24602</v>
      </c>
      <c r="C83" s="10">
        <v>1</v>
      </c>
      <c r="D83" s="9" t="s">
        <v>18</v>
      </c>
      <c r="E83" s="9" t="s">
        <v>19</v>
      </c>
      <c r="F83" s="2">
        <v>1866</v>
      </c>
      <c r="G83" s="2">
        <v>1875</v>
      </c>
    </row>
    <row r="84" spans="1:7" x14ac:dyDescent="0.25">
      <c r="A84" s="9">
        <v>20</v>
      </c>
      <c r="B84" s="9">
        <v>24602</v>
      </c>
      <c r="C84" s="10">
        <v>1</v>
      </c>
      <c r="D84" s="9" t="s">
        <v>19</v>
      </c>
      <c r="E84" s="9" t="s">
        <v>20</v>
      </c>
      <c r="F84" s="2">
        <v>1876</v>
      </c>
      <c r="G84" s="2">
        <v>1903</v>
      </c>
    </row>
    <row r="85" spans="1:7" x14ac:dyDescent="0.25">
      <c r="A85" s="9">
        <v>20</v>
      </c>
      <c r="B85" s="9">
        <v>24602</v>
      </c>
      <c r="C85" s="10">
        <v>1</v>
      </c>
      <c r="D85" s="9" t="s">
        <v>20</v>
      </c>
      <c r="E85" s="9" t="s">
        <v>21</v>
      </c>
      <c r="F85" s="2">
        <v>1904</v>
      </c>
      <c r="G85" s="2">
        <v>1918</v>
      </c>
    </row>
    <row r="86" spans="1:7" x14ac:dyDescent="0.25">
      <c r="A86" s="9">
        <v>20</v>
      </c>
      <c r="B86" s="9">
        <v>24602</v>
      </c>
      <c r="C86" s="10">
        <v>1</v>
      </c>
      <c r="D86" s="9" t="s">
        <v>21</v>
      </c>
      <c r="E86" s="9" t="s">
        <v>22</v>
      </c>
      <c r="F86" s="2">
        <v>1919</v>
      </c>
      <c r="G86" s="2">
        <v>1945</v>
      </c>
    </row>
    <row r="87" spans="1:7" x14ac:dyDescent="0.25">
      <c r="A87" s="9">
        <v>20</v>
      </c>
      <c r="B87" s="9">
        <v>24602</v>
      </c>
      <c r="C87" s="10">
        <v>1</v>
      </c>
      <c r="D87" s="9" t="s">
        <v>22</v>
      </c>
      <c r="E87" s="9" t="s">
        <v>23</v>
      </c>
      <c r="F87" s="2">
        <v>1946</v>
      </c>
      <c r="G87" s="2">
        <v>1960</v>
      </c>
    </row>
    <row r="88" spans="1:7" x14ac:dyDescent="0.25">
      <c r="A88" s="9">
        <v>20</v>
      </c>
      <c r="B88" s="9">
        <v>24602</v>
      </c>
      <c r="C88" s="10">
        <v>1</v>
      </c>
      <c r="D88" s="9" t="s">
        <v>23</v>
      </c>
      <c r="E88" s="9" t="s">
        <v>24</v>
      </c>
      <c r="F88" s="2">
        <v>1961</v>
      </c>
      <c r="G88" s="2">
        <v>1992</v>
      </c>
    </row>
    <row r="89" spans="1:7" x14ac:dyDescent="0.25">
      <c r="A89" s="9">
        <v>20</v>
      </c>
      <c r="B89" s="9">
        <v>24602</v>
      </c>
      <c r="C89" s="10">
        <v>1</v>
      </c>
      <c r="D89" s="9" t="s">
        <v>24</v>
      </c>
      <c r="E89" s="9" t="s">
        <v>25</v>
      </c>
      <c r="F89" s="2">
        <v>1993</v>
      </c>
      <c r="G89" s="2">
        <v>2012</v>
      </c>
    </row>
    <row r="90" spans="1:7" x14ac:dyDescent="0.25">
      <c r="A90" s="9">
        <v>20</v>
      </c>
      <c r="B90" s="9">
        <v>24602</v>
      </c>
      <c r="C90" s="10">
        <v>1</v>
      </c>
      <c r="D90" s="9" t="s">
        <v>25</v>
      </c>
      <c r="E90" s="9" t="s">
        <v>26</v>
      </c>
      <c r="F90" s="2">
        <v>2013</v>
      </c>
      <c r="G90" s="2">
        <v>2032</v>
      </c>
    </row>
    <row r="91" spans="1:7" x14ac:dyDescent="0.25">
      <c r="A91" s="9">
        <v>20</v>
      </c>
      <c r="B91" s="9">
        <v>24602</v>
      </c>
      <c r="C91" s="10">
        <v>1</v>
      </c>
      <c r="D91" s="9" t="s">
        <v>26</v>
      </c>
      <c r="E91" s="9" t="s">
        <v>27</v>
      </c>
      <c r="F91" s="2">
        <v>2033</v>
      </c>
      <c r="G91" s="2">
        <v>2057</v>
      </c>
    </row>
    <row r="92" spans="1:7" x14ac:dyDescent="0.25">
      <c r="A92" s="9">
        <v>20</v>
      </c>
      <c r="B92" s="9">
        <v>24602</v>
      </c>
      <c r="C92" s="10">
        <v>1</v>
      </c>
      <c r="D92" s="9" t="s">
        <v>27</v>
      </c>
      <c r="E92" s="9" t="s">
        <v>28</v>
      </c>
      <c r="F92" s="2">
        <v>2058</v>
      </c>
      <c r="G92" s="2">
        <v>2086</v>
      </c>
    </row>
    <row r="93" spans="1:7" x14ac:dyDescent="0.25">
      <c r="A93" s="9">
        <v>20</v>
      </c>
      <c r="B93" s="9">
        <v>24602</v>
      </c>
      <c r="C93" s="10">
        <v>1</v>
      </c>
      <c r="D93" s="9" t="s">
        <v>28</v>
      </c>
      <c r="E93" s="9" t="s">
        <v>29</v>
      </c>
      <c r="F93" s="2">
        <v>2087</v>
      </c>
      <c r="G93" s="2">
        <v>2106</v>
      </c>
    </row>
    <row r="94" spans="1:7" x14ac:dyDescent="0.25">
      <c r="A94" s="9">
        <v>20</v>
      </c>
      <c r="B94" s="9">
        <v>24602</v>
      </c>
      <c r="C94" s="10">
        <v>1</v>
      </c>
      <c r="D94" s="9" t="s">
        <v>29</v>
      </c>
      <c r="E94" s="9" t="s">
        <v>30</v>
      </c>
      <c r="F94" s="2">
        <v>2107</v>
      </c>
      <c r="G94" s="2">
        <v>2121</v>
      </c>
    </row>
    <row r="95" spans="1:7" x14ac:dyDescent="0.25">
      <c r="A95" s="9">
        <v>20</v>
      </c>
      <c r="B95" s="9">
        <v>24602</v>
      </c>
      <c r="C95" s="10">
        <v>1</v>
      </c>
      <c r="D95" s="9" t="s">
        <v>30</v>
      </c>
      <c r="E95" s="9" t="s">
        <v>31</v>
      </c>
      <c r="F95" s="2">
        <v>2122</v>
      </c>
      <c r="G95" s="2">
        <v>2145</v>
      </c>
    </row>
    <row r="96" spans="1:7" x14ac:dyDescent="0.25">
      <c r="A96" s="9">
        <v>20</v>
      </c>
      <c r="B96" s="9">
        <v>24602</v>
      </c>
      <c r="C96" s="10">
        <v>1</v>
      </c>
      <c r="D96" s="9" t="s">
        <v>31</v>
      </c>
      <c r="E96" s="9" t="s">
        <v>32</v>
      </c>
      <c r="F96" s="2">
        <v>2146</v>
      </c>
      <c r="G96" s="2">
        <v>2158</v>
      </c>
    </row>
    <row r="97" spans="1:7" x14ac:dyDescent="0.25">
      <c r="A97" s="9">
        <v>20</v>
      </c>
      <c r="B97" s="9">
        <v>24602</v>
      </c>
      <c r="C97" s="10">
        <v>1</v>
      </c>
      <c r="D97" s="9" t="s">
        <v>32</v>
      </c>
      <c r="E97" s="9" t="s">
        <v>940</v>
      </c>
      <c r="F97" s="2">
        <v>2159</v>
      </c>
      <c r="G97" s="2">
        <v>2170</v>
      </c>
    </row>
    <row r="98" spans="1:7" x14ac:dyDescent="0.25">
      <c r="A98" s="9">
        <v>20</v>
      </c>
      <c r="B98" s="9">
        <v>24602</v>
      </c>
      <c r="C98" s="10">
        <v>1</v>
      </c>
      <c r="D98" s="9" t="s">
        <v>940</v>
      </c>
      <c r="E98" s="9" t="s">
        <v>33</v>
      </c>
      <c r="F98" s="2">
        <v>2171</v>
      </c>
      <c r="G98" s="2">
        <v>2188</v>
      </c>
    </row>
    <row r="99" spans="1:7" x14ac:dyDescent="0.25">
      <c r="A99" s="5">
        <v>20</v>
      </c>
      <c r="B99" s="5">
        <v>24602</v>
      </c>
      <c r="C99" s="6">
        <v>1</v>
      </c>
      <c r="D99" s="5" t="s">
        <v>33</v>
      </c>
      <c r="E99" s="5" t="s">
        <v>34</v>
      </c>
      <c r="F99" s="5">
        <v>2189</v>
      </c>
      <c r="G99" s="5">
        <v>2195</v>
      </c>
    </row>
    <row r="100" spans="1:7" x14ac:dyDescent="0.25">
      <c r="A100" s="5">
        <v>22</v>
      </c>
      <c r="B100" s="5">
        <v>24602</v>
      </c>
      <c r="C100" s="6">
        <v>1</v>
      </c>
      <c r="D100" s="5" t="s">
        <v>33</v>
      </c>
      <c r="E100" s="5" t="s">
        <v>34</v>
      </c>
      <c r="F100" s="5">
        <v>2196</v>
      </c>
      <c r="G100" s="5">
        <v>2203</v>
      </c>
    </row>
    <row r="101" spans="1:7" x14ac:dyDescent="0.25">
      <c r="A101" s="9">
        <v>22</v>
      </c>
      <c r="B101" s="9">
        <v>24602</v>
      </c>
      <c r="C101" s="10">
        <v>1</v>
      </c>
      <c r="D101" s="9" t="s">
        <v>34</v>
      </c>
      <c r="E101" s="9" t="s">
        <v>35</v>
      </c>
      <c r="F101" s="2">
        <v>2204</v>
      </c>
      <c r="G101" s="2">
        <v>2216</v>
      </c>
    </row>
    <row r="102" spans="1:7" x14ac:dyDescent="0.25">
      <c r="A102" s="9">
        <v>22</v>
      </c>
      <c r="B102" s="9">
        <v>24602</v>
      </c>
      <c r="C102" s="10">
        <v>1</v>
      </c>
      <c r="D102" s="9" t="s">
        <v>35</v>
      </c>
      <c r="E102" s="9" t="s">
        <v>291</v>
      </c>
      <c r="F102" s="2">
        <v>2217</v>
      </c>
      <c r="G102" s="2">
        <v>2230</v>
      </c>
    </row>
    <row r="103" spans="1:7" x14ac:dyDescent="0.25">
      <c r="A103" s="9">
        <v>22</v>
      </c>
      <c r="B103" s="9">
        <v>24602</v>
      </c>
      <c r="C103" s="10">
        <v>1</v>
      </c>
      <c r="D103" s="9" t="s">
        <v>291</v>
      </c>
      <c r="E103" s="9" t="s">
        <v>36</v>
      </c>
      <c r="F103" s="2">
        <v>2231</v>
      </c>
      <c r="G103" s="2">
        <v>2241</v>
      </c>
    </row>
    <row r="104" spans="1:7" x14ac:dyDescent="0.25">
      <c r="A104" s="9">
        <v>22</v>
      </c>
      <c r="B104" s="9">
        <v>24602</v>
      </c>
      <c r="C104" s="10">
        <v>1</v>
      </c>
      <c r="D104" s="9" t="s">
        <v>36</v>
      </c>
      <c r="E104" s="9" t="s">
        <v>37</v>
      </c>
      <c r="F104" s="2">
        <v>2242</v>
      </c>
      <c r="G104" s="2">
        <v>2254</v>
      </c>
    </row>
    <row r="105" spans="1:7" x14ac:dyDescent="0.25">
      <c r="A105" s="9">
        <v>22</v>
      </c>
      <c r="B105" s="9">
        <v>24602</v>
      </c>
      <c r="C105" s="10">
        <v>1</v>
      </c>
      <c r="D105" s="9" t="s">
        <v>37</v>
      </c>
      <c r="E105" s="9" t="s">
        <v>38</v>
      </c>
      <c r="F105" s="2">
        <v>2255</v>
      </c>
      <c r="G105" s="2">
        <v>2268</v>
      </c>
    </row>
    <row r="106" spans="1:7" x14ac:dyDescent="0.25">
      <c r="A106" s="9">
        <v>22</v>
      </c>
      <c r="B106" s="9">
        <v>24602</v>
      </c>
      <c r="C106" s="10">
        <v>1</v>
      </c>
      <c r="D106" s="9" t="s">
        <v>38</v>
      </c>
      <c r="E106" s="9" t="s">
        <v>39</v>
      </c>
      <c r="F106" s="2">
        <v>2269</v>
      </c>
      <c r="G106" s="2">
        <v>2281</v>
      </c>
    </row>
    <row r="107" spans="1:7" x14ac:dyDescent="0.25">
      <c r="A107" s="9">
        <v>22</v>
      </c>
      <c r="B107" s="9">
        <v>24602</v>
      </c>
      <c r="C107" s="10">
        <v>1</v>
      </c>
      <c r="D107" s="9" t="s">
        <v>39</v>
      </c>
      <c r="E107" s="9" t="s">
        <v>40</v>
      </c>
      <c r="F107" s="2">
        <v>2282</v>
      </c>
      <c r="G107" s="2">
        <v>2289</v>
      </c>
    </row>
    <row r="108" spans="1:7" x14ac:dyDescent="0.25">
      <c r="A108" s="9">
        <v>22</v>
      </c>
      <c r="B108" s="9">
        <v>24602</v>
      </c>
      <c r="C108" s="10">
        <v>1</v>
      </c>
      <c r="D108" s="9" t="s">
        <v>40</v>
      </c>
      <c r="E108" s="9" t="s">
        <v>41</v>
      </c>
      <c r="F108" s="2">
        <v>2290</v>
      </c>
      <c r="G108" s="2">
        <v>2309</v>
      </c>
    </row>
    <row r="109" spans="1:7" x14ac:dyDescent="0.25">
      <c r="A109" s="9">
        <v>22</v>
      </c>
      <c r="B109" s="9">
        <v>24602</v>
      </c>
      <c r="C109" s="10">
        <v>1</v>
      </c>
      <c r="D109" s="9" t="s">
        <v>41</v>
      </c>
      <c r="E109" s="9" t="s">
        <v>941</v>
      </c>
      <c r="F109" s="2">
        <v>2310</v>
      </c>
      <c r="G109" s="2">
        <v>2320</v>
      </c>
    </row>
    <row r="110" spans="1:7" x14ac:dyDescent="0.25">
      <c r="A110" s="9">
        <v>22</v>
      </c>
      <c r="B110" s="9">
        <v>24602</v>
      </c>
      <c r="C110" s="10">
        <v>1</v>
      </c>
      <c r="D110" s="9" t="s">
        <v>941</v>
      </c>
      <c r="E110" s="9" t="s">
        <v>42</v>
      </c>
      <c r="F110" s="2">
        <v>2321</v>
      </c>
      <c r="G110" s="2">
        <v>2335</v>
      </c>
    </row>
    <row r="111" spans="1:7" x14ac:dyDescent="0.25">
      <c r="A111" s="9">
        <v>22</v>
      </c>
      <c r="B111" s="9">
        <v>24602</v>
      </c>
      <c r="C111" s="10">
        <v>1</v>
      </c>
      <c r="D111" s="9" t="s">
        <v>42</v>
      </c>
      <c r="E111" s="9" t="s">
        <v>43</v>
      </c>
      <c r="F111" s="2">
        <v>2336</v>
      </c>
      <c r="G111" s="2">
        <v>2350</v>
      </c>
    </row>
    <row r="112" spans="1:7" x14ac:dyDescent="0.25">
      <c r="A112" s="9">
        <v>22</v>
      </c>
      <c r="B112" s="9">
        <v>24603</v>
      </c>
      <c r="C112" s="10">
        <v>1</v>
      </c>
      <c r="D112" s="9" t="s">
        <v>43</v>
      </c>
      <c r="E112" s="9" t="s">
        <v>44</v>
      </c>
      <c r="F112" s="2">
        <v>2350</v>
      </c>
      <c r="G112" s="2">
        <v>2359</v>
      </c>
    </row>
    <row r="113" spans="1:7" x14ac:dyDescent="0.25">
      <c r="A113" s="9">
        <v>22</v>
      </c>
      <c r="B113" s="9">
        <v>24603</v>
      </c>
      <c r="C113" s="10">
        <v>1</v>
      </c>
      <c r="D113" s="9" t="s">
        <v>44</v>
      </c>
      <c r="E113" s="9" t="s">
        <v>45</v>
      </c>
      <c r="F113" s="2">
        <v>2360</v>
      </c>
      <c r="G113" s="2">
        <v>2378</v>
      </c>
    </row>
    <row r="114" spans="1:7" x14ac:dyDescent="0.25">
      <c r="A114" s="9">
        <v>22</v>
      </c>
      <c r="B114" s="9">
        <v>24701</v>
      </c>
      <c r="C114" s="10">
        <v>1</v>
      </c>
      <c r="D114" s="9" t="s">
        <v>46</v>
      </c>
      <c r="E114" s="9" t="s">
        <v>47</v>
      </c>
      <c r="F114" s="2">
        <v>4</v>
      </c>
      <c r="G114" s="2">
        <v>18</v>
      </c>
    </row>
    <row r="115" spans="1:7" x14ac:dyDescent="0.25">
      <c r="A115" s="9">
        <v>22</v>
      </c>
      <c r="B115" s="9">
        <v>24701</v>
      </c>
      <c r="C115" s="10">
        <v>1</v>
      </c>
      <c r="D115" s="9" t="s">
        <v>47</v>
      </c>
      <c r="E115" s="9" t="s">
        <v>48</v>
      </c>
      <c r="F115" s="2">
        <v>19</v>
      </c>
      <c r="G115" s="2">
        <v>30</v>
      </c>
    </row>
    <row r="116" spans="1:7" x14ac:dyDescent="0.25">
      <c r="A116" s="9">
        <v>22</v>
      </c>
      <c r="B116" s="9">
        <v>24701</v>
      </c>
      <c r="C116" s="10">
        <v>1</v>
      </c>
      <c r="D116" s="9" t="s">
        <v>48</v>
      </c>
      <c r="E116" s="9" t="s">
        <v>49</v>
      </c>
      <c r="F116" s="2">
        <v>31</v>
      </c>
      <c r="G116" s="2">
        <v>49</v>
      </c>
    </row>
    <row r="117" spans="1:7" x14ac:dyDescent="0.25">
      <c r="A117" s="9">
        <v>22</v>
      </c>
      <c r="B117" s="9">
        <v>24701</v>
      </c>
      <c r="C117" s="10">
        <v>1</v>
      </c>
      <c r="D117" s="9" t="s">
        <v>49</v>
      </c>
      <c r="E117" s="9" t="s">
        <v>50</v>
      </c>
      <c r="F117" s="2">
        <v>50</v>
      </c>
      <c r="G117" s="2">
        <v>65</v>
      </c>
    </row>
    <row r="118" spans="1:7" x14ac:dyDescent="0.25">
      <c r="A118" s="9">
        <v>22</v>
      </c>
      <c r="B118" s="9">
        <v>24701</v>
      </c>
      <c r="C118" s="10">
        <v>1</v>
      </c>
      <c r="D118" s="9" t="s">
        <v>50</v>
      </c>
      <c r="E118" s="9" t="s">
        <v>51</v>
      </c>
      <c r="F118" s="2">
        <v>66</v>
      </c>
      <c r="G118" s="2">
        <v>82</v>
      </c>
    </row>
    <row r="119" spans="1:7" x14ac:dyDescent="0.25">
      <c r="A119" s="9">
        <v>22</v>
      </c>
      <c r="B119" s="9">
        <v>24701</v>
      </c>
      <c r="C119" s="10">
        <v>1</v>
      </c>
      <c r="D119" s="9" t="s">
        <v>51</v>
      </c>
      <c r="E119" s="9" t="s">
        <v>52</v>
      </c>
      <c r="F119" s="2">
        <v>83</v>
      </c>
      <c r="G119" s="2">
        <v>94</v>
      </c>
    </row>
    <row r="120" spans="1:7" x14ac:dyDescent="0.25">
      <c r="A120" s="9">
        <v>22</v>
      </c>
      <c r="B120" s="9">
        <v>24701</v>
      </c>
      <c r="C120" s="10">
        <v>1</v>
      </c>
      <c r="D120" s="9" t="s">
        <v>52</v>
      </c>
      <c r="E120" s="9" t="s">
        <v>53</v>
      </c>
      <c r="F120" s="2">
        <v>95</v>
      </c>
      <c r="G120" s="2">
        <v>112</v>
      </c>
    </row>
    <row r="121" spans="1:7" x14ac:dyDescent="0.25">
      <c r="A121" s="9">
        <v>22</v>
      </c>
      <c r="B121" s="9">
        <v>24701</v>
      </c>
      <c r="C121" s="10">
        <v>1</v>
      </c>
      <c r="D121" s="9" t="s">
        <v>53</v>
      </c>
      <c r="E121" s="9" t="s">
        <v>54</v>
      </c>
      <c r="F121" s="2">
        <v>113</v>
      </c>
      <c r="G121" s="2">
        <v>132</v>
      </c>
    </row>
    <row r="122" spans="1:7" x14ac:dyDescent="0.25">
      <c r="A122" s="9">
        <v>22</v>
      </c>
      <c r="B122" s="9">
        <v>24701</v>
      </c>
      <c r="C122" s="10">
        <v>1</v>
      </c>
      <c r="D122" s="9" t="s">
        <v>54</v>
      </c>
      <c r="E122" s="9" t="s">
        <v>55</v>
      </c>
      <c r="F122" s="2">
        <v>133</v>
      </c>
      <c r="G122" s="2">
        <v>143</v>
      </c>
    </row>
    <row r="123" spans="1:7" x14ac:dyDescent="0.25">
      <c r="A123" s="9">
        <v>22</v>
      </c>
      <c r="B123" s="9">
        <v>24701</v>
      </c>
      <c r="C123" s="10">
        <v>1</v>
      </c>
      <c r="D123" s="9" t="s">
        <v>55</v>
      </c>
      <c r="E123" s="9" t="s">
        <v>56</v>
      </c>
      <c r="F123" s="2">
        <v>144</v>
      </c>
      <c r="G123" s="2">
        <v>159</v>
      </c>
    </row>
    <row r="124" spans="1:7" x14ac:dyDescent="0.25">
      <c r="A124" s="9">
        <v>22</v>
      </c>
      <c r="B124" s="9">
        <v>24701</v>
      </c>
      <c r="C124" s="10">
        <v>1</v>
      </c>
      <c r="D124" s="9" t="s">
        <v>56</v>
      </c>
      <c r="E124" s="9" t="s">
        <v>57</v>
      </c>
      <c r="F124" s="2">
        <v>160</v>
      </c>
      <c r="G124" s="2">
        <v>166</v>
      </c>
    </row>
    <row r="125" spans="1:7" x14ac:dyDescent="0.25">
      <c r="A125" s="9">
        <v>22</v>
      </c>
      <c r="B125" s="9">
        <v>24701</v>
      </c>
      <c r="C125" s="10">
        <v>1</v>
      </c>
      <c r="D125" s="9" t="s">
        <v>57</v>
      </c>
      <c r="E125" s="9" t="s">
        <v>43</v>
      </c>
      <c r="F125" s="2">
        <v>167</v>
      </c>
      <c r="G125" s="2">
        <v>180</v>
      </c>
    </row>
    <row r="126" spans="1:7" x14ac:dyDescent="0.25">
      <c r="A126" s="9">
        <v>22</v>
      </c>
      <c r="B126" s="9">
        <v>24701</v>
      </c>
      <c r="C126" s="10">
        <v>1</v>
      </c>
      <c r="D126" s="9" t="s">
        <v>43</v>
      </c>
      <c r="E126" s="9" t="s">
        <v>44</v>
      </c>
      <c r="F126" s="2">
        <v>181</v>
      </c>
      <c r="G126" s="2">
        <v>190</v>
      </c>
    </row>
    <row r="127" spans="1:7" x14ac:dyDescent="0.25">
      <c r="A127" s="9">
        <v>22</v>
      </c>
      <c r="B127" s="9">
        <v>24701</v>
      </c>
      <c r="C127" s="10">
        <v>1</v>
      </c>
      <c r="D127" s="9" t="s">
        <v>44</v>
      </c>
      <c r="E127" s="9" t="s">
        <v>45</v>
      </c>
      <c r="F127" s="2">
        <v>191</v>
      </c>
      <c r="G127" s="2">
        <v>205</v>
      </c>
    </row>
    <row r="128" spans="1:7" x14ac:dyDescent="0.25">
      <c r="A128" s="5">
        <v>22</v>
      </c>
      <c r="B128" s="5">
        <v>24701</v>
      </c>
      <c r="C128" s="6">
        <v>1</v>
      </c>
      <c r="D128" s="5" t="s">
        <v>45</v>
      </c>
      <c r="E128" s="5" t="s">
        <v>119</v>
      </c>
      <c r="F128" s="5">
        <v>206</v>
      </c>
      <c r="G128" s="5">
        <v>210</v>
      </c>
    </row>
    <row r="129" spans="1:7" x14ac:dyDescent="0.25">
      <c r="A129" s="5">
        <v>23</v>
      </c>
      <c r="B129" s="5">
        <v>24701</v>
      </c>
      <c r="C129" s="6">
        <v>1</v>
      </c>
      <c r="D129" s="5" t="s">
        <v>45</v>
      </c>
      <c r="E129" s="5" t="s">
        <v>119</v>
      </c>
      <c r="F129" s="5">
        <v>211</v>
      </c>
      <c r="G129" s="5">
        <v>224</v>
      </c>
    </row>
    <row r="130" spans="1:7" x14ac:dyDescent="0.25">
      <c r="A130" s="9">
        <v>23</v>
      </c>
      <c r="B130" s="9">
        <v>24701</v>
      </c>
      <c r="C130" s="10">
        <v>1</v>
      </c>
      <c r="D130" s="9" t="s">
        <v>119</v>
      </c>
      <c r="E130" s="9" t="s">
        <v>120</v>
      </c>
      <c r="F130" s="2">
        <v>225</v>
      </c>
      <c r="G130" s="2">
        <v>250</v>
      </c>
    </row>
    <row r="131" spans="1:7" x14ac:dyDescent="0.25">
      <c r="A131" s="9">
        <v>23</v>
      </c>
      <c r="B131" s="9">
        <v>24701</v>
      </c>
      <c r="C131" s="10">
        <v>1</v>
      </c>
      <c r="D131" s="9" t="s">
        <v>120</v>
      </c>
      <c r="E131" s="9" t="s">
        <v>121</v>
      </c>
      <c r="F131" s="2">
        <v>251</v>
      </c>
      <c r="G131" s="2">
        <v>269</v>
      </c>
    </row>
    <row r="132" spans="1:7" x14ac:dyDescent="0.25">
      <c r="A132" s="9">
        <v>23</v>
      </c>
      <c r="B132" s="9">
        <v>24701</v>
      </c>
      <c r="C132" s="10">
        <v>1</v>
      </c>
      <c r="D132" s="9" t="s">
        <v>121</v>
      </c>
      <c r="E132" s="9" t="s">
        <v>122</v>
      </c>
      <c r="F132" s="2">
        <v>270</v>
      </c>
      <c r="G132" s="2">
        <v>285</v>
      </c>
    </row>
    <row r="133" spans="1:7" x14ac:dyDescent="0.25">
      <c r="A133" s="9">
        <v>23</v>
      </c>
      <c r="B133" s="9">
        <v>24701</v>
      </c>
      <c r="C133" s="10">
        <v>1</v>
      </c>
      <c r="D133" s="9" t="s">
        <v>122</v>
      </c>
      <c r="E133" s="9" t="s">
        <v>123</v>
      </c>
      <c r="F133" s="2">
        <v>286</v>
      </c>
      <c r="G133" s="2">
        <v>298</v>
      </c>
    </row>
    <row r="134" spans="1:7" x14ac:dyDescent="0.25">
      <c r="A134" s="9">
        <v>23</v>
      </c>
      <c r="B134" s="9">
        <v>24701</v>
      </c>
      <c r="C134" s="10">
        <v>1</v>
      </c>
      <c r="D134" s="9" t="s">
        <v>123</v>
      </c>
      <c r="E134" s="9" t="s">
        <v>124</v>
      </c>
      <c r="F134" s="2">
        <v>299</v>
      </c>
      <c r="G134" s="2">
        <v>318</v>
      </c>
    </row>
    <row r="135" spans="1:7" x14ac:dyDescent="0.25">
      <c r="A135" s="9">
        <v>23</v>
      </c>
      <c r="B135" s="9">
        <v>24701</v>
      </c>
      <c r="C135" s="10">
        <v>1</v>
      </c>
      <c r="D135" s="9" t="s">
        <v>124</v>
      </c>
      <c r="E135" s="9" t="s">
        <v>125</v>
      </c>
      <c r="F135" s="2">
        <v>319</v>
      </c>
      <c r="G135" s="2">
        <v>340</v>
      </c>
    </row>
    <row r="136" spans="1:7" x14ac:dyDescent="0.25">
      <c r="A136" s="9">
        <v>23</v>
      </c>
      <c r="B136" s="9">
        <v>24701</v>
      </c>
      <c r="C136" s="10">
        <v>1</v>
      </c>
      <c r="D136" s="9" t="s">
        <v>125</v>
      </c>
      <c r="E136" s="9" t="s">
        <v>126</v>
      </c>
      <c r="F136" s="2">
        <v>341</v>
      </c>
      <c r="G136" s="2">
        <v>357</v>
      </c>
    </row>
    <row r="137" spans="1:7" x14ac:dyDescent="0.25">
      <c r="A137" s="9">
        <v>23</v>
      </c>
      <c r="B137" s="9">
        <v>24701</v>
      </c>
      <c r="C137" s="10">
        <v>1</v>
      </c>
      <c r="D137" s="9" t="s">
        <v>126</v>
      </c>
      <c r="E137" s="9" t="s">
        <v>942</v>
      </c>
      <c r="F137" s="2">
        <v>358</v>
      </c>
      <c r="G137" s="2">
        <v>383</v>
      </c>
    </row>
    <row r="138" spans="1:7" x14ac:dyDescent="0.25">
      <c r="A138" s="9">
        <v>23</v>
      </c>
      <c r="B138" s="9">
        <v>24701</v>
      </c>
      <c r="C138" s="10">
        <v>1</v>
      </c>
      <c r="D138" s="9" t="s">
        <v>942</v>
      </c>
      <c r="E138" s="9" t="s">
        <v>127</v>
      </c>
      <c r="F138" s="2">
        <v>384</v>
      </c>
      <c r="G138" s="2">
        <v>398</v>
      </c>
    </row>
    <row r="139" spans="1:7" x14ac:dyDescent="0.25">
      <c r="A139" s="9">
        <v>23</v>
      </c>
      <c r="B139" s="9">
        <v>24701</v>
      </c>
      <c r="C139" s="10">
        <v>1</v>
      </c>
      <c r="D139" s="9" t="s">
        <v>127</v>
      </c>
      <c r="E139" s="9" t="s">
        <v>128</v>
      </c>
      <c r="F139" s="2">
        <v>399</v>
      </c>
      <c r="G139" s="2">
        <v>408</v>
      </c>
    </row>
    <row r="140" spans="1:7" x14ac:dyDescent="0.25">
      <c r="A140" s="9">
        <v>23</v>
      </c>
      <c r="B140" s="9">
        <v>24701</v>
      </c>
      <c r="C140" s="10">
        <v>1</v>
      </c>
      <c r="D140" s="9" t="s">
        <v>128</v>
      </c>
      <c r="E140" s="9" t="s">
        <v>129</v>
      </c>
      <c r="F140" s="2">
        <v>409</v>
      </c>
      <c r="G140" s="2">
        <v>419</v>
      </c>
    </row>
    <row r="141" spans="1:7" x14ac:dyDescent="0.25">
      <c r="A141" s="9">
        <v>23</v>
      </c>
      <c r="B141" s="9">
        <v>24794</v>
      </c>
      <c r="C141" s="10">
        <v>1</v>
      </c>
      <c r="D141" s="9" t="s">
        <v>129</v>
      </c>
      <c r="E141" s="9" t="s">
        <v>130</v>
      </c>
      <c r="F141" s="2">
        <v>1</v>
      </c>
      <c r="G141" s="2">
        <v>5</v>
      </c>
    </row>
    <row r="142" spans="1:7" x14ac:dyDescent="0.25">
      <c r="A142" s="9">
        <v>24</v>
      </c>
      <c r="B142" s="9">
        <v>24603</v>
      </c>
      <c r="C142" s="10">
        <v>1</v>
      </c>
      <c r="D142" s="9" t="s">
        <v>45</v>
      </c>
      <c r="E142" s="9" t="s">
        <v>131</v>
      </c>
      <c r="F142" s="2">
        <v>2379</v>
      </c>
      <c r="G142" s="2">
        <v>2392</v>
      </c>
    </row>
    <row r="143" spans="1:7" x14ac:dyDescent="0.25">
      <c r="A143" s="9">
        <v>24</v>
      </c>
      <c r="B143" s="9">
        <v>24603</v>
      </c>
      <c r="C143" s="10">
        <v>1</v>
      </c>
      <c r="D143" s="9" t="s">
        <v>131</v>
      </c>
      <c r="E143" s="9" t="s">
        <v>132</v>
      </c>
      <c r="F143" s="2">
        <v>2393</v>
      </c>
      <c r="G143" s="2">
        <v>2417</v>
      </c>
    </row>
    <row r="144" spans="1:7" x14ac:dyDescent="0.25">
      <c r="A144" s="9">
        <v>24</v>
      </c>
      <c r="B144" s="9">
        <v>24603</v>
      </c>
      <c r="C144" s="10">
        <v>1</v>
      </c>
      <c r="D144" s="9" t="s">
        <v>132</v>
      </c>
      <c r="E144" s="9" t="s">
        <v>133</v>
      </c>
      <c r="F144" s="2">
        <v>2418</v>
      </c>
      <c r="G144" s="2">
        <v>2436</v>
      </c>
    </row>
    <row r="145" spans="1:7" x14ac:dyDescent="0.25">
      <c r="A145" s="9">
        <v>24</v>
      </c>
      <c r="B145" s="9">
        <v>24603</v>
      </c>
      <c r="C145" s="10">
        <v>1</v>
      </c>
      <c r="D145" s="9" t="s">
        <v>133</v>
      </c>
      <c r="E145" s="9" t="s">
        <v>134</v>
      </c>
      <c r="F145" s="2">
        <v>2437</v>
      </c>
      <c r="G145" s="2">
        <v>2459</v>
      </c>
    </row>
    <row r="146" spans="1:7" x14ac:dyDescent="0.25">
      <c r="A146" s="9">
        <v>24</v>
      </c>
      <c r="B146" s="9">
        <v>24603</v>
      </c>
      <c r="C146" s="10">
        <v>1</v>
      </c>
      <c r="D146" s="9" t="s">
        <v>134</v>
      </c>
      <c r="E146" s="9" t="s">
        <v>135</v>
      </c>
      <c r="F146" s="2">
        <v>2460</v>
      </c>
      <c r="G146" s="2">
        <v>2471</v>
      </c>
    </row>
    <row r="147" spans="1:7" x14ac:dyDescent="0.25">
      <c r="A147" s="9">
        <v>24</v>
      </c>
      <c r="B147" s="9">
        <v>24603</v>
      </c>
      <c r="C147" s="10">
        <v>1</v>
      </c>
      <c r="D147" s="9" t="s">
        <v>135</v>
      </c>
      <c r="E147" s="9" t="s">
        <v>136</v>
      </c>
      <c r="F147" s="2">
        <v>2472</v>
      </c>
      <c r="G147" s="2">
        <v>2494</v>
      </c>
    </row>
    <row r="148" spans="1:7" x14ac:dyDescent="0.25">
      <c r="A148" s="9">
        <v>24</v>
      </c>
      <c r="B148" s="9">
        <v>24603</v>
      </c>
      <c r="C148" s="10">
        <v>1</v>
      </c>
      <c r="D148" s="9" t="s">
        <v>136</v>
      </c>
      <c r="E148" s="9" t="s">
        <v>137</v>
      </c>
      <c r="F148" s="2">
        <v>2495</v>
      </c>
      <c r="G148" s="2">
        <v>2511</v>
      </c>
    </row>
    <row r="149" spans="1:7" x14ac:dyDescent="0.25">
      <c r="A149" s="9">
        <v>24</v>
      </c>
      <c r="B149" s="9">
        <v>24603</v>
      </c>
      <c r="C149" s="10">
        <v>1</v>
      </c>
      <c r="D149" s="9" t="s">
        <v>137</v>
      </c>
      <c r="E149" s="9" t="s">
        <v>138</v>
      </c>
      <c r="F149" s="2">
        <v>2512</v>
      </c>
      <c r="G149" s="2">
        <v>2526</v>
      </c>
    </row>
    <row r="150" spans="1:7" x14ac:dyDescent="0.25">
      <c r="A150" s="9">
        <v>24</v>
      </c>
      <c r="B150" s="9">
        <v>24603</v>
      </c>
      <c r="C150" s="10">
        <v>1</v>
      </c>
      <c r="D150" s="9" t="s">
        <v>138</v>
      </c>
      <c r="E150" s="9" t="s">
        <v>139</v>
      </c>
      <c r="F150" s="2">
        <v>2527</v>
      </c>
      <c r="G150" s="2">
        <v>2542</v>
      </c>
    </row>
    <row r="151" spans="1:7" x14ac:dyDescent="0.25">
      <c r="A151" s="9">
        <v>24</v>
      </c>
      <c r="B151" s="9">
        <v>24603</v>
      </c>
      <c r="C151" s="10">
        <v>1</v>
      </c>
      <c r="D151" s="9" t="s">
        <v>139</v>
      </c>
      <c r="E151" s="9" t="s">
        <v>140</v>
      </c>
      <c r="F151" s="2">
        <v>2543</v>
      </c>
      <c r="G151" s="2">
        <v>2560</v>
      </c>
    </row>
    <row r="152" spans="1:7" x14ac:dyDescent="0.25">
      <c r="A152" s="9">
        <v>24</v>
      </c>
      <c r="B152" s="9">
        <v>24603</v>
      </c>
      <c r="C152" s="10">
        <v>1</v>
      </c>
      <c r="D152" s="9" t="s">
        <v>140</v>
      </c>
      <c r="E152" s="9" t="s">
        <v>141</v>
      </c>
      <c r="F152" s="2">
        <v>2561</v>
      </c>
      <c r="G152" s="2">
        <v>2577</v>
      </c>
    </row>
    <row r="153" spans="1:7" x14ac:dyDescent="0.25">
      <c r="A153" s="9">
        <v>24</v>
      </c>
      <c r="B153" s="9">
        <v>24603</v>
      </c>
      <c r="C153" s="10">
        <v>1</v>
      </c>
      <c r="D153" s="9" t="s">
        <v>141</v>
      </c>
      <c r="E153" s="9" t="s">
        <v>142</v>
      </c>
      <c r="F153" s="2">
        <v>2578</v>
      </c>
      <c r="G153" s="2">
        <v>2591</v>
      </c>
    </row>
    <row r="154" spans="1:7" x14ac:dyDescent="0.25">
      <c r="A154" s="9">
        <v>24</v>
      </c>
      <c r="B154" s="9">
        <v>24603</v>
      </c>
      <c r="C154" s="10">
        <v>1</v>
      </c>
      <c r="D154" s="9" t="s">
        <v>142</v>
      </c>
      <c r="E154" s="9" t="s">
        <v>58</v>
      </c>
      <c r="F154" s="2">
        <v>2592</v>
      </c>
      <c r="G154" s="2">
        <v>2606</v>
      </c>
    </row>
    <row r="155" spans="1:7" x14ac:dyDescent="0.25">
      <c r="A155" s="5">
        <v>24</v>
      </c>
      <c r="B155" s="5">
        <v>24603</v>
      </c>
      <c r="C155" s="6">
        <v>1</v>
      </c>
      <c r="D155" s="5" t="s">
        <v>58</v>
      </c>
      <c r="E155" s="5" t="s">
        <v>59</v>
      </c>
      <c r="F155" s="5">
        <v>2608</v>
      </c>
      <c r="G155" s="5">
        <v>2611</v>
      </c>
    </row>
    <row r="156" spans="1:7" x14ac:dyDescent="0.25">
      <c r="A156" s="5">
        <v>25</v>
      </c>
      <c r="B156" s="5">
        <v>24603</v>
      </c>
      <c r="C156" s="6">
        <v>1</v>
      </c>
      <c r="D156" s="5" t="s">
        <v>58</v>
      </c>
      <c r="E156" s="5" t="s">
        <v>59</v>
      </c>
      <c r="F156" s="5">
        <v>2612</v>
      </c>
      <c r="G156" s="5">
        <v>2626</v>
      </c>
    </row>
    <row r="157" spans="1:7" x14ac:dyDescent="0.25">
      <c r="A157" s="9">
        <v>25</v>
      </c>
      <c r="B157" s="9">
        <v>24603</v>
      </c>
      <c r="C157" s="10">
        <v>1</v>
      </c>
      <c r="D157" s="9" t="s">
        <v>59</v>
      </c>
      <c r="E157" s="9" t="s">
        <v>60</v>
      </c>
      <c r="F157" s="2">
        <v>2627</v>
      </c>
      <c r="G157" s="2">
        <v>2643</v>
      </c>
    </row>
    <row r="158" spans="1:7" x14ac:dyDescent="0.25">
      <c r="A158" s="9">
        <v>25</v>
      </c>
      <c r="B158" s="9">
        <v>24603</v>
      </c>
      <c r="C158" s="10">
        <v>1</v>
      </c>
      <c r="D158" s="9" t="s">
        <v>60</v>
      </c>
      <c r="E158" s="9" t="s">
        <v>61</v>
      </c>
      <c r="F158" s="2">
        <v>2644</v>
      </c>
      <c r="G158" s="2">
        <v>2661</v>
      </c>
    </row>
    <row r="159" spans="1:7" x14ac:dyDescent="0.25">
      <c r="A159" s="9">
        <v>25</v>
      </c>
      <c r="B159" s="9">
        <v>24603</v>
      </c>
      <c r="C159" s="10">
        <v>1</v>
      </c>
      <c r="D159" s="9" t="s">
        <v>61</v>
      </c>
      <c r="E159" s="9" t="s">
        <v>62</v>
      </c>
      <c r="F159" s="2">
        <v>2662</v>
      </c>
      <c r="G159" s="2">
        <v>2677</v>
      </c>
    </row>
    <row r="160" spans="1:7" x14ac:dyDescent="0.25">
      <c r="A160" s="9">
        <v>25</v>
      </c>
      <c r="B160" s="9">
        <v>24603</v>
      </c>
      <c r="C160" s="10">
        <v>1</v>
      </c>
      <c r="D160" s="9" t="s">
        <v>62</v>
      </c>
      <c r="E160" s="9" t="s">
        <v>63</v>
      </c>
      <c r="F160" s="2">
        <v>2678</v>
      </c>
      <c r="G160" s="2">
        <v>2690</v>
      </c>
    </row>
    <row r="161" spans="1:7" x14ac:dyDescent="0.25">
      <c r="A161" s="9">
        <v>25</v>
      </c>
      <c r="B161" s="9">
        <v>24603</v>
      </c>
      <c r="C161" s="10">
        <v>1</v>
      </c>
      <c r="D161" s="9" t="s">
        <v>63</v>
      </c>
      <c r="E161" s="9" t="s">
        <v>64</v>
      </c>
      <c r="F161" s="2">
        <v>2691</v>
      </c>
      <c r="G161" s="2">
        <v>2706</v>
      </c>
    </row>
    <row r="162" spans="1:7" x14ac:dyDescent="0.25">
      <c r="A162" s="9">
        <v>25</v>
      </c>
      <c r="B162" s="9">
        <v>24603</v>
      </c>
      <c r="C162" s="10">
        <v>1</v>
      </c>
      <c r="D162" s="9" t="s">
        <v>64</v>
      </c>
      <c r="E162" s="9" t="s">
        <v>65</v>
      </c>
      <c r="F162" s="2">
        <v>2707</v>
      </c>
      <c r="G162" s="2">
        <v>2734</v>
      </c>
    </row>
    <row r="163" spans="1:7" x14ac:dyDescent="0.25">
      <c r="A163" s="9">
        <v>25</v>
      </c>
      <c r="B163" s="9">
        <v>24603</v>
      </c>
      <c r="C163" s="10">
        <v>1</v>
      </c>
      <c r="D163" s="9" t="s">
        <v>65</v>
      </c>
      <c r="E163" s="9" t="s">
        <v>66</v>
      </c>
      <c r="F163" s="2">
        <v>2735</v>
      </c>
      <c r="G163" s="2">
        <v>2757</v>
      </c>
    </row>
    <row r="164" spans="1:7" x14ac:dyDescent="0.25">
      <c r="A164" s="9">
        <v>25</v>
      </c>
      <c r="B164" s="9">
        <v>24603</v>
      </c>
      <c r="C164" s="10">
        <v>1</v>
      </c>
      <c r="D164" s="9" t="s">
        <v>66</v>
      </c>
      <c r="E164" s="9" t="s">
        <v>67</v>
      </c>
      <c r="F164" s="2">
        <v>2758</v>
      </c>
      <c r="G164" s="2">
        <v>2780</v>
      </c>
    </row>
    <row r="165" spans="1:7" x14ac:dyDescent="0.25">
      <c r="A165" s="9">
        <v>25</v>
      </c>
      <c r="B165" s="9">
        <v>24603</v>
      </c>
      <c r="C165" s="10">
        <v>1</v>
      </c>
      <c r="D165" s="9" t="s">
        <v>67</v>
      </c>
      <c r="E165" s="9" t="s">
        <v>68</v>
      </c>
      <c r="F165" s="2">
        <v>2781</v>
      </c>
      <c r="G165" s="2">
        <v>2802</v>
      </c>
    </row>
    <row r="166" spans="1:7" x14ac:dyDescent="0.25">
      <c r="A166" s="9">
        <v>25</v>
      </c>
      <c r="B166" s="9">
        <v>24603</v>
      </c>
      <c r="C166" s="10">
        <v>1</v>
      </c>
      <c r="D166" s="9" t="s">
        <v>68</v>
      </c>
      <c r="E166" s="9" t="s">
        <v>69</v>
      </c>
      <c r="F166" s="2">
        <v>2803</v>
      </c>
      <c r="G166" s="2">
        <v>2816</v>
      </c>
    </row>
    <row r="167" spans="1:7" x14ac:dyDescent="0.25">
      <c r="A167" s="9">
        <v>25</v>
      </c>
      <c r="B167" s="9">
        <v>24603</v>
      </c>
      <c r="C167" s="10">
        <v>1</v>
      </c>
      <c r="D167" s="9" t="s">
        <v>69</v>
      </c>
      <c r="E167" s="9" t="s">
        <v>70</v>
      </c>
      <c r="F167" s="2">
        <v>2817</v>
      </c>
      <c r="G167" s="2">
        <v>2833</v>
      </c>
    </row>
    <row r="168" spans="1:7" x14ac:dyDescent="0.25">
      <c r="A168" s="9">
        <v>25</v>
      </c>
      <c r="B168" s="9">
        <v>24603</v>
      </c>
      <c r="C168" s="10">
        <v>1</v>
      </c>
      <c r="D168" s="9" t="s">
        <v>70</v>
      </c>
      <c r="E168" s="9" t="s">
        <v>71</v>
      </c>
      <c r="F168" s="2">
        <v>2834</v>
      </c>
      <c r="G168" s="2">
        <v>2847</v>
      </c>
    </row>
    <row r="169" spans="1:7" x14ac:dyDescent="0.25">
      <c r="A169" s="9">
        <v>26</v>
      </c>
      <c r="B169" s="9">
        <v>24603</v>
      </c>
      <c r="C169" s="10">
        <v>1</v>
      </c>
      <c r="D169" s="9" t="s">
        <v>71</v>
      </c>
      <c r="E169" s="9" t="s">
        <v>143</v>
      </c>
      <c r="F169" s="2">
        <v>2848</v>
      </c>
      <c r="G169" s="2">
        <v>2865</v>
      </c>
    </row>
    <row r="170" spans="1:7" x14ac:dyDescent="0.25">
      <c r="A170" s="9">
        <v>26</v>
      </c>
      <c r="B170" s="9">
        <v>24603</v>
      </c>
      <c r="C170" s="10">
        <v>1</v>
      </c>
      <c r="D170" s="9" t="s">
        <v>143</v>
      </c>
      <c r="E170" s="9" t="s">
        <v>144</v>
      </c>
      <c r="F170" s="2">
        <v>2866</v>
      </c>
      <c r="G170" s="2">
        <v>2879</v>
      </c>
    </row>
    <row r="171" spans="1:7" x14ac:dyDescent="0.25">
      <c r="A171" s="9">
        <v>26</v>
      </c>
      <c r="B171" s="9">
        <v>24603</v>
      </c>
      <c r="C171" s="10">
        <v>1</v>
      </c>
      <c r="D171" s="9" t="s">
        <v>144</v>
      </c>
      <c r="E171" s="9" t="s">
        <v>145</v>
      </c>
      <c r="F171" s="2">
        <v>2880</v>
      </c>
      <c r="G171" s="2">
        <v>2894</v>
      </c>
    </row>
    <row r="172" spans="1:7" x14ac:dyDescent="0.25">
      <c r="A172" s="9">
        <v>26</v>
      </c>
      <c r="B172" s="9">
        <v>24603</v>
      </c>
      <c r="C172" s="10">
        <v>1</v>
      </c>
      <c r="D172" s="9" t="s">
        <v>145</v>
      </c>
      <c r="E172" s="9" t="s">
        <v>146</v>
      </c>
      <c r="F172" s="2">
        <v>2895</v>
      </c>
      <c r="G172" s="2">
        <v>2919</v>
      </c>
    </row>
    <row r="173" spans="1:7" x14ac:dyDescent="0.25">
      <c r="A173" s="9">
        <v>26</v>
      </c>
      <c r="B173" s="9">
        <v>24603</v>
      </c>
      <c r="C173" s="10">
        <v>1</v>
      </c>
      <c r="D173" s="9" t="s">
        <v>146</v>
      </c>
      <c r="E173" s="9" t="s">
        <v>147</v>
      </c>
      <c r="F173" s="2">
        <v>2920</v>
      </c>
      <c r="G173" s="2">
        <v>2940</v>
      </c>
    </row>
    <row r="174" spans="1:7" x14ac:dyDescent="0.25">
      <c r="A174" s="9">
        <v>26</v>
      </c>
      <c r="B174" s="9">
        <v>24603</v>
      </c>
      <c r="C174" s="10">
        <v>1</v>
      </c>
      <c r="D174" s="9" t="s">
        <v>147</v>
      </c>
      <c r="E174" s="9" t="s">
        <v>148</v>
      </c>
      <c r="F174" s="2">
        <v>2941</v>
      </c>
      <c r="G174" s="2">
        <v>2957</v>
      </c>
    </row>
    <row r="175" spans="1:7" x14ac:dyDescent="0.25">
      <c r="A175" s="9">
        <v>26</v>
      </c>
      <c r="B175" s="9">
        <v>24603</v>
      </c>
      <c r="C175" s="10">
        <v>1</v>
      </c>
      <c r="D175" s="9" t="s">
        <v>148</v>
      </c>
      <c r="E175" s="9" t="s">
        <v>149</v>
      </c>
      <c r="F175" s="2">
        <v>2958</v>
      </c>
      <c r="G175" s="2">
        <v>2983</v>
      </c>
    </row>
    <row r="176" spans="1:7" x14ac:dyDescent="0.25">
      <c r="A176" s="9">
        <v>26</v>
      </c>
      <c r="B176" s="9">
        <v>24603</v>
      </c>
      <c r="C176" s="10">
        <v>1</v>
      </c>
      <c r="D176" s="9" t="s">
        <v>149</v>
      </c>
      <c r="E176" s="9" t="s">
        <v>150</v>
      </c>
      <c r="F176" s="2">
        <v>2984</v>
      </c>
      <c r="G176" s="2">
        <v>3000</v>
      </c>
    </row>
    <row r="177" spans="1:7" x14ac:dyDescent="0.25">
      <c r="A177" s="9">
        <v>26</v>
      </c>
      <c r="B177" s="9">
        <v>24603</v>
      </c>
      <c r="C177" s="10">
        <v>1</v>
      </c>
      <c r="D177" s="9" t="s">
        <v>150</v>
      </c>
      <c r="E177" s="9" t="s">
        <v>151</v>
      </c>
      <c r="F177" s="2">
        <v>3001</v>
      </c>
      <c r="G177" s="2">
        <v>3016</v>
      </c>
    </row>
    <row r="178" spans="1:7" x14ac:dyDescent="0.25">
      <c r="A178" s="9">
        <v>26</v>
      </c>
      <c r="B178" s="9">
        <v>24603</v>
      </c>
      <c r="C178" s="10">
        <v>1</v>
      </c>
      <c r="D178" s="9" t="s">
        <v>151</v>
      </c>
      <c r="E178" s="9" t="s">
        <v>152</v>
      </c>
      <c r="F178" s="2">
        <v>3017</v>
      </c>
      <c r="G178" s="2">
        <v>3035</v>
      </c>
    </row>
    <row r="179" spans="1:7" x14ac:dyDescent="0.25">
      <c r="A179" s="9">
        <v>26</v>
      </c>
      <c r="B179" s="9">
        <v>24603</v>
      </c>
      <c r="C179" s="10">
        <v>1</v>
      </c>
      <c r="D179" s="9" t="s">
        <v>152</v>
      </c>
      <c r="E179" s="9" t="s">
        <v>153</v>
      </c>
      <c r="F179" s="2">
        <v>3036</v>
      </c>
      <c r="G179" s="2">
        <v>3060</v>
      </c>
    </row>
    <row r="180" spans="1:7" x14ac:dyDescent="0.25">
      <c r="A180" s="9">
        <v>26</v>
      </c>
      <c r="B180" s="9">
        <v>24603</v>
      </c>
      <c r="C180" s="10">
        <v>1</v>
      </c>
      <c r="D180" s="9" t="s">
        <v>153</v>
      </c>
      <c r="E180" s="9" t="s">
        <v>72</v>
      </c>
      <c r="F180" s="2">
        <v>3061</v>
      </c>
      <c r="G180" s="2">
        <v>3081</v>
      </c>
    </row>
    <row r="181" spans="1:7" x14ac:dyDescent="0.25">
      <c r="A181" s="5">
        <v>26</v>
      </c>
      <c r="B181" s="5">
        <v>24603</v>
      </c>
      <c r="C181" s="6">
        <v>1</v>
      </c>
      <c r="D181" s="5" t="s">
        <v>72</v>
      </c>
      <c r="E181" s="5" t="s">
        <v>73</v>
      </c>
      <c r="F181" s="5">
        <v>3082</v>
      </c>
      <c r="G181" s="5">
        <v>3084</v>
      </c>
    </row>
    <row r="182" spans="1:7" x14ac:dyDescent="0.25">
      <c r="A182" s="5">
        <v>27</v>
      </c>
      <c r="B182" s="5">
        <v>24603</v>
      </c>
      <c r="C182" s="6">
        <v>1</v>
      </c>
      <c r="D182" s="5" t="s">
        <v>72</v>
      </c>
      <c r="E182" s="5" t="s">
        <v>73</v>
      </c>
      <c r="F182" s="5">
        <v>3085</v>
      </c>
      <c r="G182" s="5">
        <v>3100</v>
      </c>
    </row>
    <row r="183" spans="1:7" x14ac:dyDescent="0.25">
      <c r="A183" s="9">
        <v>27</v>
      </c>
      <c r="B183" s="9">
        <v>24603</v>
      </c>
      <c r="C183" s="10">
        <v>1</v>
      </c>
      <c r="D183" s="9" t="s">
        <v>73</v>
      </c>
      <c r="E183" s="9" t="s">
        <v>74</v>
      </c>
      <c r="F183" s="2">
        <v>3101</v>
      </c>
      <c r="G183" s="2">
        <v>3117</v>
      </c>
    </row>
    <row r="184" spans="1:7" x14ac:dyDescent="0.25">
      <c r="A184" s="9">
        <v>27</v>
      </c>
      <c r="B184" s="9">
        <v>24603</v>
      </c>
      <c r="C184" s="10">
        <v>1</v>
      </c>
      <c r="D184" s="9" t="s">
        <v>74</v>
      </c>
      <c r="E184" s="9" t="s">
        <v>75</v>
      </c>
      <c r="F184" s="2">
        <v>3118</v>
      </c>
      <c r="G184" s="2">
        <v>3129</v>
      </c>
    </row>
    <row r="185" spans="1:7" x14ac:dyDescent="0.25">
      <c r="A185" s="9">
        <v>27</v>
      </c>
      <c r="B185" s="9">
        <v>24603</v>
      </c>
      <c r="C185" s="10">
        <v>1</v>
      </c>
      <c r="D185" s="9" t="s">
        <v>75</v>
      </c>
      <c r="E185" s="9" t="s">
        <v>76</v>
      </c>
      <c r="F185" s="2">
        <v>3130</v>
      </c>
      <c r="G185" s="2">
        <v>3148</v>
      </c>
    </row>
    <row r="186" spans="1:7" x14ac:dyDescent="0.25">
      <c r="A186" s="9">
        <v>27</v>
      </c>
      <c r="B186" s="9">
        <v>24603</v>
      </c>
      <c r="C186" s="10">
        <v>1</v>
      </c>
      <c r="D186" s="9" t="s">
        <v>76</v>
      </c>
      <c r="E186" s="9" t="s">
        <v>77</v>
      </c>
      <c r="F186" s="2">
        <v>3149</v>
      </c>
      <c r="G186" s="2">
        <v>3161</v>
      </c>
    </row>
    <row r="187" spans="1:7" x14ac:dyDescent="0.25">
      <c r="A187" s="9">
        <v>27</v>
      </c>
      <c r="B187" s="9">
        <v>24603</v>
      </c>
      <c r="C187" s="10">
        <v>1</v>
      </c>
      <c r="D187" s="9" t="s">
        <v>77</v>
      </c>
      <c r="E187" s="9" t="s">
        <v>78</v>
      </c>
      <c r="F187" s="2">
        <v>3162</v>
      </c>
      <c r="G187" s="2">
        <v>3178</v>
      </c>
    </row>
    <row r="188" spans="1:7" x14ac:dyDescent="0.25">
      <c r="A188" s="9">
        <v>27</v>
      </c>
      <c r="B188" s="9">
        <v>24603</v>
      </c>
      <c r="C188" s="10">
        <v>1</v>
      </c>
      <c r="D188" s="9" t="s">
        <v>78</v>
      </c>
      <c r="E188" s="9" t="s">
        <v>79</v>
      </c>
      <c r="F188" s="2">
        <v>3179</v>
      </c>
      <c r="G188" s="2">
        <v>3193</v>
      </c>
    </row>
    <row r="189" spans="1:7" x14ac:dyDescent="0.25">
      <c r="A189" s="9">
        <v>27</v>
      </c>
      <c r="B189" s="9">
        <v>24603</v>
      </c>
      <c r="C189" s="10">
        <v>1</v>
      </c>
      <c r="D189" s="9" t="s">
        <v>79</v>
      </c>
      <c r="E189" s="9" t="s">
        <v>80</v>
      </c>
      <c r="F189" s="2">
        <v>3194</v>
      </c>
      <c r="G189" s="2">
        <v>3210</v>
      </c>
    </row>
    <row r="190" spans="1:7" x14ac:dyDescent="0.25">
      <c r="A190" s="9">
        <v>27</v>
      </c>
      <c r="B190" s="9">
        <v>24603</v>
      </c>
      <c r="C190" s="10">
        <v>1</v>
      </c>
      <c r="D190" s="9" t="s">
        <v>80</v>
      </c>
      <c r="E190" s="9" t="s">
        <v>81</v>
      </c>
      <c r="F190" s="2">
        <v>3211</v>
      </c>
      <c r="G190" s="2">
        <v>3233</v>
      </c>
    </row>
    <row r="191" spans="1:7" x14ac:dyDescent="0.25">
      <c r="A191" s="9">
        <v>27</v>
      </c>
      <c r="B191" s="9">
        <v>24603</v>
      </c>
      <c r="C191" s="10">
        <v>1</v>
      </c>
      <c r="D191" s="9" t="s">
        <v>81</v>
      </c>
      <c r="E191" s="9" t="s">
        <v>82</v>
      </c>
      <c r="F191" s="2">
        <v>3234</v>
      </c>
      <c r="G191" s="2">
        <v>3247</v>
      </c>
    </row>
    <row r="192" spans="1:7" x14ac:dyDescent="0.25">
      <c r="A192" s="9">
        <v>27</v>
      </c>
      <c r="B192" s="9">
        <v>24603</v>
      </c>
      <c r="C192" s="10">
        <v>1</v>
      </c>
      <c r="D192" s="9" t="s">
        <v>82</v>
      </c>
      <c r="E192" s="9" t="s">
        <v>83</v>
      </c>
      <c r="F192" s="2">
        <v>3248</v>
      </c>
      <c r="G192" s="2">
        <v>3263</v>
      </c>
    </row>
    <row r="193" spans="1:7" x14ac:dyDescent="0.25">
      <c r="A193" s="9">
        <v>27</v>
      </c>
      <c r="B193" s="9">
        <v>24603</v>
      </c>
      <c r="C193" s="10">
        <v>1</v>
      </c>
      <c r="D193" s="9" t="s">
        <v>83</v>
      </c>
      <c r="E193" s="9" t="s">
        <v>84</v>
      </c>
      <c r="F193" s="2">
        <v>3264</v>
      </c>
      <c r="G193" s="2">
        <v>3274</v>
      </c>
    </row>
    <row r="194" spans="1:7" x14ac:dyDescent="0.25">
      <c r="A194" s="5">
        <v>27</v>
      </c>
      <c r="B194" s="5">
        <v>24603</v>
      </c>
      <c r="C194" s="6">
        <v>1</v>
      </c>
      <c r="D194" s="5" t="s">
        <v>84</v>
      </c>
      <c r="E194" s="5" t="s">
        <v>85</v>
      </c>
      <c r="F194" s="5">
        <v>3275</v>
      </c>
      <c r="G194" s="5">
        <v>3282</v>
      </c>
    </row>
    <row r="195" spans="1:7" x14ac:dyDescent="0.25">
      <c r="A195" s="5">
        <v>29</v>
      </c>
      <c r="B195" s="5">
        <v>24603</v>
      </c>
      <c r="C195" s="6">
        <v>1</v>
      </c>
      <c r="D195" s="5" t="s">
        <v>84</v>
      </c>
      <c r="E195" s="5" t="s">
        <v>85</v>
      </c>
      <c r="F195" s="5">
        <v>3283</v>
      </c>
      <c r="G195" s="5">
        <v>3289</v>
      </c>
    </row>
    <row r="196" spans="1:7" x14ac:dyDescent="0.25">
      <c r="A196" s="9">
        <v>29</v>
      </c>
      <c r="B196" s="9">
        <v>24603</v>
      </c>
      <c r="C196" s="10">
        <v>1</v>
      </c>
      <c r="D196" s="9" t="s">
        <v>85</v>
      </c>
      <c r="E196" s="9" t="s">
        <v>154</v>
      </c>
      <c r="F196" s="2">
        <v>3290</v>
      </c>
      <c r="G196" s="2">
        <v>3298</v>
      </c>
    </row>
    <row r="197" spans="1:7" x14ac:dyDescent="0.25">
      <c r="A197" s="9">
        <v>29</v>
      </c>
      <c r="B197" s="9">
        <v>24603</v>
      </c>
      <c r="C197" s="10">
        <v>1</v>
      </c>
      <c r="D197" s="2" t="s">
        <v>154</v>
      </c>
      <c r="E197" s="2" t="s">
        <v>162</v>
      </c>
      <c r="F197" s="2">
        <v>3299</v>
      </c>
      <c r="G197" s="2">
        <v>3312</v>
      </c>
    </row>
    <row r="198" spans="1:7" x14ac:dyDescent="0.25">
      <c r="A198" s="9">
        <v>29</v>
      </c>
      <c r="B198" s="9">
        <v>24604</v>
      </c>
      <c r="C198" s="7">
        <v>1</v>
      </c>
      <c r="D198" s="9" t="s">
        <v>162</v>
      </c>
      <c r="E198" s="9" t="s">
        <v>164</v>
      </c>
      <c r="F198" s="2">
        <v>3312</v>
      </c>
      <c r="G198" s="2">
        <v>3323</v>
      </c>
    </row>
    <row r="199" spans="1:7" x14ac:dyDescent="0.25">
      <c r="A199" s="9">
        <v>29</v>
      </c>
      <c r="B199" s="9">
        <v>24604</v>
      </c>
      <c r="C199" s="7">
        <v>1</v>
      </c>
      <c r="D199" s="9" t="s">
        <v>164</v>
      </c>
      <c r="E199" s="9" t="s">
        <v>165</v>
      </c>
      <c r="F199" s="2">
        <v>3324</v>
      </c>
      <c r="G199" s="2">
        <v>3338</v>
      </c>
    </row>
    <row r="200" spans="1:7" x14ac:dyDescent="0.25">
      <c r="A200" s="9">
        <v>29</v>
      </c>
      <c r="B200" s="9">
        <v>24604</v>
      </c>
      <c r="C200" s="7">
        <v>1</v>
      </c>
      <c r="D200" s="9" t="s">
        <v>165</v>
      </c>
      <c r="E200" s="9" t="s">
        <v>166</v>
      </c>
      <c r="F200" s="2">
        <v>3339</v>
      </c>
      <c r="G200" s="2">
        <v>3355</v>
      </c>
    </row>
    <row r="201" spans="1:7" x14ac:dyDescent="0.25">
      <c r="A201" s="9">
        <v>29</v>
      </c>
      <c r="B201" s="9">
        <v>24604</v>
      </c>
      <c r="C201" s="7">
        <v>1</v>
      </c>
      <c r="D201" s="9" t="s">
        <v>166</v>
      </c>
      <c r="E201" s="9" t="s">
        <v>167</v>
      </c>
      <c r="F201" s="2">
        <v>3356</v>
      </c>
      <c r="G201" s="2">
        <v>3364</v>
      </c>
    </row>
    <row r="202" spans="1:7" x14ac:dyDescent="0.25">
      <c r="A202" s="9">
        <v>29</v>
      </c>
      <c r="B202" s="9">
        <v>24604</v>
      </c>
      <c r="C202" s="7">
        <v>1</v>
      </c>
      <c r="D202" s="9" t="s">
        <v>167</v>
      </c>
      <c r="E202" s="9" t="s">
        <v>86</v>
      </c>
      <c r="F202" s="2">
        <v>3365</v>
      </c>
      <c r="G202" s="2">
        <v>3374</v>
      </c>
    </row>
    <row r="203" spans="1:7" x14ac:dyDescent="0.25">
      <c r="A203" s="5">
        <v>29</v>
      </c>
      <c r="B203" s="5">
        <v>24604</v>
      </c>
      <c r="C203" s="6">
        <v>1</v>
      </c>
      <c r="D203" s="5" t="s">
        <v>86</v>
      </c>
      <c r="E203" s="5" t="s">
        <v>87</v>
      </c>
      <c r="F203" s="5">
        <v>3375</v>
      </c>
      <c r="G203" s="5">
        <v>3379</v>
      </c>
    </row>
    <row r="204" spans="1:7" x14ac:dyDescent="0.25">
      <c r="A204" s="5">
        <v>30</v>
      </c>
      <c r="B204" s="5">
        <v>24604</v>
      </c>
      <c r="C204" s="6">
        <v>1</v>
      </c>
      <c r="D204" s="5" t="s">
        <v>86</v>
      </c>
      <c r="E204" s="5" t="s">
        <v>87</v>
      </c>
      <c r="F204" s="5">
        <v>3380</v>
      </c>
      <c r="G204" s="5">
        <v>3384</v>
      </c>
    </row>
    <row r="205" spans="1:7" x14ac:dyDescent="0.25">
      <c r="A205" s="9">
        <v>30</v>
      </c>
      <c r="B205" s="9">
        <v>24604</v>
      </c>
      <c r="C205" s="7">
        <v>1</v>
      </c>
      <c r="D205" s="9" t="s">
        <v>87</v>
      </c>
      <c r="E205" s="9" t="s">
        <v>88</v>
      </c>
      <c r="F205" s="2">
        <v>3385</v>
      </c>
      <c r="G205" s="2">
        <v>3402</v>
      </c>
    </row>
    <row r="206" spans="1:7" x14ac:dyDescent="0.25">
      <c r="A206" s="9">
        <v>30</v>
      </c>
      <c r="B206" s="9">
        <v>24604</v>
      </c>
      <c r="C206" s="7">
        <v>1</v>
      </c>
      <c r="D206" s="9" t="s">
        <v>88</v>
      </c>
      <c r="E206" s="9" t="s">
        <v>89</v>
      </c>
      <c r="F206" s="2">
        <v>3403</v>
      </c>
      <c r="G206" s="2">
        <v>3423</v>
      </c>
    </row>
    <row r="207" spans="1:7" x14ac:dyDescent="0.25">
      <c r="A207" s="9">
        <v>30</v>
      </c>
      <c r="B207" s="9">
        <v>24604</v>
      </c>
      <c r="C207" s="7">
        <v>1</v>
      </c>
      <c r="D207" s="9" t="s">
        <v>89</v>
      </c>
      <c r="E207" s="9" t="s">
        <v>90</v>
      </c>
      <c r="F207" s="2">
        <v>3424</v>
      </c>
      <c r="G207" s="2">
        <v>3439</v>
      </c>
    </row>
    <row r="208" spans="1:7" x14ac:dyDescent="0.25">
      <c r="A208" s="9">
        <v>30</v>
      </c>
      <c r="B208" s="9">
        <v>24604</v>
      </c>
      <c r="C208" s="7">
        <v>1</v>
      </c>
      <c r="D208" s="9" t="s">
        <v>90</v>
      </c>
      <c r="E208" s="9" t="s">
        <v>91</v>
      </c>
      <c r="F208" s="2">
        <v>3440</v>
      </c>
      <c r="G208" s="2">
        <v>3456</v>
      </c>
    </row>
    <row r="209" spans="1:7" x14ac:dyDescent="0.25">
      <c r="A209" s="9">
        <v>30</v>
      </c>
      <c r="B209" s="9">
        <v>24604</v>
      </c>
      <c r="C209" s="7">
        <v>1</v>
      </c>
      <c r="D209" s="9" t="s">
        <v>91</v>
      </c>
      <c r="E209" s="9" t="s">
        <v>92</v>
      </c>
      <c r="F209" s="2">
        <v>3457</v>
      </c>
      <c r="G209" s="2">
        <v>3468</v>
      </c>
    </row>
    <row r="210" spans="1:7" x14ac:dyDescent="0.25">
      <c r="A210" s="9">
        <v>30</v>
      </c>
      <c r="B210" s="9">
        <v>24604</v>
      </c>
      <c r="C210" s="7">
        <v>1</v>
      </c>
      <c r="D210" s="9" t="s">
        <v>92</v>
      </c>
      <c r="E210" s="9" t="s">
        <v>93</v>
      </c>
      <c r="F210" s="2">
        <v>3469</v>
      </c>
      <c r="G210" s="2">
        <v>3481</v>
      </c>
    </row>
    <row r="211" spans="1:7" x14ac:dyDescent="0.25">
      <c r="A211" s="9">
        <v>30</v>
      </c>
      <c r="B211" s="9">
        <v>24604</v>
      </c>
      <c r="C211" s="7">
        <v>1</v>
      </c>
      <c r="D211" s="9" t="s">
        <v>93</v>
      </c>
      <c r="E211" s="9" t="s">
        <v>94</v>
      </c>
      <c r="F211" s="2">
        <v>3482</v>
      </c>
      <c r="G211" s="2">
        <v>3495</v>
      </c>
    </row>
    <row r="212" spans="1:7" x14ac:dyDescent="0.25">
      <c r="A212" s="9">
        <v>30</v>
      </c>
      <c r="B212" s="9">
        <v>24604</v>
      </c>
      <c r="C212" s="7">
        <v>1</v>
      </c>
      <c r="D212" s="9" t="s">
        <v>94</v>
      </c>
      <c r="E212" s="9" t="s">
        <v>95</v>
      </c>
      <c r="F212" s="2">
        <v>3496</v>
      </c>
      <c r="G212" s="2">
        <v>3513</v>
      </c>
    </row>
    <row r="213" spans="1:7" x14ac:dyDescent="0.25">
      <c r="A213" s="9">
        <v>30</v>
      </c>
      <c r="B213" s="9">
        <v>24604</v>
      </c>
      <c r="C213" s="7">
        <v>1</v>
      </c>
      <c r="D213" s="9" t="s">
        <v>95</v>
      </c>
      <c r="E213" s="9" t="s">
        <v>96</v>
      </c>
      <c r="F213" s="2">
        <v>3514</v>
      </c>
      <c r="G213" s="2">
        <v>3526</v>
      </c>
    </row>
    <row r="214" spans="1:7" x14ac:dyDescent="0.25">
      <c r="A214" s="9">
        <v>30</v>
      </c>
      <c r="B214" s="9">
        <v>24604</v>
      </c>
      <c r="C214" s="7">
        <v>1</v>
      </c>
      <c r="D214" s="9" t="s">
        <v>96</v>
      </c>
      <c r="E214" s="9" t="s">
        <v>97</v>
      </c>
      <c r="F214" s="2">
        <v>3527</v>
      </c>
      <c r="G214" s="2">
        <v>3542</v>
      </c>
    </row>
    <row r="215" spans="1:7" x14ac:dyDescent="0.25">
      <c r="A215" s="9">
        <v>30</v>
      </c>
      <c r="B215" s="9">
        <v>24604</v>
      </c>
      <c r="C215" s="7">
        <v>1</v>
      </c>
      <c r="D215" s="9" t="s">
        <v>97</v>
      </c>
      <c r="E215" s="9" t="s">
        <v>98</v>
      </c>
      <c r="F215" s="2">
        <v>3543</v>
      </c>
      <c r="G215" s="2">
        <v>3562</v>
      </c>
    </row>
    <row r="216" spans="1:7" x14ac:dyDescent="0.25">
      <c r="A216" s="9">
        <v>30</v>
      </c>
      <c r="B216" s="9">
        <v>24604</v>
      </c>
      <c r="C216" s="7">
        <v>1</v>
      </c>
      <c r="D216" s="9" t="s">
        <v>98</v>
      </c>
      <c r="E216" s="9" t="s">
        <v>99</v>
      </c>
      <c r="F216" s="2">
        <v>3563</v>
      </c>
      <c r="G216" s="2">
        <v>3579</v>
      </c>
    </row>
    <row r="217" spans="1:7" x14ac:dyDescent="0.25">
      <c r="A217" s="9">
        <v>30</v>
      </c>
      <c r="B217" s="9">
        <v>24604</v>
      </c>
      <c r="C217" s="7">
        <v>1</v>
      </c>
      <c r="D217" s="9" t="s">
        <v>99</v>
      </c>
      <c r="E217" s="9" t="s">
        <v>100</v>
      </c>
      <c r="F217" s="2">
        <v>3580</v>
      </c>
      <c r="G217" s="2">
        <v>3595</v>
      </c>
    </row>
    <row r="218" spans="1:7" x14ac:dyDescent="0.25">
      <c r="A218" s="9">
        <v>30</v>
      </c>
      <c r="B218" s="9">
        <v>24604</v>
      </c>
      <c r="C218" s="7">
        <v>1</v>
      </c>
      <c r="D218" s="9" t="s">
        <v>100</v>
      </c>
      <c r="E218" s="9" t="s">
        <v>101</v>
      </c>
      <c r="F218" s="2">
        <v>3596</v>
      </c>
      <c r="G218" s="2">
        <v>3614</v>
      </c>
    </row>
    <row r="219" spans="1:7" x14ac:dyDescent="0.25">
      <c r="A219" s="9">
        <v>31</v>
      </c>
      <c r="B219" s="9">
        <v>24604</v>
      </c>
      <c r="C219" s="7">
        <v>1</v>
      </c>
      <c r="D219" s="9" t="s">
        <v>101</v>
      </c>
      <c r="E219" s="9" t="s">
        <v>102</v>
      </c>
      <c r="F219" s="2">
        <v>3615</v>
      </c>
      <c r="G219" s="2">
        <v>3626</v>
      </c>
    </row>
    <row r="220" spans="1:7" x14ac:dyDescent="0.25">
      <c r="A220" s="9">
        <v>31</v>
      </c>
      <c r="B220" s="9">
        <v>24604</v>
      </c>
      <c r="C220" s="7">
        <v>1</v>
      </c>
      <c r="D220" s="9" t="s">
        <v>102</v>
      </c>
      <c r="E220" s="9" t="s">
        <v>103</v>
      </c>
      <c r="F220" s="2">
        <v>3627</v>
      </c>
      <c r="G220" s="2">
        <v>3638</v>
      </c>
    </row>
    <row r="221" spans="1:7" x14ac:dyDescent="0.25">
      <c r="A221" s="9">
        <v>31</v>
      </c>
      <c r="B221" s="9">
        <v>24604</v>
      </c>
      <c r="C221" s="7">
        <v>1</v>
      </c>
      <c r="D221" s="9" t="s">
        <v>103</v>
      </c>
      <c r="E221" s="9" t="s">
        <v>104</v>
      </c>
      <c r="F221" s="2">
        <v>3639</v>
      </c>
      <c r="G221" s="2">
        <v>3659</v>
      </c>
    </row>
    <row r="222" spans="1:7" x14ac:dyDescent="0.25">
      <c r="A222" s="9">
        <v>31</v>
      </c>
      <c r="B222" s="9">
        <v>24604</v>
      </c>
      <c r="C222" s="7">
        <v>1</v>
      </c>
      <c r="D222" s="9" t="s">
        <v>104</v>
      </c>
      <c r="E222" s="9" t="s">
        <v>105</v>
      </c>
      <c r="F222" s="2">
        <v>3660</v>
      </c>
      <c r="G222" s="2">
        <v>3678</v>
      </c>
    </row>
    <row r="223" spans="1:7" x14ac:dyDescent="0.25">
      <c r="A223" s="9">
        <v>31</v>
      </c>
      <c r="B223" s="9">
        <v>24604</v>
      </c>
      <c r="C223" s="7">
        <v>1</v>
      </c>
      <c r="D223" s="9" t="s">
        <v>105</v>
      </c>
      <c r="E223" s="9" t="s">
        <v>106</v>
      </c>
      <c r="F223" s="2">
        <v>3679</v>
      </c>
      <c r="G223" s="2">
        <v>3688</v>
      </c>
    </row>
    <row r="224" spans="1:7" x14ac:dyDescent="0.25">
      <c r="A224" s="9">
        <v>31</v>
      </c>
      <c r="B224" s="9">
        <v>24604</v>
      </c>
      <c r="C224" s="7">
        <v>1</v>
      </c>
      <c r="D224" s="9" t="s">
        <v>106</v>
      </c>
      <c r="E224" s="9" t="s">
        <v>107</v>
      </c>
      <c r="F224" s="2">
        <v>3689</v>
      </c>
      <c r="G224" s="2">
        <v>3702</v>
      </c>
    </row>
    <row r="225" spans="1:7" x14ac:dyDescent="0.25">
      <c r="A225" s="9">
        <v>31</v>
      </c>
      <c r="B225" s="9">
        <v>24604</v>
      </c>
      <c r="C225" s="7">
        <v>1</v>
      </c>
      <c r="D225" s="9" t="s">
        <v>107</v>
      </c>
      <c r="E225" s="9" t="s">
        <v>108</v>
      </c>
      <c r="F225" s="2">
        <v>3703</v>
      </c>
      <c r="G225" s="2">
        <v>3714</v>
      </c>
    </row>
    <row r="226" spans="1:7" x14ac:dyDescent="0.25">
      <c r="A226" s="9">
        <v>31</v>
      </c>
      <c r="B226" s="9">
        <v>24604</v>
      </c>
      <c r="C226" s="7">
        <v>1</v>
      </c>
      <c r="D226" s="9" t="s">
        <v>108</v>
      </c>
      <c r="E226" s="9" t="s">
        <v>109</v>
      </c>
      <c r="F226" s="2">
        <v>3715</v>
      </c>
      <c r="G226" s="2">
        <v>3726</v>
      </c>
    </row>
    <row r="227" spans="1:7" x14ac:dyDescent="0.25">
      <c r="A227" s="9">
        <v>31</v>
      </c>
      <c r="B227" s="9">
        <v>24604</v>
      </c>
      <c r="C227" s="7">
        <v>1</v>
      </c>
      <c r="D227" s="9" t="s">
        <v>109</v>
      </c>
      <c r="E227" s="9" t="s">
        <v>110</v>
      </c>
      <c r="F227" s="2">
        <v>3727</v>
      </c>
      <c r="G227" s="2">
        <v>3739</v>
      </c>
    </row>
    <row r="228" spans="1:7" x14ac:dyDescent="0.25">
      <c r="A228" s="9">
        <v>31</v>
      </c>
      <c r="B228" s="9">
        <v>24604</v>
      </c>
      <c r="C228" s="7">
        <v>1</v>
      </c>
      <c r="D228" s="9" t="s">
        <v>110</v>
      </c>
      <c r="E228" s="9" t="s">
        <v>111</v>
      </c>
      <c r="F228" s="2">
        <v>3740</v>
      </c>
      <c r="G228" s="2">
        <v>3750</v>
      </c>
    </row>
    <row r="229" spans="1:7" x14ac:dyDescent="0.25">
      <c r="A229" s="9">
        <v>31</v>
      </c>
      <c r="B229" s="9">
        <v>24604</v>
      </c>
      <c r="C229" s="7">
        <v>1</v>
      </c>
      <c r="D229" s="9" t="s">
        <v>111</v>
      </c>
      <c r="E229" s="9" t="s">
        <v>112</v>
      </c>
      <c r="F229" s="2">
        <v>3751</v>
      </c>
      <c r="G229" s="2">
        <v>3762</v>
      </c>
    </row>
    <row r="230" spans="1:7" x14ac:dyDescent="0.25">
      <c r="A230" s="9">
        <v>31</v>
      </c>
      <c r="B230" s="9">
        <v>24604</v>
      </c>
      <c r="C230" s="7">
        <v>1</v>
      </c>
      <c r="D230" s="9" t="s">
        <v>112</v>
      </c>
      <c r="E230" s="9" t="s">
        <v>113</v>
      </c>
      <c r="F230" s="2">
        <v>3763</v>
      </c>
      <c r="G230" s="2">
        <v>3774</v>
      </c>
    </row>
    <row r="231" spans="1:7" x14ac:dyDescent="0.25">
      <c r="A231" s="9">
        <v>31</v>
      </c>
      <c r="B231" s="9">
        <v>24604</v>
      </c>
      <c r="C231" s="7">
        <v>1</v>
      </c>
      <c r="D231" s="9" t="s">
        <v>113</v>
      </c>
      <c r="E231" s="9" t="s">
        <v>114</v>
      </c>
      <c r="F231" s="2">
        <v>3775</v>
      </c>
      <c r="G231" s="2">
        <v>3789</v>
      </c>
    </row>
    <row r="232" spans="1:7" x14ac:dyDescent="0.25">
      <c r="A232" s="5">
        <v>31</v>
      </c>
      <c r="B232" s="5">
        <v>24604</v>
      </c>
      <c r="C232" s="6">
        <v>1</v>
      </c>
      <c r="D232" s="5" t="s">
        <v>114</v>
      </c>
      <c r="E232" s="5" t="s">
        <v>115</v>
      </c>
      <c r="F232" s="5">
        <v>3790</v>
      </c>
      <c r="G232" s="5">
        <v>3797</v>
      </c>
    </row>
    <row r="233" spans="1:7" x14ac:dyDescent="0.25">
      <c r="A233" s="5">
        <v>16</v>
      </c>
      <c r="B233" s="5">
        <v>24604</v>
      </c>
      <c r="C233" s="6">
        <v>1</v>
      </c>
      <c r="D233" s="5" t="s">
        <v>114</v>
      </c>
      <c r="E233" s="5" t="s">
        <v>115</v>
      </c>
      <c r="F233" s="5">
        <v>3797</v>
      </c>
      <c r="G233" s="5">
        <v>3799</v>
      </c>
    </row>
    <row r="234" spans="1:7" x14ac:dyDescent="0.25">
      <c r="A234" s="2">
        <v>16</v>
      </c>
      <c r="B234" s="2">
        <v>24604</v>
      </c>
      <c r="C234" s="7">
        <v>1</v>
      </c>
      <c r="D234" s="2" t="s">
        <v>115</v>
      </c>
      <c r="E234" s="2" t="s">
        <v>212</v>
      </c>
      <c r="F234" s="2">
        <v>3800</v>
      </c>
      <c r="G234" s="2">
        <v>3812</v>
      </c>
    </row>
    <row r="235" spans="1:7" x14ac:dyDescent="0.25">
      <c r="A235" s="2">
        <v>16</v>
      </c>
      <c r="B235" s="2">
        <v>24604</v>
      </c>
      <c r="C235" s="7">
        <v>1</v>
      </c>
      <c r="D235" s="2" t="s">
        <v>212</v>
      </c>
      <c r="E235" s="2" t="s">
        <v>398</v>
      </c>
      <c r="F235" s="2">
        <v>3813</v>
      </c>
      <c r="G235" s="2">
        <v>3816</v>
      </c>
    </row>
    <row r="236" spans="1:7" x14ac:dyDescent="0.25">
      <c r="A236" s="2">
        <v>16</v>
      </c>
      <c r="B236" s="2">
        <v>24645</v>
      </c>
      <c r="C236" s="7" t="s">
        <v>213</v>
      </c>
      <c r="D236" s="2" t="s">
        <v>212</v>
      </c>
      <c r="E236" s="2" t="s">
        <v>214</v>
      </c>
      <c r="F236" s="2">
        <v>3813</v>
      </c>
      <c r="G236" s="2">
        <v>3816</v>
      </c>
    </row>
    <row r="237" spans="1:7" x14ac:dyDescent="0.25">
      <c r="A237" s="9">
        <v>15</v>
      </c>
      <c r="B237" s="9">
        <v>13875</v>
      </c>
      <c r="C237" s="10" t="s">
        <v>421</v>
      </c>
      <c r="D237" s="9" t="s">
        <v>218</v>
      </c>
      <c r="E237" s="9" t="s">
        <v>216</v>
      </c>
      <c r="F237" s="2">
        <v>1</v>
      </c>
      <c r="G237" s="2">
        <v>8</v>
      </c>
    </row>
    <row r="238" spans="1:7" x14ac:dyDescent="0.25">
      <c r="A238" s="5">
        <v>5</v>
      </c>
      <c r="B238" s="5">
        <v>25001</v>
      </c>
      <c r="C238" s="6" t="s">
        <v>421</v>
      </c>
      <c r="D238" s="5" t="s">
        <v>215</v>
      </c>
      <c r="E238" s="5" t="s">
        <v>216</v>
      </c>
      <c r="F238" s="5">
        <v>6</v>
      </c>
      <c r="G238" s="5">
        <v>6</v>
      </c>
    </row>
    <row r="239" spans="1:7" x14ac:dyDescent="0.25">
      <c r="A239" s="5">
        <v>15</v>
      </c>
      <c r="B239" s="5">
        <v>25001</v>
      </c>
      <c r="C239" s="6" t="s">
        <v>421</v>
      </c>
      <c r="D239" s="5" t="s">
        <v>215</v>
      </c>
      <c r="E239" s="5" t="s">
        <v>216</v>
      </c>
      <c r="F239" s="5">
        <v>6</v>
      </c>
      <c r="G239" s="5">
        <v>9</v>
      </c>
    </row>
    <row r="240" spans="1:7" x14ac:dyDescent="0.25">
      <c r="A240" s="9">
        <v>15</v>
      </c>
      <c r="B240" s="9">
        <v>25001</v>
      </c>
      <c r="C240" s="10" t="s">
        <v>421</v>
      </c>
      <c r="D240" s="9" t="s">
        <v>216</v>
      </c>
      <c r="E240" s="9" t="s">
        <v>219</v>
      </c>
      <c r="F240" s="2">
        <v>10</v>
      </c>
      <c r="G240" s="2">
        <v>19</v>
      </c>
    </row>
    <row r="241" spans="1:7" x14ac:dyDescent="0.25">
      <c r="A241" s="9">
        <v>15</v>
      </c>
      <c r="B241" s="9">
        <v>25001</v>
      </c>
      <c r="C241" s="10" t="s">
        <v>421</v>
      </c>
      <c r="D241" s="9" t="s">
        <v>219</v>
      </c>
      <c r="E241" s="9" t="s">
        <v>220</v>
      </c>
      <c r="F241" s="2">
        <v>20</v>
      </c>
      <c r="G241" s="2">
        <v>29</v>
      </c>
    </row>
    <row r="242" spans="1:7" x14ac:dyDescent="0.25">
      <c r="A242" s="9">
        <v>15</v>
      </c>
      <c r="B242" s="9">
        <v>25001</v>
      </c>
      <c r="C242" s="10" t="s">
        <v>421</v>
      </c>
      <c r="D242" s="9" t="s">
        <v>220</v>
      </c>
      <c r="E242" s="9" t="s">
        <v>221</v>
      </c>
      <c r="F242" s="2">
        <v>30</v>
      </c>
      <c r="G242" s="2">
        <v>47</v>
      </c>
    </row>
    <row r="243" spans="1:7" x14ac:dyDescent="0.25">
      <c r="A243" s="9">
        <v>15</v>
      </c>
      <c r="B243" s="9">
        <v>25001</v>
      </c>
      <c r="C243" s="10" t="s">
        <v>421</v>
      </c>
      <c r="D243" s="9" t="s">
        <v>221</v>
      </c>
      <c r="E243" s="9" t="s">
        <v>222</v>
      </c>
      <c r="F243" s="2">
        <v>48</v>
      </c>
      <c r="G243" s="2">
        <v>64</v>
      </c>
    </row>
    <row r="244" spans="1:7" x14ac:dyDescent="0.25">
      <c r="A244" s="9">
        <v>15</v>
      </c>
      <c r="B244" s="9">
        <v>25001</v>
      </c>
      <c r="C244" s="10" t="s">
        <v>421</v>
      </c>
      <c r="D244" s="9" t="s">
        <v>222</v>
      </c>
      <c r="E244" s="9" t="s">
        <v>223</v>
      </c>
      <c r="F244" s="2">
        <v>65</v>
      </c>
      <c r="G244" s="2">
        <v>79</v>
      </c>
    </row>
    <row r="245" spans="1:7" x14ac:dyDescent="0.25">
      <c r="A245" s="9">
        <v>15</v>
      </c>
      <c r="B245" s="9">
        <v>25001</v>
      </c>
      <c r="C245" s="10" t="s">
        <v>421</v>
      </c>
      <c r="D245" s="9" t="s">
        <v>223</v>
      </c>
      <c r="E245" s="9" t="s">
        <v>224</v>
      </c>
      <c r="F245" s="2">
        <v>80</v>
      </c>
      <c r="G245" s="2">
        <v>95</v>
      </c>
    </row>
    <row r="246" spans="1:7" x14ac:dyDescent="0.25">
      <c r="A246" s="9">
        <v>15</v>
      </c>
      <c r="B246" s="9">
        <v>25001</v>
      </c>
      <c r="C246" s="10" t="s">
        <v>421</v>
      </c>
      <c r="D246" s="9" t="s">
        <v>224</v>
      </c>
      <c r="E246" s="9" t="s">
        <v>225</v>
      </c>
      <c r="F246" s="2">
        <v>96</v>
      </c>
      <c r="G246" s="2">
        <v>109</v>
      </c>
    </row>
    <row r="247" spans="1:7" x14ac:dyDescent="0.25">
      <c r="A247" s="9">
        <v>15</v>
      </c>
      <c r="B247" s="9">
        <v>25001</v>
      </c>
      <c r="C247" s="10" t="s">
        <v>421</v>
      </c>
      <c r="D247" s="9" t="s">
        <v>225</v>
      </c>
      <c r="E247" s="9" t="s">
        <v>226</v>
      </c>
      <c r="F247" s="2">
        <v>110</v>
      </c>
      <c r="G247" s="2">
        <v>118</v>
      </c>
    </row>
    <row r="248" spans="1:7" x14ac:dyDescent="0.25">
      <c r="A248" s="9">
        <v>15</v>
      </c>
      <c r="B248" s="9">
        <v>25001</v>
      </c>
      <c r="C248" s="10" t="s">
        <v>421</v>
      </c>
      <c r="D248" s="9" t="s">
        <v>226</v>
      </c>
      <c r="E248" s="9" t="s">
        <v>227</v>
      </c>
      <c r="F248" s="2">
        <v>119</v>
      </c>
      <c r="G248" s="2">
        <v>137</v>
      </c>
    </row>
    <row r="249" spans="1:7" x14ac:dyDescent="0.25">
      <c r="A249" s="9">
        <v>15</v>
      </c>
      <c r="B249" s="9">
        <v>25001</v>
      </c>
      <c r="C249" s="10" t="s">
        <v>421</v>
      </c>
      <c r="D249" s="9" t="s">
        <v>227</v>
      </c>
      <c r="E249" s="9" t="s">
        <v>228</v>
      </c>
      <c r="F249" s="2">
        <v>138</v>
      </c>
      <c r="G249" s="2">
        <v>155</v>
      </c>
    </row>
    <row r="250" spans="1:7" x14ac:dyDescent="0.25">
      <c r="A250" s="9">
        <v>15</v>
      </c>
      <c r="B250" s="9">
        <v>25001</v>
      </c>
      <c r="C250" s="10" t="s">
        <v>421</v>
      </c>
      <c r="D250" s="9" t="s">
        <v>228</v>
      </c>
      <c r="E250" s="9" t="s">
        <v>229</v>
      </c>
      <c r="F250" s="2">
        <v>156</v>
      </c>
      <c r="G250" s="2">
        <v>170</v>
      </c>
    </row>
    <row r="251" spans="1:7" x14ac:dyDescent="0.25">
      <c r="A251" s="9">
        <v>15</v>
      </c>
      <c r="B251" s="9">
        <v>25001</v>
      </c>
      <c r="C251" s="10" t="s">
        <v>421</v>
      </c>
      <c r="D251" s="9" t="s">
        <v>229</v>
      </c>
      <c r="E251" s="9" t="s">
        <v>943</v>
      </c>
      <c r="F251" s="2">
        <v>171</v>
      </c>
      <c r="G251" s="2">
        <v>191</v>
      </c>
    </row>
    <row r="252" spans="1:7" x14ac:dyDescent="0.25">
      <c r="A252" s="9">
        <v>15</v>
      </c>
      <c r="B252" s="9">
        <v>25001</v>
      </c>
      <c r="C252" s="10" t="s">
        <v>421</v>
      </c>
      <c r="D252" s="9" t="s">
        <v>943</v>
      </c>
      <c r="E252" s="9" t="s">
        <v>230</v>
      </c>
      <c r="F252" s="2">
        <v>192</v>
      </c>
      <c r="G252" s="2">
        <v>202</v>
      </c>
    </row>
    <row r="253" spans="1:7" x14ac:dyDescent="0.25">
      <c r="A253" s="9">
        <v>15</v>
      </c>
      <c r="B253" s="9">
        <v>25001</v>
      </c>
      <c r="C253" s="10" t="s">
        <v>421</v>
      </c>
      <c r="D253" s="9" t="s">
        <v>230</v>
      </c>
      <c r="E253" s="9" t="s">
        <v>231</v>
      </c>
      <c r="F253" s="2">
        <v>203</v>
      </c>
      <c r="G253" s="2">
        <v>222</v>
      </c>
    </row>
    <row r="254" spans="1:7" x14ac:dyDescent="0.25">
      <c r="A254" s="5">
        <v>15</v>
      </c>
      <c r="B254" s="5">
        <v>25001</v>
      </c>
      <c r="C254" s="5" t="s">
        <v>421</v>
      </c>
      <c r="D254" s="5" t="s">
        <v>231</v>
      </c>
      <c r="E254" s="5" t="s">
        <v>232</v>
      </c>
      <c r="F254" s="5">
        <v>223</v>
      </c>
      <c r="G254" s="5">
        <v>226</v>
      </c>
    </row>
    <row r="255" spans="1:7" x14ac:dyDescent="0.25">
      <c r="A255" s="5">
        <v>16</v>
      </c>
      <c r="B255" s="5">
        <v>25001</v>
      </c>
      <c r="C255" s="5" t="s">
        <v>421</v>
      </c>
      <c r="D255" s="5" t="s">
        <v>231</v>
      </c>
      <c r="E255" s="5" t="s">
        <v>232</v>
      </c>
      <c r="F255" s="5">
        <v>227</v>
      </c>
      <c r="G255" s="5">
        <v>239</v>
      </c>
    </row>
    <row r="256" spans="1:7" x14ac:dyDescent="0.25">
      <c r="A256" s="9">
        <v>16</v>
      </c>
      <c r="B256" s="9">
        <v>25001</v>
      </c>
      <c r="C256" s="10" t="s">
        <v>421</v>
      </c>
      <c r="D256" s="9" t="s">
        <v>232</v>
      </c>
      <c r="E256" s="9" t="s">
        <v>233</v>
      </c>
      <c r="F256" s="2">
        <v>240</v>
      </c>
      <c r="G256" s="2">
        <v>258</v>
      </c>
    </row>
    <row r="257" spans="1:7" x14ac:dyDescent="0.25">
      <c r="A257" s="9">
        <v>16</v>
      </c>
      <c r="B257" s="9">
        <v>25001</v>
      </c>
      <c r="C257" s="10" t="s">
        <v>421</v>
      </c>
      <c r="D257" s="9" t="s">
        <v>233</v>
      </c>
      <c r="E257" s="9" t="s">
        <v>234</v>
      </c>
      <c r="F257" s="2">
        <v>259</v>
      </c>
      <c r="G257" s="2">
        <v>266</v>
      </c>
    </row>
    <row r="258" spans="1:7" x14ac:dyDescent="0.25">
      <c r="A258" s="9">
        <v>16</v>
      </c>
      <c r="B258" s="9">
        <v>25001</v>
      </c>
      <c r="C258" s="10" t="s">
        <v>421</v>
      </c>
      <c r="D258" s="9" t="s">
        <v>234</v>
      </c>
      <c r="E258" s="9" t="s">
        <v>235</v>
      </c>
      <c r="F258" s="2">
        <v>267</v>
      </c>
      <c r="G258" s="2">
        <v>275</v>
      </c>
    </row>
    <row r="259" spans="1:7" x14ac:dyDescent="0.25">
      <c r="A259" s="9">
        <v>16</v>
      </c>
      <c r="B259" s="9">
        <v>25001</v>
      </c>
      <c r="C259" s="10" t="s">
        <v>421</v>
      </c>
      <c r="D259" s="9" t="s">
        <v>235</v>
      </c>
      <c r="E259" s="9" t="s">
        <v>236</v>
      </c>
      <c r="F259" s="2">
        <v>276</v>
      </c>
      <c r="G259" s="2">
        <v>296</v>
      </c>
    </row>
    <row r="260" spans="1:7" x14ac:dyDescent="0.25">
      <c r="A260" s="9">
        <v>16</v>
      </c>
      <c r="B260" s="9">
        <v>25001</v>
      </c>
      <c r="C260" s="10" t="s">
        <v>421</v>
      </c>
      <c r="D260" s="9" t="s">
        <v>236</v>
      </c>
      <c r="E260" s="9" t="s">
        <v>237</v>
      </c>
      <c r="F260" s="2">
        <v>297</v>
      </c>
      <c r="G260" s="2">
        <v>303</v>
      </c>
    </row>
    <row r="261" spans="1:7" x14ac:dyDescent="0.25">
      <c r="A261" s="9">
        <v>16</v>
      </c>
      <c r="B261" s="9">
        <v>25001</v>
      </c>
      <c r="C261" s="10" t="s">
        <v>421</v>
      </c>
      <c r="D261" s="9" t="s">
        <v>237</v>
      </c>
      <c r="E261" s="9" t="s">
        <v>238</v>
      </c>
      <c r="F261" s="2">
        <v>304</v>
      </c>
      <c r="G261" s="2">
        <v>317</v>
      </c>
    </row>
    <row r="262" spans="1:7" x14ac:dyDescent="0.25">
      <c r="A262" s="9">
        <v>16</v>
      </c>
      <c r="B262" s="9">
        <v>25001</v>
      </c>
      <c r="C262" s="10" t="s">
        <v>421</v>
      </c>
      <c r="D262" s="9" t="s">
        <v>238</v>
      </c>
      <c r="E262" s="9" t="s">
        <v>400</v>
      </c>
      <c r="F262" s="2">
        <v>318</v>
      </c>
      <c r="G262" s="2">
        <v>331</v>
      </c>
    </row>
    <row r="263" spans="1:7" x14ac:dyDescent="0.25">
      <c r="A263" s="9">
        <v>16</v>
      </c>
      <c r="B263" s="9">
        <v>25001</v>
      </c>
      <c r="C263" s="10" t="s">
        <v>239</v>
      </c>
      <c r="D263" s="9" t="s">
        <v>400</v>
      </c>
      <c r="E263" s="9" t="s">
        <v>400</v>
      </c>
      <c r="F263" s="2">
        <v>331</v>
      </c>
      <c r="G263" s="2">
        <v>340</v>
      </c>
    </row>
    <row r="264" spans="1:7" x14ac:dyDescent="0.25">
      <c r="A264" s="9">
        <v>16</v>
      </c>
      <c r="B264" s="9">
        <v>25001</v>
      </c>
      <c r="C264" s="10" t="s">
        <v>239</v>
      </c>
      <c r="D264" s="9" t="s">
        <v>400</v>
      </c>
      <c r="E264" s="2" t="s">
        <v>401</v>
      </c>
      <c r="F264" s="2">
        <v>341</v>
      </c>
      <c r="G264" s="2">
        <v>351</v>
      </c>
    </row>
    <row r="265" spans="1:7" x14ac:dyDescent="0.25">
      <c r="A265" s="9">
        <v>16</v>
      </c>
      <c r="B265" s="9">
        <v>25001</v>
      </c>
      <c r="C265" s="10" t="s">
        <v>239</v>
      </c>
      <c r="D265" s="2" t="s">
        <v>401</v>
      </c>
      <c r="E265" s="2" t="s">
        <v>401</v>
      </c>
      <c r="F265" s="2">
        <v>352</v>
      </c>
      <c r="G265" s="2">
        <v>354</v>
      </c>
    </row>
    <row r="266" spans="1:7" x14ac:dyDescent="0.25">
      <c r="A266" s="9">
        <v>16</v>
      </c>
      <c r="B266" s="9">
        <v>25001</v>
      </c>
      <c r="C266" s="10" t="s">
        <v>399</v>
      </c>
      <c r="D266" s="9" t="s">
        <v>400</v>
      </c>
      <c r="E266" s="9" t="s">
        <v>400</v>
      </c>
      <c r="F266" s="2">
        <v>331</v>
      </c>
      <c r="G266" s="2">
        <v>340</v>
      </c>
    </row>
    <row r="267" spans="1:7" x14ac:dyDescent="0.25">
      <c r="A267" s="9">
        <v>16</v>
      </c>
      <c r="B267" s="9">
        <v>25001</v>
      </c>
      <c r="C267" s="10" t="s">
        <v>399</v>
      </c>
      <c r="D267" s="9" t="s">
        <v>400</v>
      </c>
      <c r="E267" s="2" t="s">
        <v>401</v>
      </c>
      <c r="F267" s="2">
        <v>341</v>
      </c>
      <c r="G267" s="2">
        <v>352</v>
      </c>
    </row>
    <row r="268" spans="1:7" x14ac:dyDescent="0.25">
      <c r="A268" s="9">
        <v>16</v>
      </c>
      <c r="B268" s="9">
        <v>25001</v>
      </c>
      <c r="C268" s="10" t="s">
        <v>402</v>
      </c>
      <c r="D268" s="2" t="s">
        <v>401</v>
      </c>
      <c r="E268" s="9" t="s">
        <v>403</v>
      </c>
      <c r="F268" s="2">
        <v>353</v>
      </c>
      <c r="G268" s="2">
        <v>361</v>
      </c>
    </row>
    <row r="269" spans="1:7" x14ac:dyDescent="0.25">
      <c r="A269" s="9">
        <v>16</v>
      </c>
      <c r="B269" s="9">
        <v>25001</v>
      </c>
      <c r="C269" s="10" t="s">
        <v>402</v>
      </c>
      <c r="D269" s="9" t="s">
        <v>403</v>
      </c>
      <c r="E269" s="9" t="s">
        <v>403</v>
      </c>
      <c r="F269" s="2">
        <v>362</v>
      </c>
      <c r="G269" s="2">
        <v>364</v>
      </c>
    </row>
    <row r="270" spans="1:7" x14ac:dyDescent="0.25">
      <c r="A270" s="9">
        <v>16</v>
      </c>
      <c r="B270" s="9">
        <v>24605</v>
      </c>
      <c r="C270" s="10" t="s">
        <v>404</v>
      </c>
      <c r="D270" s="9" t="s">
        <v>400</v>
      </c>
      <c r="E270" s="9" t="s">
        <v>400</v>
      </c>
      <c r="F270" s="2">
        <v>1001</v>
      </c>
      <c r="G270" s="2">
        <v>1002</v>
      </c>
    </row>
    <row r="271" spans="1:7" x14ac:dyDescent="0.25">
      <c r="A271" s="9">
        <v>16</v>
      </c>
      <c r="B271" s="9">
        <v>24605</v>
      </c>
      <c r="C271" s="7">
        <v>1</v>
      </c>
      <c r="D271" s="9" t="s">
        <v>400</v>
      </c>
      <c r="E271" s="9" t="s">
        <v>405</v>
      </c>
      <c r="F271" s="2">
        <v>1001</v>
      </c>
      <c r="G271" s="2">
        <v>1012</v>
      </c>
    </row>
    <row r="272" spans="1:7" x14ac:dyDescent="0.25">
      <c r="A272" s="9">
        <v>16</v>
      </c>
      <c r="B272" s="9">
        <v>24605</v>
      </c>
      <c r="C272" s="7">
        <v>1</v>
      </c>
      <c r="D272" s="9" t="s">
        <v>405</v>
      </c>
      <c r="E272" s="9" t="s">
        <v>405</v>
      </c>
      <c r="F272" s="2">
        <v>1013</v>
      </c>
      <c r="G272" s="2">
        <v>1013</v>
      </c>
    </row>
    <row r="273" spans="1:7" x14ac:dyDescent="0.25">
      <c r="A273" s="9">
        <v>16</v>
      </c>
      <c r="B273" s="9">
        <v>24605</v>
      </c>
      <c r="C273" s="7">
        <v>1</v>
      </c>
      <c r="D273" s="9" t="s">
        <v>405</v>
      </c>
      <c r="E273" s="9" t="s">
        <v>406</v>
      </c>
      <c r="F273" s="2">
        <v>1014</v>
      </c>
      <c r="G273" s="2">
        <v>1017</v>
      </c>
    </row>
    <row r="274" spans="1:7" x14ac:dyDescent="0.25">
      <c r="A274" s="5">
        <v>16</v>
      </c>
      <c r="B274" s="5">
        <v>24605</v>
      </c>
      <c r="C274" s="6" t="s">
        <v>273</v>
      </c>
      <c r="D274" s="5" t="s">
        <v>406</v>
      </c>
      <c r="E274" s="5" t="s">
        <v>406</v>
      </c>
      <c r="F274" s="5">
        <v>1017</v>
      </c>
      <c r="G274" s="5">
        <v>1017</v>
      </c>
    </row>
    <row r="275" spans="1:7" x14ac:dyDescent="0.25">
      <c r="A275" s="2">
        <v>16</v>
      </c>
      <c r="B275" s="2">
        <v>24606</v>
      </c>
      <c r="C275" s="7" t="s">
        <v>273</v>
      </c>
      <c r="D275" s="2" t="s">
        <v>406</v>
      </c>
      <c r="E275" s="2" t="s">
        <v>407</v>
      </c>
      <c r="F275" s="2">
        <v>1</v>
      </c>
      <c r="G275" s="2">
        <v>9</v>
      </c>
    </row>
    <row r="276" spans="1:7" x14ac:dyDescent="0.25">
      <c r="A276" s="2">
        <v>16</v>
      </c>
      <c r="B276" s="2">
        <v>24606</v>
      </c>
      <c r="C276" s="7">
        <v>1</v>
      </c>
      <c r="D276" s="2" t="s">
        <v>406</v>
      </c>
      <c r="E276" s="2" t="s">
        <v>407</v>
      </c>
      <c r="F276" s="2">
        <v>1</v>
      </c>
      <c r="G276" s="2">
        <v>9</v>
      </c>
    </row>
    <row r="277" spans="1:7" x14ac:dyDescent="0.25">
      <c r="A277" s="2">
        <v>16</v>
      </c>
      <c r="B277" s="2">
        <v>24606</v>
      </c>
      <c r="C277" s="7">
        <v>1</v>
      </c>
      <c r="D277" s="2" t="s">
        <v>407</v>
      </c>
      <c r="E277" s="2" t="s">
        <v>408</v>
      </c>
      <c r="F277" s="2">
        <v>10</v>
      </c>
      <c r="G277" s="2">
        <v>19</v>
      </c>
    </row>
    <row r="278" spans="1:7" x14ac:dyDescent="0.25">
      <c r="A278" s="2">
        <v>16</v>
      </c>
      <c r="B278" s="2">
        <v>24606</v>
      </c>
      <c r="C278" s="7">
        <v>1</v>
      </c>
      <c r="D278" s="2" t="s">
        <v>408</v>
      </c>
      <c r="E278" s="9" t="s">
        <v>409</v>
      </c>
      <c r="F278" s="2">
        <v>20</v>
      </c>
      <c r="G278" s="2">
        <v>29</v>
      </c>
    </row>
    <row r="279" spans="1:7" x14ac:dyDescent="0.25">
      <c r="A279" s="2">
        <v>16</v>
      </c>
      <c r="B279" s="2">
        <v>24606</v>
      </c>
      <c r="C279" s="7">
        <v>1</v>
      </c>
      <c r="D279" s="9" t="s">
        <v>409</v>
      </c>
      <c r="E279" s="9" t="s">
        <v>410</v>
      </c>
      <c r="F279" s="2">
        <v>30</v>
      </c>
      <c r="G279" s="2">
        <v>41</v>
      </c>
    </row>
    <row r="280" spans="1:7" x14ac:dyDescent="0.25">
      <c r="A280" s="2">
        <v>16</v>
      </c>
      <c r="B280" s="2">
        <v>24606</v>
      </c>
      <c r="C280" s="7">
        <v>1</v>
      </c>
      <c r="D280" s="9" t="s">
        <v>410</v>
      </c>
      <c r="E280" s="9" t="s">
        <v>411</v>
      </c>
      <c r="F280" s="2">
        <v>42</v>
      </c>
      <c r="G280" s="2">
        <v>52</v>
      </c>
    </row>
    <row r="281" spans="1:7" x14ac:dyDescent="0.25">
      <c r="A281" s="2">
        <v>16</v>
      </c>
      <c r="B281" s="2">
        <v>24606</v>
      </c>
      <c r="C281" s="7">
        <v>1</v>
      </c>
      <c r="D281" s="9" t="s">
        <v>411</v>
      </c>
      <c r="E281" s="9" t="s">
        <v>412</v>
      </c>
      <c r="F281" s="2">
        <v>53</v>
      </c>
      <c r="G281" s="2">
        <v>63</v>
      </c>
    </row>
    <row r="282" spans="1:7" x14ac:dyDescent="0.25">
      <c r="A282" s="2">
        <v>16</v>
      </c>
      <c r="B282" s="2">
        <v>24606</v>
      </c>
      <c r="C282" s="7">
        <v>1</v>
      </c>
      <c r="D282" s="9" t="s">
        <v>412</v>
      </c>
      <c r="E282" s="9" t="s">
        <v>413</v>
      </c>
      <c r="F282" s="2">
        <v>64</v>
      </c>
      <c r="G282" s="2">
        <v>73</v>
      </c>
    </row>
    <row r="283" spans="1:7" x14ac:dyDescent="0.25">
      <c r="A283" s="2">
        <v>16</v>
      </c>
      <c r="B283" s="2">
        <v>24606</v>
      </c>
      <c r="C283" s="7">
        <v>1</v>
      </c>
      <c r="D283" s="9" t="s">
        <v>413</v>
      </c>
      <c r="E283" s="9" t="s">
        <v>414</v>
      </c>
      <c r="F283" s="2">
        <v>74</v>
      </c>
      <c r="G283" s="2">
        <v>82</v>
      </c>
    </row>
    <row r="284" spans="1:7" x14ac:dyDescent="0.25">
      <c r="A284" s="2">
        <v>16</v>
      </c>
      <c r="B284" s="2">
        <v>24606</v>
      </c>
      <c r="C284" s="7">
        <v>1</v>
      </c>
      <c r="D284" s="9" t="s">
        <v>414</v>
      </c>
      <c r="E284" s="9" t="s">
        <v>168</v>
      </c>
      <c r="F284" s="2">
        <v>83</v>
      </c>
      <c r="G284" s="2">
        <v>94</v>
      </c>
    </row>
    <row r="285" spans="1:7" x14ac:dyDescent="0.25">
      <c r="A285" s="2">
        <v>16</v>
      </c>
      <c r="B285" s="2">
        <v>24606</v>
      </c>
      <c r="C285" s="7" t="s">
        <v>273</v>
      </c>
      <c r="D285" s="9" t="s">
        <v>414</v>
      </c>
      <c r="E285" s="9" t="s">
        <v>168</v>
      </c>
      <c r="F285" s="2">
        <v>82</v>
      </c>
      <c r="G285" s="2">
        <v>96</v>
      </c>
    </row>
    <row r="286" spans="1:7" x14ac:dyDescent="0.25">
      <c r="A286" s="5">
        <v>16</v>
      </c>
      <c r="B286" s="5">
        <v>24606</v>
      </c>
      <c r="C286" s="6" t="s">
        <v>266</v>
      </c>
      <c r="D286" s="5" t="s">
        <v>168</v>
      </c>
      <c r="E286" s="5" t="s">
        <v>169</v>
      </c>
      <c r="F286" s="5">
        <v>95</v>
      </c>
      <c r="G286" s="5">
        <v>96</v>
      </c>
    </row>
    <row r="287" spans="1:7" x14ac:dyDescent="0.25">
      <c r="A287" s="5">
        <v>18</v>
      </c>
      <c r="B287" s="5">
        <v>24606</v>
      </c>
      <c r="C287" s="6" t="s">
        <v>266</v>
      </c>
      <c r="D287" s="5" t="s">
        <v>168</v>
      </c>
      <c r="E287" s="5" t="s">
        <v>169</v>
      </c>
      <c r="F287" s="5">
        <v>97</v>
      </c>
      <c r="G287" s="5">
        <v>104</v>
      </c>
    </row>
    <row r="288" spans="1:7" x14ac:dyDescent="0.25">
      <c r="A288" s="9">
        <v>18</v>
      </c>
      <c r="B288" s="9">
        <v>24606</v>
      </c>
      <c r="C288" s="7">
        <v>1</v>
      </c>
      <c r="D288" s="9" t="s">
        <v>169</v>
      </c>
      <c r="E288" s="9" t="s">
        <v>170</v>
      </c>
      <c r="F288" s="2">
        <v>105</v>
      </c>
      <c r="G288" s="2">
        <v>112</v>
      </c>
    </row>
    <row r="289" spans="1:7" x14ac:dyDescent="0.25">
      <c r="A289" s="9">
        <v>18</v>
      </c>
      <c r="B289" s="9">
        <v>24606</v>
      </c>
      <c r="C289" s="7">
        <v>1</v>
      </c>
      <c r="D289" s="9" t="s">
        <v>170</v>
      </c>
      <c r="E289" s="9" t="s">
        <v>171</v>
      </c>
      <c r="F289" s="2">
        <v>113</v>
      </c>
      <c r="G289" s="2">
        <v>124</v>
      </c>
    </row>
    <row r="290" spans="1:7" x14ac:dyDescent="0.25">
      <c r="A290" s="9">
        <v>18</v>
      </c>
      <c r="B290" s="9">
        <v>24606</v>
      </c>
      <c r="C290" s="7">
        <v>1</v>
      </c>
      <c r="D290" s="9" t="s">
        <v>171</v>
      </c>
      <c r="E290" s="9" t="s">
        <v>172</v>
      </c>
      <c r="F290" s="2">
        <v>125</v>
      </c>
      <c r="G290" s="2">
        <v>131</v>
      </c>
    </row>
    <row r="291" spans="1:7" x14ac:dyDescent="0.25">
      <c r="A291" s="9">
        <v>18</v>
      </c>
      <c r="B291" s="9">
        <v>24606</v>
      </c>
      <c r="C291" s="7">
        <v>1</v>
      </c>
      <c r="D291" s="9" t="s">
        <v>172</v>
      </c>
      <c r="E291" s="9" t="s">
        <v>173</v>
      </c>
      <c r="F291" s="2">
        <v>132</v>
      </c>
      <c r="G291" s="2">
        <v>138</v>
      </c>
    </row>
    <row r="292" spans="1:7" x14ac:dyDescent="0.25">
      <c r="A292" s="9">
        <v>18</v>
      </c>
      <c r="B292" s="9">
        <v>24606</v>
      </c>
      <c r="C292" s="7">
        <v>1</v>
      </c>
      <c r="D292" s="9" t="s">
        <v>173</v>
      </c>
      <c r="E292" s="9" t="s">
        <v>174</v>
      </c>
      <c r="F292" s="2">
        <v>139</v>
      </c>
      <c r="G292" s="2">
        <v>147</v>
      </c>
    </row>
    <row r="293" spans="1:7" x14ac:dyDescent="0.25">
      <c r="A293" s="9">
        <v>18</v>
      </c>
      <c r="B293" s="9">
        <v>24606</v>
      </c>
      <c r="C293" s="7">
        <v>1</v>
      </c>
      <c r="D293" s="9" t="s">
        <v>174</v>
      </c>
      <c r="E293" s="9" t="s">
        <v>175</v>
      </c>
      <c r="F293" s="2">
        <v>148</v>
      </c>
      <c r="G293" s="2">
        <v>154</v>
      </c>
    </row>
    <row r="294" spans="1:7" x14ac:dyDescent="0.25">
      <c r="A294" s="9">
        <v>18</v>
      </c>
      <c r="B294" s="9">
        <v>24606</v>
      </c>
      <c r="C294" s="7">
        <v>1</v>
      </c>
      <c r="D294" s="9" t="s">
        <v>175</v>
      </c>
      <c r="E294" s="9" t="s">
        <v>176</v>
      </c>
      <c r="F294" s="2">
        <v>155</v>
      </c>
      <c r="G294" s="2">
        <v>162</v>
      </c>
    </row>
    <row r="295" spans="1:7" x14ac:dyDescent="0.25">
      <c r="A295" s="9">
        <v>18</v>
      </c>
      <c r="B295" s="9">
        <v>24606</v>
      </c>
      <c r="C295" s="7">
        <v>1</v>
      </c>
      <c r="D295" s="9" t="s">
        <v>176</v>
      </c>
      <c r="E295" s="9" t="s">
        <v>177</v>
      </c>
      <c r="F295" s="2">
        <v>163</v>
      </c>
      <c r="G295" s="2">
        <v>173</v>
      </c>
    </row>
    <row r="296" spans="1:7" x14ac:dyDescent="0.25">
      <c r="A296" s="9">
        <v>18</v>
      </c>
      <c r="B296" s="9">
        <v>24606</v>
      </c>
      <c r="C296" s="7">
        <v>1</v>
      </c>
      <c r="D296" s="9" t="s">
        <v>177</v>
      </c>
      <c r="E296" s="9" t="s">
        <v>179</v>
      </c>
      <c r="F296" s="2">
        <v>174</v>
      </c>
      <c r="G296" s="2">
        <v>182</v>
      </c>
    </row>
    <row r="297" spans="1:7" x14ac:dyDescent="0.25">
      <c r="A297" s="9">
        <v>18</v>
      </c>
      <c r="B297" s="9">
        <v>24606</v>
      </c>
      <c r="C297" s="7">
        <v>1</v>
      </c>
      <c r="D297" s="9" t="s">
        <v>179</v>
      </c>
      <c r="E297" s="9" t="s">
        <v>178</v>
      </c>
      <c r="F297" s="2">
        <v>183</v>
      </c>
      <c r="G297" s="2">
        <v>188</v>
      </c>
    </row>
    <row r="298" spans="1:7" x14ac:dyDescent="0.25">
      <c r="A298" s="9">
        <v>18</v>
      </c>
      <c r="B298" s="9">
        <v>24606</v>
      </c>
      <c r="C298" s="7">
        <v>1</v>
      </c>
      <c r="D298" s="9" t="s">
        <v>178</v>
      </c>
      <c r="E298" s="9" t="s">
        <v>180</v>
      </c>
      <c r="F298" s="2">
        <v>189</v>
      </c>
      <c r="G298" s="2">
        <v>195</v>
      </c>
    </row>
    <row r="299" spans="1:7" x14ac:dyDescent="0.25">
      <c r="A299" s="9">
        <v>18</v>
      </c>
      <c r="B299" s="9">
        <v>24606</v>
      </c>
      <c r="C299" s="7">
        <v>1</v>
      </c>
      <c r="D299" s="9" t="s">
        <v>180</v>
      </c>
      <c r="E299" s="9" t="s">
        <v>181</v>
      </c>
      <c r="F299" s="2">
        <v>196</v>
      </c>
      <c r="G299" s="2">
        <v>203</v>
      </c>
    </row>
    <row r="300" spans="1:7" x14ac:dyDescent="0.25">
      <c r="A300" s="9">
        <v>18</v>
      </c>
      <c r="B300" s="9">
        <v>24606</v>
      </c>
      <c r="C300" s="7">
        <v>1</v>
      </c>
      <c r="D300" s="9" t="s">
        <v>181</v>
      </c>
      <c r="E300" s="9" t="s">
        <v>182</v>
      </c>
      <c r="F300" s="2">
        <v>204</v>
      </c>
      <c r="G300" s="2">
        <v>209</v>
      </c>
    </row>
    <row r="301" spans="1:7" x14ac:dyDescent="0.25">
      <c r="A301" s="9">
        <v>18</v>
      </c>
      <c r="B301" s="9">
        <v>24606</v>
      </c>
      <c r="C301" s="7">
        <v>1</v>
      </c>
      <c r="D301" s="9" t="s">
        <v>182</v>
      </c>
      <c r="E301" s="9" t="s">
        <v>183</v>
      </c>
      <c r="F301" s="2">
        <v>210</v>
      </c>
      <c r="G301" s="2">
        <v>219</v>
      </c>
    </row>
    <row r="302" spans="1:7" x14ac:dyDescent="0.25">
      <c r="A302" s="9">
        <v>18</v>
      </c>
      <c r="B302" s="9">
        <v>24606</v>
      </c>
      <c r="C302" s="7">
        <v>1</v>
      </c>
      <c r="D302" s="9" t="s">
        <v>183</v>
      </c>
      <c r="E302" s="9" t="s">
        <v>184</v>
      </c>
      <c r="F302" s="2">
        <v>220</v>
      </c>
      <c r="G302" s="2">
        <v>227</v>
      </c>
    </row>
    <row r="303" spans="1:7" x14ac:dyDescent="0.25">
      <c r="A303" s="9">
        <v>18</v>
      </c>
      <c r="B303" s="9">
        <v>24606</v>
      </c>
      <c r="C303" s="7">
        <v>1</v>
      </c>
      <c r="D303" s="9" t="s">
        <v>184</v>
      </c>
      <c r="E303" s="9" t="s">
        <v>185</v>
      </c>
      <c r="F303" s="2">
        <v>228</v>
      </c>
      <c r="G303" s="2">
        <v>239</v>
      </c>
    </row>
    <row r="304" spans="1:7" x14ac:dyDescent="0.25">
      <c r="A304" s="9">
        <v>18</v>
      </c>
      <c r="B304" s="9">
        <v>24606</v>
      </c>
      <c r="C304" s="7">
        <v>1</v>
      </c>
      <c r="D304" s="9" t="s">
        <v>185</v>
      </c>
      <c r="E304" s="9" t="s">
        <v>186</v>
      </c>
      <c r="F304" s="2">
        <v>240</v>
      </c>
      <c r="G304" s="2">
        <v>249</v>
      </c>
    </row>
    <row r="305" spans="1:7" x14ac:dyDescent="0.25">
      <c r="A305" s="2">
        <v>18</v>
      </c>
      <c r="B305" s="2">
        <v>24606</v>
      </c>
      <c r="C305" s="7">
        <v>1</v>
      </c>
      <c r="D305" s="2" t="s">
        <v>186</v>
      </c>
      <c r="E305" s="2" t="s">
        <v>187</v>
      </c>
      <c r="F305" s="2">
        <v>250</v>
      </c>
      <c r="G305" s="2">
        <v>260</v>
      </c>
    </row>
    <row r="306" spans="1:7" x14ac:dyDescent="0.25">
      <c r="A306" s="2">
        <v>18</v>
      </c>
      <c r="B306" s="2">
        <v>24606</v>
      </c>
      <c r="C306" s="7">
        <v>1</v>
      </c>
      <c r="D306" s="2" t="s">
        <v>187</v>
      </c>
      <c r="E306" s="2" t="s">
        <v>188</v>
      </c>
      <c r="F306" s="2">
        <v>261</v>
      </c>
      <c r="G306" s="2">
        <v>273</v>
      </c>
    </row>
    <row r="307" spans="1:7" x14ac:dyDescent="0.25">
      <c r="A307" s="2">
        <v>18</v>
      </c>
      <c r="B307" s="2">
        <v>24606</v>
      </c>
      <c r="C307" s="7">
        <v>1</v>
      </c>
      <c r="D307" s="2" t="s">
        <v>188</v>
      </c>
      <c r="E307" s="2" t="s">
        <v>189</v>
      </c>
      <c r="F307" s="2">
        <v>274</v>
      </c>
      <c r="G307" s="2">
        <v>287</v>
      </c>
    </row>
    <row r="308" spans="1:7" x14ac:dyDescent="0.25">
      <c r="A308" s="2">
        <v>18</v>
      </c>
      <c r="B308" s="2">
        <v>24606</v>
      </c>
      <c r="C308" s="7">
        <v>1</v>
      </c>
      <c r="D308" s="2" t="s">
        <v>189</v>
      </c>
      <c r="E308" s="2" t="s">
        <v>190</v>
      </c>
      <c r="F308" s="2">
        <v>288</v>
      </c>
      <c r="G308" s="2">
        <v>294</v>
      </c>
    </row>
    <row r="309" spans="1:7" x14ac:dyDescent="0.25">
      <c r="A309" s="2">
        <v>18</v>
      </c>
      <c r="B309" s="2">
        <v>24606</v>
      </c>
      <c r="C309" s="7">
        <v>1</v>
      </c>
      <c r="D309" s="2" t="s">
        <v>190</v>
      </c>
      <c r="E309" s="2" t="s">
        <v>191</v>
      </c>
      <c r="F309" s="2">
        <v>295</v>
      </c>
      <c r="G309" s="2">
        <v>303</v>
      </c>
    </row>
    <row r="310" spans="1:7" x14ac:dyDescent="0.25">
      <c r="A310" s="2">
        <v>18</v>
      </c>
      <c r="B310" s="2">
        <v>24606</v>
      </c>
      <c r="C310" s="7">
        <v>1</v>
      </c>
      <c r="D310" s="2" t="s">
        <v>191</v>
      </c>
      <c r="E310" s="2" t="s">
        <v>193</v>
      </c>
      <c r="F310" s="2">
        <v>304</v>
      </c>
      <c r="G310" s="2">
        <v>317</v>
      </c>
    </row>
    <row r="311" spans="1:7" x14ac:dyDescent="0.25">
      <c r="A311" s="2">
        <v>18</v>
      </c>
      <c r="B311" s="2">
        <v>24606</v>
      </c>
      <c r="C311" s="7">
        <v>1</v>
      </c>
      <c r="D311" s="2" t="s">
        <v>193</v>
      </c>
      <c r="E311" s="2" t="s">
        <v>192</v>
      </c>
      <c r="F311" s="2">
        <v>318</v>
      </c>
      <c r="G311" s="2">
        <v>323</v>
      </c>
    </row>
    <row r="312" spans="1:7" x14ac:dyDescent="0.25">
      <c r="A312" s="2">
        <v>18</v>
      </c>
      <c r="B312" s="2">
        <v>24606</v>
      </c>
      <c r="C312" s="7">
        <v>1</v>
      </c>
      <c r="D312" s="2" t="s">
        <v>192</v>
      </c>
      <c r="E312" s="2" t="s">
        <v>194</v>
      </c>
      <c r="F312" s="2">
        <v>324</v>
      </c>
      <c r="G312" s="2">
        <v>333</v>
      </c>
    </row>
    <row r="313" spans="1:7" x14ac:dyDescent="0.25">
      <c r="A313" s="9">
        <v>18</v>
      </c>
      <c r="B313" s="9">
        <v>24607</v>
      </c>
      <c r="C313" s="7">
        <v>1</v>
      </c>
      <c r="D313" s="9" t="s">
        <v>415</v>
      </c>
      <c r="E313" s="9" t="s">
        <v>416</v>
      </c>
      <c r="F313" s="2">
        <v>190</v>
      </c>
      <c r="G313" s="2">
        <v>197</v>
      </c>
    </row>
    <row r="314" spans="1:7" x14ac:dyDescent="0.25">
      <c r="A314" s="9">
        <v>18</v>
      </c>
      <c r="B314" s="9">
        <v>24607</v>
      </c>
      <c r="C314" s="7">
        <v>1</v>
      </c>
      <c r="D314" s="9" t="s">
        <v>417</v>
      </c>
      <c r="E314" s="9" t="s">
        <v>183</v>
      </c>
      <c r="F314" s="2">
        <v>202</v>
      </c>
      <c r="G314" s="2">
        <v>208</v>
      </c>
    </row>
    <row r="315" spans="1:7" x14ac:dyDescent="0.25">
      <c r="A315" s="9">
        <v>18</v>
      </c>
      <c r="B315" s="9">
        <v>24607</v>
      </c>
      <c r="C315" s="10" t="s">
        <v>273</v>
      </c>
      <c r="D315" s="9" t="s">
        <v>179</v>
      </c>
      <c r="E315" s="9" t="s">
        <v>415</v>
      </c>
      <c r="F315" s="2">
        <v>181</v>
      </c>
      <c r="G315" s="2">
        <v>191</v>
      </c>
    </row>
    <row r="316" spans="1:7" x14ac:dyDescent="0.25">
      <c r="A316" s="9">
        <v>18</v>
      </c>
      <c r="B316" s="9">
        <v>24607</v>
      </c>
      <c r="C316" s="10" t="s">
        <v>273</v>
      </c>
      <c r="D316" s="9" t="s">
        <v>415</v>
      </c>
      <c r="E316" s="9" t="s">
        <v>416</v>
      </c>
      <c r="F316" s="2">
        <v>192</v>
      </c>
      <c r="G316" s="2">
        <v>197</v>
      </c>
    </row>
    <row r="317" spans="1:7" x14ac:dyDescent="0.25">
      <c r="A317" s="9">
        <v>18</v>
      </c>
      <c r="B317" s="9">
        <v>24607</v>
      </c>
      <c r="C317" s="10" t="s">
        <v>273</v>
      </c>
      <c r="D317" s="9" t="s">
        <v>416</v>
      </c>
      <c r="E317" s="9" t="s">
        <v>417</v>
      </c>
      <c r="F317" s="2">
        <v>198</v>
      </c>
      <c r="G317" s="2">
        <v>202</v>
      </c>
    </row>
    <row r="318" spans="1:7" x14ac:dyDescent="0.25">
      <c r="A318" s="9">
        <v>18</v>
      </c>
      <c r="B318" s="9">
        <v>24607</v>
      </c>
      <c r="C318" s="10" t="s">
        <v>273</v>
      </c>
      <c r="D318" s="9" t="s">
        <v>417</v>
      </c>
      <c r="E318" s="9" t="s">
        <v>183</v>
      </c>
      <c r="F318" s="2">
        <v>203</v>
      </c>
      <c r="G318" s="2">
        <v>208</v>
      </c>
    </row>
    <row r="319" spans="1:7" x14ac:dyDescent="0.25">
      <c r="A319" s="9">
        <v>18</v>
      </c>
      <c r="B319" s="9">
        <v>24607</v>
      </c>
      <c r="C319" s="10" t="s">
        <v>418</v>
      </c>
      <c r="D319" s="9" t="s">
        <v>183</v>
      </c>
      <c r="E319" s="9" t="s">
        <v>183</v>
      </c>
      <c r="F319" s="2">
        <v>219</v>
      </c>
      <c r="G319" s="2">
        <v>221</v>
      </c>
    </row>
    <row r="320" spans="1:7" x14ac:dyDescent="0.25">
      <c r="A320" s="9">
        <v>19</v>
      </c>
      <c r="B320" s="9">
        <v>24606</v>
      </c>
      <c r="C320" s="7">
        <v>1</v>
      </c>
      <c r="D320" s="9" t="s">
        <v>194</v>
      </c>
      <c r="E320" s="9" t="s">
        <v>195</v>
      </c>
      <c r="F320" s="2">
        <v>334</v>
      </c>
      <c r="G320" s="2">
        <v>340</v>
      </c>
    </row>
    <row r="321" spans="1:7" x14ac:dyDescent="0.25">
      <c r="A321" s="9">
        <v>19</v>
      </c>
      <c r="B321" s="9">
        <v>24606</v>
      </c>
      <c r="C321" s="7">
        <v>1</v>
      </c>
      <c r="D321" s="9" t="s">
        <v>195</v>
      </c>
      <c r="E321" s="9" t="s">
        <v>196</v>
      </c>
      <c r="F321" s="2">
        <v>341</v>
      </c>
      <c r="G321" s="2">
        <v>353</v>
      </c>
    </row>
    <row r="322" spans="1:7" x14ac:dyDescent="0.25">
      <c r="A322" s="9">
        <v>19</v>
      </c>
      <c r="B322" s="9">
        <v>24606</v>
      </c>
      <c r="C322" s="7">
        <v>1</v>
      </c>
      <c r="D322" s="9" t="s">
        <v>196</v>
      </c>
      <c r="E322" s="9" t="s">
        <v>197</v>
      </c>
      <c r="F322" s="2">
        <v>354</v>
      </c>
      <c r="G322" s="2">
        <v>365</v>
      </c>
    </row>
    <row r="323" spans="1:7" x14ac:dyDescent="0.25">
      <c r="A323" s="9">
        <v>19</v>
      </c>
      <c r="B323" s="9">
        <v>24606</v>
      </c>
      <c r="C323" s="7">
        <v>1</v>
      </c>
      <c r="D323" s="9" t="s">
        <v>197</v>
      </c>
      <c r="E323" s="9" t="s">
        <v>198</v>
      </c>
      <c r="F323" s="2">
        <v>366</v>
      </c>
      <c r="G323" s="2">
        <v>375</v>
      </c>
    </row>
    <row r="324" spans="1:7" x14ac:dyDescent="0.25">
      <c r="A324" s="9">
        <v>19</v>
      </c>
      <c r="B324" s="9">
        <v>24606</v>
      </c>
      <c r="C324" s="7">
        <v>1</v>
      </c>
      <c r="D324" s="9" t="s">
        <v>198</v>
      </c>
      <c r="E324" s="9" t="s">
        <v>199</v>
      </c>
      <c r="F324" s="2">
        <v>376</v>
      </c>
      <c r="G324" s="2">
        <v>380</v>
      </c>
    </row>
    <row r="325" spans="1:7" x14ac:dyDescent="0.25">
      <c r="A325" s="9">
        <v>19</v>
      </c>
      <c r="B325" s="9">
        <v>24606</v>
      </c>
      <c r="C325" s="7">
        <v>1</v>
      </c>
      <c r="D325" s="9" t="s">
        <v>199</v>
      </c>
      <c r="E325" s="9" t="s">
        <v>200</v>
      </c>
      <c r="F325" s="2">
        <v>381</v>
      </c>
      <c r="G325" s="2">
        <v>390</v>
      </c>
    </row>
    <row r="326" spans="1:7" x14ac:dyDescent="0.25">
      <c r="A326" s="9">
        <v>19</v>
      </c>
      <c r="B326" s="9">
        <v>24606</v>
      </c>
      <c r="C326" s="7">
        <v>1</v>
      </c>
      <c r="D326" s="9" t="s">
        <v>200</v>
      </c>
      <c r="E326" s="9" t="s">
        <v>201</v>
      </c>
      <c r="F326" s="2">
        <v>391</v>
      </c>
      <c r="G326" s="2">
        <v>398</v>
      </c>
    </row>
    <row r="327" spans="1:7" x14ac:dyDescent="0.25">
      <c r="A327" s="9">
        <v>19</v>
      </c>
      <c r="B327" s="9">
        <v>24606</v>
      </c>
      <c r="C327" s="10">
        <v>1</v>
      </c>
      <c r="D327" s="9" t="s">
        <v>201</v>
      </c>
      <c r="E327" s="9" t="s">
        <v>202</v>
      </c>
      <c r="F327" s="2">
        <v>399</v>
      </c>
      <c r="G327" s="2">
        <v>403</v>
      </c>
    </row>
    <row r="328" spans="1:7" x14ac:dyDescent="0.25">
      <c r="A328" s="9">
        <v>19</v>
      </c>
      <c r="B328" s="9">
        <v>24606</v>
      </c>
      <c r="C328" s="10">
        <v>2</v>
      </c>
      <c r="D328" s="9" t="s">
        <v>201</v>
      </c>
      <c r="E328" s="9" t="s">
        <v>202</v>
      </c>
      <c r="F328" s="2">
        <v>398</v>
      </c>
      <c r="G328" s="2">
        <v>403</v>
      </c>
    </row>
    <row r="329" spans="1:7" x14ac:dyDescent="0.25">
      <c r="A329" s="9">
        <v>19</v>
      </c>
      <c r="B329" s="9">
        <v>77777</v>
      </c>
      <c r="C329" s="10">
        <v>1</v>
      </c>
      <c r="D329" s="9" t="s">
        <v>202</v>
      </c>
      <c r="E329" s="9" t="s">
        <v>203</v>
      </c>
      <c r="F329" s="2">
        <v>1</v>
      </c>
      <c r="G329" s="2">
        <v>7</v>
      </c>
    </row>
    <row r="330" spans="1:7" x14ac:dyDescent="0.25">
      <c r="A330" s="9">
        <v>19</v>
      </c>
      <c r="B330" s="9">
        <v>24606</v>
      </c>
      <c r="C330" s="10">
        <v>1</v>
      </c>
      <c r="D330" s="9" t="s">
        <v>202</v>
      </c>
      <c r="E330" s="9" t="s">
        <v>204</v>
      </c>
      <c r="F330" s="2">
        <v>404</v>
      </c>
      <c r="G330" s="2">
        <v>412</v>
      </c>
    </row>
    <row r="331" spans="1:7" x14ac:dyDescent="0.25">
      <c r="A331" s="9">
        <v>19</v>
      </c>
      <c r="B331" s="9">
        <v>24606</v>
      </c>
      <c r="C331" s="10">
        <v>1</v>
      </c>
      <c r="D331" s="9" t="s">
        <v>204</v>
      </c>
      <c r="E331" s="9" t="s">
        <v>205</v>
      </c>
      <c r="F331" s="2">
        <v>413</v>
      </c>
      <c r="G331" s="2">
        <v>423</v>
      </c>
    </row>
    <row r="332" spans="1:7" x14ac:dyDescent="0.25">
      <c r="A332" s="9">
        <v>19</v>
      </c>
      <c r="B332" s="9">
        <v>24606</v>
      </c>
      <c r="C332" s="10">
        <v>1</v>
      </c>
      <c r="D332" s="9" t="s">
        <v>205</v>
      </c>
      <c r="E332" s="9" t="s">
        <v>206</v>
      </c>
      <c r="F332" s="2">
        <v>424</v>
      </c>
      <c r="G332" s="2">
        <v>429</v>
      </c>
    </row>
    <row r="333" spans="1:7" x14ac:dyDescent="0.25">
      <c r="A333" s="9">
        <v>19</v>
      </c>
      <c r="B333" s="9">
        <v>24606</v>
      </c>
      <c r="C333" s="10">
        <v>1</v>
      </c>
      <c r="D333" s="9" t="s">
        <v>206</v>
      </c>
      <c r="E333" s="9" t="s">
        <v>419</v>
      </c>
      <c r="F333" s="2">
        <v>430</v>
      </c>
      <c r="G333" s="2">
        <v>433</v>
      </c>
    </row>
    <row r="334" spans="1:7" x14ac:dyDescent="0.25">
      <c r="A334" s="9">
        <v>19</v>
      </c>
      <c r="B334" s="9">
        <v>24606</v>
      </c>
      <c r="C334" s="10">
        <v>1</v>
      </c>
      <c r="D334" s="9" t="s">
        <v>419</v>
      </c>
      <c r="E334" s="9" t="s">
        <v>208</v>
      </c>
      <c r="F334" s="2">
        <v>434</v>
      </c>
      <c r="G334" s="2">
        <v>441</v>
      </c>
    </row>
    <row r="335" spans="1:7" x14ac:dyDescent="0.25">
      <c r="A335" s="9">
        <v>19</v>
      </c>
      <c r="B335" s="9">
        <v>24606</v>
      </c>
      <c r="C335" s="10">
        <v>1</v>
      </c>
      <c r="D335" s="9" t="s">
        <v>208</v>
      </c>
      <c r="E335" s="9" t="s">
        <v>209</v>
      </c>
      <c r="F335" s="2">
        <v>442</v>
      </c>
      <c r="G335" s="2">
        <v>455</v>
      </c>
    </row>
    <row r="336" spans="1:7" x14ac:dyDescent="0.25">
      <c r="A336" s="9">
        <v>19</v>
      </c>
      <c r="B336" s="9">
        <v>24606</v>
      </c>
      <c r="C336" s="10">
        <v>1</v>
      </c>
      <c r="D336" s="9" t="s">
        <v>209</v>
      </c>
      <c r="E336" s="9" t="s">
        <v>210</v>
      </c>
      <c r="F336" s="2">
        <v>457</v>
      </c>
      <c r="G336" s="2">
        <v>464</v>
      </c>
    </row>
    <row r="337" spans="1:7" x14ac:dyDescent="0.25">
      <c r="A337" s="9">
        <v>19</v>
      </c>
      <c r="B337" s="9">
        <v>24606</v>
      </c>
      <c r="C337" s="10">
        <v>1</v>
      </c>
      <c r="D337" s="9" t="s">
        <v>210</v>
      </c>
      <c r="E337" s="9" t="s">
        <v>211</v>
      </c>
      <c r="F337" s="2">
        <v>465</v>
      </c>
      <c r="G337" s="2">
        <v>467</v>
      </c>
    </row>
    <row r="338" spans="1:7" x14ac:dyDescent="0.25">
      <c r="A338" s="9">
        <v>19</v>
      </c>
      <c r="B338" s="9">
        <v>24606</v>
      </c>
      <c r="C338" s="10">
        <v>1</v>
      </c>
      <c r="D338" s="9" t="s">
        <v>211</v>
      </c>
      <c r="E338" s="9" t="s">
        <v>420</v>
      </c>
      <c r="F338" s="2">
        <v>468</v>
      </c>
      <c r="G338" s="2">
        <v>469</v>
      </c>
    </row>
    <row r="339" spans="1:7" x14ac:dyDescent="0.25">
      <c r="A339" s="9">
        <v>19</v>
      </c>
      <c r="B339" s="9">
        <v>24646</v>
      </c>
      <c r="C339" s="10">
        <v>1</v>
      </c>
      <c r="D339" s="9" t="s">
        <v>419</v>
      </c>
      <c r="E339" s="9" t="s">
        <v>207</v>
      </c>
      <c r="F339" s="2">
        <v>1</v>
      </c>
      <c r="G339" s="2">
        <v>3</v>
      </c>
    </row>
    <row r="340" spans="1:7" x14ac:dyDescent="0.25">
      <c r="A340" s="9">
        <v>19</v>
      </c>
      <c r="B340" s="9">
        <v>24646</v>
      </c>
      <c r="C340" s="10">
        <v>1</v>
      </c>
      <c r="D340" s="9" t="s">
        <v>205</v>
      </c>
      <c r="E340" s="9" t="s">
        <v>206</v>
      </c>
      <c r="F340" s="2">
        <v>424</v>
      </c>
      <c r="G340" s="2">
        <v>429</v>
      </c>
    </row>
    <row r="341" spans="1:7" x14ac:dyDescent="0.25">
      <c r="A341" s="9">
        <v>19</v>
      </c>
      <c r="B341" s="9">
        <v>24646</v>
      </c>
      <c r="C341" s="10">
        <v>1</v>
      </c>
      <c r="D341" s="9" t="s">
        <v>206</v>
      </c>
      <c r="E341" s="9" t="s">
        <v>419</v>
      </c>
      <c r="F341" s="2">
        <v>430</v>
      </c>
      <c r="G341" s="2">
        <v>434</v>
      </c>
    </row>
    <row r="342" spans="1:7" x14ac:dyDescent="0.25">
      <c r="A342" s="9">
        <v>5</v>
      </c>
      <c r="B342" s="9">
        <v>13808</v>
      </c>
      <c r="C342" s="10">
        <v>1</v>
      </c>
      <c r="D342" s="9" t="s">
        <v>363</v>
      </c>
      <c r="E342" s="9" t="s">
        <v>364</v>
      </c>
      <c r="F342" s="2">
        <v>8353</v>
      </c>
      <c r="G342" s="2">
        <v>8365</v>
      </c>
    </row>
    <row r="343" spans="1:7" x14ac:dyDescent="0.25">
      <c r="A343" s="9">
        <v>5</v>
      </c>
      <c r="B343" s="9">
        <v>13808</v>
      </c>
      <c r="C343" s="10">
        <v>1</v>
      </c>
      <c r="D343" s="9" t="s">
        <v>364</v>
      </c>
      <c r="E343" s="9" t="s">
        <v>365</v>
      </c>
      <c r="F343" s="2">
        <v>8366</v>
      </c>
      <c r="G343" s="2">
        <v>8392</v>
      </c>
    </row>
    <row r="344" spans="1:7" x14ac:dyDescent="0.25">
      <c r="A344" s="9">
        <v>5</v>
      </c>
      <c r="B344" s="9">
        <v>13808</v>
      </c>
      <c r="C344" s="10">
        <v>1</v>
      </c>
      <c r="D344" s="9" t="s">
        <v>365</v>
      </c>
      <c r="E344" s="9" t="s">
        <v>366</v>
      </c>
      <c r="F344" s="2">
        <v>8393</v>
      </c>
      <c r="G344" s="2">
        <v>8421</v>
      </c>
    </row>
    <row r="345" spans="1:7" x14ac:dyDescent="0.25">
      <c r="A345" s="9">
        <v>5</v>
      </c>
      <c r="B345" s="9">
        <v>13808</v>
      </c>
      <c r="C345" s="10">
        <v>1</v>
      </c>
      <c r="D345" s="9" t="s">
        <v>366</v>
      </c>
      <c r="E345" s="9" t="s">
        <v>367</v>
      </c>
      <c r="F345" s="2">
        <v>8422</v>
      </c>
      <c r="G345" s="2">
        <v>8449</v>
      </c>
    </row>
    <row r="346" spans="1:7" x14ac:dyDescent="0.25">
      <c r="A346" s="9">
        <v>5</v>
      </c>
      <c r="B346" s="9">
        <v>13808</v>
      </c>
      <c r="C346" s="10">
        <v>1</v>
      </c>
      <c r="D346" s="9" t="s">
        <v>367</v>
      </c>
      <c r="E346" s="9" t="s">
        <v>368</v>
      </c>
      <c r="F346" s="2">
        <v>8450</v>
      </c>
      <c r="G346" s="2">
        <v>8474</v>
      </c>
    </row>
    <row r="347" spans="1:7" x14ac:dyDescent="0.25">
      <c r="A347" s="9">
        <v>5</v>
      </c>
      <c r="B347" s="9">
        <v>13808</v>
      </c>
      <c r="C347" s="10">
        <v>1</v>
      </c>
      <c r="D347" s="9" t="s">
        <v>368</v>
      </c>
      <c r="E347" s="9" t="s">
        <v>215</v>
      </c>
      <c r="F347" s="2">
        <v>8475</v>
      </c>
      <c r="G347" s="2">
        <v>8479</v>
      </c>
    </row>
    <row r="348" spans="1:7" x14ac:dyDescent="0.25">
      <c r="A348" s="9">
        <v>5</v>
      </c>
      <c r="B348" s="9">
        <v>13808</v>
      </c>
      <c r="C348" s="10">
        <v>1</v>
      </c>
      <c r="D348" s="9" t="s">
        <v>215</v>
      </c>
      <c r="E348" s="9" t="s">
        <v>218</v>
      </c>
      <c r="F348" s="2">
        <v>8480</v>
      </c>
      <c r="G348" s="2">
        <v>8485</v>
      </c>
    </row>
    <row r="349" spans="1:7" x14ac:dyDescent="0.25">
      <c r="A349" s="9">
        <v>5</v>
      </c>
      <c r="B349" s="9">
        <v>13808</v>
      </c>
      <c r="C349" s="10">
        <v>1</v>
      </c>
      <c r="D349" s="9" t="s">
        <v>218</v>
      </c>
      <c r="E349" s="9" t="s">
        <v>369</v>
      </c>
      <c r="F349" s="2">
        <v>8486</v>
      </c>
      <c r="G349" s="2">
        <v>8496</v>
      </c>
    </row>
    <row r="350" spans="1:7" x14ac:dyDescent="0.25">
      <c r="A350" s="9">
        <v>5</v>
      </c>
      <c r="B350" s="9">
        <v>13808</v>
      </c>
      <c r="C350" s="10">
        <v>1</v>
      </c>
      <c r="D350" s="9" t="s">
        <v>369</v>
      </c>
      <c r="E350" s="9" t="s">
        <v>370</v>
      </c>
      <c r="F350" s="2">
        <v>8497</v>
      </c>
      <c r="G350" s="2">
        <v>8506</v>
      </c>
    </row>
    <row r="351" spans="1:7" x14ac:dyDescent="0.25">
      <c r="A351" s="9">
        <v>5</v>
      </c>
      <c r="B351" s="9">
        <v>13808</v>
      </c>
      <c r="C351" s="10">
        <v>1</v>
      </c>
      <c r="D351" s="9" t="s">
        <v>370</v>
      </c>
      <c r="E351" s="9" t="s">
        <v>371</v>
      </c>
      <c r="F351" s="2">
        <v>8507</v>
      </c>
      <c r="G351" s="2">
        <v>8511</v>
      </c>
    </row>
    <row r="352" spans="1:7" x14ac:dyDescent="0.25">
      <c r="A352" s="9">
        <v>5</v>
      </c>
      <c r="B352" s="9">
        <v>13808</v>
      </c>
      <c r="C352" s="10">
        <v>1</v>
      </c>
      <c r="D352" s="9" t="s">
        <v>371</v>
      </c>
      <c r="E352" s="9" t="s">
        <v>372</v>
      </c>
      <c r="F352" s="2">
        <v>8512</v>
      </c>
      <c r="G352" s="2">
        <v>8515</v>
      </c>
    </row>
    <row r="353" spans="1:7" x14ac:dyDescent="0.25">
      <c r="A353" s="9">
        <v>5</v>
      </c>
      <c r="B353" s="9">
        <v>13808</v>
      </c>
      <c r="C353" s="10">
        <v>1</v>
      </c>
      <c r="D353" s="9" t="s">
        <v>372</v>
      </c>
      <c r="E353" s="9" t="s">
        <v>373</v>
      </c>
      <c r="F353" s="2">
        <v>8516</v>
      </c>
      <c r="G353" s="2">
        <v>8522</v>
      </c>
    </row>
    <row r="354" spans="1:7" x14ac:dyDescent="0.25">
      <c r="A354" s="9">
        <v>5</v>
      </c>
      <c r="B354" s="9">
        <v>13808</v>
      </c>
      <c r="C354" s="10" t="s">
        <v>273</v>
      </c>
      <c r="D354" s="9" t="s">
        <v>363</v>
      </c>
      <c r="E354" s="9" t="s">
        <v>364</v>
      </c>
      <c r="F354" s="2">
        <v>8353</v>
      </c>
      <c r="G354" s="2">
        <v>8365</v>
      </c>
    </row>
    <row r="355" spans="1:7" x14ac:dyDescent="0.25">
      <c r="A355" s="9">
        <v>5</v>
      </c>
      <c r="B355" s="9">
        <v>13808</v>
      </c>
      <c r="C355" s="10" t="s">
        <v>273</v>
      </c>
      <c r="D355" s="9" t="s">
        <v>364</v>
      </c>
      <c r="E355" s="9" t="s">
        <v>365</v>
      </c>
      <c r="F355" s="2">
        <v>8366</v>
      </c>
      <c r="G355" s="2">
        <v>8392</v>
      </c>
    </row>
    <row r="356" spans="1:7" x14ac:dyDescent="0.25">
      <c r="A356" s="9">
        <v>5</v>
      </c>
      <c r="B356" s="9">
        <v>13808</v>
      </c>
      <c r="C356" s="10" t="s">
        <v>273</v>
      </c>
      <c r="D356" s="9" t="s">
        <v>365</v>
      </c>
      <c r="E356" s="9" t="s">
        <v>366</v>
      </c>
      <c r="F356" s="2">
        <v>8393</v>
      </c>
      <c r="G356" s="2">
        <v>8421</v>
      </c>
    </row>
    <row r="357" spans="1:7" x14ac:dyDescent="0.25">
      <c r="A357" s="9">
        <v>5</v>
      </c>
      <c r="B357" s="9">
        <v>13808</v>
      </c>
      <c r="C357" s="10" t="s">
        <v>273</v>
      </c>
      <c r="D357" s="9" t="s">
        <v>366</v>
      </c>
      <c r="E357" s="9" t="s">
        <v>367</v>
      </c>
      <c r="F357" s="2">
        <v>8422</v>
      </c>
      <c r="G357" s="2">
        <v>8449</v>
      </c>
    </row>
    <row r="358" spans="1:7" x14ac:dyDescent="0.25">
      <c r="A358" s="9">
        <v>5</v>
      </c>
      <c r="B358" s="9">
        <v>13808</v>
      </c>
      <c r="C358" s="10" t="s">
        <v>273</v>
      </c>
      <c r="D358" s="9" t="s">
        <v>367</v>
      </c>
      <c r="E358" s="9" t="s">
        <v>368</v>
      </c>
      <c r="F358" s="2">
        <v>8450</v>
      </c>
      <c r="G358" s="2">
        <v>8474</v>
      </c>
    </row>
    <row r="359" spans="1:7" x14ac:dyDescent="0.25">
      <c r="A359" s="9">
        <v>5</v>
      </c>
      <c r="B359" s="9">
        <v>13808</v>
      </c>
      <c r="C359" s="10" t="s">
        <v>273</v>
      </c>
      <c r="D359" s="9" t="s">
        <v>368</v>
      </c>
      <c r="E359" s="9" t="s">
        <v>215</v>
      </c>
      <c r="F359" s="2">
        <v>8475</v>
      </c>
      <c r="G359" s="2">
        <v>8479</v>
      </c>
    </row>
    <row r="360" spans="1:7" x14ac:dyDescent="0.25">
      <c r="A360" s="9">
        <v>5</v>
      </c>
      <c r="B360" s="9">
        <v>13808</v>
      </c>
      <c r="C360" s="10" t="s">
        <v>273</v>
      </c>
      <c r="D360" s="9" t="s">
        <v>215</v>
      </c>
      <c r="E360" s="9" t="s">
        <v>218</v>
      </c>
      <c r="F360" s="2">
        <v>8480</v>
      </c>
      <c r="G360" s="2">
        <v>8485</v>
      </c>
    </row>
    <row r="361" spans="1:7" x14ac:dyDescent="0.25">
      <c r="A361" s="9">
        <v>5</v>
      </c>
      <c r="B361" s="9">
        <v>13808</v>
      </c>
      <c r="C361" s="10" t="s">
        <v>273</v>
      </c>
      <c r="D361" s="9" t="s">
        <v>218</v>
      </c>
      <c r="E361" s="9" t="s">
        <v>369</v>
      </c>
      <c r="F361" s="2">
        <v>8486</v>
      </c>
      <c r="G361" s="2">
        <v>8496</v>
      </c>
    </row>
    <row r="362" spans="1:7" x14ac:dyDescent="0.25">
      <c r="A362" s="9">
        <v>5</v>
      </c>
      <c r="B362" s="9">
        <v>13808</v>
      </c>
      <c r="C362" s="10" t="s">
        <v>273</v>
      </c>
      <c r="D362" s="9" t="s">
        <v>369</v>
      </c>
      <c r="E362" s="9" t="s">
        <v>370</v>
      </c>
      <c r="F362" s="2">
        <v>8497</v>
      </c>
      <c r="G362" s="2">
        <v>8506</v>
      </c>
    </row>
    <row r="363" spans="1:7" x14ac:dyDescent="0.25">
      <c r="A363" s="9">
        <v>5</v>
      </c>
      <c r="B363" s="9">
        <v>13808</v>
      </c>
      <c r="C363" s="10" t="s">
        <v>273</v>
      </c>
      <c r="D363" s="9" t="s">
        <v>370</v>
      </c>
      <c r="E363" s="9" t="s">
        <v>371</v>
      </c>
      <c r="F363" s="2">
        <v>8507</v>
      </c>
      <c r="G363" s="2">
        <v>8511</v>
      </c>
    </row>
    <row r="364" spans="1:7" x14ac:dyDescent="0.25">
      <c r="A364" s="9">
        <v>5</v>
      </c>
      <c r="B364" s="9">
        <v>13808</v>
      </c>
      <c r="C364" s="10" t="s">
        <v>273</v>
      </c>
      <c r="D364" s="9" t="s">
        <v>371</v>
      </c>
      <c r="E364" s="9" t="s">
        <v>372</v>
      </c>
      <c r="F364" s="2">
        <v>8512</v>
      </c>
      <c r="G364" s="2">
        <v>8515</v>
      </c>
    </row>
    <row r="365" spans="1:7" x14ac:dyDescent="0.25">
      <c r="A365" s="9">
        <v>5</v>
      </c>
      <c r="B365" s="9">
        <v>13808</v>
      </c>
      <c r="C365" s="10" t="s">
        <v>273</v>
      </c>
      <c r="D365" s="9" t="s">
        <v>372</v>
      </c>
      <c r="E365" s="9" t="s">
        <v>373</v>
      </c>
      <c r="F365" s="2">
        <v>8516</v>
      </c>
      <c r="G365" s="2">
        <v>8522</v>
      </c>
    </row>
    <row r="366" spans="1:7" x14ac:dyDescent="0.25">
      <c r="A366" s="9">
        <v>5</v>
      </c>
      <c r="B366" s="9">
        <v>13808</v>
      </c>
      <c r="C366" s="10" t="s">
        <v>421</v>
      </c>
      <c r="D366" s="9" t="s">
        <v>371</v>
      </c>
      <c r="E366" s="9" t="s">
        <v>373</v>
      </c>
      <c r="F366" s="2">
        <v>8508</v>
      </c>
      <c r="G366" s="2">
        <v>8520</v>
      </c>
    </row>
    <row r="367" spans="1:7" x14ac:dyDescent="0.25">
      <c r="A367" s="9">
        <v>5</v>
      </c>
      <c r="B367" s="9">
        <v>13877</v>
      </c>
      <c r="C367" s="10" t="s">
        <v>421</v>
      </c>
      <c r="D367" s="9" t="s">
        <v>373</v>
      </c>
      <c r="E367" s="9" t="s">
        <v>374</v>
      </c>
      <c r="F367" s="2">
        <v>1</v>
      </c>
      <c r="G367" s="2">
        <v>5</v>
      </c>
    </row>
    <row r="368" spans="1:7" x14ac:dyDescent="0.25">
      <c r="A368" s="9">
        <v>5</v>
      </c>
      <c r="B368" s="9">
        <v>13878</v>
      </c>
      <c r="C368" s="10" t="s">
        <v>266</v>
      </c>
      <c r="D368" s="9" t="s">
        <v>373</v>
      </c>
      <c r="E368" s="9" t="s">
        <v>375</v>
      </c>
      <c r="F368" s="2">
        <v>1</v>
      </c>
      <c r="G368" s="2">
        <v>11</v>
      </c>
    </row>
    <row r="369" spans="1:7" x14ac:dyDescent="0.25">
      <c r="A369" s="5">
        <v>5</v>
      </c>
      <c r="B369" s="5">
        <v>13808</v>
      </c>
      <c r="C369" s="6" t="s">
        <v>266</v>
      </c>
      <c r="D369" s="5" t="s">
        <v>373</v>
      </c>
      <c r="E369" s="5" t="s">
        <v>376</v>
      </c>
      <c r="F369" s="5">
        <v>8523</v>
      </c>
      <c r="G369" s="5">
        <v>8525</v>
      </c>
    </row>
    <row r="370" spans="1:7" x14ac:dyDescent="0.25">
      <c r="A370" s="5">
        <v>5</v>
      </c>
      <c r="B370" s="5">
        <v>13808</v>
      </c>
      <c r="C370" s="6" t="s">
        <v>273</v>
      </c>
      <c r="D370" s="5" t="s">
        <v>373</v>
      </c>
      <c r="E370" s="5" t="s">
        <v>376</v>
      </c>
      <c r="F370" s="5">
        <v>8523</v>
      </c>
      <c r="G370" s="5">
        <v>8525</v>
      </c>
    </row>
    <row r="371" spans="1:7" x14ac:dyDescent="0.25">
      <c r="A371" s="5">
        <v>6</v>
      </c>
      <c r="B371" s="5">
        <v>13809</v>
      </c>
      <c r="C371" s="6" t="s">
        <v>266</v>
      </c>
      <c r="D371" s="5" t="s">
        <v>373</v>
      </c>
      <c r="E371" s="5" t="s">
        <v>376</v>
      </c>
      <c r="F371" s="5">
        <v>8526</v>
      </c>
      <c r="G371" s="5">
        <v>8528</v>
      </c>
    </row>
    <row r="372" spans="1:7" x14ac:dyDescent="0.25">
      <c r="A372" s="5">
        <v>6</v>
      </c>
      <c r="B372" s="5">
        <v>13809</v>
      </c>
      <c r="C372" s="6" t="s">
        <v>273</v>
      </c>
      <c r="D372" s="5" t="s">
        <v>373</v>
      </c>
      <c r="E372" s="5" t="s">
        <v>376</v>
      </c>
      <c r="F372" s="5">
        <v>8526</v>
      </c>
      <c r="G372" s="5">
        <v>8528</v>
      </c>
    </row>
    <row r="373" spans="1:7" x14ac:dyDescent="0.25">
      <c r="A373" s="9">
        <v>6</v>
      </c>
      <c r="B373" s="9">
        <v>13809</v>
      </c>
      <c r="C373" s="10" t="s">
        <v>266</v>
      </c>
      <c r="D373" s="9" t="s">
        <v>376</v>
      </c>
      <c r="E373" s="9" t="s">
        <v>376</v>
      </c>
      <c r="F373" s="2">
        <v>8529</v>
      </c>
      <c r="G373" s="2">
        <v>8536</v>
      </c>
    </row>
    <row r="374" spans="1:7" x14ac:dyDescent="0.25">
      <c r="A374" s="9">
        <v>6</v>
      </c>
      <c r="B374" s="9">
        <v>13809</v>
      </c>
      <c r="C374" s="10" t="s">
        <v>273</v>
      </c>
      <c r="D374" s="9" t="s">
        <v>376</v>
      </c>
      <c r="E374" s="9" t="s">
        <v>376</v>
      </c>
      <c r="F374" s="2">
        <v>8529</v>
      </c>
      <c r="G374" s="2">
        <v>8536</v>
      </c>
    </row>
    <row r="375" spans="1:7" x14ac:dyDescent="0.25">
      <c r="A375" s="9">
        <v>6</v>
      </c>
      <c r="B375" s="9">
        <v>13809</v>
      </c>
      <c r="C375" s="10" t="s">
        <v>418</v>
      </c>
      <c r="D375" s="9" t="s">
        <v>376</v>
      </c>
      <c r="E375" s="9" t="s">
        <v>376</v>
      </c>
      <c r="F375" s="2">
        <v>8531</v>
      </c>
      <c r="G375" s="2">
        <v>8536</v>
      </c>
    </row>
    <row r="376" spans="1:7" x14ac:dyDescent="0.25">
      <c r="A376" s="9">
        <v>6</v>
      </c>
      <c r="B376" s="9">
        <v>13809</v>
      </c>
      <c r="C376" s="10" t="s">
        <v>266</v>
      </c>
      <c r="D376" s="9" t="s">
        <v>376</v>
      </c>
      <c r="E376" s="9" t="s">
        <v>377</v>
      </c>
      <c r="F376" s="2">
        <v>8537</v>
      </c>
      <c r="G376" s="2">
        <v>8542</v>
      </c>
    </row>
    <row r="377" spans="1:7" x14ac:dyDescent="0.25">
      <c r="A377" s="9">
        <v>6</v>
      </c>
      <c r="B377" s="9">
        <v>13809</v>
      </c>
      <c r="C377" s="10" t="s">
        <v>266</v>
      </c>
      <c r="D377" s="9" t="s">
        <v>377</v>
      </c>
      <c r="E377" s="9" t="s">
        <v>378</v>
      </c>
      <c r="F377" s="2">
        <v>8543</v>
      </c>
      <c r="G377" s="2">
        <v>8560</v>
      </c>
    </row>
    <row r="378" spans="1:7" x14ac:dyDescent="0.25">
      <c r="A378" s="9">
        <v>6</v>
      </c>
      <c r="B378" s="9">
        <v>13809</v>
      </c>
      <c r="C378" s="10" t="s">
        <v>266</v>
      </c>
      <c r="D378" s="9" t="s">
        <v>378</v>
      </c>
      <c r="E378" s="9" t="s">
        <v>379</v>
      </c>
      <c r="F378" s="2">
        <v>8561</v>
      </c>
      <c r="G378" s="2">
        <v>8575</v>
      </c>
    </row>
    <row r="379" spans="1:7" x14ac:dyDescent="0.25">
      <c r="A379" s="9">
        <v>6</v>
      </c>
      <c r="B379" s="9">
        <v>13809</v>
      </c>
      <c r="C379" s="10" t="s">
        <v>266</v>
      </c>
      <c r="D379" s="9" t="s">
        <v>379</v>
      </c>
      <c r="E379" s="9" t="s">
        <v>380</v>
      </c>
      <c r="F379" s="2">
        <v>8576</v>
      </c>
      <c r="G379" s="2">
        <v>8590</v>
      </c>
    </row>
    <row r="380" spans="1:7" x14ac:dyDescent="0.25">
      <c r="A380" s="9">
        <v>6</v>
      </c>
      <c r="B380" s="9">
        <v>13809</v>
      </c>
      <c r="C380" s="10" t="s">
        <v>266</v>
      </c>
      <c r="D380" s="9" t="s">
        <v>380</v>
      </c>
      <c r="E380" s="9" t="s">
        <v>381</v>
      </c>
      <c r="F380" s="2">
        <v>8591</v>
      </c>
      <c r="G380" s="2">
        <v>8603</v>
      </c>
    </row>
    <row r="381" spans="1:7" x14ac:dyDescent="0.25">
      <c r="A381" s="9">
        <v>6</v>
      </c>
      <c r="B381" s="9">
        <v>13806</v>
      </c>
      <c r="C381" s="10" t="s">
        <v>422</v>
      </c>
      <c r="D381" s="9" t="s">
        <v>381</v>
      </c>
      <c r="E381" s="9" t="s">
        <v>383</v>
      </c>
      <c r="F381" s="2">
        <v>8598</v>
      </c>
      <c r="G381" s="2">
        <v>8615</v>
      </c>
    </row>
    <row r="382" spans="1:7" x14ac:dyDescent="0.25">
      <c r="A382" s="9">
        <v>6</v>
      </c>
      <c r="B382" s="9">
        <v>13809</v>
      </c>
      <c r="C382" s="10" t="s">
        <v>266</v>
      </c>
      <c r="D382" s="9" t="s">
        <v>382</v>
      </c>
      <c r="E382" s="9" t="s">
        <v>383</v>
      </c>
      <c r="F382" s="2">
        <v>8609</v>
      </c>
      <c r="G382" s="2">
        <v>8617</v>
      </c>
    </row>
    <row r="383" spans="1:7" x14ac:dyDescent="0.25">
      <c r="A383" s="9">
        <v>6</v>
      </c>
      <c r="B383" s="9">
        <v>13809</v>
      </c>
      <c r="C383" s="10" t="s">
        <v>266</v>
      </c>
      <c r="D383" s="9" t="s">
        <v>383</v>
      </c>
      <c r="E383" s="9" t="s">
        <v>292</v>
      </c>
      <c r="F383" s="2">
        <v>8618</v>
      </c>
      <c r="G383" s="2">
        <v>8632</v>
      </c>
    </row>
    <row r="384" spans="1:7" x14ac:dyDescent="0.25">
      <c r="A384" s="9">
        <v>6</v>
      </c>
      <c r="B384" s="9">
        <v>13809</v>
      </c>
      <c r="C384" s="10" t="s">
        <v>266</v>
      </c>
      <c r="D384" s="9" t="s">
        <v>292</v>
      </c>
      <c r="E384" s="9" t="s">
        <v>293</v>
      </c>
      <c r="F384" s="2">
        <v>8633</v>
      </c>
      <c r="G384" s="2">
        <v>8637</v>
      </c>
    </row>
    <row r="385" spans="1:7" x14ac:dyDescent="0.25">
      <c r="A385" s="9">
        <v>6</v>
      </c>
      <c r="B385" s="9">
        <v>13809</v>
      </c>
      <c r="C385" s="10" t="s">
        <v>273</v>
      </c>
      <c r="D385" s="9" t="s">
        <v>376</v>
      </c>
      <c r="E385" s="9" t="s">
        <v>377</v>
      </c>
      <c r="F385" s="2">
        <v>8537</v>
      </c>
      <c r="G385" s="2">
        <v>8542</v>
      </c>
    </row>
    <row r="386" spans="1:7" x14ac:dyDescent="0.25">
      <c r="A386" s="9">
        <v>6</v>
      </c>
      <c r="B386" s="9">
        <v>13809</v>
      </c>
      <c r="C386" s="10" t="s">
        <v>273</v>
      </c>
      <c r="D386" s="9" t="s">
        <v>377</v>
      </c>
      <c r="E386" s="9" t="s">
        <v>378</v>
      </c>
      <c r="F386" s="2">
        <v>8543</v>
      </c>
      <c r="G386" s="2">
        <v>8560</v>
      </c>
    </row>
    <row r="387" spans="1:7" x14ac:dyDescent="0.25">
      <c r="A387" s="9">
        <v>6</v>
      </c>
      <c r="B387" s="9">
        <v>13809</v>
      </c>
      <c r="C387" s="10" t="s">
        <v>273</v>
      </c>
      <c r="D387" s="9" t="s">
        <v>378</v>
      </c>
      <c r="E387" s="9" t="s">
        <v>379</v>
      </c>
      <c r="F387" s="2">
        <v>8561</v>
      </c>
      <c r="G387" s="2">
        <v>8575</v>
      </c>
    </row>
    <row r="388" spans="1:7" x14ac:dyDescent="0.25">
      <c r="A388" s="9">
        <v>6</v>
      </c>
      <c r="B388" s="9">
        <v>13809</v>
      </c>
      <c r="C388" s="10" t="s">
        <v>273</v>
      </c>
      <c r="D388" s="9" t="s">
        <v>379</v>
      </c>
      <c r="E388" s="9" t="s">
        <v>380</v>
      </c>
      <c r="F388" s="2">
        <v>8576</v>
      </c>
      <c r="G388" s="2">
        <v>8590</v>
      </c>
    </row>
    <row r="389" spans="1:7" x14ac:dyDescent="0.25">
      <c r="A389" s="9">
        <v>6</v>
      </c>
      <c r="B389" s="9">
        <v>13809</v>
      </c>
      <c r="C389" s="10" t="s">
        <v>273</v>
      </c>
      <c r="D389" s="9" t="s">
        <v>380</v>
      </c>
      <c r="E389" s="9" t="s">
        <v>381</v>
      </c>
      <c r="F389" s="2">
        <v>8591</v>
      </c>
      <c r="G389" s="2">
        <v>8604</v>
      </c>
    </row>
    <row r="390" spans="1:7" x14ac:dyDescent="0.25">
      <c r="A390" s="9">
        <v>6</v>
      </c>
      <c r="B390" s="9">
        <v>13809</v>
      </c>
      <c r="C390" s="10" t="s">
        <v>273</v>
      </c>
      <c r="D390" s="9" t="s">
        <v>381</v>
      </c>
      <c r="E390" s="9" t="s">
        <v>382</v>
      </c>
      <c r="F390" s="2">
        <v>8605</v>
      </c>
      <c r="G390" s="2">
        <v>8609</v>
      </c>
    </row>
    <row r="391" spans="1:7" x14ac:dyDescent="0.25">
      <c r="A391" s="9">
        <v>6</v>
      </c>
      <c r="B391" s="9">
        <v>13809</v>
      </c>
      <c r="C391" s="10" t="s">
        <v>273</v>
      </c>
      <c r="D391" s="9" t="s">
        <v>382</v>
      </c>
      <c r="E391" s="9" t="s">
        <v>383</v>
      </c>
      <c r="F391" s="2">
        <v>8610</v>
      </c>
      <c r="G391" s="2">
        <v>8617</v>
      </c>
    </row>
    <row r="392" spans="1:7" x14ac:dyDescent="0.25">
      <c r="A392" s="9">
        <v>6</v>
      </c>
      <c r="B392" s="9">
        <v>13809</v>
      </c>
      <c r="C392" s="10" t="s">
        <v>273</v>
      </c>
      <c r="D392" s="9" t="s">
        <v>383</v>
      </c>
      <c r="E392" s="9" t="s">
        <v>292</v>
      </c>
      <c r="F392" s="2">
        <v>8618</v>
      </c>
      <c r="G392" s="2">
        <v>8632</v>
      </c>
    </row>
    <row r="393" spans="1:7" x14ac:dyDescent="0.25">
      <c r="A393" s="9">
        <v>6</v>
      </c>
      <c r="B393" s="9">
        <v>13809</v>
      </c>
      <c r="C393" s="10" t="s">
        <v>273</v>
      </c>
      <c r="D393" s="9" t="s">
        <v>292</v>
      </c>
      <c r="E393" s="9" t="s">
        <v>293</v>
      </c>
      <c r="F393" s="2">
        <v>8633</v>
      </c>
      <c r="G393" s="2">
        <v>8637</v>
      </c>
    </row>
    <row r="394" spans="1:7" x14ac:dyDescent="0.25">
      <c r="A394" s="9">
        <v>7</v>
      </c>
      <c r="B394" s="9">
        <v>13809</v>
      </c>
      <c r="C394" s="10" t="s">
        <v>266</v>
      </c>
      <c r="D394" s="9" t="s">
        <v>292</v>
      </c>
      <c r="E394" s="9" t="s">
        <v>293</v>
      </c>
      <c r="F394" s="2">
        <v>8638</v>
      </c>
      <c r="G394" s="2">
        <v>8650</v>
      </c>
    </row>
    <row r="395" spans="1:7" x14ac:dyDescent="0.25">
      <c r="A395" s="9">
        <v>7</v>
      </c>
      <c r="B395" s="9">
        <v>13809</v>
      </c>
      <c r="C395" s="10" t="s">
        <v>273</v>
      </c>
      <c r="D395" s="9" t="s">
        <v>292</v>
      </c>
      <c r="E395" s="9" t="s">
        <v>293</v>
      </c>
      <c r="F395" s="2">
        <v>8638</v>
      </c>
      <c r="G395" s="2">
        <v>8650</v>
      </c>
    </row>
    <row r="396" spans="1:7" x14ac:dyDescent="0.25">
      <c r="A396" s="9">
        <v>7</v>
      </c>
      <c r="B396" s="9">
        <v>13809</v>
      </c>
      <c r="C396" s="10" t="s">
        <v>423</v>
      </c>
      <c r="D396" s="9" t="s">
        <v>293</v>
      </c>
      <c r="E396" s="9" t="s">
        <v>293</v>
      </c>
      <c r="F396" s="2">
        <v>8648</v>
      </c>
      <c r="G396" s="2">
        <v>8652</v>
      </c>
    </row>
    <row r="397" spans="1:7" x14ac:dyDescent="0.25">
      <c r="A397" s="9">
        <v>7</v>
      </c>
      <c r="B397" s="9">
        <v>13809</v>
      </c>
      <c r="C397" s="10" t="s">
        <v>266</v>
      </c>
      <c r="D397" s="9" t="s">
        <v>293</v>
      </c>
      <c r="E397" s="9" t="s">
        <v>294</v>
      </c>
      <c r="F397" s="2">
        <v>8651</v>
      </c>
      <c r="G397" s="2">
        <v>8660</v>
      </c>
    </row>
    <row r="398" spans="1:7" x14ac:dyDescent="0.25">
      <c r="A398" s="9">
        <v>7</v>
      </c>
      <c r="B398" s="9">
        <v>13809</v>
      </c>
      <c r="C398" s="10" t="s">
        <v>266</v>
      </c>
      <c r="D398" s="9" t="s">
        <v>294</v>
      </c>
      <c r="E398" s="9" t="s">
        <v>295</v>
      </c>
      <c r="F398" s="2">
        <v>8661</v>
      </c>
      <c r="G398" s="2">
        <v>8672</v>
      </c>
    </row>
    <row r="399" spans="1:7" x14ac:dyDescent="0.25">
      <c r="A399" s="9">
        <v>7</v>
      </c>
      <c r="B399" s="9">
        <v>13809</v>
      </c>
      <c r="C399" s="10" t="s">
        <v>266</v>
      </c>
      <c r="D399" s="9" t="s">
        <v>295</v>
      </c>
      <c r="E399" s="9" t="s">
        <v>296</v>
      </c>
      <c r="F399" s="2">
        <v>8673</v>
      </c>
      <c r="G399" s="2">
        <v>8680</v>
      </c>
    </row>
    <row r="400" spans="1:7" x14ac:dyDescent="0.25">
      <c r="A400" s="9">
        <v>7</v>
      </c>
      <c r="B400" s="9">
        <v>13809</v>
      </c>
      <c r="C400" s="10" t="s">
        <v>266</v>
      </c>
      <c r="D400" s="9" t="s">
        <v>296</v>
      </c>
      <c r="E400" s="9" t="s">
        <v>297</v>
      </c>
      <c r="F400" s="2">
        <v>8681</v>
      </c>
      <c r="G400" s="2">
        <v>8697</v>
      </c>
    </row>
    <row r="401" spans="1:7" x14ac:dyDescent="0.25">
      <c r="A401" s="9">
        <v>7</v>
      </c>
      <c r="B401" s="9">
        <v>13809</v>
      </c>
      <c r="C401" s="10" t="s">
        <v>266</v>
      </c>
      <c r="D401" s="9" t="s">
        <v>297</v>
      </c>
      <c r="E401" s="9" t="s">
        <v>298</v>
      </c>
      <c r="F401" s="2">
        <v>8698</v>
      </c>
      <c r="G401" s="2">
        <v>8713</v>
      </c>
    </row>
    <row r="402" spans="1:7" x14ac:dyDescent="0.25">
      <c r="A402" s="9">
        <v>7</v>
      </c>
      <c r="B402" s="9">
        <v>13809</v>
      </c>
      <c r="C402" s="10" t="s">
        <v>266</v>
      </c>
      <c r="D402" s="9" t="s">
        <v>298</v>
      </c>
      <c r="E402" s="9" t="s">
        <v>299</v>
      </c>
      <c r="F402" s="2">
        <v>8714</v>
      </c>
      <c r="G402" s="2">
        <v>8735</v>
      </c>
    </row>
    <row r="403" spans="1:7" x14ac:dyDescent="0.25">
      <c r="A403" s="9">
        <v>7</v>
      </c>
      <c r="B403" s="9">
        <v>13809</v>
      </c>
      <c r="C403" s="10" t="s">
        <v>266</v>
      </c>
      <c r="D403" s="9" t="s">
        <v>299</v>
      </c>
      <c r="E403" s="9" t="s">
        <v>300</v>
      </c>
      <c r="F403" s="2">
        <v>8736</v>
      </c>
      <c r="G403" s="2">
        <v>8755</v>
      </c>
    </row>
    <row r="404" spans="1:7" x14ac:dyDescent="0.25">
      <c r="A404" s="9">
        <v>7</v>
      </c>
      <c r="B404" s="9">
        <v>13809</v>
      </c>
      <c r="C404" s="10" t="s">
        <v>273</v>
      </c>
      <c r="D404" s="9" t="s">
        <v>293</v>
      </c>
      <c r="E404" s="9" t="s">
        <v>294</v>
      </c>
      <c r="F404" s="2">
        <v>8651</v>
      </c>
      <c r="G404" s="2">
        <v>8660</v>
      </c>
    </row>
    <row r="405" spans="1:7" x14ac:dyDescent="0.25">
      <c r="A405" s="9">
        <v>7</v>
      </c>
      <c r="B405" s="9">
        <v>13809</v>
      </c>
      <c r="C405" s="10" t="s">
        <v>273</v>
      </c>
      <c r="D405" s="9" t="s">
        <v>294</v>
      </c>
      <c r="E405" s="9" t="s">
        <v>295</v>
      </c>
      <c r="F405" s="2">
        <v>8661</v>
      </c>
      <c r="G405" s="2">
        <v>8672</v>
      </c>
    </row>
    <row r="406" spans="1:7" x14ac:dyDescent="0.25">
      <c r="A406" s="9">
        <v>7</v>
      </c>
      <c r="B406" s="9">
        <v>13809</v>
      </c>
      <c r="C406" s="10" t="s">
        <v>273</v>
      </c>
      <c r="D406" s="9" t="s">
        <v>295</v>
      </c>
      <c r="E406" s="9" t="s">
        <v>296</v>
      </c>
      <c r="F406" s="2">
        <v>8673</v>
      </c>
      <c r="G406" s="2">
        <v>8680</v>
      </c>
    </row>
    <row r="407" spans="1:7" x14ac:dyDescent="0.25">
      <c r="A407" s="9">
        <v>7</v>
      </c>
      <c r="B407" s="9">
        <v>13809</v>
      </c>
      <c r="C407" s="10" t="s">
        <v>273</v>
      </c>
      <c r="D407" s="9" t="s">
        <v>296</v>
      </c>
      <c r="E407" s="9" t="s">
        <v>297</v>
      </c>
      <c r="F407" s="2">
        <v>8681</v>
      </c>
      <c r="G407" s="2">
        <v>8697</v>
      </c>
    </row>
    <row r="408" spans="1:7" x14ac:dyDescent="0.25">
      <c r="A408" s="9">
        <v>7</v>
      </c>
      <c r="B408" s="9">
        <v>13809</v>
      </c>
      <c r="C408" s="10" t="s">
        <v>273</v>
      </c>
      <c r="D408" s="9" t="s">
        <v>297</v>
      </c>
      <c r="E408" s="9" t="s">
        <v>298</v>
      </c>
      <c r="F408" s="2">
        <v>8698</v>
      </c>
      <c r="G408" s="2">
        <v>8713</v>
      </c>
    </row>
    <row r="409" spans="1:7" x14ac:dyDescent="0.25">
      <c r="A409" s="9">
        <v>7</v>
      </c>
      <c r="B409" s="9">
        <v>13809</v>
      </c>
      <c r="C409" s="10" t="s">
        <v>273</v>
      </c>
      <c r="D409" s="9" t="s">
        <v>298</v>
      </c>
      <c r="E409" s="9" t="s">
        <v>299</v>
      </c>
      <c r="F409" s="2">
        <v>8714</v>
      </c>
      <c r="G409" s="2">
        <v>8735</v>
      </c>
    </row>
    <row r="410" spans="1:7" x14ac:dyDescent="0.25">
      <c r="A410" s="9">
        <v>7</v>
      </c>
      <c r="B410" s="9">
        <v>13809</v>
      </c>
      <c r="C410" s="10" t="s">
        <v>273</v>
      </c>
      <c r="D410" s="9" t="s">
        <v>299</v>
      </c>
      <c r="E410" s="9" t="s">
        <v>300</v>
      </c>
      <c r="F410" s="2">
        <v>8736</v>
      </c>
      <c r="G410" s="2">
        <v>8755</v>
      </c>
    </row>
    <row r="411" spans="1:7" x14ac:dyDescent="0.25">
      <c r="A411" s="9">
        <v>7</v>
      </c>
      <c r="B411" s="9">
        <v>13809</v>
      </c>
      <c r="C411" s="10" t="s">
        <v>424</v>
      </c>
      <c r="D411" s="9" t="s">
        <v>300</v>
      </c>
      <c r="E411" s="9" t="s">
        <v>300</v>
      </c>
      <c r="F411" s="2">
        <v>8753</v>
      </c>
      <c r="G411" s="2">
        <v>8758</v>
      </c>
    </row>
    <row r="412" spans="1:7" x14ac:dyDescent="0.25">
      <c r="A412" s="5">
        <v>7</v>
      </c>
      <c r="B412" s="5">
        <v>13809</v>
      </c>
      <c r="C412" s="5" t="s">
        <v>266</v>
      </c>
      <c r="D412" s="5" t="s">
        <v>300</v>
      </c>
      <c r="E412" s="5" t="s">
        <v>301</v>
      </c>
      <c r="F412" s="5">
        <v>8759</v>
      </c>
      <c r="G412" s="5">
        <v>8766</v>
      </c>
    </row>
    <row r="413" spans="1:7" x14ac:dyDescent="0.25">
      <c r="A413" s="5">
        <v>8</v>
      </c>
      <c r="B413" s="5">
        <v>13809</v>
      </c>
      <c r="C413" s="5" t="s">
        <v>266</v>
      </c>
      <c r="D413" s="5" t="s">
        <v>300</v>
      </c>
      <c r="E413" s="5" t="s">
        <v>301</v>
      </c>
      <c r="F413" s="5">
        <v>8767</v>
      </c>
      <c r="G413" s="5">
        <v>8769</v>
      </c>
    </row>
    <row r="414" spans="1:7" x14ac:dyDescent="0.25">
      <c r="A414" s="5">
        <v>7</v>
      </c>
      <c r="B414" s="5">
        <v>13809</v>
      </c>
      <c r="C414" s="5" t="s">
        <v>273</v>
      </c>
      <c r="D414" s="5" t="s">
        <v>300</v>
      </c>
      <c r="E414" s="5" t="s">
        <v>301</v>
      </c>
      <c r="F414" s="5">
        <v>8759</v>
      </c>
      <c r="G414" s="5">
        <v>8766</v>
      </c>
    </row>
    <row r="415" spans="1:7" x14ac:dyDescent="0.25">
      <c r="A415" s="5">
        <v>8</v>
      </c>
      <c r="B415" s="5">
        <v>13809</v>
      </c>
      <c r="C415" s="5" t="s">
        <v>273</v>
      </c>
      <c r="D415" s="5" t="s">
        <v>300</v>
      </c>
      <c r="E415" s="5" t="s">
        <v>301</v>
      </c>
      <c r="F415" s="5">
        <v>8767</v>
      </c>
      <c r="G415" s="5">
        <v>8769</v>
      </c>
    </row>
    <row r="416" spans="1:7" x14ac:dyDescent="0.25">
      <c r="A416" s="9">
        <v>8</v>
      </c>
      <c r="B416" s="9">
        <v>13809</v>
      </c>
      <c r="C416" s="10" t="s">
        <v>266</v>
      </c>
      <c r="D416" s="9" t="s">
        <v>301</v>
      </c>
      <c r="E416" s="9" t="s">
        <v>302</v>
      </c>
      <c r="F416" s="2">
        <v>8770</v>
      </c>
      <c r="G416" s="2">
        <v>8791</v>
      </c>
    </row>
    <row r="417" spans="1:7" x14ac:dyDescent="0.25">
      <c r="A417" s="9">
        <v>8</v>
      </c>
      <c r="B417" s="9">
        <v>13809</v>
      </c>
      <c r="C417" s="10" t="s">
        <v>266</v>
      </c>
      <c r="D417" s="9" t="s">
        <v>302</v>
      </c>
      <c r="E417" s="9" t="s">
        <v>303</v>
      </c>
      <c r="F417" s="2">
        <v>8792</v>
      </c>
      <c r="G417" s="2">
        <v>8802</v>
      </c>
    </row>
    <row r="418" spans="1:7" x14ac:dyDescent="0.25">
      <c r="A418" s="9">
        <v>8</v>
      </c>
      <c r="B418" s="9">
        <v>13809</v>
      </c>
      <c r="C418" s="10" t="s">
        <v>266</v>
      </c>
      <c r="D418" s="9" t="s">
        <v>303</v>
      </c>
      <c r="E418" s="9" t="s">
        <v>304</v>
      </c>
      <c r="F418" s="2">
        <v>8803</v>
      </c>
      <c r="G418" s="2">
        <v>8813</v>
      </c>
    </row>
    <row r="419" spans="1:7" x14ac:dyDescent="0.25">
      <c r="A419" s="9">
        <v>8</v>
      </c>
      <c r="B419" s="9">
        <v>13809</v>
      </c>
      <c r="C419" s="10" t="s">
        <v>266</v>
      </c>
      <c r="D419" s="9" t="s">
        <v>304</v>
      </c>
      <c r="E419" s="9" t="s">
        <v>305</v>
      </c>
      <c r="F419" s="2">
        <v>8814</v>
      </c>
      <c r="G419" s="2">
        <v>8838</v>
      </c>
    </row>
    <row r="420" spans="1:7" x14ac:dyDescent="0.25">
      <c r="A420" s="9">
        <v>8</v>
      </c>
      <c r="B420" s="9">
        <v>13809</v>
      </c>
      <c r="C420" s="10" t="s">
        <v>266</v>
      </c>
      <c r="D420" s="9" t="s">
        <v>305</v>
      </c>
      <c r="E420" s="9" t="s">
        <v>306</v>
      </c>
      <c r="F420" s="2">
        <v>8839</v>
      </c>
      <c r="G420" s="2">
        <v>8861</v>
      </c>
    </row>
    <row r="421" spans="1:7" x14ac:dyDescent="0.25">
      <c r="A421" s="9">
        <v>8</v>
      </c>
      <c r="B421" s="9">
        <v>13809</v>
      </c>
      <c r="C421" s="10" t="s">
        <v>266</v>
      </c>
      <c r="D421" s="9" t="s">
        <v>306</v>
      </c>
      <c r="E421" s="9" t="s">
        <v>307</v>
      </c>
      <c r="F421" s="2">
        <v>8862</v>
      </c>
      <c r="G421" s="2">
        <v>8868</v>
      </c>
    </row>
    <row r="422" spans="1:7" x14ac:dyDescent="0.25">
      <c r="A422" s="9">
        <v>8</v>
      </c>
      <c r="B422" s="9">
        <v>13809</v>
      </c>
      <c r="C422" s="10" t="s">
        <v>273</v>
      </c>
      <c r="D422" s="9" t="s">
        <v>301</v>
      </c>
      <c r="E422" s="9" t="s">
        <v>302</v>
      </c>
      <c r="F422" s="2">
        <v>8770</v>
      </c>
      <c r="G422" s="2">
        <v>8791</v>
      </c>
    </row>
    <row r="423" spans="1:7" x14ac:dyDescent="0.25">
      <c r="A423" s="9">
        <v>8</v>
      </c>
      <c r="B423" s="9">
        <v>13809</v>
      </c>
      <c r="C423" s="10" t="s">
        <v>273</v>
      </c>
      <c r="D423" s="9" t="s">
        <v>302</v>
      </c>
      <c r="E423" s="9" t="s">
        <v>303</v>
      </c>
      <c r="F423" s="2">
        <v>8792</v>
      </c>
      <c r="G423" s="2">
        <v>8802</v>
      </c>
    </row>
    <row r="424" spans="1:7" x14ac:dyDescent="0.25">
      <c r="A424" s="9">
        <v>8</v>
      </c>
      <c r="B424" s="9">
        <v>13809</v>
      </c>
      <c r="C424" s="10" t="s">
        <v>273</v>
      </c>
      <c r="D424" s="9" t="s">
        <v>303</v>
      </c>
      <c r="E424" s="9" t="s">
        <v>304</v>
      </c>
      <c r="F424" s="2">
        <v>8803</v>
      </c>
      <c r="G424" s="2">
        <v>8813</v>
      </c>
    </row>
    <row r="425" spans="1:7" x14ac:dyDescent="0.25">
      <c r="A425" s="9">
        <v>8</v>
      </c>
      <c r="B425" s="9">
        <v>13809</v>
      </c>
      <c r="C425" s="10" t="s">
        <v>273</v>
      </c>
      <c r="D425" s="9" t="s">
        <v>304</v>
      </c>
      <c r="E425" s="9" t="s">
        <v>305</v>
      </c>
      <c r="F425" s="2">
        <v>8814</v>
      </c>
      <c r="G425" s="2">
        <v>8838</v>
      </c>
    </row>
    <row r="426" spans="1:7" x14ac:dyDescent="0.25">
      <c r="A426" s="9">
        <v>8</v>
      </c>
      <c r="B426" s="9">
        <v>13809</v>
      </c>
      <c r="C426" s="10" t="s">
        <v>273</v>
      </c>
      <c r="D426" s="9" t="s">
        <v>305</v>
      </c>
      <c r="E426" s="9" t="s">
        <v>306</v>
      </c>
      <c r="F426" s="2">
        <v>8839</v>
      </c>
      <c r="G426" s="2">
        <v>8861</v>
      </c>
    </row>
    <row r="427" spans="1:7" x14ac:dyDescent="0.25">
      <c r="A427" s="9">
        <v>8</v>
      </c>
      <c r="B427" s="9">
        <v>13809</v>
      </c>
      <c r="C427" s="10" t="s">
        <v>273</v>
      </c>
      <c r="D427" s="9" t="s">
        <v>306</v>
      </c>
      <c r="E427" s="9" t="s">
        <v>308</v>
      </c>
      <c r="F427" s="2">
        <v>8862</v>
      </c>
      <c r="G427" s="2">
        <v>8874</v>
      </c>
    </row>
    <row r="428" spans="1:7" x14ac:dyDescent="0.25">
      <c r="A428" s="9">
        <v>8</v>
      </c>
      <c r="B428" s="9">
        <v>13811</v>
      </c>
      <c r="C428" s="10" t="s">
        <v>239</v>
      </c>
      <c r="D428" s="9" t="s">
        <v>306</v>
      </c>
      <c r="E428" s="9" t="s">
        <v>317</v>
      </c>
      <c r="F428" s="2">
        <v>1</v>
      </c>
      <c r="G428" s="2">
        <v>19</v>
      </c>
    </row>
    <row r="429" spans="1:7" x14ac:dyDescent="0.25">
      <c r="A429" s="9">
        <v>8</v>
      </c>
      <c r="B429" s="9">
        <v>13811</v>
      </c>
      <c r="C429" s="10" t="s">
        <v>239</v>
      </c>
      <c r="D429" s="9" t="s">
        <v>317</v>
      </c>
      <c r="E429" s="9" t="s">
        <v>309</v>
      </c>
      <c r="F429" s="2">
        <v>20</v>
      </c>
      <c r="G429" s="2">
        <v>27</v>
      </c>
    </row>
    <row r="430" spans="1:7" x14ac:dyDescent="0.25">
      <c r="A430" s="9">
        <v>8</v>
      </c>
      <c r="B430" s="9">
        <v>13809</v>
      </c>
      <c r="C430" s="10" t="s">
        <v>266</v>
      </c>
      <c r="D430" s="9" t="s">
        <v>308</v>
      </c>
      <c r="E430" s="9" t="s">
        <v>310</v>
      </c>
      <c r="F430" s="2">
        <v>8874</v>
      </c>
      <c r="G430" s="2">
        <v>8884</v>
      </c>
    </row>
    <row r="431" spans="1:7" x14ac:dyDescent="0.25">
      <c r="A431" s="9">
        <v>8</v>
      </c>
      <c r="B431" s="9">
        <v>13809</v>
      </c>
      <c r="C431" s="10" t="s">
        <v>266</v>
      </c>
      <c r="D431" s="9" t="s">
        <v>310</v>
      </c>
      <c r="E431" s="9" t="s">
        <v>311</v>
      </c>
      <c r="F431" s="2">
        <v>8885</v>
      </c>
      <c r="G431" s="2">
        <v>8891</v>
      </c>
    </row>
    <row r="432" spans="1:7" x14ac:dyDescent="0.25">
      <c r="A432" s="9">
        <v>8</v>
      </c>
      <c r="B432" s="9">
        <v>13809</v>
      </c>
      <c r="C432" s="10" t="s">
        <v>266</v>
      </c>
      <c r="D432" s="9" t="s">
        <v>311</v>
      </c>
      <c r="E432" s="9" t="s">
        <v>312</v>
      </c>
      <c r="F432" s="2">
        <v>8892</v>
      </c>
      <c r="G432" s="2">
        <v>8913</v>
      </c>
    </row>
    <row r="433" spans="1:7" x14ac:dyDescent="0.25">
      <c r="A433" s="9">
        <v>8</v>
      </c>
      <c r="B433" s="9">
        <v>13809</v>
      </c>
      <c r="C433" s="10" t="s">
        <v>266</v>
      </c>
      <c r="D433" s="9" t="s">
        <v>312</v>
      </c>
      <c r="E433" s="9" t="s">
        <v>313</v>
      </c>
      <c r="F433" s="2">
        <v>8914</v>
      </c>
      <c r="G433" s="2">
        <v>8921</v>
      </c>
    </row>
    <row r="434" spans="1:7" x14ac:dyDescent="0.25">
      <c r="A434" s="9">
        <v>8</v>
      </c>
      <c r="B434" s="9">
        <v>13809</v>
      </c>
      <c r="C434" s="10" t="s">
        <v>266</v>
      </c>
      <c r="D434" s="9" t="s">
        <v>313</v>
      </c>
      <c r="E434" s="9" t="s">
        <v>314</v>
      </c>
      <c r="F434" s="2">
        <v>8922</v>
      </c>
      <c r="G434" s="2">
        <v>8929</v>
      </c>
    </row>
    <row r="435" spans="1:7" x14ac:dyDescent="0.25">
      <c r="A435" s="9">
        <v>8</v>
      </c>
      <c r="B435" s="9">
        <v>13809</v>
      </c>
      <c r="C435" s="10" t="s">
        <v>266</v>
      </c>
      <c r="D435" s="9" t="s">
        <v>314</v>
      </c>
      <c r="E435" s="9" t="s">
        <v>314</v>
      </c>
      <c r="F435" s="2">
        <v>8930</v>
      </c>
      <c r="G435" s="2">
        <v>8935</v>
      </c>
    </row>
    <row r="436" spans="1:7" x14ac:dyDescent="0.25">
      <c r="A436" s="9">
        <v>8</v>
      </c>
      <c r="B436" s="9">
        <v>13809</v>
      </c>
      <c r="C436" s="10" t="s">
        <v>273</v>
      </c>
      <c r="D436" s="9" t="s">
        <v>308</v>
      </c>
      <c r="E436" s="9" t="s">
        <v>310</v>
      </c>
      <c r="F436" s="2">
        <v>8875</v>
      </c>
      <c r="G436" s="2">
        <v>8884</v>
      </c>
    </row>
    <row r="437" spans="1:7" x14ac:dyDescent="0.25">
      <c r="A437" s="9">
        <v>8</v>
      </c>
      <c r="B437" s="9">
        <v>13809</v>
      </c>
      <c r="C437" s="10" t="s">
        <v>273</v>
      </c>
      <c r="D437" s="9" t="s">
        <v>310</v>
      </c>
      <c r="E437" s="9" t="s">
        <v>311</v>
      </c>
      <c r="F437" s="2">
        <v>8885</v>
      </c>
      <c r="G437" s="2">
        <v>8891</v>
      </c>
    </row>
    <row r="438" spans="1:7" x14ac:dyDescent="0.25">
      <c r="A438" s="9">
        <v>8</v>
      </c>
      <c r="B438" s="9">
        <v>13809</v>
      </c>
      <c r="C438" s="10" t="s">
        <v>273</v>
      </c>
      <c r="D438" s="9" t="s">
        <v>311</v>
      </c>
      <c r="E438" s="9" t="s">
        <v>312</v>
      </c>
      <c r="F438" s="2">
        <v>8892</v>
      </c>
      <c r="G438" s="2">
        <v>8913</v>
      </c>
    </row>
    <row r="439" spans="1:7" x14ac:dyDescent="0.25">
      <c r="A439" s="9">
        <v>8</v>
      </c>
      <c r="B439" s="9">
        <v>13809</v>
      </c>
      <c r="C439" s="10" t="s">
        <v>273</v>
      </c>
      <c r="D439" s="9" t="s">
        <v>312</v>
      </c>
      <c r="E439" s="9" t="s">
        <v>313</v>
      </c>
      <c r="F439" s="2">
        <v>8914</v>
      </c>
      <c r="G439" s="2">
        <v>8921</v>
      </c>
    </row>
    <row r="440" spans="1:7" x14ac:dyDescent="0.25">
      <c r="A440" s="9">
        <v>8</v>
      </c>
      <c r="B440" s="9">
        <v>13809</v>
      </c>
      <c r="C440" s="10" t="s">
        <v>273</v>
      </c>
      <c r="D440" s="9" t="s">
        <v>313</v>
      </c>
      <c r="E440" s="9" t="s">
        <v>314</v>
      </c>
      <c r="F440" s="2">
        <v>8922</v>
      </c>
      <c r="G440" s="2">
        <v>8929</v>
      </c>
    </row>
    <row r="441" spans="1:7" x14ac:dyDescent="0.25">
      <c r="A441" s="9">
        <v>8</v>
      </c>
      <c r="B441" s="9">
        <v>13809</v>
      </c>
      <c r="C441" s="10" t="s">
        <v>273</v>
      </c>
      <c r="D441" s="9" t="s">
        <v>314</v>
      </c>
      <c r="E441" s="9" t="s">
        <v>314</v>
      </c>
      <c r="F441" s="2">
        <v>8930</v>
      </c>
      <c r="G441" s="2">
        <v>8934</v>
      </c>
    </row>
    <row r="442" spans="1:7" x14ac:dyDescent="0.25">
      <c r="A442" s="9">
        <v>8</v>
      </c>
      <c r="B442" s="9">
        <v>13812</v>
      </c>
      <c r="C442" s="10" t="s">
        <v>239</v>
      </c>
      <c r="D442" s="9" t="s">
        <v>314</v>
      </c>
      <c r="E442" s="9" t="s">
        <v>318</v>
      </c>
      <c r="F442" s="2">
        <v>1</v>
      </c>
      <c r="G442" s="2">
        <v>4</v>
      </c>
    </row>
    <row r="443" spans="1:7" x14ac:dyDescent="0.25">
      <c r="A443" s="9">
        <v>8</v>
      </c>
      <c r="B443" s="9">
        <v>13812</v>
      </c>
      <c r="C443" s="10" t="s">
        <v>239</v>
      </c>
      <c r="D443" s="9" t="s">
        <v>318</v>
      </c>
      <c r="E443" s="9" t="s">
        <v>316</v>
      </c>
      <c r="F443" s="2">
        <v>5</v>
      </c>
      <c r="G443" s="2">
        <v>11</v>
      </c>
    </row>
    <row r="444" spans="1:7" x14ac:dyDescent="0.25">
      <c r="A444" s="9">
        <v>8</v>
      </c>
      <c r="B444" s="9">
        <v>13809</v>
      </c>
      <c r="C444" s="10" t="s">
        <v>273</v>
      </c>
      <c r="D444" s="9" t="s">
        <v>314</v>
      </c>
      <c r="E444" s="9" t="s">
        <v>315</v>
      </c>
      <c r="F444" s="2">
        <v>8935</v>
      </c>
      <c r="G444" s="2">
        <v>8937</v>
      </c>
    </row>
    <row r="445" spans="1:7" x14ac:dyDescent="0.25">
      <c r="A445" s="9">
        <v>8</v>
      </c>
      <c r="B445" s="9">
        <v>13809</v>
      </c>
      <c r="C445" s="10" t="s">
        <v>266</v>
      </c>
      <c r="D445" s="9" t="s">
        <v>315</v>
      </c>
      <c r="E445" s="9" t="s">
        <v>316</v>
      </c>
      <c r="F445" s="2">
        <v>8938</v>
      </c>
      <c r="G445" s="2">
        <v>8942</v>
      </c>
    </row>
    <row r="446" spans="1:7" x14ac:dyDescent="0.25">
      <c r="A446" s="9">
        <v>8</v>
      </c>
      <c r="B446" s="9">
        <v>13809</v>
      </c>
      <c r="C446" s="10" t="s">
        <v>273</v>
      </c>
      <c r="D446" s="9" t="s">
        <v>315</v>
      </c>
      <c r="E446" s="9" t="s">
        <v>316</v>
      </c>
      <c r="F446" s="2">
        <v>8938</v>
      </c>
      <c r="G446" s="2">
        <v>8942</v>
      </c>
    </row>
    <row r="447" spans="1:7" x14ac:dyDescent="0.25">
      <c r="A447" s="5">
        <v>8</v>
      </c>
      <c r="B447" s="5">
        <v>13809</v>
      </c>
      <c r="C447" s="5" t="s">
        <v>266</v>
      </c>
      <c r="D447" s="5" t="s">
        <v>316</v>
      </c>
      <c r="E447" s="5" t="s">
        <v>319</v>
      </c>
      <c r="F447" s="5">
        <v>8943</v>
      </c>
      <c r="G447" s="5">
        <v>8946</v>
      </c>
    </row>
    <row r="448" spans="1:7" x14ac:dyDescent="0.25">
      <c r="A448" s="5">
        <v>9</v>
      </c>
      <c r="B448" s="5">
        <v>13809</v>
      </c>
      <c r="C448" s="5" t="s">
        <v>266</v>
      </c>
      <c r="D448" s="5" t="s">
        <v>316</v>
      </c>
      <c r="E448" s="5" t="s">
        <v>319</v>
      </c>
      <c r="F448" s="5">
        <v>8947</v>
      </c>
      <c r="G448" s="5">
        <v>8953</v>
      </c>
    </row>
    <row r="449" spans="1:7" x14ac:dyDescent="0.25">
      <c r="A449" s="5">
        <v>8</v>
      </c>
      <c r="B449" s="5">
        <v>13809</v>
      </c>
      <c r="C449" s="5" t="s">
        <v>273</v>
      </c>
      <c r="D449" s="5" t="s">
        <v>316</v>
      </c>
      <c r="E449" s="5" t="s">
        <v>319</v>
      </c>
      <c r="F449" s="5">
        <v>8943</v>
      </c>
      <c r="G449" s="5">
        <v>8946</v>
      </c>
    </row>
    <row r="450" spans="1:7" x14ac:dyDescent="0.25">
      <c r="A450" s="5">
        <v>9</v>
      </c>
      <c r="B450" s="5">
        <v>13809</v>
      </c>
      <c r="C450" s="5" t="s">
        <v>273</v>
      </c>
      <c r="D450" s="5" t="s">
        <v>316</v>
      </c>
      <c r="E450" s="5" t="s">
        <v>319</v>
      </c>
      <c r="F450" s="5">
        <v>8947</v>
      </c>
      <c r="G450" s="5">
        <v>8953</v>
      </c>
    </row>
    <row r="451" spans="1:7" x14ac:dyDescent="0.25">
      <c r="A451" s="9">
        <v>9</v>
      </c>
      <c r="B451" s="9">
        <v>13809</v>
      </c>
      <c r="C451" s="10" t="s">
        <v>266</v>
      </c>
      <c r="D451" s="9" t="s">
        <v>319</v>
      </c>
      <c r="E451" s="9" t="s">
        <v>320</v>
      </c>
      <c r="F451" s="2">
        <v>8954</v>
      </c>
      <c r="G451" s="2">
        <v>8975</v>
      </c>
    </row>
    <row r="452" spans="1:7" x14ac:dyDescent="0.25">
      <c r="A452" s="9">
        <v>9</v>
      </c>
      <c r="B452" s="9">
        <v>13809</v>
      </c>
      <c r="C452" s="10" t="s">
        <v>266</v>
      </c>
      <c r="D452" s="9" t="s">
        <v>320</v>
      </c>
      <c r="E452" s="9" t="s">
        <v>321</v>
      </c>
      <c r="F452" s="2">
        <v>8976</v>
      </c>
      <c r="G452" s="2">
        <v>9001</v>
      </c>
    </row>
    <row r="453" spans="1:7" x14ac:dyDescent="0.25">
      <c r="A453" s="9">
        <v>9</v>
      </c>
      <c r="B453" s="9">
        <v>13809</v>
      </c>
      <c r="C453" s="10" t="s">
        <v>266</v>
      </c>
      <c r="D453" s="9" t="s">
        <v>321</v>
      </c>
      <c r="E453" s="9" t="s">
        <v>322</v>
      </c>
      <c r="F453" s="2">
        <v>9002</v>
      </c>
      <c r="G453" s="2">
        <v>9014</v>
      </c>
    </row>
    <row r="454" spans="1:7" x14ac:dyDescent="0.25">
      <c r="A454" s="9">
        <v>9</v>
      </c>
      <c r="B454" s="9">
        <v>13809</v>
      </c>
      <c r="C454" s="10" t="s">
        <v>266</v>
      </c>
      <c r="D454" s="9" t="s">
        <v>322</v>
      </c>
      <c r="E454" s="9" t="s">
        <v>323</v>
      </c>
      <c r="F454" s="2">
        <v>9015</v>
      </c>
      <c r="G454" s="2">
        <v>9046</v>
      </c>
    </row>
    <row r="455" spans="1:7" x14ac:dyDescent="0.25">
      <c r="A455" s="9">
        <v>9</v>
      </c>
      <c r="B455" s="9">
        <v>13809</v>
      </c>
      <c r="C455" s="10" t="s">
        <v>266</v>
      </c>
      <c r="D455" s="9" t="s">
        <v>323</v>
      </c>
      <c r="E455" s="9" t="s">
        <v>323</v>
      </c>
      <c r="F455" s="2">
        <v>9047</v>
      </c>
      <c r="G455" s="2">
        <v>9049</v>
      </c>
    </row>
    <row r="456" spans="1:7" x14ac:dyDescent="0.25">
      <c r="A456" s="9">
        <v>9</v>
      </c>
      <c r="B456" s="9">
        <v>13809</v>
      </c>
      <c r="C456" s="10" t="s">
        <v>266</v>
      </c>
      <c r="D456" s="9" t="s">
        <v>323</v>
      </c>
      <c r="E456" s="9" t="s">
        <v>324</v>
      </c>
      <c r="F456" s="2">
        <v>9050</v>
      </c>
      <c r="G456" s="2">
        <v>9056</v>
      </c>
    </row>
    <row r="457" spans="1:7" x14ac:dyDescent="0.25">
      <c r="A457" s="9">
        <v>9</v>
      </c>
      <c r="B457" s="9">
        <v>13809</v>
      </c>
      <c r="C457" s="10" t="s">
        <v>266</v>
      </c>
      <c r="D457" s="9" t="s">
        <v>324</v>
      </c>
      <c r="E457" s="9" t="s">
        <v>325</v>
      </c>
      <c r="F457" s="2">
        <v>9057</v>
      </c>
      <c r="G457" s="2">
        <v>9067</v>
      </c>
    </row>
    <row r="458" spans="1:7" x14ac:dyDescent="0.25">
      <c r="A458" s="9">
        <v>9</v>
      </c>
      <c r="B458" s="9">
        <v>13809</v>
      </c>
      <c r="C458" s="10" t="s">
        <v>266</v>
      </c>
      <c r="D458" s="9" t="s">
        <v>325</v>
      </c>
      <c r="E458" s="9" t="s">
        <v>326</v>
      </c>
      <c r="F458" s="2">
        <v>9068</v>
      </c>
      <c r="G458" s="2">
        <v>9090</v>
      </c>
    </row>
    <row r="459" spans="1:7" x14ac:dyDescent="0.25">
      <c r="A459" s="9">
        <v>9</v>
      </c>
      <c r="B459" s="9">
        <v>13809</v>
      </c>
      <c r="C459" s="10" t="s">
        <v>266</v>
      </c>
      <c r="D459" s="9" t="s">
        <v>326</v>
      </c>
      <c r="E459" s="9" t="s">
        <v>327</v>
      </c>
      <c r="F459" s="2">
        <v>9091</v>
      </c>
      <c r="G459" s="2">
        <v>9106</v>
      </c>
    </row>
    <row r="460" spans="1:7" x14ac:dyDescent="0.25">
      <c r="A460" s="9">
        <v>9</v>
      </c>
      <c r="B460" s="9">
        <v>13809</v>
      </c>
      <c r="C460" s="10" t="s">
        <v>273</v>
      </c>
      <c r="D460" s="9" t="s">
        <v>319</v>
      </c>
      <c r="E460" s="9" t="s">
        <v>320</v>
      </c>
      <c r="F460" s="2">
        <v>8954</v>
      </c>
      <c r="G460" s="2">
        <v>8975</v>
      </c>
    </row>
    <row r="461" spans="1:7" x14ac:dyDescent="0.25">
      <c r="A461" s="9">
        <v>9</v>
      </c>
      <c r="B461" s="9">
        <v>13809</v>
      </c>
      <c r="C461" s="10" t="s">
        <v>273</v>
      </c>
      <c r="D461" s="9" t="s">
        <v>320</v>
      </c>
      <c r="E461" s="9" t="s">
        <v>321</v>
      </c>
      <c r="F461" s="2">
        <v>8976</v>
      </c>
      <c r="G461" s="2">
        <v>9001</v>
      </c>
    </row>
    <row r="462" spans="1:7" x14ac:dyDescent="0.25">
      <c r="A462" s="9">
        <v>9</v>
      </c>
      <c r="B462" s="9">
        <v>13809</v>
      </c>
      <c r="C462" s="10" t="s">
        <v>273</v>
      </c>
      <c r="D462" s="9" t="s">
        <v>321</v>
      </c>
      <c r="E462" s="9" t="s">
        <v>322</v>
      </c>
      <c r="F462" s="2">
        <v>9002</v>
      </c>
      <c r="G462" s="2">
        <v>9014</v>
      </c>
    </row>
    <row r="463" spans="1:7" x14ac:dyDescent="0.25">
      <c r="A463" s="9">
        <v>9</v>
      </c>
      <c r="B463" s="9">
        <v>13809</v>
      </c>
      <c r="C463" s="10" t="s">
        <v>273</v>
      </c>
      <c r="D463" s="9" t="s">
        <v>322</v>
      </c>
      <c r="E463" s="9" t="s">
        <v>323</v>
      </c>
      <c r="F463" s="2">
        <v>9015</v>
      </c>
      <c r="G463" s="2">
        <v>9046</v>
      </c>
    </row>
    <row r="464" spans="1:7" x14ac:dyDescent="0.25">
      <c r="A464" s="9">
        <v>9</v>
      </c>
      <c r="B464" s="9">
        <v>13809</v>
      </c>
      <c r="C464" s="10" t="s">
        <v>273</v>
      </c>
      <c r="D464" s="9" t="s">
        <v>323</v>
      </c>
      <c r="E464" s="9" t="s">
        <v>323</v>
      </c>
      <c r="F464" s="2">
        <v>9047</v>
      </c>
      <c r="G464" s="2">
        <v>9049</v>
      </c>
    </row>
    <row r="465" spans="1:7" x14ac:dyDescent="0.25">
      <c r="A465" s="9">
        <v>9</v>
      </c>
      <c r="B465" s="9">
        <v>13809</v>
      </c>
      <c r="C465" s="10" t="s">
        <v>273</v>
      </c>
      <c r="D465" s="9" t="s">
        <v>323</v>
      </c>
      <c r="E465" s="9" t="s">
        <v>324</v>
      </c>
      <c r="F465" s="2">
        <v>9050</v>
      </c>
      <c r="G465" s="2">
        <v>9056</v>
      </c>
    </row>
    <row r="466" spans="1:7" x14ac:dyDescent="0.25">
      <c r="A466" s="9">
        <v>9</v>
      </c>
      <c r="B466" s="9">
        <v>13809</v>
      </c>
      <c r="C466" s="10" t="s">
        <v>273</v>
      </c>
      <c r="D466" s="9" t="s">
        <v>324</v>
      </c>
      <c r="E466" s="9" t="s">
        <v>325</v>
      </c>
      <c r="F466" s="2">
        <v>9057</v>
      </c>
      <c r="G466" s="2">
        <v>9067</v>
      </c>
    </row>
    <row r="467" spans="1:7" x14ac:dyDescent="0.25">
      <c r="A467" s="9">
        <v>9</v>
      </c>
      <c r="B467" s="9">
        <v>13809</v>
      </c>
      <c r="C467" s="10" t="s">
        <v>273</v>
      </c>
      <c r="D467" s="9" t="s">
        <v>325</v>
      </c>
      <c r="E467" s="9" t="s">
        <v>326</v>
      </c>
      <c r="F467" s="2">
        <v>9068</v>
      </c>
      <c r="G467" s="2">
        <v>9090</v>
      </c>
    </row>
    <row r="468" spans="1:7" x14ac:dyDescent="0.25">
      <c r="A468" s="9">
        <v>9</v>
      </c>
      <c r="B468" s="9">
        <v>13809</v>
      </c>
      <c r="C468" s="10" t="s">
        <v>273</v>
      </c>
      <c r="D468" s="9" t="s">
        <v>326</v>
      </c>
      <c r="E468" s="9" t="s">
        <v>327</v>
      </c>
      <c r="F468" s="2">
        <v>9091</v>
      </c>
      <c r="G468" s="2">
        <v>9106</v>
      </c>
    </row>
    <row r="469" spans="1:7" x14ac:dyDescent="0.25">
      <c r="A469" s="9">
        <v>10</v>
      </c>
      <c r="B469" s="9">
        <v>13809</v>
      </c>
      <c r="C469" s="10" t="s">
        <v>266</v>
      </c>
      <c r="D469" s="9" t="s">
        <v>327</v>
      </c>
      <c r="E469" s="9" t="s">
        <v>327</v>
      </c>
      <c r="F469" s="2">
        <v>9107</v>
      </c>
      <c r="G469" s="2">
        <v>9113</v>
      </c>
    </row>
    <row r="470" spans="1:7" x14ac:dyDescent="0.25">
      <c r="A470" s="9">
        <v>10</v>
      </c>
      <c r="B470" s="9">
        <v>13809</v>
      </c>
      <c r="C470" s="10" t="s">
        <v>273</v>
      </c>
      <c r="D470" s="9" t="s">
        <v>327</v>
      </c>
      <c r="E470" s="9" t="s">
        <v>327</v>
      </c>
      <c r="F470" s="2">
        <v>9107</v>
      </c>
      <c r="G470" s="2">
        <v>9113</v>
      </c>
    </row>
    <row r="471" spans="1:7" x14ac:dyDescent="0.25">
      <c r="A471" s="9">
        <v>10</v>
      </c>
      <c r="B471" s="9">
        <v>13809</v>
      </c>
      <c r="C471" s="10" t="s">
        <v>425</v>
      </c>
      <c r="D471" s="9" t="s">
        <v>327</v>
      </c>
      <c r="E471" s="9" t="s">
        <v>327</v>
      </c>
      <c r="F471" s="2">
        <v>9107</v>
      </c>
      <c r="G471" s="2">
        <v>9113</v>
      </c>
    </row>
    <row r="472" spans="1:7" x14ac:dyDescent="0.25">
      <c r="A472" s="9">
        <v>10</v>
      </c>
      <c r="B472" s="9">
        <v>25101</v>
      </c>
      <c r="C472" s="10" t="s">
        <v>217</v>
      </c>
      <c r="D472" s="9" t="s">
        <v>327</v>
      </c>
      <c r="E472" s="9" t="s">
        <v>328</v>
      </c>
      <c r="F472" s="2">
        <v>1</v>
      </c>
      <c r="G472" s="2">
        <v>21</v>
      </c>
    </row>
    <row r="473" spans="1:7" x14ac:dyDescent="0.25">
      <c r="A473" s="9">
        <v>10</v>
      </c>
      <c r="B473" s="9">
        <v>25101</v>
      </c>
      <c r="C473" s="10" t="s">
        <v>217</v>
      </c>
      <c r="D473" s="9" t="s">
        <v>328</v>
      </c>
      <c r="E473" s="9" t="s">
        <v>329</v>
      </c>
      <c r="F473" s="2">
        <v>22</v>
      </c>
      <c r="G473" s="2">
        <v>30</v>
      </c>
    </row>
    <row r="474" spans="1:7" x14ac:dyDescent="0.25">
      <c r="A474" s="9">
        <v>10</v>
      </c>
      <c r="B474" s="9">
        <v>25101</v>
      </c>
      <c r="C474" s="10" t="s">
        <v>217</v>
      </c>
      <c r="D474" s="9" t="s">
        <v>329</v>
      </c>
      <c r="E474" s="9" t="s">
        <v>330</v>
      </c>
      <c r="F474" s="2">
        <v>31</v>
      </c>
      <c r="G474" s="2">
        <v>42</v>
      </c>
    </row>
    <row r="475" spans="1:7" x14ac:dyDescent="0.25">
      <c r="A475" s="9">
        <v>10</v>
      </c>
      <c r="B475" s="9">
        <v>25101</v>
      </c>
      <c r="C475" s="10" t="s">
        <v>217</v>
      </c>
      <c r="D475" s="9" t="s">
        <v>330</v>
      </c>
      <c r="E475" s="9" t="s">
        <v>331</v>
      </c>
      <c r="F475" s="2">
        <v>43</v>
      </c>
      <c r="G475" s="2">
        <v>59</v>
      </c>
    </row>
    <row r="476" spans="1:7" x14ac:dyDescent="0.25">
      <c r="A476" s="9">
        <v>10</v>
      </c>
      <c r="B476" s="9">
        <v>25101</v>
      </c>
      <c r="C476" s="10" t="s">
        <v>217</v>
      </c>
      <c r="D476" s="9" t="s">
        <v>331</v>
      </c>
      <c r="E476" s="9" t="s">
        <v>332</v>
      </c>
      <c r="F476" s="2">
        <v>60</v>
      </c>
      <c r="G476" s="2">
        <v>69</v>
      </c>
    </row>
    <row r="477" spans="1:7" x14ac:dyDescent="0.25">
      <c r="A477" s="9">
        <v>10</v>
      </c>
      <c r="B477" s="9">
        <v>25101</v>
      </c>
      <c r="C477" s="10" t="s">
        <v>217</v>
      </c>
      <c r="D477" s="9" t="s">
        <v>332</v>
      </c>
      <c r="E477" s="9" t="s">
        <v>333</v>
      </c>
      <c r="F477" s="2">
        <v>70</v>
      </c>
      <c r="G477" s="2">
        <v>82</v>
      </c>
    </row>
    <row r="478" spans="1:7" x14ac:dyDescent="0.25">
      <c r="A478" s="9">
        <v>10</v>
      </c>
      <c r="B478" s="9">
        <v>25101</v>
      </c>
      <c r="C478" s="10" t="s">
        <v>217</v>
      </c>
      <c r="D478" s="9" t="s">
        <v>333</v>
      </c>
      <c r="E478" s="9" t="s">
        <v>334</v>
      </c>
      <c r="F478" s="2">
        <v>83</v>
      </c>
      <c r="G478" s="2">
        <v>93</v>
      </c>
    </row>
    <row r="479" spans="1:7" x14ac:dyDescent="0.25">
      <c r="A479" s="9">
        <v>10</v>
      </c>
      <c r="B479" s="9">
        <v>25101</v>
      </c>
      <c r="C479" s="10" t="s">
        <v>217</v>
      </c>
      <c r="D479" s="9" t="s">
        <v>334</v>
      </c>
      <c r="E479" s="9" t="s">
        <v>335</v>
      </c>
      <c r="F479" s="2">
        <v>94</v>
      </c>
      <c r="G479" s="2">
        <v>106</v>
      </c>
    </row>
    <row r="480" spans="1:7" x14ac:dyDescent="0.25">
      <c r="A480" s="9">
        <v>10</v>
      </c>
      <c r="B480" s="9">
        <v>25101</v>
      </c>
      <c r="C480" s="10" t="s">
        <v>217</v>
      </c>
      <c r="D480" s="9" t="s">
        <v>335</v>
      </c>
      <c r="E480" s="9" t="s">
        <v>336</v>
      </c>
      <c r="F480" s="2">
        <v>107</v>
      </c>
      <c r="G480" s="2">
        <v>128</v>
      </c>
    </row>
    <row r="481" spans="1:7" x14ac:dyDescent="0.25">
      <c r="A481" s="9">
        <v>10</v>
      </c>
      <c r="B481" s="9">
        <v>25101</v>
      </c>
      <c r="C481" s="10" t="s">
        <v>217</v>
      </c>
      <c r="D481" s="9" t="s">
        <v>336</v>
      </c>
      <c r="E481" s="9" t="s">
        <v>337</v>
      </c>
      <c r="F481" s="2">
        <v>129</v>
      </c>
      <c r="G481" s="2">
        <v>164</v>
      </c>
    </row>
    <row r="482" spans="1:7" x14ac:dyDescent="0.25">
      <c r="A482" s="9">
        <v>10</v>
      </c>
      <c r="B482" s="9">
        <v>25102</v>
      </c>
      <c r="C482" s="10" t="s">
        <v>217</v>
      </c>
      <c r="D482" s="9" t="s">
        <v>327</v>
      </c>
      <c r="E482" s="9" t="s">
        <v>338</v>
      </c>
      <c r="F482" s="2">
        <v>1</v>
      </c>
      <c r="G482" s="2">
        <v>19</v>
      </c>
    </row>
    <row r="483" spans="1:7" x14ac:dyDescent="0.25">
      <c r="A483" s="9">
        <v>10</v>
      </c>
      <c r="B483" s="9">
        <v>25137</v>
      </c>
      <c r="C483" s="10" t="s">
        <v>273</v>
      </c>
      <c r="D483" s="9" t="s">
        <v>338</v>
      </c>
      <c r="E483" s="9" t="s">
        <v>339</v>
      </c>
      <c r="F483" s="2">
        <v>1</v>
      </c>
      <c r="G483" s="2">
        <v>11</v>
      </c>
    </row>
    <row r="484" spans="1:7" x14ac:dyDescent="0.25">
      <c r="A484" s="9">
        <v>10</v>
      </c>
      <c r="B484" s="9">
        <v>25102</v>
      </c>
      <c r="C484" s="10" t="s">
        <v>217</v>
      </c>
      <c r="D484" s="9" t="s">
        <v>338</v>
      </c>
      <c r="E484" s="9" t="s">
        <v>340</v>
      </c>
      <c r="F484" s="2">
        <v>20</v>
      </c>
      <c r="G484" s="2">
        <v>42</v>
      </c>
    </row>
    <row r="485" spans="1:7" x14ac:dyDescent="0.25">
      <c r="A485" s="9">
        <v>10</v>
      </c>
      <c r="B485" s="9">
        <v>25102</v>
      </c>
      <c r="C485" s="10" t="s">
        <v>217</v>
      </c>
      <c r="D485" s="9" t="s">
        <v>340</v>
      </c>
      <c r="E485" s="9" t="s">
        <v>341</v>
      </c>
      <c r="F485" s="2">
        <v>43</v>
      </c>
      <c r="G485" s="2">
        <v>77</v>
      </c>
    </row>
    <row r="486" spans="1:7" x14ac:dyDescent="0.25">
      <c r="A486" s="9">
        <v>10</v>
      </c>
      <c r="B486" s="9">
        <v>25102</v>
      </c>
      <c r="C486" s="10" t="s">
        <v>217</v>
      </c>
      <c r="D486" s="9" t="s">
        <v>341</v>
      </c>
      <c r="E486" s="9" t="s">
        <v>342</v>
      </c>
      <c r="F486" s="2">
        <v>78</v>
      </c>
      <c r="G486" s="2">
        <v>87</v>
      </c>
    </row>
    <row r="487" spans="1:7" x14ac:dyDescent="0.25">
      <c r="A487" s="9">
        <v>10</v>
      </c>
      <c r="B487" s="9">
        <v>25102</v>
      </c>
      <c r="C487" s="10" t="s">
        <v>217</v>
      </c>
      <c r="D487" s="9" t="s">
        <v>342</v>
      </c>
      <c r="E487" s="9" t="s">
        <v>343</v>
      </c>
      <c r="F487" s="2">
        <v>88</v>
      </c>
      <c r="G487" s="2">
        <v>96</v>
      </c>
    </row>
    <row r="488" spans="1:7" x14ac:dyDescent="0.25">
      <c r="A488" s="9">
        <v>10</v>
      </c>
      <c r="B488" s="9">
        <v>25102</v>
      </c>
      <c r="C488" s="10" t="s">
        <v>217</v>
      </c>
      <c r="D488" s="9" t="s">
        <v>343</v>
      </c>
      <c r="E488" s="9" t="s">
        <v>344</v>
      </c>
      <c r="F488" s="2">
        <v>97</v>
      </c>
      <c r="G488" s="2">
        <v>128</v>
      </c>
    </row>
    <row r="489" spans="1:7" x14ac:dyDescent="0.25">
      <c r="A489" s="9">
        <v>11</v>
      </c>
      <c r="B489" s="9">
        <v>13809</v>
      </c>
      <c r="C489" s="10" t="s">
        <v>266</v>
      </c>
      <c r="D489" s="9" t="s">
        <v>327</v>
      </c>
      <c r="E489" s="9" t="s">
        <v>345</v>
      </c>
      <c r="F489" s="2">
        <v>9114</v>
      </c>
      <c r="G489" s="2">
        <v>9118</v>
      </c>
    </row>
    <row r="490" spans="1:7" x14ac:dyDescent="0.25">
      <c r="A490" s="9">
        <v>11</v>
      </c>
      <c r="B490" s="9">
        <v>13809</v>
      </c>
      <c r="C490" s="10" t="s">
        <v>266</v>
      </c>
      <c r="D490" s="9" t="s">
        <v>345</v>
      </c>
      <c r="E490" s="9" t="s">
        <v>346</v>
      </c>
      <c r="F490" s="2">
        <v>9119</v>
      </c>
      <c r="G490" s="2">
        <v>9124</v>
      </c>
    </row>
    <row r="491" spans="1:7" x14ac:dyDescent="0.25">
      <c r="A491" s="9">
        <v>11</v>
      </c>
      <c r="B491" s="9">
        <v>13809</v>
      </c>
      <c r="C491" s="10" t="s">
        <v>266</v>
      </c>
      <c r="D491" s="9" t="s">
        <v>346</v>
      </c>
      <c r="E491" s="9" t="s">
        <v>347</v>
      </c>
      <c r="F491" s="2">
        <v>9125</v>
      </c>
      <c r="G491" s="2">
        <v>9131</v>
      </c>
    </row>
    <row r="492" spans="1:7" x14ac:dyDescent="0.25">
      <c r="A492" s="9">
        <v>11</v>
      </c>
      <c r="B492" s="9">
        <v>13809</v>
      </c>
      <c r="C492" s="10" t="s">
        <v>266</v>
      </c>
      <c r="D492" s="9" t="s">
        <v>347</v>
      </c>
      <c r="E492" s="9" t="s">
        <v>348</v>
      </c>
      <c r="F492" s="2">
        <v>9132</v>
      </c>
      <c r="G492" s="2">
        <v>9140</v>
      </c>
    </row>
    <row r="493" spans="1:7" x14ac:dyDescent="0.25">
      <c r="A493" s="9">
        <v>11</v>
      </c>
      <c r="B493" s="9">
        <v>13809</v>
      </c>
      <c r="C493" s="10" t="s">
        <v>266</v>
      </c>
      <c r="D493" s="9" t="s">
        <v>348</v>
      </c>
      <c r="E493" s="9" t="s">
        <v>349</v>
      </c>
      <c r="F493" s="2">
        <v>9141</v>
      </c>
      <c r="G493" s="2">
        <v>9148</v>
      </c>
    </row>
    <row r="494" spans="1:7" x14ac:dyDescent="0.25">
      <c r="A494" s="9">
        <v>11</v>
      </c>
      <c r="B494" s="9">
        <v>13809</v>
      </c>
      <c r="C494" s="10" t="s">
        <v>266</v>
      </c>
      <c r="D494" s="9" t="s">
        <v>349</v>
      </c>
      <c r="E494" s="9" t="s">
        <v>350</v>
      </c>
      <c r="F494" s="2">
        <v>9149</v>
      </c>
      <c r="G494" s="2">
        <v>9158</v>
      </c>
    </row>
    <row r="495" spans="1:7" x14ac:dyDescent="0.25">
      <c r="A495" s="9">
        <v>11</v>
      </c>
      <c r="B495" s="9">
        <v>13809</v>
      </c>
      <c r="C495" s="10" t="s">
        <v>266</v>
      </c>
      <c r="D495" s="9" t="s">
        <v>350</v>
      </c>
      <c r="E495" s="9" t="s">
        <v>351</v>
      </c>
      <c r="F495" s="2">
        <v>9159</v>
      </c>
      <c r="G495" s="2">
        <v>9173</v>
      </c>
    </row>
    <row r="496" spans="1:7" x14ac:dyDescent="0.25">
      <c r="A496" s="9">
        <v>11</v>
      </c>
      <c r="B496" s="9">
        <v>13809</v>
      </c>
      <c r="C496" s="10" t="s">
        <v>266</v>
      </c>
      <c r="D496" s="9" t="s">
        <v>351</v>
      </c>
      <c r="E496" s="9" t="s">
        <v>351</v>
      </c>
      <c r="F496" s="2">
        <v>9174</v>
      </c>
      <c r="G496" s="2">
        <v>9177</v>
      </c>
    </row>
    <row r="497" spans="1:7" x14ac:dyDescent="0.25">
      <c r="A497" s="9">
        <v>11</v>
      </c>
      <c r="B497" s="9">
        <v>13809</v>
      </c>
      <c r="C497" s="10" t="s">
        <v>266</v>
      </c>
      <c r="D497" s="9" t="s">
        <v>351</v>
      </c>
      <c r="E497" s="9" t="s">
        <v>352</v>
      </c>
      <c r="F497" s="2">
        <v>9178</v>
      </c>
      <c r="G497" s="2">
        <v>9181</v>
      </c>
    </row>
    <row r="498" spans="1:7" x14ac:dyDescent="0.25">
      <c r="A498" s="9">
        <v>11</v>
      </c>
      <c r="B498" s="9">
        <v>13809</v>
      </c>
      <c r="C498" s="10" t="s">
        <v>266</v>
      </c>
      <c r="D498" s="9" t="s">
        <v>352</v>
      </c>
      <c r="E498" s="9" t="s">
        <v>353</v>
      </c>
      <c r="F498" s="2">
        <v>9182</v>
      </c>
      <c r="G498" s="2">
        <v>9190</v>
      </c>
    </row>
    <row r="499" spans="1:7" x14ac:dyDescent="0.25">
      <c r="A499" s="9">
        <v>11</v>
      </c>
      <c r="B499" s="9">
        <v>13809</v>
      </c>
      <c r="C499" s="10" t="s">
        <v>266</v>
      </c>
      <c r="D499" s="9" t="s">
        <v>353</v>
      </c>
      <c r="E499" s="9" t="s">
        <v>274</v>
      </c>
      <c r="F499" s="2">
        <v>9191</v>
      </c>
      <c r="G499" s="2">
        <v>9199</v>
      </c>
    </row>
    <row r="500" spans="1:7" x14ac:dyDescent="0.25">
      <c r="A500" s="9">
        <v>11</v>
      </c>
      <c r="B500" s="9">
        <v>13809</v>
      </c>
      <c r="C500" s="10" t="s">
        <v>273</v>
      </c>
      <c r="D500" s="9" t="s">
        <v>327</v>
      </c>
      <c r="E500" s="9" t="s">
        <v>345</v>
      </c>
      <c r="F500" s="2">
        <v>9114</v>
      </c>
      <c r="G500" s="2">
        <v>9118</v>
      </c>
    </row>
    <row r="501" spans="1:7" x14ac:dyDescent="0.25">
      <c r="A501" s="9">
        <v>11</v>
      </c>
      <c r="B501" s="9">
        <v>13809</v>
      </c>
      <c r="C501" s="10" t="s">
        <v>273</v>
      </c>
      <c r="D501" s="9" t="s">
        <v>345</v>
      </c>
      <c r="E501" s="9" t="s">
        <v>346</v>
      </c>
      <c r="F501" s="2">
        <v>9119</v>
      </c>
      <c r="G501" s="2">
        <v>9124</v>
      </c>
    </row>
    <row r="502" spans="1:7" x14ac:dyDescent="0.25">
      <c r="A502" s="9">
        <v>11</v>
      </c>
      <c r="B502" s="9">
        <v>13809</v>
      </c>
      <c r="C502" s="10" t="s">
        <v>273</v>
      </c>
      <c r="D502" s="9" t="s">
        <v>346</v>
      </c>
      <c r="E502" s="9" t="s">
        <v>347</v>
      </c>
      <c r="F502" s="2">
        <v>9125</v>
      </c>
      <c r="G502" s="2">
        <v>9131</v>
      </c>
    </row>
    <row r="503" spans="1:7" x14ac:dyDescent="0.25">
      <c r="A503" s="9">
        <v>11</v>
      </c>
      <c r="B503" s="9">
        <v>13809</v>
      </c>
      <c r="C503" s="10" t="s">
        <v>273</v>
      </c>
      <c r="D503" s="9" t="s">
        <v>347</v>
      </c>
      <c r="E503" s="9" t="s">
        <v>348</v>
      </c>
      <c r="F503" s="2">
        <v>9132</v>
      </c>
      <c r="G503" s="2">
        <v>9140</v>
      </c>
    </row>
    <row r="504" spans="1:7" x14ac:dyDescent="0.25">
      <c r="A504" s="9">
        <v>11</v>
      </c>
      <c r="B504" s="9">
        <v>13809</v>
      </c>
      <c r="C504" s="10" t="s">
        <v>273</v>
      </c>
      <c r="D504" s="9" t="s">
        <v>348</v>
      </c>
      <c r="E504" s="9" t="s">
        <v>349</v>
      </c>
      <c r="F504" s="2">
        <v>9141</v>
      </c>
      <c r="G504" s="2">
        <v>9148</v>
      </c>
    </row>
    <row r="505" spans="1:7" x14ac:dyDescent="0.25">
      <c r="A505" s="9">
        <v>11</v>
      </c>
      <c r="B505" s="9">
        <v>13809</v>
      </c>
      <c r="C505" s="10" t="s">
        <v>273</v>
      </c>
      <c r="D505" s="9" t="s">
        <v>349</v>
      </c>
      <c r="E505" s="9" t="s">
        <v>350</v>
      </c>
      <c r="F505" s="2">
        <v>9149</v>
      </c>
      <c r="G505" s="2">
        <v>9158</v>
      </c>
    </row>
    <row r="506" spans="1:7" x14ac:dyDescent="0.25">
      <c r="A506" s="9">
        <v>11</v>
      </c>
      <c r="B506" s="9">
        <v>13809</v>
      </c>
      <c r="C506" s="10" t="s">
        <v>273</v>
      </c>
      <c r="D506" s="9" t="s">
        <v>350</v>
      </c>
      <c r="E506" s="9" t="s">
        <v>351</v>
      </c>
      <c r="F506" s="2">
        <v>9159</v>
      </c>
      <c r="G506" s="2">
        <v>9173</v>
      </c>
    </row>
    <row r="507" spans="1:7" x14ac:dyDescent="0.25">
      <c r="A507" s="9">
        <v>11</v>
      </c>
      <c r="B507" s="9">
        <v>13809</v>
      </c>
      <c r="C507" s="10" t="s">
        <v>273</v>
      </c>
      <c r="D507" s="9" t="s">
        <v>351</v>
      </c>
      <c r="E507" s="9" t="s">
        <v>351</v>
      </c>
      <c r="F507" s="2">
        <v>9174</v>
      </c>
      <c r="G507" s="2">
        <v>9177</v>
      </c>
    </row>
    <row r="508" spans="1:7" x14ac:dyDescent="0.25">
      <c r="A508" s="9">
        <v>11</v>
      </c>
      <c r="B508" s="9">
        <v>13809</v>
      </c>
      <c r="C508" s="10" t="s">
        <v>273</v>
      </c>
      <c r="D508" s="9" t="s">
        <v>351</v>
      </c>
      <c r="E508" s="9" t="s">
        <v>352</v>
      </c>
      <c r="F508" s="2">
        <v>9178</v>
      </c>
      <c r="G508" s="2">
        <v>9181</v>
      </c>
    </row>
    <row r="509" spans="1:7" x14ac:dyDescent="0.25">
      <c r="A509" s="9">
        <v>11</v>
      </c>
      <c r="B509" s="9">
        <v>13809</v>
      </c>
      <c r="C509" s="10" t="s">
        <v>273</v>
      </c>
      <c r="D509" s="9" t="s">
        <v>352</v>
      </c>
      <c r="E509" s="9" t="s">
        <v>353</v>
      </c>
      <c r="F509" s="2">
        <v>9182</v>
      </c>
      <c r="G509" s="2">
        <v>9190</v>
      </c>
    </row>
    <row r="510" spans="1:7" x14ac:dyDescent="0.25">
      <c r="A510" s="9">
        <v>11</v>
      </c>
      <c r="B510" s="9">
        <v>13809</v>
      </c>
      <c r="C510" s="10" t="s">
        <v>273</v>
      </c>
      <c r="D510" s="9" t="s">
        <v>353</v>
      </c>
      <c r="E510" s="9" t="s">
        <v>274</v>
      </c>
      <c r="F510" s="2">
        <v>9191</v>
      </c>
      <c r="G510" s="2">
        <v>9199</v>
      </c>
    </row>
    <row r="511" spans="1:7" x14ac:dyDescent="0.25">
      <c r="A511" s="9">
        <v>11</v>
      </c>
      <c r="B511" s="9">
        <v>13879</v>
      </c>
      <c r="C511" s="10" t="s">
        <v>421</v>
      </c>
      <c r="D511" s="9" t="s">
        <v>350</v>
      </c>
      <c r="E511" s="9" t="s">
        <v>355</v>
      </c>
      <c r="F511" s="2">
        <v>1</v>
      </c>
      <c r="G511" s="2">
        <v>15</v>
      </c>
    </row>
    <row r="512" spans="1:7" x14ac:dyDescent="0.25">
      <c r="A512" s="9">
        <v>11</v>
      </c>
      <c r="B512" s="9">
        <v>25103</v>
      </c>
      <c r="C512" s="10" t="s">
        <v>217</v>
      </c>
      <c r="D512" s="9" t="s">
        <v>351</v>
      </c>
      <c r="E512" s="9" t="s">
        <v>354</v>
      </c>
      <c r="F512" s="2">
        <v>3</v>
      </c>
      <c r="G512" s="2">
        <v>7</v>
      </c>
    </row>
    <row r="513" spans="1:7" x14ac:dyDescent="0.25">
      <c r="A513" s="9">
        <v>11</v>
      </c>
      <c r="B513" s="9">
        <v>25103</v>
      </c>
      <c r="C513" s="10" t="s">
        <v>217</v>
      </c>
      <c r="D513" s="9" t="s">
        <v>354</v>
      </c>
      <c r="E513" s="9" t="s">
        <v>355</v>
      </c>
      <c r="F513" s="2">
        <v>8</v>
      </c>
      <c r="G513" s="2">
        <v>18</v>
      </c>
    </row>
    <row r="514" spans="1:7" x14ac:dyDescent="0.25">
      <c r="A514" s="9">
        <v>11</v>
      </c>
      <c r="B514" s="9">
        <v>25103</v>
      </c>
      <c r="C514" s="10" t="s">
        <v>217</v>
      </c>
      <c r="D514" s="9" t="s">
        <v>355</v>
      </c>
      <c r="E514" s="9" t="s">
        <v>356</v>
      </c>
      <c r="F514" s="2">
        <v>19</v>
      </c>
      <c r="G514" s="2">
        <v>35</v>
      </c>
    </row>
    <row r="515" spans="1:7" x14ac:dyDescent="0.25">
      <c r="A515" s="9">
        <v>11</v>
      </c>
      <c r="B515" s="9">
        <v>25103</v>
      </c>
      <c r="C515" s="10" t="s">
        <v>217</v>
      </c>
      <c r="D515" s="9" t="s">
        <v>356</v>
      </c>
      <c r="E515" s="9" t="s">
        <v>357</v>
      </c>
      <c r="F515" s="2">
        <v>36</v>
      </c>
      <c r="G515" s="2">
        <v>50</v>
      </c>
    </row>
    <row r="516" spans="1:7" x14ac:dyDescent="0.25">
      <c r="A516" s="9">
        <v>11</v>
      </c>
      <c r="B516" s="9">
        <v>25103</v>
      </c>
      <c r="C516" s="10" t="s">
        <v>217</v>
      </c>
      <c r="D516" s="9" t="s">
        <v>357</v>
      </c>
      <c r="E516" s="9" t="s">
        <v>358</v>
      </c>
      <c r="F516" s="2">
        <v>51</v>
      </c>
      <c r="G516" s="2">
        <v>67</v>
      </c>
    </row>
    <row r="517" spans="1:7" x14ac:dyDescent="0.25">
      <c r="A517" s="9">
        <v>11</v>
      </c>
      <c r="B517" s="9">
        <v>25103</v>
      </c>
      <c r="C517" s="10" t="s">
        <v>217</v>
      </c>
      <c r="D517" s="9" t="s">
        <v>358</v>
      </c>
      <c r="E517" s="9" t="s">
        <v>360</v>
      </c>
      <c r="F517" s="2">
        <v>68</v>
      </c>
      <c r="G517" s="2">
        <v>90</v>
      </c>
    </row>
    <row r="518" spans="1:7" x14ac:dyDescent="0.25">
      <c r="A518" s="9">
        <v>11</v>
      </c>
      <c r="B518" s="9">
        <v>25103</v>
      </c>
      <c r="C518" s="10" t="s">
        <v>217</v>
      </c>
      <c r="D518" s="9" t="s">
        <v>360</v>
      </c>
      <c r="E518" s="9" t="s">
        <v>359</v>
      </c>
      <c r="F518" s="2">
        <v>91</v>
      </c>
      <c r="G518" s="2">
        <v>97</v>
      </c>
    </row>
    <row r="519" spans="1:7" x14ac:dyDescent="0.25">
      <c r="A519" s="9">
        <v>11</v>
      </c>
      <c r="B519" s="9">
        <v>25103</v>
      </c>
      <c r="C519" s="10" t="s">
        <v>217</v>
      </c>
      <c r="D519" s="9" t="s">
        <v>359</v>
      </c>
      <c r="E519" s="9" t="s">
        <v>361</v>
      </c>
      <c r="F519" s="2">
        <v>98</v>
      </c>
      <c r="G519" s="2">
        <v>106</v>
      </c>
    </row>
    <row r="520" spans="1:7" x14ac:dyDescent="0.25">
      <c r="A520" s="9">
        <v>11</v>
      </c>
      <c r="B520" s="9">
        <v>25103</v>
      </c>
      <c r="C520" s="10" t="s">
        <v>217</v>
      </c>
      <c r="D520" s="9" t="s">
        <v>361</v>
      </c>
      <c r="E520" s="9" t="s">
        <v>362</v>
      </c>
      <c r="F520" s="2">
        <v>107</v>
      </c>
      <c r="G520" s="2">
        <v>116</v>
      </c>
    </row>
    <row r="521" spans="1:7" x14ac:dyDescent="0.25">
      <c r="A521" s="9">
        <v>11</v>
      </c>
      <c r="B521" s="9">
        <v>25103</v>
      </c>
      <c r="C521" s="10" t="s">
        <v>217</v>
      </c>
      <c r="D521" s="9" t="s">
        <v>362</v>
      </c>
      <c r="E521" s="9" t="s">
        <v>420</v>
      </c>
      <c r="F521" s="2">
        <v>117</v>
      </c>
      <c r="G521" s="2">
        <v>119</v>
      </c>
    </row>
    <row r="522" spans="1:7" x14ac:dyDescent="0.25">
      <c r="A522" s="5">
        <v>11</v>
      </c>
      <c r="B522" s="5">
        <v>25104</v>
      </c>
      <c r="C522" s="6" t="s">
        <v>217</v>
      </c>
      <c r="D522" s="5" t="s">
        <v>274</v>
      </c>
      <c r="E522" s="5" t="s">
        <v>275</v>
      </c>
      <c r="F522" s="5">
        <v>1</v>
      </c>
      <c r="G522" s="5">
        <v>3</v>
      </c>
    </row>
    <row r="523" spans="1:7" x14ac:dyDescent="0.25">
      <c r="A523" s="5">
        <v>12</v>
      </c>
      <c r="B523" s="5">
        <v>25104</v>
      </c>
      <c r="C523" s="6" t="s">
        <v>217</v>
      </c>
      <c r="D523" s="5" t="s">
        <v>274</v>
      </c>
      <c r="E523" s="5" t="s">
        <v>275</v>
      </c>
      <c r="F523" s="5">
        <v>4</v>
      </c>
      <c r="G523" s="5">
        <v>11</v>
      </c>
    </row>
    <row r="524" spans="1:7" x14ac:dyDescent="0.25">
      <c r="A524" s="9">
        <v>12</v>
      </c>
      <c r="B524" s="9">
        <v>25104</v>
      </c>
      <c r="C524" s="10" t="s">
        <v>217</v>
      </c>
      <c r="D524" s="9" t="s">
        <v>275</v>
      </c>
      <c r="E524" s="9" t="s">
        <v>276</v>
      </c>
      <c r="F524" s="2">
        <v>12</v>
      </c>
      <c r="G524" s="2">
        <v>36</v>
      </c>
    </row>
    <row r="525" spans="1:7" x14ac:dyDescent="0.25">
      <c r="A525" s="9">
        <v>12</v>
      </c>
      <c r="B525" s="9">
        <v>25104</v>
      </c>
      <c r="C525" s="10" t="s">
        <v>217</v>
      </c>
      <c r="D525" s="9" t="s">
        <v>276</v>
      </c>
      <c r="E525" s="9" t="s">
        <v>277</v>
      </c>
      <c r="F525" s="2">
        <v>37</v>
      </c>
      <c r="G525" s="2">
        <v>57</v>
      </c>
    </row>
    <row r="526" spans="1:7" x14ac:dyDescent="0.25">
      <c r="A526" s="9">
        <v>12</v>
      </c>
      <c r="B526" s="9">
        <v>25104</v>
      </c>
      <c r="C526" s="10" t="s">
        <v>217</v>
      </c>
      <c r="D526" s="9" t="s">
        <v>277</v>
      </c>
      <c r="E526" s="9" t="s">
        <v>278</v>
      </c>
      <c r="F526" s="2">
        <v>58</v>
      </c>
      <c r="G526" s="2">
        <v>76</v>
      </c>
    </row>
    <row r="527" spans="1:7" x14ac:dyDescent="0.25">
      <c r="A527" s="9">
        <v>12</v>
      </c>
      <c r="B527" s="9">
        <v>25104</v>
      </c>
      <c r="C527" s="10" t="s">
        <v>217</v>
      </c>
      <c r="D527" s="9" t="s">
        <v>278</v>
      </c>
      <c r="E527" s="9" t="s">
        <v>279</v>
      </c>
      <c r="F527" s="2">
        <v>77</v>
      </c>
      <c r="G527" s="2">
        <v>87</v>
      </c>
    </row>
    <row r="528" spans="1:7" x14ac:dyDescent="0.25">
      <c r="A528" s="9">
        <v>12</v>
      </c>
      <c r="B528" s="9">
        <v>25104</v>
      </c>
      <c r="C528" s="10" t="s">
        <v>217</v>
      </c>
      <c r="D528" s="9" t="s">
        <v>279</v>
      </c>
      <c r="E528" s="9" t="s">
        <v>280</v>
      </c>
      <c r="F528" s="2">
        <v>88</v>
      </c>
      <c r="G528" s="2">
        <v>96</v>
      </c>
    </row>
    <row r="529" spans="1:7" x14ac:dyDescent="0.25">
      <c r="A529" s="9">
        <v>12</v>
      </c>
      <c r="B529" s="9">
        <v>25104</v>
      </c>
      <c r="C529" s="10" t="s">
        <v>217</v>
      </c>
      <c r="D529" s="9" t="s">
        <v>280</v>
      </c>
      <c r="E529" s="9" t="s">
        <v>281</v>
      </c>
      <c r="F529" s="2">
        <v>97</v>
      </c>
      <c r="G529" s="2">
        <v>108</v>
      </c>
    </row>
    <row r="530" spans="1:7" x14ac:dyDescent="0.25">
      <c r="A530" s="9">
        <v>12</v>
      </c>
      <c r="B530" s="9">
        <v>25104</v>
      </c>
      <c r="C530" s="10" t="s">
        <v>217</v>
      </c>
      <c r="D530" s="9" t="s">
        <v>281</v>
      </c>
      <c r="E530" s="9" t="s">
        <v>282</v>
      </c>
      <c r="F530" s="2">
        <v>109</v>
      </c>
      <c r="G530" s="2">
        <v>124</v>
      </c>
    </row>
    <row r="531" spans="1:7" x14ac:dyDescent="0.25">
      <c r="A531" s="9">
        <v>12</v>
      </c>
      <c r="B531" s="9">
        <v>25130</v>
      </c>
      <c r="C531" s="10" t="s">
        <v>217</v>
      </c>
      <c r="D531" s="9" t="s">
        <v>282</v>
      </c>
      <c r="E531" s="9" t="s">
        <v>283</v>
      </c>
      <c r="F531" s="2">
        <v>1</v>
      </c>
      <c r="G531" s="2">
        <v>14</v>
      </c>
    </row>
    <row r="532" spans="1:7" x14ac:dyDescent="0.25">
      <c r="A532" s="9">
        <v>12</v>
      </c>
      <c r="B532" s="9">
        <v>25104</v>
      </c>
      <c r="C532" s="10" t="s">
        <v>217</v>
      </c>
      <c r="D532" s="9" t="s">
        <v>282</v>
      </c>
      <c r="E532" s="9" t="s">
        <v>284</v>
      </c>
      <c r="F532" s="2">
        <v>125</v>
      </c>
      <c r="G532" s="2">
        <v>146</v>
      </c>
    </row>
    <row r="533" spans="1:7" x14ac:dyDescent="0.25">
      <c r="A533" s="9">
        <v>12</v>
      </c>
      <c r="B533" s="9">
        <v>25104</v>
      </c>
      <c r="C533" s="10" t="s">
        <v>217</v>
      </c>
      <c r="D533" s="9" t="s">
        <v>284</v>
      </c>
      <c r="E533" s="9" t="s">
        <v>285</v>
      </c>
      <c r="F533" s="2">
        <v>147</v>
      </c>
      <c r="G533" s="2">
        <v>164</v>
      </c>
    </row>
    <row r="534" spans="1:7" x14ac:dyDescent="0.25">
      <c r="A534" s="9">
        <v>12</v>
      </c>
      <c r="B534" s="9">
        <v>25104</v>
      </c>
      <c r="C534" s="10" t="s">
        <v>217</v>
      </c>
      <c r="D534" s="9" t="s">
        <v>285</v>
      </c>
      <c r="E534" s="9" t="s">
        <v>286</v>
      </c>
      <c r="F534" s="2">
        <v>165</v>
      </c>
      <c r="G534" s="2">
        <v>183</v>
      </c>
    </row>
    <row r="535" spans="1:7" x14ac:dyDescent="0.25">
      <c r="A535" s="9">
        <v>12</v>
      </c>
      <c r="B535" s="9">
        <v>25131</v>
      </c>
      <c r="C535" s="10" t="s">
        <v>217</v>
      </c>
      <c r="D535" s="9" t="s">
        <v>286</v>
      </c>
      <c r="E535" s="9" t="s">
        <v>287</v>
      </c>
      <c r="F535" s="2">
        <v>1</v>
      </c>
      <c r="G535" s="2">
        <v>12</v>
      </c>
    </row>
    <row r="536" spans="1:7" x14ac:dyDescent="0.25">
      <c r="A536" s="9">
        <v>12</v>
      </c>
      <c r="B536" s="9">
        <v>25104</v>
      </c>
      <c r="C536" s="10" t="s">
        <v>217</v>
      </c>
      <c r="D536" s="9" t="s">
        <v>286</v>
      </c>
      <c r="E536" s="9" t="s">
        <v>288</v>
      </c>
      <c r="F536" s="2">
        <v>184</v>
      </c>
      <c r="G536" s="2">
        <v>195</v>
      </c>
    </row>
    <row r="537" spans="1:7" x14ac:dyDescent="0.25">
      <c r="A537" s="9">
        <v>12</v>
      </c>
      <c r="B537" s="9">
        <v>25104</v>
      </c>
      <c r="C537" s="10" t="s">
        <v>217</v>
      </c>
      <c r="D537" s="9" t="s">
        <v>288</v>
      </c>
      <c r="E537" s="9" t="s">
        <v>289</v>
      </c>
      <c r="F537" s="2">
        <v>196</v>
      </c>
      <c r="G537" s="2">
        <v>206</v>
      </c>
    </row>
    <row r="538" spans="1:7" x14ac:dyDescent="0.25">
      <c r="A538" s="9">
        <v>12</v>
      </c>
      <c r="B538" s="9">
        <v>25104</v>
      </c>
      <c r="C538" s="10" t="s">
        <v>217</v>
      </c>
      <c r="D538" s="9" t="s">
        <v>289</v>
      </c>
      <c r="E538" s="9" t="s">
        <v>290</v>
      </c>
      <c r="F538" s="2">
        <v>207</v>
      </c>
      <c r="G538" s="2">
        <v>239</v>
      </c>
    </row>
    <row r="539" spans="1:7" x14ac:dyDescent="0.25">
      <c r="A539" s="9">
        <v>12</v>
      </c>
      <c r="B539" s="9">
        <v>25150</v>
      </c>
      <c r="C539" s="10" t="s">
        <v>217</v>
      </c>
      <c r="D539" s="9" t="s">
        <v>289</v>
      </c>
      <c r="E539" s="9" t="s">
        <v>944</v>
      </c>
      <c r="F539" s="2">
        <v>1</v>
      </c>
      <c r="G539" s="2">
        <v>21</v>
      </c>
    </row>
    <row r="540" spans="1:7" x14ac:dyDescent="0.25">
      <c r="A540" s="5">
        <v>11</v>
      </c>
      <c r="B540" s="5">
        <v>13809</v>
      </c>
      <c r="C540" s="6" t="s">
        <v>266</v>
      </c>
      <c r="D540" s="5" t="s">
        <v>274</v>
      </c>
      <c r="E540" s="5" t="s">
        <v>426</v>
      </c>
      <c r="F540" s="5">
        <v>9200</v>
      </c>
      <c r="G540" s="5">
        <v>9204</v>
      </c>
    </row>
    <row r="541" spans="1:7" x14ac:dyDescent="0.25">
      <c r="A541" s="5">
        <v>11</v>
      </c>
      <c r="B541" s="5">
        <v>13809</v>
      </c>
      <c r="C541" s="6" t="s">
        <v>273</v>
      </c>
      <c r="D541" s="5" t="s">
        <v>274</v>
      </c>
      <c r="E541" s="5" t="s">
        <v>426</v>
      </c>
      <c r="F541" s="5">
        <v>9200</v>
      </c>
      <c r="G541" s="5">
        <v>9204</v>
      </c>
    </row>
    <row r="542" spans="1:7" x14ac:dyDescent="0.25">
      <c r="A542" s="5">
        <v>13</v>
      </c>
      <c r="B542" s="5">
        <v>13809</v>
      </c>
      <c r="C542" s="6" t="s">
        <v>266</v>
      </c>
      <c r="D542" s="5" t="s">
        <v>274</v>
      </c>
      <c r="E542" s="5" t="s">
        <v>426</v>
      </c>
      <c r="F542" s="5">
        <v>9205</v>
      </c>
      <c r="G542" s="5">
        <v>9214</v>
      </c>
    </row>
    <row r="543" spans="1:7" x14ac:dyDescent="0.25">
      <c r="A543" s="5">
        <v>13</v>
      </c>
      <c r="B543" s="5">
        <v>13809</v>
      </c>
      <c r="C543" s="6" t="s">
        <v>273</v>
      </c>
      <c r="D543" s="5" t="s">
        <v>274</v>
      </c>
      <c r="E543" s="5" t="s">
        <v>426</v>
      </c>
      <c r="F543" s="5">
        <v>9205</v>
      </c>
      <c r="G543" s="5">
        <v>9214</v>
      </c>
    </row>
    <row r="544" spans="1:7" x14ac:dyDescent="0.25">
      <c r="A544" s="2">
        <v>13</v>
      </c>
      <c r="B544" s="2">
        <v>13809</v>
      </c>
      <c r="C544" s="7" t="s">
        <v>266</v>
      </c>
      <c r="D544" s="2" t="s">
        <v>426</v>
      </c>
      <c r="E544" s="2" t="s">
        <v>428</v>
      </c>
      <c r="F544" s="2">
        <v>9215</v>
      </c>
      <c r="G544" s="2">
        <v>9225</v>
      </c>
    </row>
    <row r="545" spans="1:7" x14ac:dyDescent="0.25">
      <c r="A545" s="9">
        <v>13</v>
      </c>
      <c r="B545" s="2">
        <v>13809</v>
      </c>
      <c r="C545" s="7" t="s">
        <v>266</v>
      </c>
      <c r="D545" s="2" t="s">
        <v>428</v>
      </c>
      <c r="E545" s="9" t="s">
        <v>429</v>
      </c>
      <c r="F545" s="2">
        <v>9226</v>
      </c>
      <c r="G545" s="2">
        <v>9243</v>
      </c>
    </row>
    <row r="546" spans="1:7" x14ac:dyDescent="0.25">
      <c r="A546" s="9">
        <v>13</v>
      </c>
      <c r="B546" s="2">
        <v>13809</v>
      </c>
      <c r="C546" s="7" t="s">
        <v>266</v>
      </c>
      <c r="D546" s="9" t="s">
        <v>429</v>
      </c>
      <c r="E546" s="9" t="s">
        <v>430</v>
      </c>
      <c r="F546" s="2">
        <v>9244</v>
      </c>
      <c r="G546" s="2">
        <v>9251</v>
      </c>
    </row>
    <row r="547" spans="1:7" x14ac:dyDescent="0.25">
      <c r="A547" s="9">
        <v>13</v>
      </c>
      <c r="B547" s="2">
        <v>13809</v>
      </c>
      <c r="C547" s="7" t="s">
        <v>266</v>
      </c>
      <c r="D547" s="9" t="s">
        <v>430</v>
      </c>
      <c r="E547" s="9" t="s">
        <v>130</v>
      </c>
      <c r="F547" s="2">
        <v>9252</v>
      </c>
      <c r="G547" s="2">
        <v>9254</v>
      </c>
    </row>
    <row r="548" spans="1:7" x14ac:dyDescent="0.25">
      <c r="A548" s="9">
        <v>13</v>
      </c>
      <c r="B548" s="2">
        <v>13809</v>
      </c>
      <c r="C548" s="7" t="s">
        <v>266</v>
      </c>
      <c r="D548" s="9" t="s">
        <v>130</v>
      </c>
      <c r="E548" s="9" t="s">
        <v>431</v>
      </c>
      <c r="F548" s="2">
        <v>9255</v>
      </c>
      <c r="G548" s="2">
        <v>9266</v>
      </c>
    </row>
    <row r="549" spans="1:7" x14ac:dyDescent="0.25">
      <c r="A549" s="9">
        <v>13</v>
      </c>
      <c r="B549" s="2">
        <v>13809</v>
      </c>
      <c r="C549" s="7" t="s">
        <v>266</v>
      </c>
      <c r="D549" s="9" t="s">
        <v>431</v>
      </c>
      <c r="E549" s="9" t="s">
        <v>432</v>
      </c>
      <c r="F549" s="2">
        <v>9267</v>
      </c>
      <c r="G549" s="2">
        <v>9279</v>
      </c>
    </row>
    <row r="550" spans="1:7" x14ac:dyDescent="0.25">
      <c r="A550" s="9">
        <v>13</v>
      </c>
      <c r="B550" s="2">
        <v>13809</v>
      </c>
      <c r="C550" s="7" t="s">
        <v>266</v>
      </c>
      <c r="D550" s="9" t="s">
        <v>432</v>
      </c>
      <c r="E550" s="9" t="s">
        <v>433</v>
      </c>
      <c r="F550" s="2">
        <v>9280</v>
      </c>
      <c r="G550" s="2">
        <v>9284</v>
      </c>
    </row>
    <row r="551" spans="1:7" x14ac:dyDescent="0.25">
      <c r="A551" s="9">
        <v>13</v>
      </c>
      <c r="B551" s="2">
        <v>13809</v>
      </c>
      <c r="C551" s="7" t="s">
        <v>266</v>
      </c>
      <c r="D551" s="9" t="s">
        <v>433</v>
      </c>
      <c r="E551" s="9" t="s">
        <v>434</v>
      </c>
      <c r="F551" s="2">
        <v>9285</v>
      </c>
      <c r="G551" s="2">
        <v>9289</v>
      </c>
    </row>
    <row r="552" spans="1:7" x14ac:dyDescent="0.25">
      <c r="A552" s="2">
        <v>13</v>
      </c>
      <c r="B552" s="2">
        <v>13809</v>
      </c>
      <c r="C552" s="7" t="s">
        <v>273</v>
      </c>
      <c r="D552" s="2" t="s">
        <v>426</v>
      </c>
      <c r="E552" s="2" t="s">
        <v>428</v>
      </c>
      <c r="F552" s="2">
        <v>9215</v>
      </c>
      <c r="G552" s="2">
        <v>9225</v>
      </c>
    </row>
    <row r="553" spans="1:7" x14ac:dyDescent="0.25">
      <c r="A553" s="9">
        <v>13</v>
      </c>
      <c r="B553" s="2">
        <v>13809</v>
      </c>
      <c r="C553" s="7" t="s">
        <v>273</v>
      </c>
      <c r="D553" s="2" t="s">
        <v>428</v>
      </c>
      <c r="E553" s="9" t="s">
        <v>429</v>
      </c>
      <c r="F553" s="2">
        <v>9226</v>
      </c>
      <c r="G553" s="2">
        <v>9243</v>
      </c>
    </row>
    <row r="554" spans="1:7" x14ac:dyDescent="0.25">
      <c r="A554" s="9">
        <v>13</v>
      </c>
      <c r="B554" s="2">
        <v>13809</v>
      </c>
      <c r="C554" s="7" t="s">
        <v>273</v>
      </c>
      <c r="D554" s="9" t="s">
        <v>429</v>
      </c>
      <c r="E554" s="9" t="s">
        <v>430</v>
      </c>
      <c r="F554" s="2">
        <v>9244</v>
      </c>
      <c r="G554" s="2">
        <v>9251</v>
      </c>
    </row>
    <row r="555" spans="1:7" x14ac:dyDescent="0.25">
      <c r="A555" s="9">
        <v>13</v>
      </c>
      <c r="B555" s="2">
        <v>13809</v>
      </c>
      <c r="C555" s="7" t="s">
        <v>273</v>
      </c>
      <c r="D555" s="9" t="s">
        <v>430</v>
      </c>
      <c r="E555" s="9" t="s">
        <v>130</v>
      </c>
      <c r="F555" s="2">
        <v>9252</v>
      </c>
      <c r="G555" s="2">
        <v>9254</v>
      </c>
    </row>
    <row r="556" spans="1:7" x14ac:dyDescent="0.25">
      <c r="A556" s="9">
        <v>13</v>
      </c>
      <c r="B556" s="2">
        <v>13809</v>
      </c>
      <c r="C556" s="7" t="s">
        <v>273</v>
      </c>
      <c r="D556" s="9" t="s">
        <v>130</v>
      </c>
      <c r="E556" s="9" t="s">
        <v>431</v>
      </c>
      <c r="F556" s="2">
        <v>9255</v>
      </c>
      <c r="G556" s="2">
        <v>9266</v>
      </c>
    </row>
    <row r="557" spans="1:7" x14ac:dyDescent="0.25">
      <c r="A557" s="9">
        <v>13</v>
      </c>
      <c r="B557" s="2">
        <v>13809</v>
      </c>
      <c r="C557" s="7" t="s">
        <v>273</v>
      </c>
      <c r="D557" s="9" t="s">
        <v>431</v>
      </c>
      <c r="E557" s="9" t="s">
        <v>432</v>
      </c>
      <c r="F557" s="2">
        <v>9267</v>
      </c>
      <c r="G557" s="2">
        <v>9279</v>
      </c>
    </row>
    <row r="558" spans="1:7" x14ac:dyDescent="0.25">
      <c r="A558" s="9">
        <v>13</v>
      </c>
      <c r="B558" s="2">
        <v>13809</v>
      </c>
      <c r="C558" s="7" t="s">
        <v>273</v>
      </c>
      <c r="D558" s="9" t="s">
        <v>432</v>
      </c>
      <c r="E558" s="9" t="s">
        <v>433</v>
      </c>
      <c r="F558" s="2">
        <v>9280</v>
      </c>
      <c r="G558" s="2">
        <v>9284</v>
      </c>
    </row>
    <row r="559" spans="1:7" x14ac:dyDescent="0.25">
      <c r="A559" s="9">
        <v>13</v>
      </c>
      <c r="B559" s="2">
        <v>13809</v>
      </c>
      <c r="C559" s="7" t="s">
        <v>273</v>
      </c>
      <c r="D559" s="9" t="s">
        <v>433</v>
      </c>
      <c r="E559" s="9" t="s">
        <v>434</v>
      </c>
      <c r="F559" s="2">
        <v>9285</v>
      </c>
      <c r="G559" s="2">
        <v>9289</v>
      </c>
    </row>
    <row r="560" spans="1:7" x14ac:dyDescent="0.25">
      <c r="A560" s="9">
        <v>13</v>
      </c>
      <c r="B560" s="2">
        <v>13883</v>
      </c>
      <c r="C560" s="7" t="s">
        <v>266</v>
      </c>
      <c r="D560" s="9" t="s">
        <v>434</v>
      </c>
      <c r="E560" s="9" t="s">
        <v>435</v>
      </c>
      <c r="F560" s="2">
        <v>1</v>
      </c>
      <c r="G560" s="2">
        <v>6</v>
      </c>
    </row>
    <row r="561" spans="1:7" x14ac:dyDescent="0.25">
      <c r="A561" s="9">
        <v>13</v>
      </c>
      <c r="B561" s="2">
        <v>13882</v>
      </c>
      <c r="C561" s="7" t="s">
        <v>436</v>
      </c>
      <c r="D561" s="9" t="s">
        <v>432</v>
      </c>
      <c r="E561" s="9" t="s">
        <v>437</v>
      </c>
      <c r="F561" s="2">
        <v>1</v>
      </c>
      <c r="G561" s="2">
        <v>6</v>
      </c>
    </row>
    <row r="562" spans="1:7" x14ac:dyDescent="0.25">
      <c r="A562" s="9">
        <v>13</v>
      </c>
      <c r="B562" s="2">
        <v>13882</v>
      </c>
      <c r="C562" s="7" t="s">
        <v>436</v>
      </c>
      <c r="D562" s="9" t="s">
        <v>437</v>
      </c>
      <c r="E562" s="9" t="s">
        <v>435</v>
      </c>
      <c r="F562" s="2">
        <v>7</v>
      </c>
      <c r="G562" s="2">
        <v>9</v>
      </c>
    </row>
    <row r="563" spans="1:7" x14ac:dyDescent="0.25">
      <c r="A563" s="9">
        <v>13</v>
      </c>
      <c r="B563" s="2">
        <v>13882</v>
      </c>
      <c r="C563" s="7" t="s">
        <v>436</v>
      </c>
      <c r="D563" s="9" t="s">
        <v>435</v>
      </c>
      <c r="E563" s="9" t="s">
        <v>438</v>
      </c>
      <c r="F563" s="2">
        <v>10</v>
      </c>
      <c r="G563" s="2">
        <v>13</v>
      </c>
    </row>
    <row r="564" spans="1:7" x14ac:dyDescent="0.25">
      <c r="A564" s="9">
        <v>13</v>
      </c>
      <c r="B564" s="2">
        <v>25138</v>
      </c>
      <c r="C564" s="7" t="s">
        <v>439</v>
      </c>
      <c r="D564" s="9" t="s">
        <v>433</v>
      </c>
      <c r="E564" s="9" t="s">
        <v>435</v>
      </c>
      <c r="F564" s="2">
        <v>1</v>
      </c>
      <c r="G564" s="2">
        <v>3</v>
      </c>
    </row>
    <row r="565" spans="1:7" x14ac:dyDescent="0.25">
      <c r="A565" s="9">
        <v>13</v>
      </c>
      <c r="B565" s="2">
        <v>25138</v>
      </c>
      <c r="C565" s="7" t="s">
        <v>440</v>
      </c>
      <c r="D565" s="9" t="s">
        <v>433</v>
      </c>
      <c r="E565" s="9" t="s">
        <v>437</v>
      </c>
      <c r="F565" s="2">
        <v>1</v>
      </c>
      <c r="G565" s="2">
        <v>4</v>
      </c>
    </row>
    <row r="566" spans="1:7" x14ac:dyDescent="0.25">
      <c r="A566" s="9">
        <v>13</v>
      </c>
      <c r="B566" s="2">
        <v>25105</v>
      </c>
      <c r="C566" s="7" t="s">
        <v>418</v>
      </c>
      <c r="D566" s="9" t="s">
        <v>130</v>
      </c>
      <c r="E566" s="9" t="s">
        <v>441</v>
      </c>
      <c r="F566" s="2">
        <v>1</v>
      </c>
      <c r="G566" s="2">
        <v>9</v>
      </c>
    </row>
    <row r="567" spans="1:7" x14ac:dyDescent="0.25">
      <c r="A567" s="9">
        <v>13</v>
      </c>
      <c r="B567" s="2">
        <v>25133</v>
      </c>
      <c r="C567" s="7" t="s">
        <v>446</v>
      </c>
      <c r="D567" s="9" t="s">
        <v>253</v>
      </c>
      <c r="E567" s="9" t="s">
        <v>447</v>
      </c>
      <c r="F567" s="2">
        <v>1</v>
      </c>
      <c r="G567" s="2">
        <v>18</v>
      </c>
    </row>
    <row r="568" spans="1:7" x14ac:dyDescent="0.25">
      <c r="A568" s="9">
        <v>13</v>
      </c>
      <c r="B568" s="2">
        <v>25133</v>
      </c>
      <c r="C568" s="7" t="s">
        <v>446</v>
      </c>
      <c r="D568" s="9" t="s">
        <v>447</v>
      </c>
      <c r="E568" s="9" t="s">
        <v>448</v>
      </c>
      <c r="F568" s="2">
        <v>19</v>
      </c>
      <c r="G568" s="2">
        <v>38</v>
      </c>
    </row>
    <row r="569" spans="1:7" x14ac:dyDescent="0.25">
      <c r="A569" s="9">
        <v>13</v>
      </c>
      <c r="B569" s="2">
        <v>25133</v>
      </c>
      <c r="C569" s="7" t="s">
        <v>446</v>
      </c>
      <c r="D569" s="9" t="s">
        <v>448</v>
      </c>
      <c r="E569" s="9" t="s">
        <v>449</v>
      </c>
      <c r="F569" s="2">
        <v>39</v>
      </c>
      <c r="G569" s="2">
        <v>57</v>
      </c>
    </row>
    <row r="570" spans="1:7" x14ac:dyDescent="0.25">
      <c r="A570" s="9">
        <v>13</v>
      </c>
      <c r="B570" s="2">
        <v>25134</v>
      </c>
      <c r="C570" s="7" t="s">
        <v>273</v>
      </c>
      <c r="D570" s="9" t="s">
        <v>447</v>
      </c>
      <c r="E570" s="9" t="s">
        <v>450</v>
      </c>
      <c r="F570" s="2">
        <v>1</v>
      </c>
      <c r="G570" s="2">
        <v>10</v>
      </c>
    </row>
    <row r="571" spans="1:7" x14ac:dyDescent="0.25">
      <c r="A571" s="9">
        <v>13</v>
      </c>
      <c r="B571" s="2">
        <v>13880</v>
      </c>
      <c r="C571" s="7" t="s">
        <v>266</v>
      </c>
      <c r="D571" s="9" t="s">
        <v>430</v>
      </c>
      <c r="E571" s="9" t="s">
        <v>441</v>
      </c>
      <c r="F571" s="2">
        <v>3</v>
      </c>
      <c r="G571" s="2">
        <v>8</v>
      </c>
    </row>
    <row r="572" spans="1:7" x14ac:dyDescent="0.25">
      <c r="A572" s="9">
        <v>13</v>
      </c>
      <c r="B572" s="2">
        <v>13880</v>
      </c>
      <c r="C572" s="7" t="s">
        <v>266</v>
      </c>
      <c r="D572" s="9" t="s">
        <v>441</v>
      </c>
      <c r="E572" s="9" t="s">
        <v>442</v>
      </c>
      <c r="F572" s="2">
        <v>9</v>
      </c>
      <c r="G572" s="2">
        <v>17</v>
      </c>
    </row>
    <row r="573" spans="1:7" x14ac:dyDescent="0.25">
      <c r="A573" s="9">
        <v>13</v>
      </c>
      <c r="B573" s="2">
        <v>13880</v>
      </c>
      <c r="C573" s="7" t="s">
        <v>266</v>
      </c>
      <c r="D573" s="9" t="s">
        <v>442</v>
      </c>
      <c r="E573" s="9" t="s">
        <v>443</v>
      </c>
      <c r="F573" s="2">
        <v>18</v>
      </c>
      <c r="G573" s="2">
        <v>20</v>
      </c>
    </row>
    <row r="574" spans="1:7" x14ac:dyDescent="0.25">
      <c r="A574" s="9">
        <v>13</v>
      </c>
      <c r="B574" s="2">
        <v>13880</v>
      </c>
      <c r="C574" s="7" t="s">
        <v>266</v>
      </c>
      <c r="D574" s="9" t="s">
        <v>443</v>
      </c>
      <c r="E574" s="9" t="s">
        <v>444</v>
      </c>
      <c r="F574" s="2">
        <v>21</v>
      </c>
      <c r="G574" s="2">
        <v>26</v>
      </c>
    </row>
    <row r="575" spans="1:7" x14ac:dyDescent="0.25">
      <c r="A575" s="9">
        <v>13</v>
      </c>
      <c r="B575" s="2">
        <v>13880</v>
      </c>
      <c r="C575" s="7" t="s">
        <v>266</v>
      </c>
      <c r="D575" s="9" t="s">
        <v>444</v>
      </c>
      <c r="E575" s="9" t="s">
        <v>445</v>
      </c>
      <c r="F575" s="2">
        <v>27</v>
      </c>
      <c r="G575" s="2">
        <v>34</v>
      </c>
    </row>
    <row r="576" spans="1:7" x14ac:dyDescent="0.25">
      <c r="A576" s="9">
        <v>13</v>
      </c>
      <c r="B576" s="2">
        <v>13880</v>
      </c>
      <c r="C576" s="7" t="s">
        <v>266</v>
      </c>
      <c r="D576" s="9" t="s">
        <v>445</v>
      </c>
      <c r="E576" s="9" t="s">
        <v>253</v>
      </c>
      <c r="F576" s="2">
        <v>35</v>
      </c>
      <c r="G576" s="2">
        <v>47</v>
      </c>
    </row>
    <row r="577" spans="1:7" x14ac:dyDescent="0.25">
      <c r="A577" s="9">
        <v>13</v>
      </c>
      <c r="B577" s="2">
        <v>13880</v>
      </c>
      <c r="C577" s="7" t="s">
        <v>273</v>
      </c>
      <c r="D577" s="9" t="s">
        <v>430</v>
      </c>
      <c r="E577" s="9" t="s">
        <v>441</v>
      </c>
      <c r="F577" s="2">
        <v>1</v>
      </c>
      <c r="G577" s="2">
        <v>8</v>
      </c>
    </row>
    <row r="578" spans="1:7" x14ac:dyDescent="0.25">
      <c r="A578" s="9">
        <v>13</v>
      </c>
      <c r="B578" s="2">
        <v>13880</v>
      </c>
      <c r="C578" s="7" t="s">
        <v>273</v>
      </c>
      <c r="D578" s="9" t="s">
        <v>441</v>
      </c>
      <c r="E578" s="9" t="s">
        <v>442</v>
      </c>
      <c r="F578" s="2">
        <v>9</v>
      </c>
      <c r="G578" s="2">
        <v>17</v>
      </c>
    </row>
    <row r="579" spans="1:7" x14ac:dyDescent="0.25">
      <c r="A579" s="9">
        <v>13</v>
      </c>
      <c r="B579" s="2">
        <v>13880</v>
      </c>
      <c r="C579" s="7" t="s">
        <v>273</v>
      </c>
      <c r="D579" s="9" t="s">
        <v>442</v>
      </c>
      <c r="E579" s="9" t="s">
        <v>443</v>
      </c>
      <c r="F579" s="2">
        <v>18</v>
      </c>
      <c r="G579" s="2">
        <v>20</v>
      </c>
    </row>
    <row r="580" spans="1:7" x14ac:dyDescent="0.25">
      <c r="A580" s="9">
        <v>13</v>
      </c>
      <c r="B580" s="2">
        <v>13880</v>
      </c>
      <c r="C580" s="7" t="s">
        <v>273</v>
      </c>
      <c r="D580" s="9" t="s">
        <v>443</v>
      </c>
      <c r="E580" s="9" t="s">
        <v>444</v>
      </c>
      <c r="F580" s="2">
        <v>21</v>
      </c>
      <c r="G580" s="2">
        <v>26</v>
      </c>
    </row>
    <row r="581" spans="1:7" x14ac:dyDescent="0.25">
      <c r="A581" s="9">
        <v>13</v>
      </c>
      <c r="B581" s="2">
        <v>13880</v>
      </c>
      <c r="C581" s="7" t="s">
        <v>273</v>
      </c>
      <c r="D581" s="9" t="s">
        <v>444</v>
      </c>
      <c r="E581" s="9" t="s">
        <v>445</v>
      </c>
      <c r="F581" s="2">
        <v>27</v>
      </c>
      <c r="G581" s="2">
        <v>34</v>
      </c>
    </row>
    <row r="582" spans="1:7" x14ac:dyDescent="0.25">
      <c r="A582" s="9">
        <v>13</v>
      </c>
      <c r="B582" s="2">
        <v>13880</v>
      </c>
      <c r="C582" s="7" t="s">
        <v>273</v>
      </c>
      <c r="D582" s="9" t="s">
        <v>445</v>
      </c>
      <c r="E582" s="9" t="s">
        <v>253</v>
      </c>
      <c r="F582" s="2">
        <v>35</v>
      </c>
      <c r="G582" s="2">
        <v>47</v>
      </c>
    </row>
    <row r="583" spans="1:7" ht="14.25" customHeight="1" x14ac:dyDescent="0.25">
      <c r="A583" s="9">
        <v>14</v>
      </c>
      <c r="B583" s="9">
        <v>13880</v>
      </c>
      <c r="C583" s="10" t="s">
        <v>266</v>
      </c>
      <c r="D583" s="9" t="s">
        <v>253</v>
      </c>
      <c r="E583" s="9" t="s">
        <v>254</v>
      </c>
      <c r="F583" s="2">
        <v>48</v>
      </c>
      <c r="G583" s="2">
        <v>63</v>
      </c>
    </row>
    <row r="584" spans="1:7" x14ac:dyDescent="0.25">
      <c r="A584" s="9">
        <v>14</v>
      </c>
      <c r="B584" s="9">
        <v>13880</v>
      </c>
      <c r="C584" s="10" t="s">
        <v>266</v>
      </c>
      <c r="D584" s="9" t="s">
        <v>254</v>
      </c>
      <c r="E584" s="9" t="s">
        <v>255</v>
      </c>
      <c r="F584" s="2">
        <v>64</v>
      </c>
      <c r="G584" s="2">
        <v>79</v>
      </c>
    </row>
    <row r="585" spans="1:7" x14ac:dyDescent="0.25">
      <c r="A585" s="9">
        <v>14</v>
      </c>
      <c r="B585" s="9">
        <v>13880</v>
      </c>
      <c r="C585" s="10" t="s">
        <v>266</v>
      </c>
      <c r="D585" s="9" t="s">
        <v>255</v>
      </c>
      <c r="E585" s="9" t="s">
        <v>256</v>
      </c>
      <c r="F585" s="2">
        <v>80</v>
      </c>
      <c r="G585" s="2">
        <v>91</v>
      </c>
    </row>
    <row r="586" spans="1:7" x14ac:dyDescent="0.25">
      <c r="A586" s="9">
        <v>14</v>
      </c>
      <c r="B586" s="9">
        <v>13880</v>
      </c>
      <c r="C586" s="10" t="s">
        <v>266</v>
      </c>
      <c r="D586" s="9" t="s">
        <v>256</v>
      </c>
      <c r="E586" s="9" t="s">
        <v>257</v>
      </c>
      <c r="F586" s="2">
        <v>92</v>
      </c>
      <c r="G586" s="2">
        <v>104</v>
      </c>
    </row>
    <row r="587" spans="1:7" x14ac:dyDescent="0.25">
      <c r="A587" s="9">
        <v>14</v>
      </c>
      <c r="B587" s="9">
        <v>13880</v>
      </c>
      <c r="C587" s="10" t="s">
        <v>266</v>
      </c>
      <c r="D587" s="9" t="s">
        <v>257</v>
      </c>
      <c r="E587" s="9" t="s">
        <v>258</v>
      </c>
      <c r="F587" s="2">
        <v>105</v>
      </c>
      <c r="G587" s="2">
        <v>115</v>
      </c>
    </row>
    <row r="588" spans="1:7" x14ac:dyDescent="0.25">
      <c r="A588" s="9">
        <v>14</v>
      </c>
      <c r="B588" s="9">
        <v>13880</v>
      </c>
      <c r="C588" s="10" t="s">
        <v>266</v>
      </c>
      <c r="D588" s="9" t="s">
        <v>258</v>
      </c>
      <c r="E588" s="9" t="s">
        <v>259</v>
      </c>
      <c r="F588" s="2">
        <v>116</v>
      </c>
      <c r="G588" s="2">
        <v>130</v>
      </c>
    </row>
    <row r="589" spans="1:7" x14ac:dyDescent="0.25">
      <c r="A589" s="9">
        <v>14</v>
      </c>
      <c r="B589" s="9">
        <v>13880</v>
      </c>
      <c r="C589" s="10" t="s">
        <v>266</v>
      </c>
      <c r="D589" s="9" t="s">
        <v>259</v>
      </c>
      <c r="E589" s="9" t="s">
        <v>261</v>
      </c>
      <c r="F589" s="2">
        <v>131</v>
      </c>
      <c r="G589" s="2">
        <v>141</v>
      </c>
    </row>
    <row r="590" spans="1:7" x14ac:dyDescent="0.25">
      <c r="A590" s="9">
        <v>14</v>
      </c>
      <c r="B590" s="9">
        <v>13880</v>
      </c>
      <c r="C590" s="10" t="s">
        <v>266</v>
      </c>
      <c r="D590" s="9" t="s">
        <v>261</v>
      </c>
      <c r="E590" s="9" t="s">
        <v>262</v>
      </c>
      <c r="F590" s="2">
        <v>142</v>
      </c>
      <c r="G590" s="2">
        <v>155</v>
      </c>
    </row>
    <row r="591" spans="1:7" x14ac:dyDescent="0.25">
      <c r="A591" s="9">
        <v>14</v>
      </c>
      <c r="B591" s="9">
        <v>13880</v>
      </c>
      <c r="C591" s="10" t="s">
        <v>266</v>
      </c>
      <c r="D591" s="9" t="s">
        <v>262</v>
      </c>
      <c r="E591" s="9" t="s">
        <v>263</v>
      </c>
      <c r="F591" s="2">
        <v>156</v>
      </c>
      <c r="G591" s="2">
        <v>167</v>
      </c>
    </row>
    <row r="592" spans="1:7" x14ac:dyDescent="0.25">
      <c r="A592" s="9">
        <v>14</v>
      </c>
      <c r="B592" s="9">
        <v>13880</v>
      </c>
      <c r="C592" s="10" t="s">
        <v>266</v>
      </c>
      <c r="D592" s="9" t="s">
        <v>263</v>
      </c>
      <c r="E592" s="9" t="s">
        <v>263</v>
      </c>
      <c r="F592" s="2">
        <v>168</v>
      </c>
      <c r="G592" s="2">
        <v>171</v>
      </c>
    </row>
    <row r="593" spans="1:7" x14ac:dyDescent="0.25">
      <c r="A593" s="9">
        <v>14</v>
      </c>
      <c r="B593" s="9">
        <v>13880</v>
      </c>
      <c r="C593" s="10" t="s">
        <v>273</v>
      </c>
      <c r="D593" s="9" t="s">
        <v>253</v>
      </c>
      <c r="E593" s="9" t="s">
        <v>254</v>
      </c>
      <c r="F593" s="2">
        <v>48</v>
      </c>
      <c r="G593" s="2">
        <v>63</v>
      </c>
    </row>
    <row r="594" spans="1:7" x14ac:dyDescent="0.25">
      <c r="A594" s="9">
        <v>14</v>
      </c>
      <c r="B594" s="9">
        <v>13880</v>
      </c>
      <c r="C594" s="10" t="s">
        <v>273</v>
      </c>
      <c r="D594" s="9" t="s">
        <v>254</v>
      </c>
      <c r="E594" s="9" t="s">
        <v>255</v>
      </c>
      <c r="F594" s="2">
        <v>64</v>
      </c>
      <c r="G594" s="2">
        <v>79</v>
      </c>
    </row>
    <row r="595" spans="1:7" x14ac:dyDescent="0.25">
      <c r="A595" s="9">
        <v>14</v>
      </c>
      <c r="B595" s="9">
        <v>13880</v>
      </c>
      <c r="C595" s="10" t="s">
        <v>273</v>
      </c>
      <c r="D595" s="9" t="s">
        <v>255</v>
      </c>
      <c r="E595" s="9" t="s">
        <v>256</v>
      </c>
      <c r="F595" s="2">
        <v>80</v>
      </c>
      <c r="G595" s="2">
        <v>91</v>
      </c>
    </row>
    <row r="596" spans="1:7" x14ac:dyDescent="0.25">
      <c r="A596" s="9">
        <v>14</v>
      </c>
      <c r="B596" s="9">
        <v>13880</v>
      </c>
      <c r="C596" s="10" t="s">
        <v>273</v>
      </c>
      <c r="D596" s="9" t="s">
        <v>256</v>
      </c>
      <c r="E596" s="9" t="s">
        <v>257</v>
      </c>
      <c r="F596" s="2">
        <v>92</v>
      </c>
      <c r="G596" s="2">
        <v>104</v>
      </c>
    </row>
    <row r="597" spans="1:7" x14ac:dyDescent="0.25">
      <c r="A597" s="9">
        <v>14</v>
      </c>
      <c r="B597" s="9">
        <v>13880</v>
      </c>
      <c r="C597" s="10" t="s">
        <v>273</v>
      </c>
      <c r="D597" s="9" t="s">
        <v>257</v>
      </c>
      <c r="E597" s="9" t="s">
        <v>258</v>
      </c>
      <c r="F597" s="2">
        <v>105</v>
      </c>
      <c r="G597" s="2">
        <v>115</v>
      </c>
    </row>
    <row r="598" spans="1:7" x14ac:dyDescent="0.25">
      <c r="A598" s="9">
        <v>14</v>
      </c>
      <c r="B598" s="9">
        <v>13880</v>
      </c>
      <c r="C598" s="10" t="s">
        <v>273</v>
      </c>
      <c r="D598" s="9" t="s">
        <v>258</v>
      </c>
      <c r="E598" s="9" t="s">
        <v>259</v>
      </c>
      <c r="F598" s="2">
        <v>116</v>
      </c>
      <c r="G598" s="2">
        <v>130</v>
      </c>
    </row>
    <row r="599" spans="1:7" x14ac:dyDescent="0.25">
      <c r="A599" s="9">
        <v>14</v>
      </c>
      <c r="B599" s="9">
        <v>13880</v>
      </c>
      <c r="C599" s="10" t="s">
        <v>273</v>
      </c>
      <c r="D599" s="9" t="s">
        <v>259</v>
      </c>
      <c r="E599" s="9" t="s">
        <v>261</v>
      </c>
      <c r="F599" s="2">
        <v>131</v>
      </c>
      <c r="G599" s="2">
        <v>141</v>
      </c>
    </row>
    <row r="600" spans="1:7" x14ac:dyDescent="0.25">
      <c r="A600" s="9">
        <v>14</v>
      </c>
      <c r="B600" s="9">
        <v>13880</v>
      </c>
      <c r="C600" s="10" t="s">
        <v>273</v>
      </c>
      <c r="D600" s="9" t="s">
        <v>261</v>
      </c>
      <c r="E600" s="9" t="s">
        <v>262</v>
      </c>
      <c r="F600" s="2">
        <v>142</v>
      </c>
      <c r="G600" s="2">
        <v>155</v>
      </c>
    </row>
    <row r="601" spans="1:7" x14ac:dyDescent="0.25">
      <c r="A601" s="9">
        <v>14</v>
      </c>
      <c r="B601" s="9">
        <v>13880</v>
      </c>
      <c r="C601" s="10" t="s">
        <v>273</v>
      </c>
      <c r="D601" s="9" t="s">
        <v>262</v>
      </c>
      <c r="E601" s="9" t="s">
        <v>263</v>
      </c>
      <c r="F601" s="2">
        <v>156</v>
      </c>
      <c r="G601" s="2">
        <v>167</v>
      </c>
    </row>
    <row r="602" spans="1:7" x14ac:dyDescent="0.25">
      <c r="A602" s="9">
        <v>14</v>
      </c>
      <c r="B602" s="9">
        <v>13880</v>
      </c>
      <c r="C602" s="11">
        <v>2</v>
      </c>
      <c r="D602" s="9" t="s">
        <v>263</v>
      </c>
      <c r="E602" s="9" t="s">
        <v>263</v>
      </c>
      <c r="F602" s="2">
        <v>168</v>
      </c>
      <c r="G602" s="2">
        <v>173</v>
      </c>
    </row>
    <row r="603" spans="1:7" x14ac:dyDescent="0.25">
      <c r="A603" s="9">
        <v>14</v>
      </c>
      <c r="B603" s="9">
        <v>13880</v>
      </c>
      <c r="C603" s="10" t="s">
        <v>273</v>
      </c>
      <c r="D603" s="9" t="s">
        <v>263</v>
      </c>
      <c r="E603" s="9" t="s">
        <v>264</v>
      </c>
      <c r="F603" s="2">
        <v>174</v>
      </c>
      <c r="G603" s="2">
        <v>177</v>
      </c>
    </row>
    <row r="604" spans="1:7" x14ac:dyDescent="0.25">
      <c r="A604" s="9">
        <v>14</v>
      </c>
      <c r="B604" s="9">
        <v>13880</v>
      </c>
      <c r="C604" s="10" t="s">
        <v>266</v>
      </c>
      <c r="D604" s="9" t="s">
        <v>264</v>
      </c>
      <c r="E604" s="9" t="s">
        <v>265</v>
      </c>
      <c r="F604" s="2">
        <v>177</v>
      </c>
      <c r="G604" s="2">
        <v>180</v>
      </c>
    </row>
    <row r="605" spans="1:7" x14ac:dyDescent="0.25">
      <c r="A605" s="9">
        <v>14</v>
      </c>
      <c r="B605" s="9">
        <v>13880</v>
      </c>
      <c r="C605" s="10" t="s">
        <v>266</v>
      </c>
      <c r="D605" s="9" t="s">
        <v>265</v>
      </c>
      <c r="E605" s="9" t="s">
        <v>267</v>
      </c>
      <c r="F605" s="2">
        <v>181</v>
      </c>
      <c r="G605" s="2">
        <v>184</v>
      </c>
    </row>
    <row r="606" spans="1:7" x14ac:dyDescent="0.25">
      <c r="A606" s="9">
        <v>14</v>
      </c>
      <c r="B606" s="9">
        <v>13880</v>
      </c>
      <c r="C606" s="10" t="s">
        <v>266</v>
      </c>
      <c r="D606" s="9" t="s">
        <v>267</v>
      </c>
      <c r="E606" s="9" t="s">
        <v>268</v>
      </c>
      <c r="F606" s="2">
        <v>185</v>
      </c>
      <c r="G606" s="2">
        <v>188</v>
      </c>
    </row>
    <row r="607" spans="1:7" x14ac:dyDescent="0.25">
      <c r="A607" s="9">
        <v>14</v>
      </c>
      <c r="B607" s="9">
        <v>13880</v>
      </c>
      <c r="C607" s="10" t="s">
        <v>266</v>
      </c>
      <c r="D607" s="9" t="s">
        <v>268</v>
      </c>
      <c r="E607" s="9" t="s">
        <v>269</v>
      </c>
      <c r="F607" s="2">
        <v>189</v>
      </c>
      <c r="G607" s="2">
        <v>191</v>
      </c>
    </row>
    <row r="608" spans="1:7" x14ac:dyDescent="0.25">
      <c r="A608" s="9">
        <v>14</v>
      </c>
      <c r="B608" s="9">
        <v>25136</v>
      </c>
      <c r="C608" s="10" t="s">
        <v>266</v>
      </c>
      <c r="D608" s="9" t="s">
        <v>263</v>
      </c>
      <c r="E608" s="9" t="s">
        <v>270</v>
      </c>
      <c r="F608" s="2">
        <v>1</v>
      </c>
      <c r="G608" s="2">
        <v>5</v>
      </c>
    </row>
    <row r="609" spans="1:7" x14ac:dyDescent="0.25">
      <c r="A609" s="9">
        <v>14</v>
      </c>
      <c r="B609" s="9">
        <v>25136</v>
      </c>
      <c r="C609" s="10" t="s">
        <v>266</v>
      </c>
      <c r="D609" s="9" t="s">
        <v>270</v>
      </c>
      <c r="E609" s="9" t="s">
        <v>271</v>
      </c>
      <c r="F609" s="2">
        <v>6</v>
      </c>
      <c r="G609" s="2">
        <v>15</v>
      </c>
    </row>
    <row r="610" spans="1:7" x14ac:dyDescent="0.25">
      <c r="A610" s="9">
        <v>14</v>
      </c>
      <c r="B610" s="9">
        <v>25136</v>
      </c>
      <c r="C610" s="10" t="s">
        <v>273</v>
      </c>
      <c r="D610" s="9" t="s">
        <v>263</v>
      </c>
      <c r="E610" s="9" t="s">
        <v>270</v>
      </c>
      <c r="F610" s="2">
        <v>1</v>
      </c>
      <c r="G610" s="2">
        <v>5</v>
      </c>
    </row>
    <row r="611" spans="1:7" x14ac:dyDescent="0.25">
      <c r="A611" s="9">
        <v>14</v>
      </c>
      <c r="B611" s="9">
        <v>25136</v>
      </c>
      <c r="C611" s="10" t="s">
        <v>273</v>
      </c>
      <c r="D611" s="9" t="s">
        <v>270</v>
      </c>
      <c r="E611" s="9" t="s">
        <v>271</v>
      </c>
      <c r="F611" s="2">
        <v>6</v>
      </c>
      <c r="G611" s="2">
        <v>16</v>
      </c>
    </row>
    <row r="612" spans="1:7" x14ac:dyDescent="0.25">
      <c r="A612" s="9">
        <v>14</v>
      </c>
      <c r="B612" s="9">
        <v>25136</v>
      </c>
      <c r="C612" s="10" t="s">
        <v>273</v>
      </c>
      <c r="D612" s="9" t="s">
        <v>271</v>
      </c>
      <c r="E612" s="9" t="s">
        <v>272</v>
      </c>
      <c r="F612" s="2">
        <v>17</v>
      </c>
      <c r="G612" s="2">
        <v>23</v>
      </c>
    </row>
    <row r="613" spans="1:7" x14ac:dyDescent="0.25">
      <c r="A613" s="9">
        <v>14</v>
      </c>
      <c r="B613" s="9">
        <v>25191</v>
      </c>
      <c r="C613" s="10" t="s">
        <v>421</v>
      </c>
      <c r="D613" s="9" t="s">
        <v>427</v>
      </c>
      <c r="E613" s="9" t="s">
        <v>260</v>
      </c>
      <c r="F613" s="2">
        <v>1</v>
      </c>
      <c r="G613" s="2">
        <v>37</v>
      </c>
    </row>
    <row r="614" spans="1:7" x14ac:dyDescent="0.25">
      <c r="A614" s="18">
        <v>32</v>
      </c>
      <c r="B614" s="18">
        <v>25202</v>
      </c>
      <c r="C614" s="20">
        <v>1</v>
      </c>
      <c r="D614" s="18" t="s">
        <v>963</v>
      </c>
      <c r="E614" s="18" t="s">
        <v>964</v>
      </c>
      <c r="F614" s="19">
        <v>1</v>
      </c>
      <c r="G614" s="19">
        <v>17</v>
      </c>
    </row>
    <row r="615" spans="1:7" x14ac:dyDescent="0.25">
      <c r="A615" s="18">
        <v>32</v>
      </c>
      <c r="B615" s="18">
        <v>25202</v>
      </c>
      <c r="C615" s="20">
        <v>3</v>
      </c>
      <c r="D615" s="18" t="s">
        <v>964</v>
      </c>
      <c r="E615" s="18" t="s">
        <v>964</v>
      </c>
      <c r="F615" s="19">
        <v>17</v>
      </c>
      <c r="G615" s="19">
        <v>17</v>
      </c>
    </row>
    <row r="616" spans="1:7" x14ac:dyDescent="0.25">
      <c r="A616" s="18">
        <v>32</v>
      </c>
      <c r="B616" s="18">
        <v>25202</v>
      </c>
      <c r="C616" s="20">
        <v>1</v>
      </c>
      <c r="D616" s="18" t="s">
        <v>964</v>
      </c>
      <c r="E616" s="18" t="s">
        <v>965</v>
      </c>
      <c r="F616" s="19">
        <v>18</v>
      </c>
      <c r="G616" s="19">
        <v>60</v>
      </c>
    </row>
    <row r="617" spans="1:7" x14ac:dyDescent="0.25">
      <c r="A617" s="18">
        <v>32</v>
      </c>
      <c r="B617" s="18">
        <v>25202</v>
      </c>
      <c r="C617" s="20">
        <v>2</v>
      </c>
      <c r="D617" s="18" t="s">
        <v>965</v>
      </c>
      <c r="E617" s="18" t="s">
        <v>965</v>
      </c>
      <c r="F617" s="19">
        <v>60</v>
      </c>
      <c r="G617" s="19">
        <v>62</v>
      </c>
    </row>
    <row r="618" spans="1:7" x14ac:dyDescent="0.25">
      <c r="A618" s="18">
        <v>32</v>
      </c>
      <c r="B618" s="18">
        <v>25202</v>
      </c>
      <c r="C618" s="20">
        <v>45</v>
      </c>
      <c r="D618" s="18" t="s">
        <v>965</v>
      </c>
      <c r="E618" s="18" t="s">
        <v>966</v>
      </c>
      <c r="F618" s="19">
        <v>62</v>
      </c>
      <c r="G618" s="19">
        <v>63</v>
      </c>
    </row>
    <row r="619" spans="1:7" x14ac:dyDescent="0.25">
      <c r="A619" s="18">
        <v>32</v>
      </c>
      <c r="B619" s="18">
        <v>25202</v>
      </c>
      <c r="C619" s="20">
        <v>24</v>
      </c>
      <c r="D619" s="18" t="s">
        <v>965</v>
      </c>
      <c r="E619" s="18" t="s">
        <v>966</v>
      </c>
      <c r="F619" s="19">
        <v>63</v>
      </c>
      <c r="G619" s="19">
        <v>64</v>
      </c>
    </row>
    <row r="620" spans="1:7" x14ac:dyDescent="0.25">
      <c r="A620" s="18">
        <v>32</v>
      </c>
      <c r="B620" s="18">
        <v>25202</v>
      </c>
      <c r="C620" s="20">
        <v>1</v>
      </c>
      <c r="D620" s="18" t="s">
        <v>965</v>
      </c>
      <c r="E620" s="18" t="s">
        <v>966</v>
      </c>
      <c r="F620" s="19">
        <v>64</v>
      </c>
      <c r="G620" s="19">
        <v>67</v>
      </c>
    </row>
    <row r="621" spans="1:7" x14ac:dyDescent="0.25">
      <c r="A621" s="18">
        <v>32</v>
      </c>
      <c r="B621" s="18">
        <v>25202</v>
      </c>
      <c r="C621" s="20">
        <v>1</v>
      </c>
      <c r="D621" s="18" t="s">
        <v>966</v>
      </c>
      <c r="E621" s="18" t="s">
        <v>967</v>
      </c>
      <c r="F621" s="19">
        <v>68</v>
      </c>
      <c r="G621" s="19">
        <v>89</v>
      </c>
    </row>
    <row r="622" spans="1:7" x14ac:dyDescent="0.25">
      <c r="A622" s="18">
        <v>32</v>
      </c>
      <c r="B622" s="18">
        <v>25202</v>
      </c>
      <c r="C622" s="20">
        <v>1</v>
      </c>
      <c r="D622" s="18" t="s">
        <v>967</v>
      </c>
      <c r="E622" s="18" t="s">
        <v>968</v>
      </c>
      <c r="F622" s="19">
        <v>90</v>
      </c>
      <c r="G622" s="19">
        <v>110</v>
      </c>
    </row>
    <row r="623" spans="1:7" x14ac:dyDescent="0.25">
      <c r="A623" s="18">
        <v>32</v>
      </c>
      <c r="B623" s="18">
        <v>25202</v>
      </c>
      <c r="C623" s="20">
        <v>2</v>
      </c>
      <c r="D623" s="18" t="s">
        <v>968</v>
      </c>
      <c r="E623" s="18" t="s">
        <v>968</v>
      </c>
      <c r="F623" s="19">
        <v>110</v>
      </c>
      <c r="G623" s="19">
        <v>111</v>
      </c>
    </row>
    <row r="624" spans="1:7" x14ac:dyDescent="0.25">
      <c r="A624" s="18">
        <v>32</v>
      </c>
      <c r="B624" s="18">
        <v>25202</v>
      </c>
      <c r="C624" s="20">
        <v>1</v>
      </c>
      <c r="D624" s="18" t="s">
        <v>968</v>
      </c>
      <c r="E624" s="18" t="s">
        <v>969</v>
      </c>
      <c r="F624" s="19">
        <v>111</v>
      </c>
      <c r="G624" s="19">
        <v>136</v>
      </c>
    </row>
    <row r="625" spans="1:7" x14ac:dyDescent="0.25">
      <c r="A625" s="18">
        <v>32</v>
      </c>
      <c r="B625" s="18">
        <v>25202</v>
      </c>
      <c r="C625" s="20">
        <v>1</v>
      </c>
      <c r="D625" s="18" t="s">
        <v>969</v>
      </c>
      <c r="E625" s="18" t="s">
        <v>970</v>
      </c>
      <c r="F625" s="19">
        <v>137</v>
      </c>
      <c r="G625" s="19">
        <v>152</v>
      </c>
    </row>
    <row r="626" spans="1:7" x14ac:dyDescent="0.25">
      <c r="A626" s="18">
        <v>32</v>
      </c>
      <c r="B626" s="18">
        <v>25202</v>
      </c>
      <c r="C626" s="20">
        <v>1</v>
      </c>
      <c r="D626" s="18" t="s">
        <v>970</v>
      </c>
      <c r="E626" s="18" t="s">
        <v>971</v>
      </c>
      <c r="F626" s="19">
        <v>153</v>
      </c>
      <c r="G626" s="19">
        <v>173</v>
      </c>
    </row>
    <row r="627" spans="1:7" x14ac:dyDescent="0.25">
      <c r="A627" s="18">
        <v>32</v>
      </c>
      <c r="B627" s="18">
        <v>25202</v>
      </c>
      <c r="C627" s="20">
        <v>1</v>
      </c>
      <c r="D627" s="18" t="s">
        <v>971</v>
      </c>
      <c r="E627" s="18" t="s">
        <v>972</v>
      </c>
      <c r="F627" s="19">
        <v>174</v>
      </c>
      <c r="G627" s="19">
        <v>183</v>
      </c>
    </row>
    <row r="628" spans="1:7" x14ac:dyDescent="0.25">
      <c r="A628" s="18">
        <v>32</v>
      </c>
      <c r="B628" s="18">
        <v>25202</v>
      </c>
      <c r="C628" s="20">
        <v>31</v>
      </c>
      <c r="D628" s="18" t="s">
        <v>971</v>
      </c>
      <c r="E628" s="18" t="s">
        <v>972</v>
      </c>
      <c r="F628" s="19">
        <v>183</v>
      </c>
      <c r="G628" s="19">
        <v>184</v>
      </c>
    </row>
    <row r="629" spans="1:7" x14ac:dyDescent="0.25">
      <c r="A629" s="18">
        <v>32</v>
      </c>
      <c r="B629" s="18">
        <v>25202</v>
      </c>
      <c r="C629" s="20">
        <v>11</v>
      </c>
      <c r="D629" s="18" t="s">
        <v>971</v>
      </c>
      <c r="E629" s="18" t="s">
        <v>972</v>
      </c>
      <c r="F629" s="19">
        <v>184</v>
      </c>
      <c r="G629" s="19">
        <v>185</v>
      </c>
    </row>
    <row r="630" spans="1:7" x14ac:dyDescent="0.25">
      <c r="A630" s="18">
        <v>32</v>
      </c>
      <c r="B630" s="18">
        <v>25202</v>
      </c>
      <c r="C630" s="20">
        <v>41</v>
      </c>
      <c r="D630" s="18" t="s">
        <v>971</v>
      </c>
      <c r="E630" s="18" t="s">
        <v>972</v>
      </c>
      <c r="F630" s="19">
        <v>185</v>
      </c>
      <c r="G630" s="19">
        <v>185</v>
      </c>
    </row>
    <row r="631" spans="1:7" x14ac:dyDescent="0.25">
      <c r="A631" s="18">
        <v>32</v>
      </c>
      <c r="B631" s="18">
        <v>25202</v>
      </c>
      <c r="C631" s="20">
        <v>1</v>
      </c>
      <c r="D631" s="18" t="s">
        <v>972</v>
      </c>
      <c r="E631" s="18" t="s">
        <v>972</v>
      </c>
      <c r="F631" s="19">
        <v>185</v>
      </c>
      <c r="G631" s="19">
        <v>186</v>
      </c>
    </row>
    <row r="632" spans="1:7" x14ac:dyDescent="0.25">
      <c r="A632" s="18">
        <v>32</v>
      </c>
      <c r="B632" s="18">
        <v>25236</v>
      </c>
      <c r="C632" s="20">
        <v>12</v>
      </c>
      <c r="D632" s="18" t="s">
        <v>972</v>
      </c>
      <c r="E632" s="18" t="s">
        <v>973</v>
      </c>
      <c r="F632" s="19">
        <v>1</v>
      </c>
      <c r="G632" s="19">
        <v>3</v>
      </c>
    </row>
    <row r="633" spans="1:7" x14ac:dyDescent="0.25">
      <c r="A633" s="18">
        <v>32</v>
      </c>
      <c r="B633" s="18">
        <v>25202</v>
      </c>
      <c r="C633" s="20">
        <v>13</v>
      </c>
      <c r="D633" s="18" t="s">
        <v>972</v>
      </c>
      <c r="E633" s="18" t="s">
        <v>973</v>
      </c>
      <c r="F633" s="19">
        <v>183</v>
      </c>
      <c r="G633" s="19">
        <v>184</v>
      </c>
    </row>
    <row r="634" spans="1:7" x14ac:dyDescent="0.25">
      <c r="A634" s="18">
        <v>32</v>
      </c>
      <c r="B634" s="18">
        <v>25236</v>
      </c>
      <c r="C634" s="20">
        <v>21</v>
      </c>
      <c r="D634" s="18" t="s">
        <v>972</v>
      </c>
      <c r="E634" s="18" t="s">
        <v>973</v>
      </c>
      <c r="F634" s="19">
        <v>3</v>
      </c>
      <c r="G634" s="19">
        <v>3</v>
      </c>
    </row>
    <row r="635" spans="1:7" x14ac:dyDescent="0.25">
      <c r="A635" s="18">
        <v>32</v>
      </c>
      <c r="B635" s="18">
        <v>25236</v>
      </c>
      <c r="C635" s="20">
        <v>1</v>
      </c>
      <c r="D635" s="18" t="s">
        <v>972</v>
      </c>
      <c r="E635" s="18" t="s">
        <v>973</v>
      </c>
      <c r="F635" s="19">
        <v>3</v>
      </c>
      <c r="G635" s="19">
        <v>28</v>
      </c>
    </row>
    <row r="636" spans="1:7" x14ac:dyDescent="0.25">
      <c r="A636" s="18">
        <v>32</v>
      </c>
      <c r="B636" s="18">
        <v>25236</v>
      </c>
      <c r="C636" s="20">
        <v>12</v>
      </c>
      <c r="D636" s="18" t="s">
        <v>972</v>
      </c>
      <c r="E636" s="18" t="s">
        <v>973</v>
      </c>
      <c r="F636" s="19">
        <v>28</v>
      </c>
      <c r="G636" s="19">
        <v>29</v>
      </c>
    </row>
    <row r="637" spans="1:7" x14ac:dyDescent="0.25">
      <c r="A637" s="18">
        <v>32</v>
      </c>
      <c r="B637" s="18">
        <v>25236</v>
      </c>
      <c r="C637" s="20">
        <v>11</v>
      </c>
      <c r="D637" s="18" t="s">
        <v>972</v>
      </c>
      <c r="E637" s="18" t="s">
        <v>973</v>
      </c>
      <c r="F637" s="19">
        <v>28</v>
      </c>
      <c r="G637" s="19">
        <v>29</v>
      </c>
    </row>
    <row r="638" spans="1:7" x14ac:dyDescent="0.25">
      <c r="A638" s="18">
        <v>32</v>
      </c>
      <c r="B638" s="18">
        <v>25237</v>
      </c>
      <c r="C638" s="20">
        <v>1</v>
      </c>
      <c r="D638" s="18" t="s">
        <v>965</v>
      </c>
      <c r="E638" s="18" t="s">
        <v>974</v>
      </c>
      <c r="F638" s="19">
        <v>75</v>
      </c>
      <c r="G638" s="19">
        <v>83</v>
      </c>
    </row>
    <row r="639" spans="1:7" x14ac:dyDescent="0.25">
      <c r="A639" s="18">
        <v>32</v>
      </c>
      <c r="B639" s="18">
        <v>25231</v>
      </c>
      <c r="C639" s="20">
        <v>1</v>
      </c>
      <c r="D639" s="18" t="s">
        <v>975</v>
      </c>
      <c r="E639" s="18" t="s">
        <v>976</v>
      </c>
      <c r="F639" s="19">
        <v>1</v>
      </c>
      <c r="G639" s="19">
        <v>17</v>
      </c>
    </row>
    <row r="640" spans="1:7" x14ac:dyDescent="0.25">
      <c r="A640" s="18">
        <v>32</v>
      </c>
      <c r="B640" s="18">
        <v>25233</v>
      </c>
      <c r="C640" s="20">
        <v>1</v>
      </c>
      <c r="D640" s="18" t="s">
        <v>977</v>
      </c>
      <c r="E640" s="18" t="s">
        <v>978</v>
      </c>
      <c r="F640" s="19">
        <v>1</v>
      </c>
      <c r="G640" s="19">
        <v>24</v>
      </c>
    </row>
    <row r="641" spans="1:7" x14ac:dyDescent="0.25">
      <c r="A641" s="18">
        <v>32</v>
      </c>
      <c r="B641" s="18">
        <v>25235</v>
      </c>
      <c r="C641" s="20">
        <v>1</v>
      </c>
      <c r="D641" s="18" t="s">
        <v>979</v>
      </c>
      <c r="E641" s="18" t="s">
        <v>980</v>
      </c>
      <c r="F641" s="19">
        <v>1</v>
      </c>
      <c r="G641" s="19">
        <v>9</v>
      </c>
    </row>
    <row r="642" spans="1:7" x14ac:dyDescent="0.25">
      <c r="A642" s="18">
        <v>32</v>
      </c>
      <c r="B642" s="18">
        <v>25201</v>
      </c>
      <c r="C642" s="20">
        <v>1</v>
      </c>
      <c r="D642" s="18" t="s">
        <v>981</v>
      </c>
      <c r="E642" s="18" t="s">
        <v>982</v>
      </c>
      <c r="F642" s="19">
        <v>1</v>
      </c>
      <c r="G642" s="19">
        <v>31</v>
      </c>
    </row>
    <row r="643" spans="1:7" x14ac:dyDescent="0.25">
      <c r="A643" s="18">
        <v>32</v>
      </c>
      <c r="B643" s="18">
        <v>25201</v>
      </c>
      <c r="C643" s="20">
        <v>3</v>
      </c>
      <c r="D643" s="18" t="s">
        <v>982</v>
      </c>
      <c r="E643" s="18" t="s">
        <v>982</v>
      </c>
      <c r="F643" s="19">
        <v>31</v>
      </c>
      <c r="G643" s="19">
        <v>32</v>
      </c>
    </row>
    <row r="644" spans="1:7" x14ac:dyDescent="0.25">
      <c r="A644" s="18">
        <v>32</v>
      </c>
      <c r="B644" s="18">
        <v>25201</v>
      </c>
      <c r="C644" s="20">
        <v>1</v>
      </c>
      <c r="D644" s="18" t="s">
        <v>982</v>
      </c>
      <c r="E644" s="18" t="s">
        <v>975</v>
      </c>
      <c r="F644" s="19">
        <v>32</v>
      </c>
      <c r="G644" s="19">
        <v>41</v>
      </c>
    </row>
    <row r="645" spans="1:7" x14ac:dyDescent="0.25">
      <c r="A645" s="18">
        <v>32</v>
      </c>
      <c r="B645" s="18">
        <v>25201</v>
      </c>
      <c r="C645" s="20">
        <v>1</v>
      </c>
      <c r="D645" s="18" t="s">
        <v>975</v>
      </c>
      <c r="E645" s="18" t="s">
        <v>975</v>
      </c>
      <c r="F645" s="19">
        <v>42</v>
      </c>
      <c r="G645" s="19">
        <v>44</v>
      </c>
    </row>
    <row r="646" spans="1:7" x14ac:dyDescent="0.25">
      <c r="A646" s="18">
        <v>32</v>
      </c>
      <c r="B646" s="18">
        <v>25201</v>
      </c>
      <c r="C646" s="20">
        <v>2</v>
      </c>
      <c r="D646" s="18" t="s">
        <v>975</v>
      </c>
      <c r="E646" s="18" t="s">
        <v>975</v>
      </c>
      <c r="F646" s="19">
        <v>41</v>
      </c>
      <c r="G646" s="19">
        <v>42</v>
      </c>
    </row>
    <row r="647" spans="1:7" x14ac:dyDescent="0.25">
      <c r="A647" s="18">
        <v>32</v>
      </c>
      <c r="B647" s="18">
        <v>25201</v>
      </c>
      <c r="C647" s="20">
        <v>1</v>
      </c>
      <c r="D647" s="18" t="s">
        <v>975</v>
      </c>
      <c r="E647" s="18" t="s">
        <v>983</v>
      </c>
      <c r="F647" s="19">
        <v>45</v>
      </c>
      <c r="G647" s="19">
        <v>52</v>
      </c>
    </row>
    <row r="648" spans="1:7" x14ac:dyDescent="0.25">
      <c r="A648" s="18">
        <v>32</v>
      </c>
      <c r="B648" s="18">
        <v>25201</v>
      </c>
      <c r="C648" s="20">
        <v>4</v>
      </c>
      <c r="D648" s="18" t="s">
        <v>983</v>
      </c>
      <c r="E648" s="18" t="s">
        <v>983</v>
      </c>
      <c r="F648" s="19">
        <v>52</v>
      </c>
      <c r="G648" s="19">
        <v>53</v>
      </c>
    </row>
    <row r="649" spans="1:7" x14ac:dyDescent="0.25">
      <c r="A649" s="18">
        <v>32</v>
      </c>
      <c r="B649" s="18">
        <v>25201</v>
      </c>
      <c r="C649" s="20">
        <v>1</v>
      </c>
      <c r="D649" s="18" t="s">
        <v>983</v>
      </c>
      <c r="E649" s="18" t="s">
        <v>977</v>
      </c>
      <c r="F649" s="19">
        <v>53</v>
      </c>
      <c r="G649" s="19">
        <v>73</v>
      </c>
    </row>
    <row r="650" spans="1:7" x14ac:dyDescent="0.25">
      <c r="A650" s="18">
        <v>32</v>
      </c>
      <c r="B650" s="18">
        <v>25201</v>
      </c>
      <c r="C650" s="20">
        <v>2</v>
      </c>
      <c r="D650" s="18" t="s">
        <v>977</v>
      </c>
      <c r="E650" s="18" t="s">
        <v>977</v>
      </c>
      <c r="F650" s="19">
        <v>73</v>
      </c>
      <c r="G650" s="19">
        <v>74</v>
      </c>
    </row>
    <row r="651" spans="1:7" x14ac:dyDescent="0.25">
      <c r="A651" s="18">
        <v>32</v>
      </c>
      <c r="B651" s="18">
        <v>25201</v>
      </c>
      <c r="C651" s="20">
        <v>3</v>
      </c>
      <c r="D651" s="18" t="s">
        <v>977</v>
      </c>
      <c r="E651" s="18" t="s">
        <v>977</v>
      </c>
      <c r="F651" s="19">
        <v>73</v>
      </c>
      <c r="G651" s="19">
        <v>74</v>
      </c>
    </row>
    <row r="652" spans="1:7" x14ac:dyDescent="0.25">
      <c r="A652" s="18">
        <v>32</v>
      </c>
      <c r="B652" s="18">
        <v>25201</v>
      </c>
      <c r="C652" s="20">
        <v>1</v>
      </c>
      <c r="D652" s="18" t="s">
        <v>977</v>
      </c>
      <c r="E652" s="18" t="s">
        <v>984</v>
      </c>
      <c r="F652" s="19">
        <v>74</v>
      </c>
      <c r="G652" s="19">
        <v>84</v>
      </c>
    </row>
    <row r="653" spans="1:7" x14ac:dyDescent="0.25">
      <c r="A653" s="18">
        <v>32</v>
      </c>
      <c r="B653" s="18">
        <v>25201</v>
      </c>
      <c r="C653" s="20">
        <v>1</v>
      </c>
      <c r="D653" s="18" t="s">
        <v>984</v>
      </c>
      <c r="E653" s="18" t="s">
        <v>985</v>
      </c>
      <c r="F653" s="19">
        <v>85</v>
      </c>
      <c r="G653" s="19">
        <v>106</v>
      </c>
    </row>
    <row r="654" spans="1:7" x14ac:dyDescent="0.25">
      <c r="A654" s="18">
        <v>32</v>
      </c>
      <c r="B654" s="18">
        <v>25201</v>
      </c>
      <c r="C654" s="20">
        <v>2</v>
      </c>
      <c r="D654" s="18" t="s">
        <v>985</v>
      </c>
      <c r="E654" s="18" t="s">
        <v>985</v>
      </c>
      <c r="F654" s="19">
        <v>106</v>
      </c>
      <c r="G654" s="19">
        <v>107</v>
      </c>
    </row>
    <row r="655" spans="1:7" x14ac:dyDescent="0.25">
      <c r="A655" s="18">
        <v>32</v>
      </c>
      <c r="B655" s="18">
        <v>25201</v>
      </c>
      <c r="C655" s="20">
        <v>1</v>
      </c>
      <c r="D655" s="18" t="s">
        <v>985</v>
      </c>
      <c r="E655" s="18" t="s">
        <v>986</v>
      </c>
      <c r="F655" s="19">
        <v>107</v>
      </c>
      <c r="G655" s="19">
        <v>149</v>
      </c>
    </row>
    <row r="656" spans="1:7" x14ac:dyDescent="0.25">
      <c r="A656" s="18">
        <v>32</v>
      </c>
      <c r="B656" s="18">
        <v>25201</v>
      </c>
      <c r="C656" s="20">
        <v>4</v>
      </c>
      <c r="D656" s="18" t="s">
        <v>986</v>
      </c>
      <c r="E656" s="18" t="s">
        <v>986</v>
      </c>
      <c r="F656" s="19">
        <v>149</v>
      </c>
      <c r="G656" s="19">
        <v>150</v>
      </c>
    </row>
    <row r="657" spans="1:7" x14ac:dyDescent="0.25">
      <c r="A657" s="18">
        <v>32</v>
      </c>
      <c r="B657" s="18">
        <v>25201</v>
      </c>
      <c r="C657" s="20">
        <v>1</v>
      </c>
      <c r="D657" s="18" t="s">
        <v>986</v>
      </c>
      <c r="E657" s="18" t="s">
        <v>973</v>
      </c>
      <c r="F657" s="19">
        <v>150</v>
      </c>
      <c r="G657" s="19">
        <v>158</v>
      </c>
    </row>
    <row r="658" spans="1:7" x14ac:dyDescent="0.25">
      <c r="A658" s="18">
        <v>32</v>
      </c>
      <c r="B658" s="18">
        <v>25201</v>
      </c>
      <c r="C658" s="20">
        <v>1</v>
      </c>
      <c r="D658" s="18" t="s">
        <v>973</v>
      </c>
      <c r="E658" s="18" t="s">
        <v>987</v>
      </c>
      <c r="F658" s="19">
        <v>159</v>
      </c>
      <c r="G658" s="19">
        <v>174</v>
      </c>
    </row>
    <row r="659" spans="1:7" x14ac:dyDescent="0.25">
      <c r="A659" s="18">
        <v>32</v>
      </c>
      <c r="B659" s="18">
        <v>25201</v>
      </c>
      <c r="C659" s="20">
        <v>2</v>
      </c>
      <c r="D659" s="18" t="s">
        <v>987</v>
      </c>
      <c r="E659" s="18" t="s">
        <v>987</v>
      </c>
      <c r="F659" s="19">
        <v>174</v>
      </c>
      <c r="G659" s="19">
        <v>175</v>
      </c>
    </row>
    <row r="660" spans="1:7" x14ac:dyDescent="0.25">
      <c r="A660" s="18">
        <v>32</v>
      </c>
      <c r="B660" s="18">
        <v>25201</v>
      </c>
      <c r="C660" s="20">
        <v>1</v>
      </c>
      <c r="D660" s="18" t="s">
        <v>987</v>
      </c>
      <c r="E660" s="18" t="s">
        <v>988</v>
      </c>
      <c r="F660" s="19">
        <v>175</v>
      </c>
      <c r="G660" s="19">
        <v>198</v>
      </c>
    </row>
    <row r="661" spans="1:7" x14ac:dyDescent="0.25">
      <c r="A661" s="18">
        <v>32</v>
      </c>
      <c r="B661" s="18">
        <v>25201</v>
      </c>
      <c r="C661" s="20">
        <v>2</v>
      </c>
      <c r="D661" s="18" t="s">
        <v>988</v>
      </c>
      <c r="E661" s="18" t="s">
        <v>988</v>
      </c>
      <c r="F661" s="19">
        <v>198</v>
      </c>
      <c r="G661" s="19">
        <v>199</v>
      </c>
    </row>
    <row r="662" spans="1:7" x14ac:dyDescent="0.25">
      <c r="A662" s="18">
        <v>32</v>
      </c>
      <c r="B662" s="18">
        <v>25201</v>
      </c>
      <c r="C662" s="20">
        <v>1</v>
      </c>
      <c r="D662" s="18" t="s">
        <v>988</v>
      </c>
      <c r="E662" s="18" t="s">
        <v>989</v>
      </c>
      <c r="F662" s="19">
        <v>199</v>
      </c>
      <c r="G662" s="19">
        <v>227</v>
      </c>
    </row>
    <row r="663" spans="1:7" x14ac:dyDescent="0.25">
      <c r="A663" s="18">
        <v>32</v>
      </c>
      <c r="B663" s="18">
        <v>25201</v>
      </c>
      <c r="C663" s="20">
        <v>1</v>
      </c>
      <c r="D663" s="18" t="s">
        <v>989</v>
      </c>
      <c r="E663" s="18" t="s">
        <v>990</v>
      </c>
      <c r="F663" s="19">
        <v>228</v>
      </c>
      <c r="G663" s="19">
        <v>255</v>
      </c>
    </row>
    <row r="664" spans="1:7" x14ac:dyDescent="0.25">
      <c r="A664" s="18">
        <v>32</v>
      </c>
      <c r="B664" s="18">
        <v>25201</v>
      </c>
      <c r="C664" s="20">
        <v>1</v>
      </c>
      <c r="D664" s="18" t="s">
        <v>990</v>
      </c>
      <c r="E664" s="18" t="s">
        <v>991</v>
      </c>
      <c r="F664" s="19">
        <v>256</v>
      </c>
      <c r="G664" s="19">
        <v>267</v>
      </c>
    </row>
    <row r="665" spans="1:7" x14ac:dyDescent="0.25">
      <c r="A665" s="18">
        <v>32</v>
      </c>
      <c r="B665" s="18">
        <v>25201</v>
      </c>
      <c r="C665" s="20">
        <v>1</v>
      </c>
      <c r="D665" s="18" t="s">
        <v>991</v>
      </c>
      <c r="E665" s="18" t="s">
        <v>992</v>
      </c>
      <c r="F665" s="19">
        <v>268</v>
      </c>
      <c r="G665" s="19">
        <v>276</v>
      </c>
    </row>
    <row r="666" spans="1:7" x14ac:dyDescent="0.25">
      <c r="A666" s="18">
        <v>32</v>
      </c>
      <c r="B666" s="18">
        <v>25201</v>
      </c>
      <c r="C666" s="20">
        <v>1</v>
      </c>
      <c r="D666" s="18" t="s">
        <v>992</v>
      </c>
      <c r="E666" s="18" t="s">
        <v>979</v>
      </c>
      <c r="F666" s="19">
        <v>277</v>
      </c>
      <c r="G666" s="19">
        <v>299</v>
      </c>
    </row>
    <row r="667" spans="1:7" x14ac:dyDescent="0.25">
      <c r="A667" s="18">
        <v>32</v>
      </c>
      <c r="B667" s="18">
        <v>25201</v>
      </c>
      <c r="C667" s="20">
        <v>1</v>
      </c>
      <c r="D667" s="18" t="s">
        <v>979</v>
      </c>
      <c r="E667" s="18" t="s">
        <v>993</v>
      </c>
      <c r="F667" s="19">
        <v>300</v>
      </c>
      <c r="G667" s="19">
        <v>331</v>
      </c>
    </row>
    <row r="668" spans="1:7" x14ac:dyDescent="0.25">
      <c r="A668" s="18">
        <v>32</v>
      </c>
      <c r="B668" s="18">
        <v>25201</v>
      </c>
      <c r="C668" s="20">
        <v>5</v>
      </c>
      <c r="D668" s="18" t="s">
        <v>993</v>
      </c>
      <c r="E668" s="18" t="s">
        <v>993</v>
      </c>
      <c r="F668" s="19">
        <v>331</v>
      </c>
      <c r="G668" s="19">
        <v>332</v>
      </c>
    </row>
    <row r="669" spans="1:7" x14ac:dyDescent="0.25">
      <c r="A669" s="18">
        <v>32</v>
      </c>
      <c r="B669" s="18">
        <v>25201</v>
      </c>
      <c r="C669" s="20">
        <v>1</v>
      </c>
      <c r="D669" s="18" t="s">
        <v>993</v>
      </c>
      <c r="E669" s="18" t="s">
        <v>994</v>
      </c>
      <c r="F669" s="19">
        <v>332</v>
      </c>
      <c r="G669" s="19">
        <v>349</v>
      </c>
    </row>
    <row r="670" spans="1:7" x14ac:dyDescent="0.25">
      <c r="A670" s="18">
        <v>32</v>
      </c>
      <c r="B670" s="18">
        <v>25201</v>
      </c>
      <c r="C670" s="20">
        <v>1</v>
      </c>
      <c r="D670" s="18" t="s">
        <v>994</v>
      </c>
      <c r="E670" s="18" t="s">
        <v>995</v>
      </c>
      <c r="F670" s="19">
        <v>350</v>
      </c>
      <c r="G670" s="19">
        <v>380</v>
      </c>
    </row>
    <row r="671" spans="1:7" x14ac:dyDescent="0.25">
      <c r="A671" s="18">
        <v>32</v>
      </c>
      <c r="B671" s="18">
        <v>25201</v>
      </c>
      <c r="C671" s="20">
        <v>2</v>
      </c>
      <c r="D671" s="18" t="s">
        <v>995</v>
      </c>
      <c r="E671" s="18" t="s">
        <v>995</v>
      </c>
      <c r="F671" s="19">
        <v>380</v>
      </c>
      <c r="G671" s="19">
        <v>381</v>
      </c>
    </row>
    <row r="672" spans="1:7" x14ac:dyDescent="0.25">
      <c r="A672" s="18">
        <v>32</v>
      </c>
      <c r="B672" s="18">
        <v>25201</v>
      </c>
      <c r="C672" s="20">
        <v>1</v>
      </c>
      <c r="D672" s="18" t="s">
        <v>995</v>
      </c>
      <c r="E672" s="18" t="s">
        <v>996</v>
      </c>
      <c r="F672" s="19">
        <v>381</v>
      </c>
      <c r="G672" s="19">
        <v>402</v>
      </c>
    </row>
    <row r="673" spans="1:7" x14ac:dyDescent="0.25">
      <c r="A673" s="18">
        <v>32</v>
      </c>
      <c r="B673" s="18">
        <v>25201</v>
      </c>
      <c r="C673" s="20">
        <v>3</v>
      </c>
      <c r="D673" s="18" t="s">
        <v>996</v>
      </c>
      <c r="E673" s="18" t="s">
        <v>996</v>
      </c>
      <c r="F673" s="19">
        <v>402</v>
      </c>
      <c r="G673" s="19">
        <v>403</v>
      </c>
    </row>
    <row r="674" spans="1:7" x14ac:dyDescent="0.25">
      <c r="A674" s="18">
        <v>32</v>
      </c>
      <c r="B674" s="18">
        <v>25201</v>
      </c>
      <c r="C674" s="20">
        <v>1</v>
      </c>
      <c r="D674" s="18" t="s">
        <v>996</v>
      </c>
      <c r="E674" s="18" t="s">
        <v>997</v>
      </c>
      <c r="F674" s="19">
        <v>403</v>
      </c>
      <c r="G674" s="19">
        <v>413</v>
      </c>
    </row>
    <row r="675" spans="1:7" x14ac:dyDescent="0.25">
      <c r="A675" s="18">
        <v>32</v>
      </c>
      <c r="B675" s="18">
        <v>25201</v>
      </c>
      <c r="C675" s="20">
        <v>2</v>
      </c>
      <c r="D675" s="18" t="s">
        <v>997</v>
      </c>
      <c r="E675" s="18" t="s">
        <v>997</v>
      </c>
      <c r="F675" s="19">
        <v>413</v>
      </c>
      <c r="G675" s="19">
        <v>414</v>
      </c>
    </row>
    <row r="676" spans="1:7" x14ac:dyDescent="0.25">
      <c r="A676" s="18">
        <v>32</v>
      </c>
      <c r="B676" s="18">
        <v>25201</v>
      </c>
      <c r="C676" s="20">
        <v>1</v>
      </c>
      <c r="D676" s="18" t="s">
        <v>997</v>
      </c>
      <c r="E676" s="18" t="s">
        <v>998</v>
      </c>
      <c r="F676" s="19">
        <v>414</v>
      </c>
      <c r="G676" s="19">
        <v>452</v>
      </c>
    </row>
    <row r="677" spans="1:7" x14ac:dyDescent="0.25">
      <c r="A677" s="18">
        <v>32</v>
      </c>
      <c r="B677" s="18">
        <v>25201</v>
      </c>
      <c r="C677" s="20">
        <v>2</v>
      </c>
      <c r="D677" s="18" t="s">
        <v>998</v>
      </c>
      <c r="E677" s="18" t="s">
        <v>998</v>
      </c>
      <c r="F677" s="19">
        <v>452</v>
      </c>
      <c r="G677" s="19">
        <v>453</v>
      </c>
    </row>
    <row r="678" spans="1:7" x14ac:dyDescent="0.25">
      <c r="A678" s="18">
        <v>32</v>
      </c>
      <c r="B678" s="18">
        <v>25201</v>
      </c>
      <c r="C678" s="20">
        <v>1</v>
      </c>
      <c r="D678" s="18" t="s">
        <v>998</v>
      </c>
      <c r="E678" s="18" t="s">
        <v>999</v>
      </c>
      <c r="F678" s="19">
        <v>453</v>
      </c>
      <c r="G678" s="19">
        <v>507</v>
      </c>
    </row>
    <row r="679" spans="1:7" x14ac:dyDescent="0.25">
      <c r="A679" s="18">
        <v>32</v>
      </c>
      <c r="B679" s="18">
        <v>25201</v>
      </c>
      <c r="C679" s="20">
        <v>2</v>
      </c>
      <c r="D679" s="18" t="s">
        <v>999</v>
      </c>
      <c r="E679" s="18" t="s">
        <v>999</v>
      </c>
      <c r="F679" s="19">
        <v>507</v>
      </c>
      <c r="G679" s="19">
        <v>508</v>
      </c>
    </row>
    <row r="680" spans="1:7" x14ac:dyDescent="0.25">
      <c r="A680" s="18">
        <v>32</v>
      </c>
      <c r="B680" s="18">
        <v>25201</v>
      </c>
      <c r="C680" s="20">
        <v>1</v>
      </c>
      <c r="D680" s="18" t="s">
        <v>999</v>
      </c>
      <c r="E680" s="18" t="s">
        <v>1000</v>
      </c>
      <c r="F680" s="19">
        <v>508</v>
      </c>
      <c r="G680" s="19">
        <v>532</v>
      </c>
    </row>
    <row r="681" spans="1:7" x14ac:dyDescent="0.25">
      <c r="A681" s="18">
        <v>32</v>
      </c>
      <c r="B681" s="18">
        <v>25201</v>
      </c>
      <c r="C681" s="20">
        <v>2</v>
      </c>
      <c r="D681" s="18" t="s">
        <v>1000</v>
      </c>
      <c r="E681" s="18" t="s">
        <v>1000</v>
      </c>
      <c r="F681" s="19">
        <v>532</v>
      </c>
      <c r="G681" s="19">
        <v>532</v>
      </c>
    </row>
    <row r="682" spans="1:7" x14ac:dyDescent="0.25">
      <c r="A682" s="18">
        <v>32</v>
      </c>
      <c r="B682" s="18">
        <v>25201</v>
      </c>
      <c r="C682" s="20">
        <v>1</v>
      </c>
      <c r="D682" s="18" t="s">
        <v>1000</v>
      </c>
      <c r="E682" s="18" t="s">
        <v>1001</v>
      </c>
      <c r="F682" s="19">
        <v>533</v>
      </c>
      <c r="G682" s="19">
        <v>588</v>
      </c>
    </row>
    <row r="683" spans="1:7" x14ac:dyDescent="0.25">
      <c r="A683" s="18">
        <v>32</v>
      </c>
      <c r="B683" s="18">
        <v>25201</v>
      </c>
      <c r="C683" s="20">
        <v>2</v>
      </c>
      <c r="D683" s="18" t="s">
        <v>1001</v>
      </c>
      <c r="E683" s="18" t="s">
        <v>1001</v>
      </c>
      <c r="F683" s="19">
        <v>588</v>
      </c>
      <c r="G683" s="19">
        <v>589</v>
      </c>
    </row>
    <row r="684" spans="1:7" x14ac:dyDescent="0.25">
      <c r="A684" s="18">
        <v>32</v>
      </c>
      <c r="B684" s="18">
        <v>25201</v>
      </c>
      <c r="C684" s="20">
        <v>1</v>
      </c>
      <c r="D684" s="18" t="s">
        <v>1001</v>
      </c>
      <c r="E684" s="18" t="s">
        <v>1002</v>
      </c>
      <c r="F684" s="19">
        <v>589</v>
      </c>
      <c r="G684" s="19">
        <v>609</v>
      </c>
    </row>
    <row r="685" spans="1:7" x14ac:dyDescent="0.25">
      <c r="A685" s="18">
        <v>32</v>
      </c>
      <c r="B685" s="18">
        <v>25201</v>
      </c>
      <c r="C685" s="20">
        <v>1</v>
      </c>
      <c r="D685" s="18" t="s">
        <v>1002</v>
      </c>
      <c r="E685" s="18" t="s">
        <v>1003</v>
      </c>
      <c r="F685" s="19">
        <v>610</v>
      </c>
      <c r="G685" s="19">
        <v>653</v>
      </c>
    </row>
    <row r="686" spans="1:7" x14ac:dyDescent="0.25">
      <c r="A686" s="18">
        <v>32</v>
      </c>
      <c r="B686" s="18">
        <v>25201</v>
      </c>
      <c r="C686" s="20">
        <v>2</v>
      </c>
      <c r="D686" s="18" t="s">
        <v>1003</v>
      </c>
      <c r="E686" s="18" t="s">
        <v>1003</v>
      </c>
      <c r="F686" s="19">
        <v>653</v>
      </c>
      <c r="G686" s="19">
        <v>654</v>
      </c>
    </row>
    <row r="687" spans="1:7" x14ac:dyDescent="0.25">
      <c r="A687" s="18">
        <v>32</v>
      </c>
      <c r="B687" s="18">
        <v>25201</v>
      </c>
      <c r="C687" s="20">
        <v>1</v>
      </c>
      <c r="D687" s="18" t="s">
        <v>1003</v>
      </c>
      <c r="E687" s="18" t="s">
        <v>1003</v>
      </c>
      <c r="F687" s="19">
        <v>654</v>
      </c>
      <c r="G687" s="19">
        <v>654</v>
      </c>
    </row>
  </sheetData>
  <pageMargins left="0.7" right="0.7" top="0.75" bottom="0.75" header="0.3" footer="0.3"/>
  <pageSetup paperSize="9" orientation="portrait" horizontalDpi="300" r:id="rId1"/>
  <ignoredErrors>
    <ignoredError sqref="C126:C613 C3:C80 C82 C112:C125 C84:C111" numberStoredAsText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/>
  <dimension ref="A1:AP688"/>
  <sheetViews>
    <sheetView zoomScale="85" zoomScaleNormal="85" workbookViewId="0">
      <selection activeCell="L3" sqref="L3:AH688"/>
    </sheetView>
  </sheetViews>
  <sheetFormatPr defaultRowHeight="15" x14ac:dyDescent="0.25"/>
  <cols>
    <col min="1" max="1" width="6" customWidth="1"/>
    <col min="2" max="2" width="10.85546875" customWidth="1"/>
    <col min="4" max="4" width="47.85546875" customWidth="1"/>
    <col min="5" max="5" width="8.5703125" customWidth="1"/>
    <col min="11" max="11" width="6.7109375" customWidth="1"/>
    <col min="12" max="12" width="10.5703125" customWidth="1"/>
    <col min="13" max="13" width="6.7109375" customWidth="1"/>
    <col min="14" max="19" width="11.5703125" bestFit="1" customWidth="1"/>
    <col min="20" max="45" width="6.7109375" customWidth="1"/>
  </cols>
  <sheetData>
    <row r="1" spans="1:42" x14ac:dyDescent="0.25">
      <c r="A1" s="40" t="s">
        <v>17</v>
      </c>
      <c r="B1" s="40" t="s">
        <v>473</v>
      </c>
      <c r="C1" s="41" t="s">
        <v>451</v>
      </c>
      <c r="D1" s="40" t="s">
        <v>454</v>
      </c>
      <c r="E1" s="42" t="s">
        <v>879</v>
      </c>
      <c r="F1" s="32" t="s">
        <v>455</v>
      </c>
      <c r="G1" s="32"/>
      <c r="H1" s="32"/>
      <c r="I1" s="32"/>
      <c r="J1" s="44" t="s">
        <v>880</v>
      </c>
      <c r="K1" s="32" t="s">
        <v>460</v>
      </c>
      <c r="L1" s="32" t="s">
        <v>960</v>
      </c>
      <c r="M1" s="13"/>
      <c r="N1" s="13" t="s">
        <v>461</v>
      </c>
      <c r="O1" s="13" t="s">
        <v>462</v>
      </c>
      <c r="P1" s="13" t="s">
        <v>463</v>
      </c>
      <c r="Q1" s="13" t="s">
        <v>464</v>
      </c>
      <c r="R1" s="13" t="s">
        <v>465</v>
      </c>
      <c r="S1" s="13" t="s">
        <v>469</v>
      </c>
      <c r="T1" s="32" t="s">
        <v>461</v>
      </c>
      <c r="U1" s="32"/>
      <c r="V1" s="32"/>
      <c r="W1" s="32" t="s">
        <v>462</v>
      </c>
      <c r="X1" s="32"/>
      <c r="Y1" s="32"/>
      <c r="Z1" s="32" t="s">
        <v>463</v>
      </c>
      <c r="AA1" s="32"/>
      <c r="AB1" s="32"/>
      <c r="AC1" s="32" t="s">
        <v>464</v>
      </c>
      <c r="AD1" s="32"/>
      <c r="AE1" s="32"/>
      <c r="AF1" s="32" t="s">
        <v>465</v>
      </c>
      <c r="AG1" s="32"/>
      <c r="AH1" s="32"/>
      <c r="AI1" s="32" t="s">
        <v>469</v>
      </c>
      <c r="AJ1" s="32"/>
      <c r="AK1" s="32"/>
      <c r="AL1" s="32" t="s">
        <v>470</v>
      </c>
      <c r="AM1" s="32"/>
      <c r="AN1" s="32"/>
      <c r="AO1" s="32" t="s">
        <v>471</v>
      </c>
      <c r="AP1" s="32" t="s">
        <v>472</v>
      </c>
    </row>
    <row r="2" spans="1:42" x14ac:dyDescent="0.25">
      <c r="A2" s="40"/>
      <c r="B2" s="40"/>
      <c r="C2" s="41"/>
      <c r="D2" s="40"/>
      <c r="E2" s="43"/>
      <c r="F2" s="13" t="s">
        <v>456</v>
      </c>
      <c r="G2" s="13" t="s">
        <v>457</v>
      </c>
      <c r="H2" s="13" t="s">
        <v>458</v>
      </c>
      <c r="I2" s="13" t="s">
        <v>459</v>
      </c>
      <c r="J2" s="45"/>
      <c r="K2" s="32"/>
      <c r="L2" s="32"/>
      <c r="M2" s="13"/>
      <c r="N2" s="13" t="s">
        <v>470</v>
      </c>
      <c r="O2" s="13" t="s">
        <v>470</v>
      </c>
      <c r="P2" s="13" t="s">
        <v>470</v>
      </c>
      <c r="Q2" s="13" t="s">
        <v>470</v>
      </c>
      <c r="R2" s="13" t="s">
        <v>470</v>
      </c>
      <c r="S2" s="13" t="s">
        <v>470</v>
      </c>
      <c r="T2" s="13" t="s">
        <v>466</v>
      </c>
      <c r="U2" s="13" t="s">
        <v>467</v>
      </c>
      <c r="V2" s="13" t="s">
        <v>468</v>
      </c>
      <c r="W2" s="13" t="s">
        <v>466</v>
      </c>
      <c r="X2" s="13" t="s">
        <v>467</v>
      </c>
      <c r="Y2" s="13" t="s">
        <v>468</v>
      </c>
      <c r="Z2" s="13" t="s">
        <v>466</v>
      </c>
      <c r="AA2" s="13" t="s">
        <v>467</v>
      </c>
      <c r="AB2" s="13" t="s">
        <v>468</v>
      </c>
      <c r="AC2" s="13" t="s">
        <v>466</v>
      </c>
      <c r="AD2" s="13" t="s">
        <v>467</v>
      </c>
      <c r="AE2" s="13" t="s">
        <v>468</v>
      </c>
      <c r="AF2" s="13" t="s">
        <v>466</v>
      </c>
      <c r="AG2" s="13" t="s">
        <v>467</v>
      </c>
      <c r="AH2" s="13" t="s">
        <v>468</v>
      </c>
      <c r="AI2" s="13" t="s">
        <v>466</v>
      </c>
      <c r="AJ2" s="13" t="s">
        <v>467</v>
      </c>
      <c r="AK2" s="13" t="s">
        <v>468</v>
      </c>
      <c r="AL2" s="13" t="s">
        <v>466</v>
      </c>
      <c r="AM2" s="13" t="s">
        <v>467</v>
      </c>
      <c r="AN2" s="13" t="s">
        <v>468</v>
      </c>
      <c r="AO2" s="32"/>
      <c r="AP2" s="32"/>
    </row>
    <row r="3" spans="1:42" x14ac:dyDescent="0.25">
      <c r="A3" s="31">
        <v>1</v>
      </c>
      <c r="B3" s="31">
        <v>13808</v>
      </c>
      <c r="C3" s="31" t="s">
        <v>453</v>
      </c>
      <c r="D3" s="31" t="s">
        <v>474</v>
      </c>
      <c r="E3" s="31"/>
      <c r="F3" s="31">
        <v>0</v>
      </c>
      <c r="G3" s="31">
        <v>0</v>
      </c>
      <c r="H3" s="31">
        <v>0</v>
      </c>
      <c r="I3" s="31">
        <v>0</v>
      </c>
      <c r="J3" s="31">
        <v>0</v>
      </c>
      <c r="K3" s="31" t="s">
        <v>882</v>
      </c>
      <c r="L3" s="2" t="str">
        <f t="shared" ref="L3:L65" si="0">IF($M3=N3,$N$1,IF($M3=O3,$O$1,IF($M3=P3,$P$1,IF($M3=Q3,$Q$1,IF($M3=R3,$R$1,$S$1)))))</f>
        <v>Рихтовка</v>
      </c>
      <c r="M3" s="12">
        <f t="shared" ref="M3:M65" si="1">MAX(N3,O3,P3,Q3,R3,S3)</f>
        <v>0</v>
      </c>
      <c r="N3" s="12">
        <f t="shared" ref="N3:N65" si="2">T3+U3+V3</f>
        <v>0</v>
      </c>
      <c r="O3" s="12">
        <f t="shared" ref="O3:O65" si="3">W3+X3+Y3</f>
        <v>0</v>
      </c>
      <c r="P3" s="12">
        <f t="shared" ref="P3:P65" si="4">Z3+AA3+AB3</f>
        <v>0</v>
      </c>
      <c r="Q3" s="12">
        <f t="shared" ref="Q3:Q65" si="5">AC3+AD3+AE3</f>
        <v>0</v>
      </c>
      <c r="R3" s="12">
        <f t="shared" ref="R3:R65" si="6">AF3+AG3+AH3</f>
        <v>0</v>
      </c>
      <c r="S3" s="12">
        <f t="shared" ref="S3:S65" si="7">AI3+AJ3+AK3</f>
        <v>0</v>
      </c>
      <c r="T3" s="31">
        <v>0</v>
      </c>
      <c r="U3" s="31">
        <v>0</v>
      </c>
      <c r="V3" s="31">
        <v>0</v>
      </c>
      <c r="W3" s="31">
        <v>0</v>
      </c>
      <c r="X3" s="31">
        <v>0</v>
      </c>
      <c r="Y3" s="31">
        <v>0</v>
      </c>
      <c r="Z3" s="31">
        <v>0</v>
      </c>
      <c r="AA3" s="31">
        <v>0</v>
      </c>
      <c r="AB3" s="31">
        <v>0</v>
      </c>
      <c r="AC3" s="31">
        <v>0</v>
      </c>
      <c r="AD3" s="31">
        <v>0</v>
      </c>
      <c r="AE3" s="31">
        <v>0</v>
      </c>
      <c r="AF3" s="31">
        <v>0</v>
      </c>
      <c r="AG3" s="31">
        <v>0</v>
      </c>
      <c r="AH3" s="31">
        <v>0</v>
      </c>
      <c r="AI3" s="31">
        <v>0</v>
      </c>
      <c r="AJ3" s="31">
        <v>0</v>
      </c>
      <c r="AK3" s="31">
        <v>0</v>
      </c>
      <c r="AL3" s="31">
        <v>0</v>
      </c>
      <c r="AM3" s="31">
        <v>0</v>
      </c>
      <c r="AN3" s="31">
        <v>0</v>
      </c>
      <c r="AO3" s="31">
        <v>0</v>
      </c>
      <c r="AP3" s="31">
        <v>0</v>
      </c>
    </row>
    <row r="4" spans="1:42" x14ac:dyDescent="0.25">
      <c r="A4" s="31">
        <v>1</v>
      </c>
      <c r="B4" s="31">
        <v>13808</v>
      </c>
      <c r="C4" s="31">
        <v>1</v>
      </c>
      <c r="D4" s="31" t="s">
        <v>475</v>
      </c>
      <c r="E4" s="31"/>
      <c r="F4" s="31">
        <v>0</v>
      </c>
      <c r="G4" s="31">
        <v>0</v>
      </c>
      <c r="H4" s="31">
        <v>0</v>
      </c>
      <c r="I4" s="31">
        <v>0</v>
      </c>
      <c r="J4" s="31">
        <v>0</v>
      </c>
      <c r="K4" s="31" t="s">
        <v>882</v>
      </c>
      <c r="L4" s="2" t="str">
        <f t="shared" si="0"/>
        <v>Рихтовка</v>
      </c>
      <c r="M4" s="12">
        <f t="shared" si="1"/>
        <v>0</v>
      </c>
      <c r="N4" s="12">
        <f t="shared" si="2"/>
        <v>0</v>
      </c>
      <c r="O4" s="12">
        <f t="shared" si="3"/>
        <v>0</v>
      </c>
      <c r="P4" s="12">
        <f t="shared" si="4"/>
        <v>0</v>
      </c>
      <c r="Q4" s="12">
        <f t="shared" si="5"/>
        <v>0</v>
      </c>
      <c r="R4" s="12">
        <f t="shared" si="6"/>
        <v>0</v>
      </c>
      <c r="S4" s="12">
        <f t="shared" si="7"/>
        <v>0</v>
      </c>
      <c r="T4" s="31">
        <v>0</v>
      </c>
      <c r="U4" s="31">
        <v>0</v>
      </c>
      <c r="V4" s="31">
        <v>0</v>
      </c>
      <c r="W4" s="31">
        <v>0</v>
      </c>
      <c r="X4" s="31">
        <v>0</v>
      </c>
      <c r="Y4" s="31">
        <v>0</v>
      </c>
      <c r="Z4" s="31">
        <v>0</v>
      </c>
      <c r="AA4" s="31">
        <v>0</v>
      </c>
      <c r="AB4" s="31">
        <v>0</v>
      </c>
      <c r="AC4" s="31">
        <v>0</v>
      </c>
      <c r="AD4" s="31">
        <v>0</v>
      </c>
      <c r="AE4" s="31">
        <v>0</v>
      </c>
      <c r="AF4" s="31">
        <v>0</v>
      </c>
      <c r="AG4" s="31">
        <v>0</v>
      </c>
      <c r="AH4" s="31">
        <v>0</v>
      </c>
      <c r="AI4" s="31">
        <v>0</v>
      </c>
      <c r="AJ4" s="31">
        <v>0</v>
      </c>
      <c r="AK4" s="31">
        <v>0</v>
      </c>
      <c r="AL4" s="31">
        <v>0</v>
      </c>
      <c r="AM4" s="31">
        <v>0</v>
      </c>
      <c r="AN4" s="31">
        <v>0</v>
      </c>
      <c r="AO4" s="31">
        <v>0</v>
      </c>
      <c r="AP4" s="31">
        <v>0</v>
      </c>
    </row>
    <row r="5" spans="1:42" x14ac:dyDescent="0.25">
      <c r="A5" s="31">
        <v>1</v>
      </c>
      <c r="B5" s="31">
        <v>13808</v>
      </c>
      <c r="C5" s="31">
        <v>1</v>
      </c>
      <c r="D5" s="31" t="s">
        <v>476</v>
      </c>
      <c r="E5" s="31"/>
      <c r="F5" s="31">
        <v>0</v>
      </c>
      <c r="G5" s="31">
        <v>0</v>
      </c>
      <c r="H5" s="31">
        <v>0</v>
      </c>
      <c r="I5" s="31">
        <v>0</v>
      </c>
      <c r="J5" s="31">
        <v>0</v>
      </c>
      <c r="K5" s="31" t="s">
        <v>882</v>
      </c>
      <c r="L5" s="2" t="str">
        <f t="shared" si="0"/>
        <v>Рихтовка</v>
      </c>
      <c r="M5" s="12">
        <f t="shared" si="1"/>
        <v>0</v>
      </c>
      <c r="N5" s="12">
        <f t="shared" si="2"/>
        <v>0</v>
      </c>
      <c r="O5" s="12">
        <f t="shared" si="3"/>
        <v>0</v>
      </c>
      <c r="P5" s="12">
        <f t="shared" si="4"/>
        <v>0</v>
      </c>
      <c r="Q5" s="12">
        <f t="shared" si="5"/>
        <v>0</v>
      </c>
      <c r="R5" s="12">
        <f t="shared" si="6"/>
        <v>0</v>
      </c>
      <c r="S5" s="12">
        <f t="shared" si="7"/>
        <v>0</v>
      </c>
      <c r="T5" s="31">
        <v>0</v>
      </c>
      <c r="U5" s="31">
        <v>0</v>
      </c>
      <c r="V5" s="31">
        <v>0</v>
      </c>
      <c r="W5" s="31">
        <v>0</v>
      </c>
      <c r="X5" s="31">
        <v>0</v>
      </c>
      <c r="Y5" s="31">
        <v>0</v>
      </c>
      <c r="Z5" s="31">
        <v>0</v>
      </c>
      <c r="AA5" s="31">
        <v>0</v>
      </c>
      <c r="AB5" s="31">
        <v>0</v>
      </c>
      <c r="AC5" s="31">
        <v>0</v>
      </c>
      <c r="AD5" s="31">
        <v>0</v>
      </c>
      <c r="AE5" s="31">
        <v>0</v>
      </c>
      <c r="AF5" s="31">
        <v>0</v>
      </c>
      <c r="AG5" s="31">
        <v>0</v>
      </c>
      <c r="AH5" s="31">
        <v>0</v>
      </c>
      <c r="AI5" s="31">
        <v>0</v>
      </c>
      <c r="AJ5" s="31">
        <v>0</v>
      </c>
      <c r="AK5" s="31">
        <v>0</v>
      </c>
      <c r="AL5" s="31">
        <v>0</v>
      </c>
      <c r="AM5" s="31">
        <v>0</v>
      </c>
      <c r="AN5" s="31">
        <v>0</v>
      </c>
      <c r="AO5" s="31">
        <v>0</v>
      </c>
      <c r="AP5" s="31">
        <v>0</v>
      </c>
    </row>
    <row r="6" spans="1:42" x14ac:dyDescent="0.25">
      <c r="A6" s="31">
        <v>1</v>
      </c>
      <c r="B6" s="31">
        <v>13808</v>
      </c>
      <c r="C6" s="31">
        <v>1</v>
      </c>
      <c r="D6" s="31" t="s">
        <v>477</v>
      </c>
      <c r="E6" s="31"/>
      <c r="F6" s="31">
        <v>0</v>
      </c>
      <c r="G6" s="31">
        <v>0</v>
      </c>
      <c r="H6" s="31">
        <v>0</v>
      </c>
      <c r="I6" s="31">
        <v>0</v>
      </c>
      <c r="J6" s="31">
        <v>0</v>
      </c>
      <c r="K6" s="31" t="s">
        <v>882</v>
      </c>
      <c r="L6" s="2" t="str">
        <f t="shared" si="0"/>
        <v>Рихтовка</v>
      </c>
      <c r="M6" s="12">
        <f t="shared" si="1"/>
        <v>0</v>
      </c>
      <c r="N6" s="12">
        <f t="shared" si="2"/>
        <v>0</v>
      </c>
      <c r="O6" s="12">
        <f t="shared" si="3"/>
        <v>0</v>
      </c>
      <c r="P6" s="12">
        <f t="shared" si="4"/>
        <v>0</v>
      </c>
      <c r="Q6" s="12">
        <f t="shared" si="5"/>
        <v>0</v>
      </c>
      <c r="R6" s="12">
        <f t="shared" si="6"/>
        <v>0</v>
      </c>
      <c r="S6" s="12">
        <f t="shared" si="7"/>
        <v>0</v>
      </c>
      <c r="T6" s="31">
        <v>0</v>
      </c>
      <c r="U6" s="31">
        <v>0</v>
      </c>
      <c r="V6" s="31">
        <v>0</v>
      </c>
      <c r="W6" s="31">
        <v>0</v>
      </c>
      <c r="X6" s="31">
        <v>0</v>
      </c>
      <c r="Y6" s="31">
        <v>0</v>
      </c>
      <c r="Z6" s="31">
        <v>0</v>
      </c>
      <c r="AA6" s="31">
        <v>0</v>
      </c>
      <c r="AB6" s="31">
        <v>0</v>
      </c>
      <c r="AC6" s="31">
        <v>0</v>
      </c>
      <c r="AD6" s="31">
        <v>0</v>
      </c>
      <c r="AE6" s="31">
        <v>0</v>
      </c>
      <c r="AF6" s="31">
        <v>0</v>
      </c>
      <c r="AG6" s="31">
        <v>0</v>
      </c>
      <c r="AH6" s="31">
        <v>0</v>
      </c>
      <c r="AI6" s="31">
        <v>0</v>
      </c>
      <c r="AJ6" s="31">
        <v>0</v>
      </c>
      <c r="AK6" s="31">
        <v>0</v>
      </c>
      <c r="AL6" s="31">
        <v>0</v>
      </c>
      <c r="AM6" s="31">
        <v>0</v>
      </c>
      <c r="AN6" s="31">
        <v>0</v>
      </c>
      <c r="AO6" s="31">
        <v>0</v>
      </c>
      <c r="AP6" s="31">
        <v>0</v>
      </c>
    </row>
    <row r="7" spans="1:42" x14ac:dyDescent="0.25">
      <c r="A7" s="31">
        <v>1</v>
      </c>
      <c r="B7" s="31">
        <v>13808</v>
      </c>
      <c r="C7" s="31">
        <v>1</v>
      </c>
      <c r="D7" s="31" t="s">
        <v>478</v>
      </c>
      <c r="E7" s="31"/>
      <c r="F7" s="31">
        <v>0</v>
      </c>
      <c r="G7" s="31">
        <v>0</v>
      </c>
      <c r="H7" s="31">
        <v>0</v>
      </c>
      <c r="I7" s="31">
        <v>0</v>
      </c>
      <c r="J7" s="31">
        <v>0</v>
      </c>
      <c r="K7" s="31" t="s">
        <v>882</v>
      </c>
      <c r="L7" s="2" t="str">
        <f t="shared" si="0"/>
        <v>Рихтовка</v>
      </c>
      <c r="M7" s="12">
        <f t="shared" si="1"/>
        <v>0</v>
      </c>
      <c r="N7" s="12">
        <f t="shared" si="2"/>
        <v>0</v>
      </c>
      <c r="O7" s="12">
        <f t="shared" si="3"/>
        <v>0</v>
      </c>
      <c r="P7" s="12">
        <f t="shared" si="4"/>
        <v>0</v>
      </c>
      <c r="Q7" s="12">
        <f t="shared" si="5"/>
        <v>0</v>
      </c>
      <c r="R7" s="12">
        <f t="shared" si="6"/>
        <v>0</v>
      </c>
      <c r="S7" s="12">
        <f t="shared" si="7"/>
        <v>0</v>
      </c>
      <c r="T7" s="31">
        <v>0</v>
      </c>
      <c r="U7" s="31">
        <v>0</v>
      </c>
      <c r="V7" s="31">
        <v>0</v>
      </c>
      <c r="W7" s="31">
        <v>0</v>
      </c>
      <c r="X7" s="31">
        <v>0</v>
      </c>
      <c r="Y7" s="31">
        <v>0</v>
      </c>
      <c r="Z7" s="31">
        <v>0</v>
      </c>
      <c r="AA7" s="31">
        <v>0</v>
      </c>
      <c r="AB7" s="31">
        <v>0</v>
      </c>
      <c r="AC7" s="31">
        <v>0</v>
      </c>
      <c r="AD7" s="31">
        <v>0</v>
      </c>
      <c r="AE7" s="31">
        <v>0</v>
      </c>
      <c r="AF7" s="31">
        <v>0</v>
      </c>
      <c r="AG7" s="31">
        <v>0</v>
      </c>
      <c r="AH7" s="31">
        <v>0</v>
      </c>
      <c r="AI7" s="31">
        <v>0</v>
      </c>
      <c r="AJ7" s="31">
        <v>0</v>
      </c>
      <c r="AK7" s="31">
        <v>0</v>
      </c>
      <c r="AL7" s="31">
        <v>0</v>
      </c>
      <c r="AM7" s="31">
        <v>0</v>
      </c>
      <c r="AN7" s="31">
        <v>0</v>
      </c>
      <c r="AO7" s="31">
        <v>0</v>
      </c>
      <c r="AP7" s="31">
        <v>0</v>
      </c>
    </row>
    <row r="8" spans="1:42" x14ac:dyDescent="0.25">
      <c r="A8" s="31">
        <v>1</v>
      </c>
      <c r="B8" s="31">
        <v>13808</v>
      </c>
      <c r="C8" s="31">
        <v>1</v>
      </c>
      <c r="D8" s="31" t="s">
        <v>479</v>
      </c>
      <c r="E8" s="31"/>
      <c r="F8" s="31">
        <v>0</v>
      </c>
      <c r="G8" s="31">
        <v>0</v>
      </c>
      <c r="H8" s="31">
        <v>0</v>
      </c>
      <c r="I8" s="31">
        <v>0</v>
      </c>
      <c r="J8" s="31">
        <v>0</v>
      </c>
      <c r="K8" s="31" t="s">
        <v>882</v>
      </c>
      <c r="L8" s="2" t="str">
        <f t="shared" si="0"/>
        <v>Рихтовка</v>
      </c>
      <c r="M8" s="12">
        <f t="shared" si="1"/>
        <v>0</v>
      </c>
      <c r="N8" s="12">
        <f t="shared" si="2"/>
        <v>0</v>
      </c>
      <c r="O8" s="12">
        <f t="shared" si="3"/>
        <v>0</v>
      </c>
      <c r="P8" s="12">
        <f t="shared" si="4"/>
        <v>0</v>
      </c>
      <c r="Q8" s="12">
        <f t="shared" si="5"/>
        <v>0</v>
      </c>
      <c r="R8" s="12">
        <f t="shared" si="6"/>
        <v>0</v>
      </c>
      <c r="S8" s="12">
        <f t="shared" si="7"/>
        <v>0</v>
      </c>
      <c r="T8" s="31">
        <v>0</v>
      </c>
      <c r="U8" s="31">
        <v>0</v>
      </c>
      <c r="V8" s="31">
        <v>0</v>
      </c>
      <c r="W8" s="31">
        <v>0</v>
      </c>
      <c r="X8" s="31">
        <v>0</v>
      </c>
      <c r="Y8" s="31">
        <v>0</v>
      </c>
      <c r="Z8" s="31">
        <v>0</v>
      </c>
      <c r="AA8" s="31">
        <v>0</v>
      </c>
      <c r="AB8" s="31">
        <v>0</v>
      </c>
      <c r="AC8" s="31">
        <v>0</v>
      </c>
      <c r="AD8" s="31">
        <v>0</v>
      </c>
      <c r="AE8" s="31">
        <v>0</v>
      </c>
      <c r="AF8" s="31">
        <v>0</v>
      </c>
      <c r="AG8" s="31">
        <v>0</v>
      </c>
      <c r="AH8" s="31">
        <v>0</v>
      </c>
      <c r="AI8" s="31">
        <v>0</v>
      </c>
      <c r="AJ8" s="31">
        <v>0</v>
      </c>
      <c r="AK8" s="31">
        <v>0</v>
      </c>
      <c r="AL8" s="31">
        <v>0</v>
      </c>
      <c r="AM8" s="31">
        <v>0</v>
      </c>
      <c r="AN8" s="31">
        <v>0</v>
      </c>
      <c r="AO8" s="31">
        <v>0</v>
      </c>
      <c r="AP8" s="31">
        <v>0</v>
      </c>
    </row>
    <row r="9" spans="1:42" x14ac:dyDescent="0.25">
      <c r="A9" s="31">
        <v>1</v>
      </c>
      <c r="B9" s="31">
        <v>13808</v>
      </c>
      <c r="C9" s="31">
        <v>1</v>
      </c>
      <c r="D9" s="31" t="s">
        <v>480</v>
      </c>
      <c r="E9" s="31"/>
      <c r="F9" s="31">
        <v>0</v>
      </c>
      <c r="G9" s="31">
        <v>0</v>
      </c>
      <c r="H9" s="31">
        <v>0</v>
      </c>
      <c r="I9" s="31">
        <v>0</v>
      </c>
      <c r="J9" s="31">
        <v>0</v>
      </c>
      <c r="K9" s="31" t="s">
        <v>882</v>
      </c>
      <c r="L9" s="2" t="str">
        <f t="shared" si="0"/>
        <v>Рихтовка</v>
      </c>
      <c r="M9" s="12">
        <f t="shared" si="1"/>
        <v>0</v>
      </c>
      <c r="N9" s="12">
        <f t="shared" si="2"/>
        <v>0</v>
      </c>
      <c r="O9" s="12">
        <f t="shared" si="3"/>
        <v>0</v>
      </c>
      <c r="P9" s="12">
        <f t="shared" si="4"/>
        <v>0</v>
      </c>
      <c r="Q9" s="12">
        <f t="shared" si="5"/>
        <v>0</v>
      </c>
      <c r="R9" s="12">
        <f t="shared" si="6"/>
        <v>0</v>
      </c>
      <c r="S9" s="12">
        <f t="shared" si="7"/>
        <v>0</v>
      </c>
      <c r="T9" s="31">
        <v>0</v>
      </c>
      <c r="U9" s="31">
        <v>0</v>
      </c>
      <c r="V9" s="31">
        <v>0</v>
      </c>
      <c r="W9" s="31">
        <v>0</v>
      </c>
      <c r="X9" s="31">
        <v>0</v>
      </c>
      <c r="Y9" s="31">
        <v>0</v>
      </c>
      <c r="Z9" s="31">
        <v>0</v>
      </c>
      <c r="AA9" s="31">
        <v>0</v>
      </c>
      <c r="AB9" s="31">
        <v>0</v>
      </c>
      <c r="AC9" s="31">
        <v>0</v>
      </c>
      <c r="AD9" s="31">
        <v>0</v>
      </c>
      <c r="AE9" s="31">
        <v>0</v>
      </c>
      <c r="AF9" s="31">
        <v>0</v>
      </c>
      <c r="AG9" s="31">
        <v>0</v>
      </c>
      <c r="AH9" s="31">
        <v>0</v>
      </c>
      <c r="AI9" s="31">
        <v>0</v>
      </c>
      <c r="AJ9" s="31">
        <v>0</v>
      </c>
      <c r="AK9" s="31">
        <v>0</v>
      </c>
      <c r="AL9" s="31">
        <v>0</v>
      </c>
      <c r="AM9" s="31">
        <v>0</v>
      </c>
      <c r="AN9" s="31">
        <v>0</v>
      </c>
      <c r="AO9" s="31">
        <v>0</v>
      </c>
      <c r="AP9" s="31">
        <v>0</v>
      </c>
    </row>
    <row r="10" spans="1:42" x14ac:dyDescent="0.25">
      <c r="A10" s="31">
        <v>1</v>
      </c>
      <c r="B10" s="31">
        <v>13808</v>
      </c>
      <c r="C10" s="31">
        <v>1</v>
      </c>
      <c r="D10" s="31" t="s">
        <v>481</v>
      </c>
      <c r="E10" s="31"/>
      <c r="F10" s="31">
        <v>0</v>
      </c>
      <c r="G10" s="31">
        <v>0</v>
      </c>
      <c r="H10" s="31">
        <v>0</v>
      </c>
      <c r="I10" s="31">
        <v>0</v>
      </c>
      <c r="J10" s="31">
        <v>0</v>
      </c>
      <c r="K10" s="31" t="s">
        <v>882</v>
      </c>
      <c r="L10" s="2" t="str">
        <f t="shared" si="0"/>
        <v>Рихтовка</v>
      </c>
      <c r="M10" s="12">
        <f t="shared" si="1"/>
        <v>0</v>
      </c>
      <c r="N10" s="12">
        <f t="shared" si="2"/>
        <v>0</v>
      </c>
      <c r="O10" s="12">
        <f t="shared" si="3"/>
        <v>0</v>
      </c>
      <c r="P10" s="12">
        <f t="shared" si="4"/>
        <v>0</v>
      </c>
      <c r="Q10" s="12">
        <f t="shared" si="5"/>
        <v>0</v>
      </c>
      <c r="R10" s="12">
        <f t="shared" si="6"/>
        <v>0</v>
      </c>
      <c r="S10" s="12">
        <f t="shared" si="7"/>
        <v>0</v>
      </c>
      <c r="T10" s="31">
        <v>0</v>
      </c>
      <c r="U10" s="31">
        <v>0</v>
      </c>
      <c r="V10" s="31">
        <v>0</v>
      </c>
      <c r="W10" s="31">
        <v>0</v>
      </c>
      <c r="X10" s="31">
        <v>0</v>
      </c>
      <c r="Y10" s="31">
        <v>0</v>
      </c>
      <c r="Z10" s="31">
        <v>0</v>
      </c>
      <c r="AA10" s="31">
        <v>0</v>
      </c>
      <c r="AB10" s="31">
        <v>0</v>
      </c>
      <c r="AC10" s="31">
        <v>0</v>
      </c>
      <c r="AD10" s="31">
        <v>0</v>
      </c>
      <c r="AE10" s="31">
        <v>0</v>
      </c>
      <c r="AF10" s="31">
        <v>0</v>
      </c>
      <c r="AG10" s="31">
        <v>0</v>
      </c>
      <c r="AH10" s="31">
        <v>0</v>
      </c>
      <c r="AI10" s="31">
        <v>0</v>
      </c>
      <c r="AJ10" s="31">
        <v>0</v>
      </c>
      <c r="AK10" s="31">
        <v>0</v>
      </c>
      <c r="AL10" s="31">
        <v>0</v>
      </c>
      <c r="AM10" s="31">
        <v>0</v>
      </c>
      <c r="AN10" s="31">
        <v>0</v>
      </c>
      <c r="AO10" s="31">
        <v>0</v>
      </c>
      <c r="AP10" s="31">
        <v>0</v>
      </c>
    </row>
    <row r="11" spans="1:42" x14ac:dyDescent="0.25">
      <c r="A11" s="31">
        <v>1</v>
      </c>
      <c r="B11" s="31">
        <v>13808</v>
      </c>
      <c r="C11" s="31">
        <v>1</v>
      </c>
      <c r="D11" s="31" t="s">
        <v>482</v>
      </c>
      <c r="E11" s="31"/>
      <c r="F11" s="31">
        <v>0</v>
      </c>
      <c r="G11" s="31">
        <v>0</v>
      </c>
      <c r="H11" s="31">
        <v>0</v>
      </c>
      <c r="I11" s="31">
        <v>0</v>
      </c>
      <c r="J11" s="31">
        <v>0</v>
      </c>
      <c r="K11" s="31" t="s">
        <v>882</v>
      </c>
      <c r="L11" s="2" t="str">
        <f t="shared" si="0"/>
        <v>Рихтовка</v>
      </c>
      <c r="M11" s="12">
        <f t="shared" si="1"/>
        <v>0</v>
      </c>
      <c r="N11" s="12">
        <f t="shared" si="2"/>
        <v>0</v>
      </c>
      <c r="O11" s="12">
        <f t="shared" si="3"/>
        <v>0</v>
      </c>
      <c r="P11" s="12">
        <f t="shared" si="4"/>
        <v>0</v>
      </c>
      <c r="Q11" s="12">
        <f t="shared" si="5"/>
        <v>0</v>
      </c>
      <c r="R11" s="12">
        <f t="shared" si="6"/>
        <v>0</v>
      </c>
      <c r="S11" s="12">
        <f t="shared" si="7"/>
        <v>0</v>
      </c>
      <c r="T11" s="31">
        <v>0</v>
      </c>
      <c r="U11" s="31">
        <v>0</v>
      </c>
      <c r="V11" s="31">
        <v>0</v>
      </c>
      <c r="W11" s="31">
        <v>0</v>
      </c>
      <c r="X11" s="31">
        <v>0</v>
      </c>
      <c r="Y11" s="31">
        <v>0</v>
      </c>
      <c r="Z11" s="31">
        <v>0</v>
      </c>
      <c r="AA11" s="31">
        <v>0</v>
      </c>
      <c r="AB11" s="31">
        <v>0</v>
      </c>
      <c r="AC11" s="31">
        <v>0</v>
      </c>
      <c r="AD11" s="31">
        <v>0</v>
      </c>
      <c r="AE11" s="31">
        <v>0</v>
      </c>
      <c r="AF11" s="31">
        <v>0</v>
      </c>
      <c r="AG11" s="31">
        <v>0</v>
      </c>
      <c r="AH11" s="31">
        <v>0</v>
      </c>
      <c r="AI11" s="31">
        <v>0</v>
      </c>
      <c r="AJ11" s="31">
        <v>0</v>
      </c>
      <c r="AK11" s="31">
        <v>0</v>
      </c>
      <c r="AL11" s="31">
        <v>0</v>
      </c>
      <c r="AM11" s="31">
        <v>0</v>
      </c>
      <c r="AN11" s="31">
        <v>0</v>
      </c>
      <c r="AO11" s="31">
        <v>0</v>
      </c>
      <c r="AP11" s="31">
        <v>0</v>
      </c>
    </row>
    <row r="12" spans="1:42" x14ac:dyDescent="0.25">
      <c r="A12" s="31">
        <v>1</v>
      </c>
      <c r="B12" s="31">
        <v>13808</v>
      </c>
      <c r="C12" s="31">
        <v>1</v>
      </c>
      <c r="D12" s="31" t="s">
        <v>483</v>
      </c>
      <c r="E12" s="31"/>
      <c r="F12" s="31">
        <v>0</v>
      </c>
      <c r="G12" s="31">
        <v>0</v>
      </c>
      <c r="H12" s="31">
        <v>0</v>
      </c>
      <c r="I12" s="31">
        <v>0</v>
      </c>
      <c r="J12" s="31">
        <v>0</v>
      </c>
      <c r="K12" s="31" t="s">
        <v>882</v>
      </c>
      <c r="L12" s="2" t="str">
        <f t="shared" si="0"/>
        <v>Рихтовка</v>
      </c>
      <c r="M12" s="12">
        <f t="shared" si="1"/>
        <v>0</v>
      </c>
      <c r="N12" s="12">
        <f t="shared" si="2"/>
        <v>0</v>
      </c>
      <c r="O12" s="12">
        <f t="shared" si="3"/>
        <v>0</v>
      </c>
      <c r="P12" s="12">
        <f t="shared" si="4"/>
        <v>0</v>
      </c>
      <c r="Q12" s="12">
        <f t="shared" si="5"/>
        <v>0</v>
      </c>
      <c r="R12" s="12">
        <f t="shared" si="6"/>
        <v>0</v>
      </c>
      <c r="S12" s="12">
        <f t="shared" si="7"/>
        <v>0</v>
      </c>
      <c r="T12" s="31">
        <v>0</v>
      </c>
      <c r="U12" s="31">
        <v>0</v>
      </c>
      <c r="V12" s="31">
        <v>0</v>
      </c>
      <c r="W12" s="31">
        <v>0</v>
      </c>
      <c r="X12" s="31">
        <v>0</v>
      </c>
      <c r="Y12" s="31">
        <v>0</v>
      </c>
      <c r="Z12" s="31">
        <v>0</v>
      </c>
      <c r="AA12" s="31">
        <v>0</v>
      </c>
      <c r="AB12" s="31">
        <v>0</v>
      </c>
      <c r="AC12" s="31">
        <v>0</v>
      </c>
      <c r="AD12" s="31">
        <v>0</v>
      </c>
      <c r="AE12" s="31">
        <v>0</v>
      </c>
      <c r="AF12" s="31">
        <v>0</v>
      </c>
      <c r="AG12" s="31">
        <v>0</v>
      </c>
      <c r="AH12" s="31">
        <v>0</v>
      </c>
      <c r="AI12" s="31">
        <v>0</v>
      </c>
      <c r="AJ12" s="31">
        <v>0</v>
      </c>
      <c r="AK12" s="31">
        <v>0</v>
      </c>
      <c r="AL12" s="31">
        <v>0</v>
      </c>
      <c r="AM12" s="31">
        <v>0</v>
      </c>
      <c r="AN12" s="31">
        <v>0</v>
      </c>
      <c r="AO12" s="31">
        <v>0</v>
      </c>
      <c r="AP12" s="31">
        <v>0</v>
      </c>
    </row>
    <row r="13" spans="1:42" x14ac:dyDescent="0.25">
      <c r="A13" s="31">
        <v>1</v>
      </c>
      <c r="B13" s="31">
        <v>13808</v>
      </c>
      <c r="C13" s="31">
        <v>1</v>
      </c>
      <c r="D13" s="31" t="s">
        <v>484</v>
      </c>
      <c r="E13" s="31"/>
      <c r="F13" s="31">
        <v>0</v>
      </c>
      <c r="G13" s="31">
        <v>0</v>
      </c>
      <c r="H13" s="31">
        <v>0</v>
      </c>
      <c r="I13" s="31">
        <v>0</v>
      </c>
      <c r="J13" s="31">
        <v>0</v>
      </c>
      <c r="K13" s="31" t="s">
        <v>882</v>
      </c>
      <c r="L13" s="2" t="str">
        <f t="shared" si="0"/>
        <v>Рихтовка</v>
      </c>
      <c r="M13" s="12">
        <f t="shared" si="1"/>
        <v>0</v>
      </c>
      <c r="N13" s="12">
        <f t="shared" si="2"/>
        <v>0</v>
      </c>
      <c r="O13" s="12">
        <f t="shared" si="3"/>
        <v>0</v>
      </c>
      <c r="P13" s="12">
        <f t="shared" si="4"/>
        <v>0</v>
      </c>
      <c r="Q13" s="12">
        <f t="shared" si="5"/>
        <v>0</v>
      </c>
      <c r="R13" s="12">
        <f t="shared" si="6"/>
        <v>0</v>
      </c>
      <c r="S13" s="12">
        <f t="shared" si="7"/>
        <v>0</v>
      </c>
      <c r="T13" s="31">
        <v>0</v>
      </c>
      <c r="U13" s="31">
        <v>0</v>
      </c>
      <c r="V13" s="31">
        <v>0</v>
      </c>
      <c r="W13" s="31">
        <v>0</v>
      </c>
      <c r="X13" s="31">
        <v>0</v>
      </c>
      <c r="Y13" s="31">
        <v>0</v>
      </c>
      <c r="Z13" s="31">
        <v>0</v>
      </c>
      <c r="AA13" s="31">
        <v>0</v>
      </c>
      <c r="AB13" s="31">
        <v>0</v>
      </c>
      <c r="AC13" s="31">
        <v>0</v>
      </c>
      <c r="AD13" s="31">
        <v>0</v>
      </c>
      <c r="AE13" s="31">
        <v>0</v>
      </c>
      <c r="AF13" s="31">
        <v>0</v>
      </c>
      <c r="AG13" s="31">
        <v>0</v>
      </c>
      <c r="AH13" s="31">
        <v>0</v>
      </c>
      <c r="AI13" s="31">
        <v>0</v>
      </c>
      <c r="AJ13" s="31">
        <v>0</v>
      </c>
      <c r="AK13" s="31">
        <v>0</v>
      </c>
      <c r="AL13" s="31">
        <v>0</v>
      </c>
      <c r="AM13" s="31">
        <v>0</v>
      </c>
      <c r="AN13" s="31">
        <v>0</v>
      </c>
      <c r="AO13" s="31">
        <v>0</v>
      </c>
      <c r="AP13" s="31">
        <v>0</v>
      </c>
    </row>
    <row r="14" spans="1:42" x14ac:dyDescent="0.25">
      <c r="A14" s="31">
        <v>1</v>
      </c>
      <c r="B14" s="31">
        <v>13810</v>
      </c>
      <c r="C14" s="31">
        <v>1</v>
      </c>
      <c r="D14" s="31" t="s">
        <v>485</v>
      </c>
      <c r="E14" s="31"/>
      <c r="F14" s="31">
        <v>0</v>
      </c>
      <c r="G14" s="31">
        <v>0</v>
      </c>
      <c r="H14" s="31">
        <v>0</v>
      </c>
      <c r="I14" s="31">
        <v>0</v>
      </c>
      <c r="J14" s="31">
        <v>0</v>
      </c>
      <c r="K14" s="31" t="s">
        <v>882</v>
      </c>
      <c r="L14" s="2" t="str">
        <f t="shared" si="0"/>
        <v>Рихтовка</v>
      </c>
      <c r="M14" s="12">
        <f t="shared" si="1"/>
        <v>0</v>
      </c>
      <c r="N14" s="12">
        <f t="shared" si="2"/>
        <v>0</v>
      </c>
      <c r="O14" s="12">
        <f t="shared" si="3"/>
        <v>0</v>
      </c>
      <c r="P14" s="12">
        <f t="shared" si="4"/>
        <v>0</v>
      </c>
      <c r="Q14" s="12">
        <f t="shared" si="5"/>
        <v>0</v>
      </c>
      <c r="R14" s="12">
        <f t="shared" si="6"/>
        <v>0</v>
      </c>
      <c r="S14" s="12">
        <f t="shared" si="7"/>
        <v>0</v>
      </c>
      <c r="T14" s="31">
        <v>0</v>
      </c>
      <c r="U14" s="31">
        <v>0</v>
      </c>
      <c r="V14" s="31">
        <v>0</v>
      </c>
      <c r="W14" s="31">
        <v>0</v>
      </c>
      <c r="X14" s="31">
        <v>0</v>
      </c>
      <c r="Y14" s="31">
        <v>0</v>
      </c>
      <c r="Z14" s="31">
        <v>0</v>
      </c>
      <c r="AA14" s="31">
        <v>0</v>
      </c>
      <c r="AB14" s="31">
        <v>0</v>
      </c>
      <c r="AC14" s="31">
        <v>0</v>
      </c>
      <c r="AD14" s="31">
        <v>0</v>
      </c>
      <c r="AE14" s="31">
        <v>0</v>
      </c>
      <c r="AF14" s="31">
        <v>0</v>
      </c>
      <c r="AG14" s="31">
        <v>0</v>
      </c>
      <c r="AH14" s="31">
        <v>0</v>
      </c>
      <c r="AI14" s="31">
        <v>0</v>
      </c>
      <c r="AJ14" s="31">
        <v>0</v>
      </c>
      <c r="AK14" s="31">
        <v>0</v>
      </c>
      <c r="AL14" s="31">
        <v>0</v>
      </c>
      <c r="AM14" s="31">
        <v>0</v>
      </c>
      <c r="AN14" s="31">
        <v>0</v>
      </c>
      <c r="AO14" s="31">
        <v>0</v>
      </c>
      <c r="AP14" s="31">
        <v>0</v>
      </c>
    </row>
    <row r="15" spans="1:42" x14ac:dyDescent="0.25">
      <c r="A15" s="31">
        <v>1</v>
      </c>
      <c r="B15" s="31">
        <v>13808</v>
      </c>
      <c r="C15" s="31">
        <v>1</v>
      </c>
      <c r="D15" s="31" t="s">
        <v>486</v>
      </c>
      <c r="E15" s="31"/>
      <c r="F15" s="31">
        <v>0</v>
      </c>
      <c r="G15" s="31">
        <v>0</v>
      </c>
      <c r="H15" s="31">
        <v>0</v>
      </c>
      <c r="I15" s="31">
        <v>0</v>
      </c>
      <c r="J15" s="31">
        <v>0</v>
      </c>
      <c r="K15" s="31" t="s">
        <v>882</v>
      </c>
      <c r="L15" s="2" t="str">
        <f t="shared" si="0"/>
        <v>Рихтовка</v>
      </c>
      <c r="M15" s="12">
        <f t="shared" si="1"/>
        <v>0</v>
      </c>
      <c r="N15" s="12">
        <f t="shared" si="2"/>
        <v>0</v>
      </c>
      <c r="O15" s="12">
        <f t="shared" si="3"/>
        <v>0</v>
      </c>
      <c r="P15" s="12">
        <f t="shared" si="4"/>
        <v>0</v>
      </c>
      <c r="Q15" s="12">
        <f t="shared" si="5"/>
        <v>0</v>
      </c>
      <c r="R15" s="12">
        <f t="shared" si="6"/>
        <v>0</v>
      </c>
      <c r="S15" s="12">
        <f t="shared" si="7"/>
        <v>0</v>
      </c>
      <c r="T15" s="31">
        <v>0</v>
      </c>
      <c r="U15" s="31">
        <v>0</v>
      </c>
      <c r="V15" s="31">
        <v>0</v>
      </c>
      <c r="W15" s="31">
        <v>0</v>
      </c>
      <c r="X15" s="31">
        <v>0</v>
      </c>
      <c r="Y15" s="31">
        <v>0</v>
      </c>
      <c r="Z15" s="31">
        <v>0</v>
      </c>
      <c r="AA15" s="31">
        <v>0</v>
      </c>
      <c r="AB15" s="31">
        <v>0</v>
      </c>
      <c r="AC15" s="31">
        <v>0</v>
      </c>
      <c r="AD15" s="31">
        <v>0</v>
      </c>
      <c r="AE15" s="31">
        <v>0</v>
      </c>
      <c r="AF15" s="31">
        <v>0</v>
      </c>
      <c r="AG15" s="31">
        <v>0</v>
      </c>
      <c r="AH15" s="31">
        <v>0</v>
      </c>
      <c r="AI15" s="31">
        <v>0</v>
      </c>
      <c r="AJ15" s="31">
        <v>0</v>
      </c>
      <c r="AK15" s="31">
        <v>0</v>
      </c>
      <c r="AL15" s="31">
        <v>0</v>
      </c>
      <c r="AM15" s="31">
        <v>0</v>
      </c>
      <c r="AN15" s="31">
        <v>0</v>
      </c>
      <c r="AO15" s="31">
        <v>0</v>
      </c>
      <c r="AP15" s="31">
        <v>0</v>
      </c>
    </row>
    <row r="16" spans="1:42" x14ac:dyDescent="0.25">
      <c r="A16" s="31">
        <v>1</v>
      </c>
      <c r="B16" s="31">
        <v>13808</v>
      </c>
      <c r="C16" s="31">
        <v>1</v>
      </c>
      <c r="D16" s="31" t="s">
        <v>487</v>
      </c>
      <c r="E16" s="31"/>
      <c r="F16" s="31">
        <v>0</v>
      </c>
      <c r="G16" s="31">
        <v>0</v>
      </c>
      <c r="H16" s="31">
        <v>0</v>
      </c>
      <c r="I16" s="31">
        <v>0</v>
      </c>
      <c r="J16" s="31">
        <v>0</v>
      </c>
      <c r="K16" s="31" t="s">
        <v>882</v>
      </c>
      <c r="L16" s="2" t="str">
        <f t="shared" si="0"/>
        <v>Рихтовка</v>
      </c>
      <c r="M16" s="12">
        <f t="shared" si="1"/>
        <v>0</v>
      </c>
      <c r="N16" s="12">
        <f t="shared" si="2"/>
        <v>0</v>
      </c>
      <c r="O16" s="12">
        <f t="shared" si="3"/>
        <v>0</v>
      </c>
      <c r="P16" s="12">
        <f t="shared" si="4"/>
        <v>0</v>
      </c>
      <c r="Q16" s="12">
        <f t="shared" si="5"/>
        <v>0</v>
      </c>
      <c r="R16" s="12">
        <f t="shared" si="6"/>
        <v>0</v>
      </c>
      <c r="S16" s="12">
        <f t="shared" si="7"/>
        <v>0</v>
      </c>
      <c r="T16" s="31">
        <v>0</v>
      </c>
      <c r="U16" s="31">
        <v>0</v>
      </c>
      <c r="V16" s="31">
        <v>0</v>
      </c>
      <c r="W16" s="31">
        <v>0</v>
      </c>
      <c r="X16" s="31">
        <v>0</v>
      </c>
      <c r="Y16" s="31">
        <v>0</v>
      </c>
      <c r="Z16" s="31">
        <v>0</v>
      </c>
      <c r="AA16" s="31">
        <v>0</v>
      </c>
      <c r="AB16" s="31">
        <v>0</v>
      </c>
      <c r="AC16" s="31">
        <v>0</v>
      </c>
      <c r="AD16" s="31">
        <v>0</v>
      </c>
      <c r="AE16" s="31">
        <v>0</v>
      </c>
      <c r="AF16" s="31">
        <v>0</v>
      </c>
      <c r="AG16" s="31">
        <v>0</v>
      </c>
      <c r="AH16" s="31">
        <v>0</v>
      </c>
      <c r="AI16" s="31">
        <v>0</v>
      </c>
      <c r="AJ16" s="31">
        <v>0</v>
      </c>
      <c r="AK16" s="31">
        <v>0</v>
      </c>
      <c r="AL16" s="31">
        <v>0</v>
      </c>
      <c r="AM16" s="31">
        <v>0</v>
      </c>
      <c r="AN16" s="31">
        <v>0</v>
      </c>
      <c r="AO16" s="31">
        <v>0</v>
      </c>
      <c r="AP16" s="31">
        <v>0</v>
      </c>
    </row>
    <row r="17" spans="1:42" x14ac:dyDescent="0.25">
      <c r="A17" s="31">
        <v>1</v>
      </c>
      <c r="B17" s="31">
        <v>13808</v>
      </c>
      <c r="C17" s="31">
        <v>1</v>
      </c>
      <c r="D17" s="31" t="s">
        <v>488</v>
      </c>
      <c r="E17" s="31"/>
      <c r="F17" s="31">
        <v>0</v>
      </c>
      <c r="G17" s="31">
        <v>0</v>
      </c>
      <c r="H17" s="31">
        <v>0</v>
      </c>
      <c r="I17" s="31">
        <v>0</v>
      </c>
      <c r="J17" s="31">
        <v>0</v>
      </c>
      <c r="K17" s="31" t="s">
        <v>882</v>
      </c>
      <c r="L17" s="2" t="str">
        <f t="shared" si="0"/>
        <v>Рихтовка</v>
      </c>
      <c r="M17" s="12">
        <f t="shared" si="1"/>
        <v>0</v>
      </c>
      <c r="N17" s="12">
        <f t="shared" si="2"/>
        <v>0</v>
      </c>
      <c r="O17" s="12">
        <f t="shared" si="3"/>
        <v>0</v>
      </c>
      <c r="P17" s="12">
        <f t="shared" si="4"/>
        <v>0</v>
      </c>
      <c r="Q17" s="12">
        <f t="shared" si="5"/>
        <v>0</v>
      </c>
      <c r="R17" s="12">
        <f t="shared" si="6"/>
        <v>0</v>
      </c>
      <c r="S17" s="12">
        <f t="shared" si="7"/>
        <v>0</v>
      </c>
      <c r="T17" s="31">
        <v>0</v>
      </c>
      <c r="U17" s="31">
        <v>0</v>
      </c>
      <c r="V17" s="31">
        <v>0</v>
      </c>
      <c r="W17" s="31">
        <v>0</v>
      </c>
      <c r="X17" s="31">
        <v>0</v>
      </c>
      <c r="Y17" s="31">
        <v>0</v>
      </c>
      <c r="Z17" s="31">
        <v>0</v>
      </c>
      <c r="AA17" s="31">
        <v>0</v>
      </c>
      <c r="AB17" s="31">
        <v>0</v>
      </c>
      <c r="AC17" s="31">
        <v>0</v>
      </c>
      <c r="AD17" s="31">
        <v>0</v>
      </c>
      <c r="AE17" s="31">
        <v>0</v>
      </c>
      <c r="AF17" s="31">
        <v>0</v>
      </c>
      <c r="AG17" s="31">
        <v>0</v>
      </c>
      <c r="AH17" s="31">
        <v>0</v>
      </c>
      <c r="AI17" s="31">
        <v>0</v>
      </c>
      <c r="AJ17" s="31">
        <v>0</v>
      </c>
      <c r="AK17" s="31">
        <v>0</v>
      </c>
      <c r="AL17" s="31">
        <v>0</v>
      </c>
      <c r="AM17" s="31">
        <v>0</v>
      </c>
      <c r="AN17" s="31">
        <v>0</v>
      </c>
      <c r="AO17" s="31">
        <v>0</v>
      </c>
      <c r="AP17" s="31">
        <v>0</v>
      </c>
    </row>
    <row r="18" spans="1:42" x14ac:dyDescent="0.25">
      <c r="A18" s="31">
        <v>1</v>
      </c>
      <c r="B18" s="31">
        <v>13808</v>
      </c>
      <c r="C18" s="31">
        <v>1</v>
      </c>
      <c r="D18" s="31" t="s">
        <v>489</v>
      </c>
      <c r="E18" s="31"/>
      <c r="F18" s="31">
        <v>0</v>
      </c>
      <c r="G18" s="31">
        <v>0</v>
      </c>
      <c r="H18" s="31">
        <v>0</v>
      </c>
      <c r="I18" s="31">
        <v>0</v>
      </c>
      <c r="J18" s="31">
        <v>0</v>
      </c>
      <c r="K18" s="31" t="s">
        <v>882</v>
      </c>
      <c r="L18" s="2" t="str">
        <f t="shared" si="0"/>
        <v>Рихтовка</v>
      </c>
      <c r="M18" s="12">
        <f t="shared" si="1"/>
        <v>0</v>
      </c>
      <c r="N18" s="12">
        <f t="shared" si="2"/>
        <v>0</v>
      </c>
      <c r="O18" s="12">
        <f t="shared" si="3"/>
        <v>0</v>
      </c>
      <c r="P18" s="12">
        <f t="shared" si="4"/>
        <v>0</v>
      </c>
      <c r="Q18" s="12">
        <f t="shared" si="5"/>
        <v>0</v>
      </c>
      <c r="R18" s="12">
        <f t="shared" si="6"/>
        <v>0</v>
      </c>
      <c r="S18" s="12">
        <f t="shared" si="7"/>
        <v>0</v>
      </c>
      <c r="T18" s="31">
        <v>0</v>
      </c>
      <c r="U18" s="31">
        <v>0</v>
      </c>
      <c r="V18" s="31">
        <v>0</v>
      </c>
      <c r="W18" s="31">
        <v>0</v>
      </c>
      <c r="X18" s="31">
        <v>0</v>
      </c>
      <c r="Y18" s="31">
        <v>0</v>
      </c>
      <c r="Z18" s="31">
        <v>0</v>
      </c>
      <c r="AA18" s="31">
        <v>0</v>
      </c>
      <c r="AB18" s="31">
        <v>0</v>
      </c>
      <c r="AC18" s="31">
        <v>0</v>
      </c>
      <c r="AD18" s="31">
        <v>0</v>
      </c>
      <c r="AE18" s="31">
        <v>0</v>
      </c>
      <c r="AF18" s="31">
        <v>0</v>
      </c>
      <c r="AG18" s="31">
        <v>0</v>
      </c>
      <c r="AH18" s="31">
        <v>0</v>
      </c>
      <c r="AI18" s="31">
        <v>0</v>
      </c>
      <c r="AJ18" s="31">
        <v>0</v>
      </c>
      <c r="AK18" s="31">
        <v>0</v>
      </c>
      <c r="AL18" s="31">
        <v>0</v>
      </c>
      <c r="AM18" s="31">
        <v>0</v>
      </c>
      <c r="AN18" s="31">
        <v>0</v>
      </c>
      <c r="AO18" s="31">
        <v>0</v>
      </c>
      <c r="AP18" s="31">
        <v>0</v>
      </c>
    </row>
    <row r="19" spans="1:42" x14ac:dyDescent="0.25">
      <c r="A19" s="31">
        <v>1</v>
      </c>
      <c r="B19" s="31">
        <v>13808</v>
      </c>
      <c r="C19" s="31">
        <v>2</v>
      </c>
      <c r="D19" s="31" t="s">
        <v>475</v>
      </c>
      <c r="E19" s="31"/>
      <c r="F19" s="31">
        <v>0</v>
      </c>
      <c r="G19" s="31">
        <v>0</v>
      </c>
      <c r="H19" s="31">
        <v>0</v>
      </c>
      <c r="I19" s="31">
        <v>0</v>
      </c>
      <c r="J19" s="31">
        <v>0</v>
      </c>
      <c r="K19" s="31" t="s">
        <v>882</v>
      </c>
      <c r="L19" s="2" t="str">
        <f t="shared" si="0"/>
        <v>Рихтовка</v>
      </c>
      <c r="M19" s="12">
        <f t="shared" si="1"/>
        <v>0</v>
      </c>
      <c r="N19" s="12">
        <f t="shared" si="2"/>
        <v>0</v>
      </c>
      <c r="O19" s="12">
        <f t="shared" si="3"/>
        <v>0</v>
      </c>
      <c r="P19" s="12">
        <f t="shared" si="4"/>
        <v>0</v>
      </c>
      <c r="Q19" s="12">
        <f t="shared" si="5"/>
        <v>0</v>
      </c>
      <c r="R19" s="12">
        <f t="shared" si="6"/>
        <v>0</v>
      </c>
      <c r="S19" s="12">
        <f t="shared" si="7"/>
        <v>0</v>
      </c>
      <c r="T19" s="31">
        <v>0</v>
      </c>
      <c r="U19" s="31">
        <v>0</v>
      </c>
      <c r="V19" s="31">
        <v>0</v>
      </c>
      <c r="W19" s="31">
        <v>0</v>
      </c>
      <c r="X19" s="31">
        <v>0</v>
      </c>
      <c r="Y19" s="31">
        <v>0</v>
      </c>
      <c r="Z19" s="31">
        <v>0</v>
      </c>
      <c r="AA19" s="31">
        <v>0</v>
      </c>
      <c r="AB19" s="31">
        <v>0</v>
      </c>
      <c r="AC19" s="31">
        <v>0</v>
      </c>
      <c r="AD19" s="31">
        <v>0</v>
      </c>
      <c r="AE19" s="31">
        <v>0</v>
      </c>
      <c r="AF19" s="31">
        <v>0</v>
      </c>
      <c r="AG19" s="31">
        <v>0</v>
      </c>
      <c r="AH19" s="31">
        <v>0</v>
      </c>
      <c r="AI19" s="31">
        <v>0</v>
      </c>
      <c r="AJ19" s="31">
        <v>0</v>
      </c>
      <c r="AK19" s="31">
        <v>0</v>
      </c>
      <c r="AL19" s="31">
        <v>0</v>
      </c>
      <c r="AM19" s="31">
        <v>0</v>
      </c>
      <c r="AN19" s="31">
        <v>0</v>
      </c>
      <c r="AO19" s="31">
        <v>0</v>
      </c>
      <c r="AP19" s="31">
        <v>0</v>
      </c>
    </row>
    <row r="20" spans="1:42" x14ac:dyDescent="0.25">
      <c r="A20" s="31">
        <v>1</v>
      </c>
      <c r="B20" s="31">
        <v>13808</v>
      </c>
      <c r="C20" s="31">
        <v>2</v>
      </c>
      <c r="D20" s="31" t="s">
        <v>476</v>
      </c>
      <c r="E20" s="31"/>
      <c r="F20" s="31">
        <v>0</v>
      </c>
      <c r="G20" s="31">
        <v>0</v>
      </c>
      <c r="H20" s="31">
        <v>0</v>
      </c>
      <c r="I20" s="31">
        <v>0</v>
      </c>
      <c r="J20" s="31">
        <v>0</v>
      </c>
      <c r="K20" s="31" t="s">
        <v>882</v>
      </c>
      <c r="L20" s="2" t="str">
        <f t="shared" si="0"/>
        <v>Рихтовка</v>
      </c>
      <c r="M20" s="12">
        <f t="shared" si="1"/>
        <v>0</v>
      </c>
      <c r="N20" s="12">
        <f t="shared" si="2"/>
        <v>0</v>
      </c>
      <c r="O20" s="12">
        <f t="shared" si="3"/>
        <v>0</v>
      </c>
      <c r="P20" s="12">
        <f t="shared" si="4"/>
        <v>0</v>
      </c>
      <c r="Q20" s="12">
        <f t="shared" si="5"/>
        <v>0</v>
      </c>
      <c r="R20" s="12">
        <f t="shared" si="6"/>
        <v>0</v>
      </c>
      <c r="S20" s="12">
        <f t="shared" si="7"/>
        <v>0</v>
      </c>
      <c r="T20" s="31">
        <v>0</v>
      </c>
      <c r="U20" s="31">
        <v>0</v>
      </c>
      <c r="V20" s="31">
        <v>0</v>
      </c>
      <c r="W20" s="31">
        <v>0</v>
      </c>
      <c r="X20" s="31">
        <v>0</v>
      </c>
      <c r="Y20" s="31">
        <v>0</v>
      </c>
      <c r="Z20" s="31">
        <v>0</v>
      </c>
      <c r="AA20" s="31">
        <v>0</v>
      </c>
      <c r="AB20" s="31">
        <v>0</v>
      </c>
      <c r="AC20" s="31">
        <v>0</v>
      </c>
      <c r="AD20" s="31">
        <v>0</v>
      </c>
      <c r="AE20" s="31">
        <v>0</v>
      </c>
      <c r="AF20" s="31">
        <v>0</v>
      </c>
      <c r="AG20" s="31">
        <v>0</v>
      </c>
      <c r="AH20" s="31">
        <v>0</v>
      </c>
      <c r="AI20" s="31">
        <v>0</v>
      </c>
      <c r="AJ20" s="31">
        <v>0</v>
      </c>
      <c r="AK20" s="31">
        <v>0</v>
      </c>
      <c r="AL20" s="31">
        <v>0</v>
      </c>
      <c r="AM20" s="31">
        <v>0</v>
      </c>
      <c r="AN20" s="31">
        <v>0</v>
      </c>
      <c r="AO20" s="31">
        <v>0</v>
      </c>
      <c r="AP20" s="31">
        <v>0</v>
      </c>
    </row>
    <row r="21" spans="1:42" x14ac:dyDescent="0.25">
      <c r="A21" s="31">
        <v>1</v>
      </c>
      <c r="B21" s="31">
        <v>13808</v>
      </c>
      <c r="C21" s="31">
        <v>2</v>
      </c>
      <c r="D21" s="31" t="s">
        <v>477</v>
      </c>
      <c r="E21" s="31"/>
      <c r="F21" s="31">
        <v>0</v>
      </c>
      <c r="G21" s="31">
        <v>0</v>
      </c>
      <c r="H21" s="31">
        <v>0</v>
      </c>
      <c r="I21" s="31">
        <v>0</v>
      </c>
      <c r="J21" s="31">
        <v>0</v>
      </c>
      <c r="K21" s="31" t="s">
        <v>882</v>
      </c>
      <c r="L21" s="2" t="str">
        <f t="shared" si="0"/>
        <v>Рихтовка</v>
      </c>
      <c r="M21" s="12">
        <f t="shared" si="1"/>
        <v>0</v>
      </c>
      <c r="N21" s="12">
        <f t="shared" si="2"/>
        <v>0</v>
      </c>
      <c r="O21" s="12">
        <f t="shared" si="3"/>
        <v>0</v>
      </c>
      <c r="P21" s="12">
        <f t="shared" si="4"/>
        <v>0</v>
      </c>
      <c r="Q21" s="12">
        <f t="shared" si="5"/>
        <v>0</v>
      </c>
      <c r="R21" s="12">
        <f t="shared" si="6"/>
        <v>0</v>
      </c>
      <c r="S21" s="12">
        <f t="shared" si="7"/>
        <v>0</v>
      </c>
      <c r="T21" s="31">
        <v>0</v>
      </c>
      <c r="U21" s="31">
        <v>0</v>
      </c>
      <c r="V21" s="31">
        <v>0</v>
      </c>
      <c r="W21" s="31">
        <v>0</v>
      </c>
      <c r="X21" s="31">
        <v>0</v>
      </c>
      <c r="Y21" s="31">
        <v>0</v>
      </c>
      <c r="Z21" s="31">
        <v>0</v>
      </c>
      <c r="AA21" s="31">
        <v>0</v>
      </c>
      <c r="AB21" s="31">
        <v>0</v>
      </c>
      <c r="AC21" s="31">
        <v>0</v>
      </c>
      <c r="AD21" s="31">
        <v>0</v>
      </c>
      <c r="AE21" s="31">
        <v>0</v>
      </c>
      <c r="AF21" s="31">
        <v>0</v>
      </c>
      <c r="AG21" s="31">
        <v>0</v>
      </c>
      <c r="AH21" s="31">
        <v>0</v>
      </c>
      <c r="AI21" s="31">
        <v>0</v>
      </c>
      <c r="AJ21" s="31">
        <v>0</v>
      </c>
      <c r="AK21" s="31">
        <v>0</v>
      </c>
      <c r="AL21" s="31">
        <v>0</v>
      </c>
      <c r="AM21" s="31">
        <v>0</v>
      </c>
      <c r="AN21" s="31">
        <v>0</v>
      </c>
      <c r="AO21" s="31">
        <v>0</v>
      </c>
      <c r="AP21" s="31">
        <v>0</v>
      </c>
    </row>
    <row r="22" spans="1:42" x14ac:dyDescent="0.25">
      <c r="A22" s="31">
        <v>1</v>
      </c>
      <c r="B22" s="31">
        <v>13808</v>
      </c>
      <c r="C22" s="31">
        <v>2</v>
      </c>
      <c r="D22" s="31" t="s">
        <v>478</v>
      </c>
      <c r="E22" s="31"/>
      <c r="F22" s="31">
        <v>0</v>
      </c>
      <c r="G22" s="31">
        <v>0</v>
      </c>
      <c r="H22" s="31">
        <v>0</v>
      </c>
      <c r="I22" s="31">
        <v>0</v>
      </c>
      <c r="J22" s="31">
        <v>0</v>
      </c>
      <c r="K22" s="31" t="s">
        <v>882</v>
      </c>
      <c r="L22" s="2" t="str">
        <f t="shared" si="0"/>
        <v>Рихтовка</v>
      </c>
      <c r="M22" s="12">
        <f t="shared" si="1"/>
        <v>0</v>
      </c>
      <c r="N22" s="12">
        <f t="shared" si="2"/>
        <v>0</v>
      </c>
      <c r="O22" s="12">
        <f t="shared" si="3"/>
        <v>0</v>
      </c>
      <c r="P22" s="12">
        <f t="shared" si="4"/>
        <v>0</v>
      </c>
      <c r="Q22" s="12">
        <f t="shared" si="5"/>
        <v>0</v>
      </c>
      <c r="R22" s="12">
        <f t="shared" si="6"/>
        <v>0</v>
      </c>
      <c r="S22" s="12">
        <f t="shared" si="7"/>
        <v>0</v>
      </c>
      <c r="T22" s="31">
        <v>0</v>
      </c>
      <c r="U22" s="31">
        <v>0</v>
      </c>
      <c r="V22" s="31">
        <v>0</v>
      </c>
      <c r="W22" s="31">
        <v>0</v>
      </c>
      <c r="X22" s="31">
        <v>0</v>
      </c>
      <c r="Y22" s="31">
        <v>0</v>
      </c>
      <c r="Z22" s="31">
        <v>0</v>
      </c>
      <c r="AA22" s="31">
        <v>0</v>
      </c>
      <c r="AB22" s="31">
        <v>0</v>
      </c>
      <c r="AC22" s="31">
        <v>0</v>
      </c>
      <c r="AD22" s="31">
        <v>0</v>
      </c>
      <c r="AE22" s="31">
        <v>0</v>
      </c>
      <c r="AF22" s="31">
        <v>0</v>
      </c>
      <c r="AG22" s="31">
        <v>0</v>
      </c>
      <c r="AH22" s="31">
        <v>0</v>
      </c>
      <c r="AI22" s="31">
        <v>0</v>
      </c>
      <c r="AJ22" s="31">
        <v>0</v>
      </c>
      <c r="AK22" s="31">
        <v>0</v>
      </c>
      <c r="AL22" s="31">
        <v>0</v>
      </c>
      <c r="AM22" s="31">
        <v>0</v>
      </c>
      <c r="AN22" s="31">
        <v>0</v>
      </c>
      <c r="AO22" s="31">
        <v>0</v>
      </c>
      <c r="AP22" s="31">
        <v>0</v>
      </c>
    </row>
    <row r="23" spans="1:42" x14ac:dyDescent="0.25">
      <c r="A23" s="31">
        <v>1</v>
      </c>
      <c r="B23" s="31">
        <v>13808</v>
      </c>
      <c r="C23" s="31">
        <v>2</v>
      </c>
      <c r="D23" s="31" t="s">
        <v>479</v>
      </c>
      <c r="E23" s="31"/>
      <c r="F23" s="31">
        <v>0</v>
      </c>
      <c r="G23" s="31">
        <v>0</v>
      </c>
      <c r="H23" s="31">
        <v>0</v>
      </c>
      <c r="I23" s="31">
        <v>0</v>
      </c>
      <c r="J23" s="31">
        <v>0</v>
      </c>
      <c r="K23" s="31" t="s">
        <v>882</v>
      </c>
      <c r="L23" s="2" t="str">
        <f t="shared" si="0"/>
        <v>Рихтовка</v>
      </c>
      <c r="M23" s="12">
        <f t="shared" si="1"/>
        <v>0</v>
      </c>
      <c r="N23" s="12">
        <f t="shared" si="2"/>
        <v>0</v>
      </c>
      <c r="O23" s="12">
        <f t="shared" si="3"/>
        <v>0</v>
      </c>
      <c r="P23" s="12">
        <f t="shared" si="4"/>
        <v>0</v>
      </c>
      <c r="Q23" s="12">
        <f t="shared" si="5"/>
        <v>0</v>
      </c>
      <c r="R23" s="12">
        <f t="shared" si="6"/>
        <v>0</v>
      </c>
      <c r="S23" s="12">
        <f t="shared" si="7"/>
        <v>0</v>
      </c>
      <c r="T23" s="31">
        <v>0</v>
      </c>
      <c r="U23" s="31">
        <v>0</v>
      </c>
      <c r="V23" s="31">
        <v>0</v>
      </c>
      <c r="W23" s="31">
        <v>0</v>
      </c>
      <c r="X23" s="31">
        <v>0</v>
      </c>
      <c r="Y23" s="31">
        <v>0</v>
      </c>
      <c r="Z23" s="31">
        <v>0</v>
      </c>
      <c r="AA23" s="31">
        <v>0</v>
      </c>
      <c r="AB23" s="31">
        <v>0</v>
      </c>
      <c r="AC23" s="31">
        <v>0</v>
      </c>
      <c r="AD23" s="31">
        <v>0</v>
      </c>
      <c r="AE23" s="31">
        <v>0</v>
      </c>
      <c r="AF23" s="31">
        <v>0</v>
      </c>
      <c r="AG23" s="31">
        <v>0</v>
      </c>
      <c r="AH23" s="31">
        <v>0</v>
      </c>
      <c r="AI23" s="31">
        <v>0</v>
      </c>
      <c r="AJ23" s="31">
        <v>0</v>
      </c>
      <c r="AK23" s="31">
        <v>0</v>
      </c>
      <c r="AL23" s="31">
        <v>0</v>
      </c>
      <c r="AM23" s="31">
        <v>0</v>
      </c>
      <c r="AN23" s="31">
        <v>0</v>
      </c>
      <c r="AO23" s="31">
        <v>0</v>
      </c>
      <c r="AP23" s="31">
        <v>0</v>
      </c>
    </row>
    <row r="24" spans="1:42" x14ac:dyDescent="0.25">
      <c r="A24" s="31">
        <v>1</v>
      </c>
      <c r="B24" s="31">
        <v>13808</v>
      </c>
      <c r="C24" s="31">
        <v>2</v>
      </c>
      <c r="D24" s="31" t="s">
        <v>480</v>
      </c>
      <c r="E24" s="31"/>
      <c r="F24" s="31">
        <v>0</v>
      </c>
      <c r="G24" s="31">
        <v>0</v>
      </c>
      <c r="H24" s="31">
        <v>0</v>
      </c>
      <c r="I24" s="31">
        <v>0</v>
      </c>
      <c r="J24" s="31">
        <v>0</v>
      </c>
      <c r="K24" s="31" t="s">
        <v>882</v>
      </c>
      <c r="L24" s="2" t="str">
        <f t="shared" si="0"/>
        <v>Рихтовка</v>
      </c>
      <c r="M24" s="12">
        <f t="shared" si="1"/>
        <v>0</v>
      </c>
      <c r="N24" s="12">
        <f t="shared" si="2"/>
        <v>0</v>
      </c>
      <c r="O24" s="12">
        <f t="shared" si="3"/>
        <v>0</v>
      </c>
      <c r="P24" s="12">
        <f t="shared" si="4"/>
        <v>0</v>
      </c>
      <c r="Q24" s="12">
        <f t="shared" si="5"/>
        <v>0</v>
      </c>
      <c r="R24" s="12">
        <f t="shared" si="6"/>
        <v>0</v>
      </c>
      <c r="S24" s="12">
        <f t="shared" si="7"/>
        <v>0</v>
      </c>
      <c r="T24" s="31">
        <v>0</v>
      </c>
      <c r="U24" s="31">
        <v>0</v>
      </c>
      <c r="V24" s="31">
        <v>0</v>
      </c>
      <c r="W24" s="31">
        <v>0</v>
      </c>
      <c r="X24" s="31">
        <v>0</v>
      </c>
      <c r="Y24" s="31">
        <v>0</v>
      </c>
      <c r="Z24" s="31">
        <v>0</v>
      </c>
      <c r="AA24" s="31">
        <v>0</v>
      </c>
      <c r="AB24" s="31">
        <v>0</v>
      </c>
      <c r="AC24" s="31">
        <v>0</v>
      </c>
      <c r="AD24" s="31">
        <v>0</v>
      </c>
      <c r="AE24" s="31">
        <v>0</v>
      </c>
      <c r="AF24" s="31">
        <v>0</v>
      </c>
      <c r="AG24" s="31">
        <v>0</v>
      </c>
      <c r="AH24" s="31">
        <v>0</v>
      </c>
      <c r="AI24" s="31">
        <v>0</v>
      </c>
      <c r="AJ24" s="31">
        <v>0</v>
      </c>
      <c r="AK24" s="31">
        <v>0</v>
      </c>
      <c r="AL24" s="31">
        <v>0</v>
      </c>
      <c r="AM24" s="31">
        <v>0</v>
      </c>
      <c r="AN24" s="31">
        <v>0</v>
      </c>
      <c r="AO24" s="31">
        <v>0</v>
      </c>
      <c r="AP24" s="31">
        <v>0</v>
      </c>
    </row>
    <row r="25" spans="1:42" x14ac:dyDescent="0.25">
      <c r="A25" s="31">
        <v>1</v>
      </c>
      <c r="B25" s="31">
        <v>13808</v>
      </c>
      <c r="C25" s="31">
        <v>2</v>
      </c>
      <c r="D25" s="31" t="s">
        <v>481</v>
      </c>
      <c r="E25" s="31"/>
      <c r="F25" s="31">
        <v>0</v>
      </c>
      <c r="G25" s="31">
        <v>0</v>
      </c>
      <c r="H25" s="31">
        <v>0</v>
      </c>
      <c r="I25" s="31">
        <v>0</v>
      </c>
      <c r="J25" s="31">
        <v>0</v>
      </c>
      <c r="K25" s="31" t="s">
        <v>882</v>
      </c>
      <c r="L25" s="2" t="str">
        <f t="shared" si="0"/>
        <v>Рихтовка</v>
      </c>
      <c r="M25" s="12">
        <f t="shared" si="1"/>
        <v>0</v>
      </c>
      <c r="N25" s="12">
        <f t="shared" si="2"/>
        <v>0</v>
      </c>
      <c r="O25" s="12">
        <f t="shared" si="3"/>
        <v>0</v>
      </c>
      <c r="P25" s="12">
        <f t="shared" si="4"/>
        <v>0</v>
      </c>
      <c r="Q25" s="12">
        <f t="shared" si="5"/>
        <v>0</v>
      </c>
      <c r="R25" s="12">
        <f t="shared" si="6"/>
        <v>0</v>
      </c>
      <c r="S25" s="12">
        <f t="shared" si="7"/>
        <v>0</v>
      </c>
      <c r="T25" s="31">
        <v>0</v>
      </c>
      <c r="U25" s="31">
        <v>0</v>
      </c>
      <c r="V25" s="31">
        <v>0</v>
      </c>
      <c r="W25" s="31">
        <v>0</v>
      </c>
      <c r="X25" s="31">
        <v>0</v>
      </c>
      <c r="Y25" s="31">
        <v>0</v>
      </c>
      <c r="Z25" s="31">
        <v>0</v>
      </c>
      <c r="AA25" s="31">
        <v>0</v>
      </c>
      <c r="AB25" s="31">
        <v>0</v>
      </c>
      <c r="AC25" s="31">
        <v>0</v>
      </c>
      <c r="AD25" s="31">
        <v>0</v>
      </c>
      <c r="AE25" s="31">
        <v>0</v>
      </c>
      <c r="AF25" s="31">
        <v>0</v>
      </c>
      <c r="AG25" s="31">
        <v>0</v>
      </c>
      <c r="AH25" s="31">
        <v>0</v>
      </c>
      <c r="AI25" s="31">
        <v>0</v>
      </c>
      <c r="AJ25" s="31">
        <v>0</v>
      </c>
      <c r="AK25" s="31">
        <v>0</v>
      </c>
      <c r="AL25" s="31">
        <v>0</v>
      </c>
      <c r="AM25" s="31">
        <v>0</v>
      </c>
      <c r="AN25" s="31">
        <v>0</v>
      </c>
      <c r="AO25" s="31">
        <v>0</v>
      </c>
      <c r="AP25" s="31">
        <v>0</v>
      </c>
    </row>
    <row r="26" spans="1:42" x14ac:dyDescent="0.25">
      <c r="A26" s="31">
        <v>1</v>
      </c>
      <c r="B26" s="31">
        <v>13808</v>
      </c>
      <c r="C26" s="31">
        <v>2</v>
      </c>
      <c r="D26" s="31" t="s">
        <v>482</v>
      </c>
      <c r="E26" s="31"/>
      <c r="F26" s="31">
        <v>0</v>
      </c>
      <c r="G26" s="31">
        <v>0</v>
      </c>
      <c r="H26" s="31">
        <v>0</v>
      </c>
      <c r="I26" s="31">
        <v>0</v>
      </c>
      <c r="J26" s="31">
        <v>0</v>
      </c>
      <c r="K26" s="31" t="s">
        <v>882</v>
      </c>
      <c r="L26" s="2" t="str">
        <f t="shared" si="0"/>
        <v>Рихтовка</v>
      </c>
      <c r="M26" s="12">
        <f t="shared" si="1"/>
        <v>0</v>
      </c>
      <c r="N26" s="12">
        <f t="shared" si="2"/>
        <v>0</v>
      </c>
      <c r="O26" s="12">
        <f t="shared" si="3"/>
        <v>0</v>
      </c>
      <c r="P26" s="12">
        <f t="shared" si="4"/>
        <v>0</v>
      </c>
      <c r="Q26" s="12">
        <f t="shared" si="5"/>
        <v>0</v>
      </c>
      <c r="R26" s="12">
        <f t="shared" si="6"/>
        <v>0</v>
      </c>
      <c r="S26" s="12">
        <f t="shared" si="7"/>
        <v>0</v>
      </c>
      <c r="T26" s="31">
        <v>0</v>
      </c>
      <c r="U26" s="31">
        <v>0</v>
      </c>
      <c r="V26" s="31">
        <v>0</v>
      </c>
      <c r="W26" s="31">
        <v>0</v>
      </c>
      <c r="X26" s="31">
        <v>0</v>
      </c>
      <c r="Y26" s="31">
        <v>0</v>
      </c>
      <c r="Z26" s="31">
        <v>0</v>
      </c>
      <c r="AA26" s="31">
        <v>0</v>
      </c>
      <c r="AB26" s="31">
        <v>0</v>
      </c>
      <c r="AC26" s="31">
        <v>0</v>
      </c>
      <c r="AD26" s="31">
        <v>0</v>
      </c>
      <c r="AE26" s="31">
        <v>0</v>
      </c>
      <c r="AF26" s="31">
        <v>0</v>
      </c>
      <c r="AG26" s="31">
        <v>0</v>
      </c>
      <c r="AH26" s="31">
        <v>0</v>
      </c>
      <c r="AI26" s="31">
        <v>0</v>
      </c>
      <c r="AJ26" s="31">
        <v>0</v>
      </c>
      <c r="AK26" s="31">
        <v>0</v>
      </c>
      <c r="AL26" s="31">
        <v>0</v>
      </c>
      <c r="AM26" s="31">
        <v>0</v>
      </c>
      <c r="AN26" s="31">
        <v>0</v>
      </c>
      <c r="AO26" s="31">
        <v>0</v>
      </c>
      <c r="AP26" s="31">
        <v>0</v>
      </c>
    </row>
    <row r="27" spans="1:42" x14ac:dyDescent="0.25">
      <c r="A27" s="31">
        <v>1</v>
      </c>
      <c r="B27" s="31">
        <v>13808</v>
      </c>
      <c r="C27" s="31">
        <v>2</v>
      </c>
      <c r="D27" s="31" t="s">
        <v>483</v>
      </c>
      <c r="E27" s="31"/>
      <c r="F27" s="31">
        <v>0</v>
      </c>
      <c r="G27" s="31">
        <v>0</v>
      </c>
      <c r="H27" s="31">
        <v>0</v>
      </c>
      <c r="I27" s="31">
        <v>0</v>
      </c>
      <c r="J27" s="31">
        <v>0</v>
      </c>
      <c r="K27" s="31" t="s">
        <v>882</v>
      </c>
      <c r="L27" s="2" t="str">
        <f t="shared" si="0"/>
        <v>Рихтовка</v>
      </c>
      <c r="M27" s="12">
        <f t="shared" si="1"/>
        <v>0</v>
      </c>
      <c r="N27" s="12">
        <f t="shared" si="2"/>
        <v>0</v>
      </c>
      <c r="O27" s="12">
        <f t="shared" si="3"/>
        <v>0</v>
      </c>
      <c r="P27" s="12">
        <f t="shared" si="4"/>
        <v>0</v>
      </c>
      <c r="Q27" s="12">
        <f t="shared" si="5"/>
        <v>0</v>
      </c>
      <c r="R27" s="12">
        <f t="shared" si="6"/>
        <v>0</v>
      </c>
      <c r="S27" s="12">
        <f t="shared" si="7"/>
        <v>0</v>
      </c>
      <c r="T27" s="31">
        <v>0</v>
      </c>
      <c r="U27" s="31">
        <v>0</v>
      </c>
      <c r="V27" s="31">
        <v>0</v>
      </c>
      <c r="W27" s="31">
        <v>0</v>
      </c>
      <c r="X27" s="31">
        <v>0</v>
      </c>
      <c r="Y27" s="31">
        <v>0</v>
      </c>
      <c r="Z27" s="31">
        <v>0</v>
      </c>
      <c r="AA27" s="31">
        <v>0</v>
      </c>
      <c r="AB27" s="31">
        <v>0</v>
      </c>
      <c r="AC27" s="31">
        <v>0</v>
      </c>
      <c r="AD27" s="31">
        <v>0</v>
      </c>
      <c r="AE27" s="31">
        <v>0</v>
      </c>
      <c r="AF27" s="31">
        <v>0</v>
      </c>
      <c r="AG27" s="31">
        <v>0</v>
      </c>
      <c r="AH27" s="31">
        <v>0</v>
      </c>
      <c r="AI27" s="31">
        <v>0</v>
      </c>
      <c r="AJ27" s="31">
        <v>0</v>
      </c>
      <c r="AK27" s="31">
        <v>0</v>
      </c>
      <c r="AL27" s="31">
        <v>0</v>
      </c>
      <c r="AM27" s="31">
        <v>0</v>
      </c>
      <c r="AN27" s="31">
        <v>0</v>
      </c>
      <c r="AO27" s="31">
        <v>0</v>
      </c>
      <c r="AP27" s="31">
        <v>0</v>
      </c>
    </row>
    <row r="28" spans="1:42" x14ac:dyDescent="0.25">
      <c r="A28" s="31">
        <v>1</v>
      </c>
      <c r="B28" s="31">
        <v>13808</v>
      </c>
      <c r="C28" s="31">
        <v>2</v>
      </c>
      <c r="D28" s="31" t="s">
        <v>484</v>
      </c>
      <c r="E28" s="31"/>
      <c r="F28" s="31">
        <v>0</v>
      </c>
      <c r="G28" s="31">
        <v>0</v>
      </c>
      <c r="H28" s="31">
        <v>0</v>
      </c>
      <c r="I28" s="31">
        <v>0</v>
      </c>
      <c r="J28" s="31">
        <v>0</v>
      </c>
      <c r="K28" s="31" t="s">
        <v>882</v>
      </c>
      <c r="L28" s="2" t="str">
        <f t="shared" si="0"/>
        <v>Рихтовка</v>
      </c>
      <c r="M28" s="12">
        <f t="shared" si="1"/>
        <v>0</v>
      </c>
      <c r="N28" s="12">
        <f t="shared" si="2"/>
        <v>0</v>
      </c>
      <c r="O28" s="12">
        <f t="shared" si="3"/>
        <v>0</v>
      </c>
      <c r="P28" s="12">
        <f t="shared" si="4"/>
        <v>0</v>
      </c>
      <c r="Q28" s="12">
        <f t="shared" si="5"/>
        <v>0</v>
      </c>
      <c r="R28" s="12">
        <f t="shared" si="6"/>
        <v>0</v>
      </c>
      <c r="S28" s="12">
        <f t="shared" si="7"/>
        <v>0</v>
      </c>
      <c r="T28" s="31">
        <v>0</v>
      </c>
      <c r="U28" s="31">
        <v>0</v>
      </c>
      <c r="V28" s="31">
        <v>0</v>
      </c>
      <c r="W28" s="31">
        <v>0</v>
      </c>
      <c r="X28" s="31">
        <v>0</v>
      </c>
      <c r="Y28" s="31">
        <v>0</v>
      </c>
      <c r="Z28" s="31">
        <v>0</v>
      </c>
      <c r="AA28" s="31">
        <v>0</v>
      </c>
      <c r="AB28" s="31">
        <v>0</v>
      </c>
      <c r="AC28" s="31">
        <v>0</v>
      </c>
      <c r="AD28" s="31">
        <v>0</v>
      </c>
      <c r="AE28" s="31">
        <v>0</v>
      </c>
      <c r="AF28" s="31">
        <v>0</v>
      </c>
      <c r="AG28" s="31">
        <v>0</v>
      </c>
      <c r="AH28" s="31">
        <v>0</v>
      </c>
      <c r="AI28" s="31">
        <v>0</v>
      </c>
      <c r="AJ28" s="31">
        <v>0</v>
      </c>
      <c r="AK28" s="31">
        <v>0</v>
      </c>
      <c r="AL28" s="31">
        <v>0</v>
      </c>
      <c r="AM28" s="31">
        <v>0</v>
      </c>
      <c r="AN28" s="31">
        <v>0</v>
      </c>
      <c r="AO28" s="31">
        <v>0</v>
      </c>
      <c r="AP28" s="31">
        <v>0</v>
      </c>
    </row>
    <row r="29" spans="1:42" x14ac:dyDescent="0.25">
      <c r="A29" s="31">
        <v>1</v>
      </c>
      <c r="B29" s="31">
        <v>13808</v>
      </c>
      <c r="C29" s="31">
        <v>2</v>
      </c>
      <c r="D29" s="31" t="s">
        <v>486</v>
      </c>
      <c r="E29" s="31"/>
      <c r="F29" s="31">
        <v>0</v>
      </c>
      <c r="G29" s="31">
        <v>0</v>
      </c>
      <c r="H29" s="31">
        <v>0</v>
      </c>
      <c r="I29" s="31">
        <v>0</v>
      </c>
      <c r="J29" s="31">
        <v>0</v>
      </c>
      <c r="K29" s="31" t="s">
        <v>882</v>
      </c>
      <c r="L29" s="2" t="str">
        <f t="shared" si="0"/>
        <v>Рихтовка</v>
      </c>
      <c r="M29" s="12">
        <f t="shared" si="1"/>
        <v>0</v>
      </c>
      <c r="N29" s="12">
        <f t="shared" si="2"/>
        <v>0</v>
      </c>
      <c r="O29" s="12">
        <f t="shared" si="3"/>
        <v>0</v>
      </c>
      <c r="P29" s="12">
        <f t="shared" si="4"/>
        <v>0</v>
      </c>
      <c r="Q29" s="12">
        <f t="shared" si="5"/>
        <v>0</v>
      </c>
      <c r="R29" s="12">
        <f t="shared" si="6"/>
        <v>0</v>
      </c>
      <c r="S29" s="12">
        <f t="shared" si="7"/>
        <v>0</v>
      </c>
      <c r="T29" s="31">
        <v>0</v>
      </c>
      <c r="U29" s="31">
        <v>0</v>
      </c>
      <c r="V29" s="31">
        <v>0</v>
      </c>
      <c r="W29" s="31">
        <v>0</v>
      </c>
      <c r="X29" s="31">
        <v>0</v>
      </c>
      <c r="Y29" s="31">
        <v>0</v>
      </c>
      <c r="Z29" s="31">
        <v>0</v>
      </c>
      <c r="AA29" s="31">
        <v>0</v>
      </c>
      <c r="AB29" s="31">
        <v>0</v>
      </c>
      <c r="AC29" s="31">
        <v>0</v>
      </c>
      <c r="AD29" s="31">
        <v>0</v>
      </c>
      <c r="AE29" s="31">
        <v>0</v>
      </c>
      <c r="AF29" s="31">
        <v>0</v>
      </c>
      <c r="AG29" s="31">
        <v>0</v>
      </c>
      <c r="AH29" s="31">
        <v>0</v>
      </c>
      <c r="AI29" s="31">
        <v>0</v>
      </c>
      <c r="AJ29" s="31">
        <v>0</v>
      </c>
      <c r="AK29" s="31">
        <v>0</v>
      </c>
      <c r="AL29" s="31">
        <v>0</v>
      </c>
      <c r="AM29" s="31">
        <v>0</v>
      </c>
      <c r="AN29" s="31">
        <v>0</v>
      </c>
      <c r="AO29" s="31">
        <v>0</v>
      </c>
      <c r="AP29" s="31">
        <v>0</v>
      </c>
    </row>
    <row r="30" spans="1:42" x14ac:dyDescent="0.25">
      <c r="A30" s="31">
        <v>1</v>
      </c>
      <c r="B30" s="31">
        <v>13808</v>
      </c>
      <c r="C30" s="31">
        <v>2</v>
      </c>
      <c r="D30" s="31" t="s">
        <v>487</v>
      </c>
      <c r="E30" s="31"/>
      <c r="F30" s="31">
        <v>0</v>
      </c>
      <c r="G30" s="31">
        <v>0</v>
      </c>
      <c r="H30" s="31">
        <v>0</v>
      </c>
      <c r="I30" s="31">
        <v>0</v>
      </c>
      <c r="J30" s="31">
        <v>0</v>
      </c>
      <c r="K30" s="31" t="s">
        <v>882</v>
      </c>
      <c r="L30" s="2" t="str">
        <f t="shared" si="0"/>
        <v>Рихтовка</v>
      </c>
      <c r="M30" s="12">
        <f t="shared" si="1"/>
        <v>0</v>
      </c>
      <c r="N30" s="12">
        <f t="shared" si="2"/>
        <v>0</v>
      </c>
      <c r="O30" s="12">
        <f t="shared" si="3"/>
        <v>0</v>
      </c>
      <c r="P30" s="12">
        <f t="shared" si="4"/>
        <v>0</v>
      </c>
      <c r="Q30" s="12">
        <f t="shared" si="5"/>
        <v>0</v>
      </c>
      <c r="R30" s="12">
        <f t="shared" si="6"/>
        <v>0</v>
      </c>
      <c r="S30" s="12">
        <f t="shared" si="7"/>
        <v>0</v>
      </c>
      <c r="T30" s="31">
        <v>0</v>
      </c>
      <c r="U30" s="31">
        <v>0</v>
      </c>
      <c r="V30" s="31">
        <v>0</v>
      </c>
      <c r="W30" s="31">
        <v>0</v>
      </c>
      <c r="X30" s="31">
        <v>0</v>
      </c>
      <c r="Y30" s="31">
        <v>0</v>
      </c>
      <c r="Z30" s="31">
        <v>0</v>
      </c>
      <c r="AA30" s="31">
        <v>0</v>
      </c>
      <c r="AB30" s="31">
        <v>0</v>
      </c>
      <c r="AC30" s="31">
        <v>0</v>
      </c>
      <c r="AD30" s="31">
        <v>0</v>
      </c>
      <c r="AE30" s="31">
        <v>0</v>
      </c>
      <c r="AF30" s="31">
        <v>0</v>
      </c>
      <c r="AG30" s="31">
        <v>0</v>
      </c>
      <c r="AH30" s="31">
        <v>0</v>
      </c>
      <c r="AI30" s="31">
        <v>0</v>
      </c>
      <c r="AJ30" s="31">
        <v>0</v>
      </c>
      <c r="AK30" s="31">
        <v>0</v>
      </c>
      <c r="AL30" s="31">
        <v>0</v>
      </c>
      <c r="AM30" s="31">
        <v>0</v>
      </c>
      <c r="AN30" s="31">
        <v>0</v>
      </c>
      <c r="AO30" s="31">
        <v>0</v>
      </c>
      <c r="AP30" s="31">
        <v>0</v>
      </c>
    </row>
    <row r="31" spans="1:42" x14ac:dyDescent="0.25">
      <c r="A31" s="31">
        <v>1</v>
      </c>
      <c r="B31" s="31">
        <v>13808</v>
      </c>
      <c r="C31" s="31">
        <v>2</v>
      </c>
      <c r="D31" s="31" t="s">
        <v>488</v>
      </c>
      <c r="E31" s="31"/>
      <c r="F31" s="31">
        <v>0</v>
      </c>
      <c r="G31" s="31">
        <v>0</v>
      </c>
      <c r="H31" s="31">
        <v>0</v>
      </c>
      <c r="I31" s="31">
        <v>0</v>
      </c>
      <c r="J31" s="31">
        <v>0</v>
      </c>
      <c r="K31" s="31" t="s">
        <v>882</v>
      </c>
      <c r="L31" s="2" t="str">
        <f t="shared" si="0"/>
        <v>Рихтовка</v>
      </c>
      <c r="M31" s="12">
        <f t="shared" si="1"/>
        <v>0</v>
      </c>
      <c r="N31" s="12">
        <f t="shared" si="2"/>
        <v>0</v>
      </c>
      <c r="O31" s="12">
        <f t="shared" si="3"/>
        <v>0</v>
      </c>
      <c r="P31" s="12">
        <f t="shared" si="4"/>
        <v>0</v>
      </c>
      <c r="Q31" s="12">
        <f t="shared" si="5"/>
        <v>0</v>
      </c>
      <c r="R31" s="12">
        <f t="shared" si="6"/>
        <v>0</v>
      </c>
      <c r="S31" s="12">
        <f t="shared" si="7"/>
        <v>0</v>
      </c>
      <c r="T31" s="31">
        <v>0</v>
      </c>
      <c r="U31" s="31">
        <v>0</v>
      </c>
      <c r="V31" s="31">
        <v>0</v>
      </c>
      <c r="W31" s="31">
        <v>0</v>
      </c>
      <c r="X31" s="31">
        <v>0</v>
      </c>
      <c r="Y31" s="31">
        <v>0</v>
      </c>
      <c r="Z31" s="31">
        <v>0</v>
      </c>
      <c r="AA31" s="31">
        <v>0</v>
      </c>
      <c r="AB31" s="31">
        <v>0</v>
      </c>
      <c r="AC31" s="31">
        <v>0</v>
      </c>
      <c r="AD31" s="31">
        <v>0</v>
      </c>
      <c r="AE31" s="31">
        <v>0</v>
      </c>
      <c r="AF31" s="31">
        <v>0</v>
      </c>
      <c r="AG31" s="31">
        <v>0</v>
      </c>
      <c r="AH31" s="31">
        <v>0</v>
      </c>
      <c r="AI31" s="31">
        <v>0</v>
      </c>
      <c r="AJ31" s="31">
        <v>0</v>
      </c>
      <c r="AK31" s="31">
        <v>0</v>
      </c>
      <c r="AL31" s="31">
        <v>0</v>
      </c>
      <c r="AM31" s="31">
        <v>0</v>
      </c>
      <c r="AN31" s="31">
        <v>0</v>
      </c>
      <c r="AO31" s="31">
        <v>0</v>
      </c>
      <c r="AP31" s="31">
        <v>0</v>
      </c>
    </row>
    <row r="32" spans="1:42" x14ac:dyDescent="0.25">
      <c r="A32" s="31">
        <v>1</v>
      </c>
      <c r="B32" s="31">
        <v>13808</v>
      </c>
      <c r="C32" s="31">
        <v>2</v>
      </c>
      <c r="D32" s="31" t="s">
        <v>489</v>
      </c>
      <c r="E32" s="31"/>
      <c r="F32" s="31">
        <v>0</v>
      </c>
      <c r="G32" s="31">
        <v>0</v>
      </c>
      <c r="H32" s="31">
        <v>0</v>
      </c>
      <c r="I32" s="31">
        <v>0</v>
      </c>
      <c r="J32" s="31">
        <v>0</v>
      </c>
      <c r="K32" s="31" t="s">
        <v>882</v>
      </c>
      <c r="L32" s="2" t="str">
        <f t="shared" si="0"/>
        <v>Рихтовка</v>
      </c>
      <c r="M32" s="12">
        <f t="shared" si="1"/>
        <v>0</v>
      </c>
      <c r="N32" s="12">
        <f t="shared" si="2"/>
        <v>0</v>
      </c>
      <c r="O32" s="12">
        <f t="shared" si="3"/>
        <v>0</v>
      </c>
      <c r="P32" s="12">
        <f t="shared" si="4"/>
        <v>0</v>
      </c>
      <c r="Q32" s="12">
        <f t="shared" si="5"/>
        <v>0</v>
      </c>
      <c r="R32" s="12">
        <f t="shared" si="6"/>
        <v>0</v>
      </c>
      <c r="S32" s="12">
        <f t="shared" si="7"/>
        <v>0</v>
      </c>
      <c r="T32" s="31">
        <v>0</v>
      </c>
      <c r="U32" s="31">
        <v>0</v>
      </c>
      <c r="V32" s="31">
        <v>0</v>
      </c>
      <c r="W32" s="31">
        <v>0</v>
      </c>
      <c r="X32" s="31">
        <v>0</v>
      </c>
      <c r="Y32" s="31">
        <v>0</v>
      </c>
      <c r="Z32" s="31">
        <v>0</v>
      </c>
      <c r="AA32" s="31">
        <v>0</v>
      </c>
      <c r="AB32" s="31">
        <v>0</v>
      </c>
      <c r="AC32" s="31">
        <v>0</v>
      </c>
      <c r="AD32" s="31">
        <v>0</v>
      </c>
      <c r="AE32" s="31">
        <v>0</v>
      </c>
      <c r="AF32" s="31">
        <v>0</v>
      </c>
      <c r="AG32" s="31">
        <v>0</v>
      </c>
      <c r="AH32" s="31">
        <v>0</v>
      </c>
      <c r="AI32" s="31">
        <v>0</v>
      </c>
      <c r="AJ32" s="31">
        <v>0</v>
      </c>
      <c r="AK32" s="31">
        <v>0</v>
      </c>
      <c r="AL32" s="31">
        <v>0</v>
      </c>
      <c r="AM32" s="31">
        <v>0</v>
      </c>
      <c r="AN32" s="31">
        <v>0</v>
      </c>
      <c r="AO32" s="31">
        <v>0</v>
      </c>
      <c r="AP32" s="31">
        <v>0</v>
      </c>
    </row>
    <row r="33" spans="1:42" x14ac:dyDescent="0.25">
      <c r="A33" s="31">
        <v>2</v>
      </c>
      <c r="B33" s="31">
        <v>13808</v>
      </c>
      <c r="C33" s="31">
        <v>1</v>
      </c>
      <c r="D33" s="31" t="s">
        <v>489</v>
      </c>
      <c r="E33" s="31"/>
      <c r="F33" s="31">
        <v>0</v>
      </c>
      <c r="G33" s="31">
        <v>0</v>
      </c>
      <c r="H33" s="31">
        <v>0</v>
      </c>
      <c r="I33" s="31">
        <v>0</v>
      </c>
      <c r="J33" s="31">
        <v>0</v>
      </c>
      <c r="K33" s="31" t="s">
        <v>882</v>
      </c>
      <c r="L33" s="2" t="str">
        <f t="shared" si="0"/>
        <v>Рихтовка</v>
      </c>
      <c r="M33" s="12">
        <f t="shared" si="1"/>
        <v>0</v>
      </c>
      <c r="N33" s="12">
        <f t="shared" si="2"/>
        <v>0</v>
      </c>
      <c r="O33" s="12">
        <f t="shared" si="3"/>
        <v>0</v>
      </c>
      <c r="P33" s="12">
        <f t="shared" si="4"/>
        <v>0</v>
      </c>
      <c r="Q33" s="12">
        <f t="shared" si="5"/>
        <v>0</v>
      </c>
      <c r="R33" s="12">
        <f t="shared" si="6"/>
        <v>0</v>
      </c>
      <c r="S33" s="12">
        <f t="shared" si="7"/>
        <v>0</v>
      </c>
      <c r="T33" s="31">
        <v>0</v>
      </c>
      <c r="U33" s="31">
        <v>0</v>
      </c>
      <c r="V33" s="31">
        <v>0</v>
      </c>
      <c r="W33" s="31">
        <v>0</v>
      </c>
      <c r="X33" s="31">
        <v>0</v>
      </c>
      <c r="Y33" s="31">
        <v>0</v>
      </c>
      <c r="Z33" s="31">
        <v>0</v>
      </c>
      <c r="AA33" s="31">
        <v>0</v>
      </c>
      <c r="AB33" s="31">
        <v>0</v>
      </c>
      <c r="AC33" s="31">
        <v>0</v>
      </c>
      <c r="AD33" s="31">
        <v>0</v>
      </c>
      <c r="AE33" s="31">
        <v>0</v>
      </c>
      <c r="AF33" s="31">
        <v>0</v>
      </c>
      <c r="AG33" s="31">
        <v>0</v>
      </c>
      <c r="AH33" s="31">
        <v>0</v>
      </c>
      <c r="AI33" s="31">
        <v>0</v>
      </c>
      <c r="AJ33" s="31">
        <v>0</v>
      </c>
      <c r="AK33" s="31">
        <v>0</v>
      </c>
      <c r="AL33" s="31">
        <v>0</v>
      </c>
      <c r="AM33" s="31">
        <v>0</v>
      </c>
      <c r="AN33" s="31">
        <v>0</v>
      </c>
      <c r="AO33" s="31">
        <v>0</v>
      </c>
      <c r="AP33" s="31">
        <v>0</v>
      </c>
    </row>
    <row r="34" spans="1:42" x14ac:dyDescent="0.25">
      <c r="A34" s="31">
        <v>2</v>
      </c>
      <c r="B34" s="31">
        <v>13808</v>
      </c>
      <c r="C34" s="31">
        <v>1</v>
      </c>
      <c r="D34" s="31" t="s">
        <v>490</v>
      </c>
      <c r="E34" s="31"/>
      <c r="F34" s="31">
        <v>0</v>
      </c>
      <c r="G34" s="31">
        <v>0</v>
      </c>
      <c r="H34" s="31">
        <v>0</v>
      </c>
      <c r="I34" s="31">
        <v>0</v>
      </c>
      <c r="J34" s="31">
        <v>0</v>
      </c>
      <c r="K34" s="31" t="s">
        <v>882</v>
      </c>
      <c r="L34" s="2" t="str">
        <f t="shared" si="0"/>
        <v>Рихтовка</v>
      </c>
      <c r="M34" s="12">
        <f t="shared" si="1"/>
        <v>0</v>
      </c>
      <c r="N34" s="12">
        <f t="shared" si="2"/>
        <v>0</v>
      </c>
      <c r="O34" s="12">
        <f t="shared" si="3"/>
        <v>0</v>
      </c>
      <c r="P34" s="12">
        <f t="shared" si="4"/>
        <v>0</v>
      </c>
      <c r="Q34" s="12">
        <f t="shared" si="5"/>
        <v>0</v>
      </c>
      <c r="R34" s="12">
        <f t="shared" si="6"/>
        <v>0</v>
      </c>
      <c r="S34" s="12">
        <f t="shared" si="7"/>
        <v>0</v>
      </c>
      <c r="T34" s="31">
        <v>0</v>
      </c>
      <c r="U34" s="31">
        <v>0</v>
      </c>
      <c r="V34" s="31">
        <v>0</v>
      </c>
      <c r="W34" s="31">
        <v>0</v>
      </c>
      <c r="X34" s="31">
        <v>0</v>
      </c>
      <c r="Y34" s="31">
        <v>0</v>
      </c>
      <c r="Z34" s="31">
        <v>0</v>
      </c>
      <c r="AA34" s="31">
        <v>0</v>
      </c>
      <c r="AB34" s="31">
        <v>0</v>
      </c>
      <c r="AC34" s="31">
        <v>0</v>
      </c>
      <c r="AD34" s="31">
        <v>0</v>
      </c>
      <c r="AE34" s="31">
        <v>0</v>
      </c>
      <c r="AF34" s="31">
        <v>0</v>
      </c>
      <c r="AG34" s="31">
        <v>0</v>
      </c>
      <c r="AH34" s="31">
        <v>0</v>
      </c>
      <c r="AI34" s="31">
        <v>0</v>
      </c>
      <c r="AJ34" s="31">
        <v>0</v>
      </c>
      <c r="AK34" s="31">
        <v>0</v>
      </c>
      <c r="AL34" s="31">
        <v>0</v>
      </c>
      <c r="AM34" s="31">
        <v>0</v>
      </c>
      <c r="AN34" s="31">
        <v>0</v>
      </c>
      <c r="AO34" s="31">
        <v>0</v>
      </c>
      <c r="AP34" s="31">
        <v>0</v>
      </c>
    </row>
    <row r="35" spans="1:42" x14ac:dyDescent="0.25">
      <c r="A35" s="31">
        <v>2</v>
      </c>
      <c r="B35" s="31">
        <v>13808</v>
      </c>
      <c r="C35" s="31">
        <v>1</v>
      </c>
      <c r="D35" s="31" t="s">
        <v>491</v>
      </c>
      <c r="E35" s="31"/>
      <c r="F35" s="31">
        <v>0</v>
      </c>
      <c r="G35" s="31">
        <v>0</v>
      </c>
      <c r="H35" s="31">
        <v>0</v>
      </c>
      <c r="I35" s="31">
        <v>0</v>
      </c>
      <c r="J35" s="31">
        <v>0</v>
      </c>
      <c r="K35" s="31" t="s">
        <v>882</v>
      </c>
      <c r="L35" s="2" t="str">
        <f t="shared" si="0"/>
        <v>Рихтовка</v>
      </c>
      <c r="M35" s="12">
        <f t="shared" si="1"/>
        <v>0</v>
      </c>
      <c r="N35" s="12">
        <f t="shared" si="2"/>
        <v>0</v>
      </c>
      <c r="O35" s="12">
        <f t="shared" si="3"/>
        <v>0</v>
      </c>
      <c r="P35" s="12">
        <f t="shared" si="4"/>
        <v>0</v>
      </c>
      <c r="Q35" s="12">
        <f t="shared" si="5"/>
        <v>0</v>
      </c>
      <c r="R35" s="12">
        <f t="shared" si="6"/>
        <v>0</v>
      </c>
      <c r="S35" s="12">
        <f t="shared" si="7"/>
        <v>0</v>
      </c>
      <c r="T35" s="31">
        <v>0</v>
      </c>
      <c r="U35" s="31">
        <v>0</v>
      </c>
      <c r="V35" s="31">
        <v>0</v>
      </c>
      <c r="W35" s="31">
        <v>0</v>
      </c>
      <c r="X35" s="31">
        <v>0</v>
      </c>
      <c r="Y35" s="31">
        <v>0</v>
      </c>
      <c r="Z35" s="31">
        <v>0</v>
      </c>
      <c r="AA35" s="31">
        <v>0</v>
      </c>
      <c r="AB35" s="31">
        <v>0</v>
      </c>
      <c r="AC35" s="31">
        <v>0</v>
      </c>
      <c r="AD35" s="31">
        <v>0</v>
      </c>
      <c r="AE35" s="31">
        <v>0</v>
      </c>
      <c r="AF35" s="31">
        <v>0</v>
      </c>
      <c r="AG35" s="31">
        <v>0</v>
      </c>
      <c r="AH35" s="31">
        <v>0</v>
      </c>
      <c r="AI35" s="31">
        <v>0</v>
      </c>
      <c r="AJ35" s="31">
        <v>0</v>
      </c>
      <c r="AK35" s="31">
        <v>0</v>
      </c>
      <c r="AL35" s="31">
        <v>0</v>
      </c>
      <c r="AM35" s="31">
        <v>0</v>
      </c>
      <c r="AN35" s="31">
        <v>0</v>
      </c>
      <c r="AO35" s="31">
        <v>0</v>
      </c>
      <c r="AP35" s="31">
        <v>0</v>
      </c>
    </row>
    <row r="36" spans="1:42" x14ac:dyDescent="0.25">
      <c r="A36" s="31">
        <v>2</v>
      </c>
      <c r="B36" s="31">
        <v>13808</v>
      </c>
      <c r="C36" s="31">
        <v>1</v>
      </c>
      <c r="D36" s="31" t="s">
        <v>492</v>
      </c>
      <c r="E36" s="31"/>
      <c r="F36" s="31">
        <v>0</v>
      </c>
      <c r="G36" s="31">
        <v>0</v>
      </c>
      <c r="H36" s="31">
        <v>0</v>
      </c>
      <c r="I36" s="31">
        <v>0</v>
      </c>
      <c r="J36" s="31">
        <v>0</v>
      </c>
      <c r="K36" s="31" t="s">
        <v>882</v>
      </c>
      <c r="L36" s="2" t="str">
        <f t="shared" si="0"/>
        <v>Рихтовка</v>
      </c>
      <c r="M36" s="12">
        <f t="shared" si="1"/>
        <v>0</v>
      </c>
      <c r="N36" s="12">
        <f t="shared" si="2"/>
        <v>0</v>
      </c>
      <c r="O36" s="12">
        <f t="shared" si="3"/>
        <v>0</v>
      </c>
      <c r="P36" s="12">
        <f t="shared" si="4"/>
        <v>0</v>
      </c>
      <c r="Q36" s="12">
        <f t="shared" si="5"/>
        <v>0</v>
      </c>
      <c r="R36" s="12">
        <f t="shared" si="6"/>
        <v>0</v>
      </c>
      <c r="S36" s="12">
        <f t="shared" si="7"/>
        <v>0</v>
      </c>
      <c r="T36" s="31">
        <v>0</v>
      </c>
      <c r="U36" s="31">
        <v>0</v>
      </c>
      <c r="V36" s="31">
        <v>0</v>
      </c>
      <c r="W36" s="31">
        <v>0</v>
      </c>
      <c r="X36" s="31">
        <v>0</v>
      </c>
      <c r="Y36" s="31">
        <v>0</v>
      </c>
      <c r="Z36" s="31">
        <v>0</v>
      </c>
      <c r="AA36" s="31">
        <v>0</v>
      </c>
      <c r="AB36" s="31">
        <v>0</v>
      </c>
      <c r="AC36" s="31">
        <v>0</v>
      </c>
      <c r="AD36" s="31">
        <v>0</v>
      </c>
      <c r="AE36" s="31">
        <v>0</v>
      </c>
      <c r="AF36" s="31">
        <v>0</v>
      </c>
      <c r="AG36" s="31">
        <v>0</v>
      </c>
      <c r="AH36" s="31">
        <v>0</v>
      </c>
      <c r="AI36" s="31">
        <v>0</v>
      </c>
      <c r="AJ36" s="31">
        <v>0</v>
      </c>
      <c r="AK36" s="31">
        <v>0</v>
      </c>
      <c r="AL36" s="31">
        <v>0</v>
      </c>
      <c r="AM36" s="31">
        <v>0</v>
      </c>
      <c r="AN36" s="31">
        <v>0</v>
      </c>
      <c r="AO36" s="31">
        <v>0</v>
      </c>
      <c r="AP36" s="31">
        <v>0</v>
      </c>
    </row>
    <row r="37" spans="1:42" x14ac:dyDescent="0.25">
      <c r="A37" s="31">
        <v>2</v>
      </c>
      <c r="B37" s="31">
        <v>13808</v>
      </c>
      <c r="C37" s="31">
        <v>1</v>
      </c>
      <c r="D37" s="31" t="s">
        <v>493</v>
      </c>
      <c r="E37" s="31"/>
      <c r="F37" s="31">
        <v>0</v>
      </c>
      <c r="G37" s="31">
        <v>0</v>
      </c>
      <c r="H37" s="31">
        <v>0</v>
      </c>
      <c r="I37" s="31">
        <v>0</v>
      </c>
      <c r="J37" s="31">
        <v>0</v>
      </c>
      <c r="K37" s="31" t="s">
        <v>882</v>
      </c>
      <c r="L37" s="2" t="str">
        <f t="shared" si="0"/>
        <v>Рихтовка</v>
      </c>
      <c r="M37" s="12">
        <f t="shared" si="1"/>
        <v>0</v>
      </c>
      <c r="N37" s="12">
        <f t="shared" si="2"/>
        <v>0</v>
      </c>
      <c r="O37" s="12">
        <f t="shared" si="3"/>
        <v>0</v>
      </c>
      <c r="P37" s="12">
        <f t="shared" si="4"/>
        <v>0</v>
      </c>
      <c r="Q37" s="12">
        <f t="shared" si="5"/>
        <v>0</v>
      </c>
      <c r="R37" s="12">
        <f t="shared" si="6"/>
        <v>0</v>
      </c>
      <c r="S37" s="12">
        <f t="shared" si="7"/>
        <v>0</v>
      </c>
      <c r="T37" s="31">
        <v>0</v>
      </c>
      <c r="U37" s="31">
        <v>0</v>
      </c>
      <c r="V37" s="31">
        <v>0</v>
      </c>
      <c r="W37" s="31">
        <v>0</v>
      </c>
      <c r="X37" s="31">
        <v>0</v>
      </c>
      <c r="Y37" s="31">
        <v>0</v>
      </c>
      <c r="Z37" s="31">
        <v>0</v>
      </c>
      <c r="AA37" s="31">
        <v>0</v>
      </c>
      <c r="AB37" s="31">
        <v>0</v>
      </c>
      <c r="AC37" s="31">
        <v>0</v>
      </c>
      <c r="AD37" s="31">
        <v>0</v>
      </c>
      <c r="AE37" s="31">
        <v>0</v>
      </c>
      <c r="AF37" s="31">
        <v>0</v>
      </c>
      <c r="AG37" s="31">
        <v>0</v>
      </c>
      <c r="AH37" s="31">
        <v>0</v>
      </c>
      <c r="AI37" s="31">
        <v>0</v>
      </c>
      <c r="AJ37" s="31">
        <v>0</v>
      </c>
      <c r="AK37" s="31">
        <v>0</v>
      </c>
      <c r="AL37" s="31">
        <v>0</v>
      </c>
      <c r="AM37" s="31">
        <v>0</v>
      </c>
      <c r="AN37" s="31">
        <v>0</v>
      </c>
      <c r="AO37" s="31">
        <v>0</v>
      </c>
      <c r="AP37" s="31">
        <v>0</v>
      </c>
    </row>
    <row r="38" spans="1:42" x14ac:dyDescent="0.25">
      <c r="A38" s="31">
        <v>2</v>
      </c>
      <c r="B38" s="31">
        <v>13808</v>
      </c>
      <c r="C38" s="31">
        <v>1</v>
      </c>
      <c r="D38" s="31" t="s">
        <v>494</v>
      </c>
      <c r="E38" s="31"/>
      <c r="F38" s="31">
        <v>0</v>
      </c>
      <c r="G38" s="31">
        <v>0</v>
      </c>
      <c r="H38" s="31">
        <v>0</v>
      </c>
      <c r="I38" s="31">
        <v>0</v>
      </c>
      <c r="J38" s="31">
        <v>0</v>
      </c>
      <c r="K38" s="31" t="s">
        <v>882</v>
      </c>
      <c r="L38" s="2" t="str">
        <f t="shared" si="0"/>
        <v>Рихтовка</v>
      </c>
      <c r="M38" s="12">
        <f t="shared" si="1"/>
        <v>0</v>
      </c>
      <c r="N38" s="12">
        <f t="shared" si="2"/>
        <v>0</v>
      </c>
      <c r="O38" s="12">
        <f t="shared" si="3"/>
        <v>0</v>
      </c>
      <c r="P38" s="12">
        <f t="shared" si="4"/>
        <v>0</v>
      </c>
      <c r="Q38" s="12">
        <f t="shared" si="5"/>
        <v>0</v>
      </c>
      <c r="R38" s="12">
        <f t="shared" si="6"/>
        <v>0</v>
      </c>
      <c r="S38" s="12">
        <f t="shared" si="7"/>
        <v>0</v>
      </c>
      <c r="T38" s="31">
        <v>0</v>
      </c>
      <c r="U38" s="31">
        <v>0</v>
      </c>
      <c r="V38" s="31">
        <v>0</v>
      </c>
      <c r="W38" s="31">
        <v>0</v>
      </c>
      <c r="X38" s="31">
        <v>0</v>
      </c>
      <c r="Y38" s="31">
        <v>0</v>
      </c>
      <c r="Z38" s="31">
        <v>0</v>
      </c>
      <c r="AA38" s="31">
        <v>0</v>
      </c>
      <c r="AB38" s="31">
        <v>0</v>
      </c>
      <c r="AC38" s="31">
        <v>0</v>
      </c>
      <c r="AD38" s="31">
        <v>0</v>
      </c>
      <c r="AE38" s="31">
        <v>0</v>
      </c>
      <c r="AF38" s="31">
        <v>0</v>
      </c>
      <c r="AG38" s="31">
        <v>0</v>
      </c>
      <c r="AH38" s="31">
        <v>0</v>
      </c>
      <c r="AI38" s="31">
        <v>0</v>
      </c>
      <c r="AJ38" s="31">
        <v>0</v>
      </c>
      <c r="AK38" s="31">
        <v>0</v>
      </c>
      <c r="AL38" s="31">
        <v>0</v>
      </c>
      <c r="AM38" s="31">
        <v>0</v>
      </c>
      <c r="AN38" s="31">
        <v>0</v>
      </c>
      <c r="AO38" s="31">
        <v>0</v>
      </c>
      <c r="AP38" s="31">
        <v>0</v>
      </c>
    </row>
    <row r="39" spans="1:42" x14ac:dyDescent="0.25">
      <c r="A39" s="31">
        <v>2</v>
      </c>
      <c r="B39" s="31">
        <v>13808</v>
      </c>
      <c r="C39" s="31">
        <v>1</v>
      </c>
      <c r="D39" s="31" t="s">
        <v>495</v>
      </c>
      <c r="E39" s="31"/>
      <c r="F39" s="31">
        <v>0</v>
      </c>
      <c r="G39" s="31">
        <v>0</v>
      </c>
      <c r="H39" s="31">
        <v>0</v>
      </c>
      <c r="I39" s="31">
        <v>0</v>
      </c>
      <c r="J39" s="31">
        <v>0</v>
      </c>
      <c r="K39" s="31" t="s">
        <v>882</v>
      </c>
      <c r="L39" s="2" t="str">
        <f t="shared" si="0"/>
        <v>Рихтовка</v>
      </c>
      <c r="M39" s="12">
        <f t="shared" si="1"/>
        <v>0</v>
      </c>
      <c r="N39" s="12">
        <f t="shared" si="2"/>
        <v>0</v>
      </c>
      <c r="O39" s="12">
        <f t="shared" si="3"/>
        <v>0</v>
      </c>
      <c r="P39" s="12">
        <f t="shared" si="4"/>
        <v>0</v>
      </c>
      <c r="Q39" s="12">
        <f t="shared" si="5"/>
        <v>0</v>
      </c>
      <c r="R39" s="12">
        <f t="shared" si="6"/>
        <v>0</v>
      </c>
      <c r="S39" s="12">
        <f t="shared" si="7"/>
        <v>0</v>
      </c>
      <c r="T39" s="31">
        <v>0</v>
      </c>
      <c r="U39" s="31">
        <v>0</v>
      </c>
      <c r="V39" s="31">
        <v>0</v>
      </c>
      <c r="W39" s="31">
        <v>0</v>
      </c>
      <c r="X39" s="31">
        <v>0</v>
      </c>
      <c r="Y39" s="31">
        <v>0</v>
      </c>
      <c r="Z39" s="31">
        <v>0</v>
      </c>
      <c r="AA39" s="31">
        <v>0</v>
      </c>
      <c r="AB39" s="31">
        <v>0</v>
      </c>
      <c r="AC39" s="31">
        <v>0</v>
      </c>
      <c r="AD39" s="31">
        <v>0</v>
      </c>
      <c r="AE39" s="31">
        <v>0</v>
      </c>
      <c r="AF39" s="31">
        <v>0</v>
      </c>
      <c r="AG39" s="31">
        <v>0</v>
      </c>
      <c r="AH39" s="31">
        <v>0</v>
      </c>
      <c r="AI39" s="31">
        <v>0</v>
      </c>
      <c r="AJ39" s="31">
        <v>0</v>
      </c>
      <c r="AK39" s="31">
        <v>0</v>
      </c>
      <c r="AL39" s="31">
        <v>0</v>
      </c>
      <c r="AM39" s="31">
        <v>0</v>
      </c>
      <c r="AN39" s="31">
        <v>0</v>
      </c>
      <c r="AO39" s="31">
        <v>0</v>
      </c>
      <c r="AP39" s="31">
        <v>0</v>
      </c>
    </row>
    <row r="40" spans="1:42" x14ac:dyDescent="0.25">
      <c r="A40" s="31">
        <v>2</v>
      </c>
      <c r="B40" s="31">
        <v>13808</v>
      </c>
      <c r="C40" s="31" t="s">
        <v>452</v>
      </c>
      <c r="D40" s="31" t="s">
        <v>496</v>
      </c>
      <c r="E40" s="31"/>
      <c r="F40" s="31">
        <v>0</v>
      </c>
      <c r="G40" s="31">
        <v>0</v>
      </c>
      <c r="H40" s="31">
        <v>0</v>
      </c>
      <c r="I40" s="31">
        <v>0</v>
      </c>
      <c r="J40" s="31">
        <v>0</v>
      </c>
      <c r="K40" s="31" t="s">
        <v>882</v>
      </c>
      <c r="L40" s="2" t="str">
        <f t="shared" si="0"/>
        <v>Рихтовка</v>
      </c>
      <c r="M40" s="12">
        <f t="shared" si="1"/>
        <v>0</v>
      </c>
      <c r="N40" s="12">
        <f t="shared" si="2"/>
        <v>0</v>
      </c>
      <c r="O40" s="12">
        <f t="shared" si="3"/>
        <v>0</v>
      </c>
      <c r="P40" s="12">
        <f t="shared" si="4"/>
        <v>0</v>
      </c>
      <c r="Q40" s="12">
        <f t="shared" si="5"/>
        <v>0</v>
      </c>
      <c r="R40" s="12">
        <f t="shared" si="6"/>
        <v>0</v>
      </c>
      <c r="S40" s="12">
        <f t="shared" si="7"/>
        <v>0</v>
      </c>
      <c r="T40" s="31">
        <v>0</v>
      </c>
      <c r="U40" s="31">
        <v>0</v>
      </c>
      <c r="V40" s="31">
        <v>0</v>
      </c>
      <c r="W40" s="31">
        <v>0</v>
      </c>
      <c r="X40" s="31">
        <v>0</v>
      </c>
      <c r="Y40" s="31">
        <v>0</v>
      </c>
      <c r="Z40" s="31">
        <v>0</v>
      </c>
      <c r="AA40" s="31">
        <v>0</v>
      </c>
      <c r="AB40" s="31">
        <v>0</v>
      </c>
      <c r="AC40" s="31">
        <v>0</v>
      </c>
      <c r="AD40" s="31">
        <v>0</v>
      </c>
      <c r="AE40" s="31">
        <v>0</v>
      </c>
      <c r="AF40" s="31">
        <v>0</v>
      </c>
      <c r="AG40" s="31">
        <v>0</v>
      </c>
      <c r="AH40" s="31">
        <v>0</v>
      </c>
      <c r="AI40" s="31">
        <v>0</v>
      </c>
      <c r="AJ40" s="31">
        <v>0</v>
      </c>
      <c r="AK40" s="31">
        <v>0</v>
      </c>
      <c r="AL40" s="31">
        <v>0</v>
      </c>
      <c r="AM40" s="31">
        <v>0</v>
      </c>
      <c r="AN40" s="31">
        <v>0</v>
      </c>
      <c r="AO40" s="31">
        <v>0</v>
      </c>
      <c r="AP40" s="31">
        <v>0</v>
      </c>
    </row>
    <row r="41" spans="1:42" x14ac:dyDescent="0.25">
      <c r="A41" s="31">
        <v>2</v>
      </c>
      <c r="B41" s="31">
        <v>13808</v>
      </c>
      <c r="C41" s="31">
        <v>1</v>
      </c>
      <c r="D41" s="31" t="s">
        <v>497</v>
      </c>
      <c r="E41" s="31"/>
      <c r="F41" s="31">
        <v>0</v>
      </c>
      <c r="G41" s="31">
        <v>0</v>
      </c>
      <c r="H41" s="31">
        <v>0</v>
      </c>
      <c r="I41" s="31">
        <v>0</v>
      </c>
      <c r="J41" s="31">
        <v>0</v>
      </c>
      <c r="K41" s="31" t="s">
        <v>882</v>
      </c>
      <c r="L41" s="2" t="str">
        <f t="shared" si="0"/>
        <v>Рихтовка</v>
      </c>
      <c r="M41" s="12">
        <f t="shared" si="1"/>
        <v>0</v>
      </c>
      <c r="N41" s="12">
        <f t="shared" si="2"/>
        <v>0</v>
      </c>
      <c r="O41" s="12">
        <f t="shared" si="3"/>
        <v>0</v>
      </c>
      <c r="P41" s="12">
        <f t="shared" si="4"/>
        <v>0</v>
      </c>
      <c r="Q41" s="12">
        <f t="shared" si="5"/>
        <v>0</v>
      </c>
      <c r="R41" s="12">
        <f t="shared" si="6"/>
        <v>0</v>
      </c>
      <c r="S41" s="12">
        <f t="shared" si="7"/>
        <v>0</v>
      </c>
      <c r="T41" s="31">
        <v>0</v>
      </c>
      <c r="U41" s="31">
        <v>0</v>
      </c>
      <c r="V41" s="31">
        <v>0</v>
      </c>
      <c r="W41" s="31">
        <v>0</v>
      </c>
      <c r="X41" s="31">
        <v>0</v>
      </c>
      <c r="Y41" s="31">
        <v>0</v>
      </c>
      <c r="Z41" s="31">
        <v>0</v>
      </c>
      <c r="AA41" s="31">
        <v>0</v>
      </c>
      <c r="AB41" s="31">
        <v>0</v>
      </c>
      <c r="AC41" s="31">
        <v>0</v>
      </c>
      <c r="AD41" s="31">
        <v>0</v>
      </c>
      <c r="AE41" s="31">
        <v>0</v>
      </c>
      <c r="AF41" s="31">
        <v>0</v>
      </c>
      <c r="AG41" s="31">
        <v>0</v>
      </c>
      <c r="AH41" s="31">
        <v>0</v>
      </c>
      <c r="AI41" s="31">
        <v>0</v>
      </c>
      <c r="AJ41" s="31">
        <v>0</v>
      </c>
      <c r="AK41" s="31">
        <v>0</v>
      </c>
      <c r="AL41" s="31">
        <v>0</v>
      </c>
      <c r="AM41" s="31">
        <v>0</v>
      </c>
      <c r="AN41" s="31">
        <v>0</v>
      </c>
      <c r="AO41" s="31">
        <v>0</v>
      </c>
      <c r="AP41" s="31">
        <v>0</v>
      </c>
    </row>
    <row r="42" spans="1:42" x14ac:dyDescent="0.25">
      <c r="A42" s="31">
        <v>2</v>
      </c>
      <c r="B42" s="31">
        <v>13808</v>
      </c>
      <c r="C42" s="31">
        <v>1</v>
      </c>
      <c r="D42" s="31" t="s">
        <v>498</v>
      </c>
      <c r="E42" s="31"/>
      <c r="F42" s="31">
        <v>0</v>
      </c>
      <c r="G42" s="31">
        <v>0</v>
      </c>
      <c r="H42" s="31">
        <v>0</v>
      </c>
      <c r="I42" s="31">
        <v>0</v>
      </c>
      <c r="J42" s="31">
        <v>0</v>
      </c>
      <c r="K42" s="31" t="s">
        <v>882</v>
      </c>
      <c r="L42" s="2" t="str">
        <f t="shared" si="0"/>
        <v>Рихтовка</v>
      </c>
      <c r="M42" s="12">
        <f t="shared" si="1"/>
        <v>0</v>
      </c>
      <c r="N42" s="12">
        <f t="shared" si="2"/>
        <v>0</v>
      </c>
      <c r="O42" s="12">
        <f t="shared" si="3"/>
        <v>0</v>
      </c>
      <c r="P42" s="12">
        <f t="shared" si="4"/>
        <v>0</v>
      </c>
      <c r="Q42" s="12">
        <f t="shared" si="5"/>
        <v>0</v>
      </c>
      <c r="R42" s="12">
        <f t="shared" si="6"/>
        <v>0</v>
      </c>
      <c r="S42" s="12">
        <f t="shared" si="7"/>
        <v>0</v>
      </c>
      <c r="T42" s="31">
        <v>0</v>
      </c>
      <c r="U42" s="31">
        <v>0</v>
      </c>
      <c r="V42" s="31">
        <v>0</v>
      </c>
      <c r="W42" s="31">
        <v>0</v>
      </c>
      <c r="X42" s="31">
        <v>0</v>
      </c>
      <c r="Y42" s="31">
        <v>0</v>
      </c>
      <c r="Z42" s="31">
        <v>0</v>
      </c>
      <c r="AA42" s="31">
        <v>0</v>
      </c>
      <c r="AB42" s="31">
        <v>0</v>
      </c>
      <c r="AC42" s="31">
        <v>0</v>
      </c>
      <c r="AD42" s="31">
        <v>0</v>
      </c>
      <c r="AE42" s="31">
        <v>0</v>
      </c>
      <c r="AF42" s="31">
        <v>0</v>
      </c>
      <c r="AG42" s="31">
        <v>0</v>
      </c>
      <c r="AH42" s="31">
        <v>0</v>
      </c>
      <c r="AI42" s="31">
        <v>0</v>
      </c>
      <c r="AJ42" s="31">
        <v>0</v>
      </c>
      <c r="AK42" s="31">
        <v>0</v>
      </c>
      <c r="AL42" s="31">
        <v>0</v>
      </c>
      <c r="AM42" s="31">
        <v>0</v>
      </c>
      <c r="AN42" s="31">
        <v>0</v>
      </c>
      <c r="AO42" s="31">
        <v>0</v>
      </c>
      <c r="AP42" s="31">
        <v>0</v>
      </c>
    </row>
    <row r="43" spans="1:42" x14ac:dyDescent="0.25">
      <c r="A43" s="31">
        <v>2</v>
      </c>
      <c r="B43" s="31">
        <v>13808</v>
      </c>
      <c r="C43" s="31">
        <v>1</v>
      </c>
      <c r="D43" s="31" t="s">
        <v>499</v>
      </c>
      <c r="E43" s="31"/>
      <c r="F43" s="31">
        <v>0</v>
      </c>
      <c r="G43" s="31">
        <v>0</v>
      </c>
      <c r="H43" s="31">
        <v>0</v>
      </c>
      <c r="I43" s="31">
        <v>0</v>
      </c>
      <c r="J43" s="31">
        <v>0</v>
      </c>
      <c r="K43" s="31" t="s">
        <v>882</v>
      </c>
      <c r="L43" s="2" t="str">
        <f t="shared" si="0"/>
        <v>Рихтовка</v>
      </c>
      <c r="M43" s="12">
        <f t="shared" si="1"/>
        <v>0</v>
      </c>
      <c r="N43" s="12">
        <f t="shared" si="2"/>
        <v>0</v>
      </c>
      <c r="O43" s="12">
        <f t="shared" si="3"/>
        <v>0</v>
      </c>
      <c r="P43" s="12">
        <f t="shared" si="4"/>
        <v>0</v>
      </c>
      <c r="Q43" s="12">
        <f t="shared" si="5"/>
        <v>0</v>
      </c>
      <c r="R43" s="12">
        <f t="shared" si="6"/>
        <v>0</v>
      </c>
      <c r="S43" s="12">
        <f t="shared" si="7"/>
        <v>0</v>
      </c>
      <c r="T43" s="31">
        <v>0</v>
      </c>
      <c r="U43" s="31">
        <v>0</v>
      </c>
      <c r="V43" s="31">
        <v>0</v>
      </c>
      <c r="W43" s="31">
        <v>0</v>
      </c>
      <c r="X43" s="31">
        <v>0</v>
      </c>
      <c r="Y43" s="31">
        <v>0</v>
      </c>
      <c r="Z43" s="31">
        <v>0</v>
      </c>
      <c r="AA43" s="31">
        <v>0</v>
      </c>
      <c r="AB43" s="31">
        <v>0</v>
      </c>
      <c r="AC43" s="31">
        <v>0</v>
      </c>
      <c r="AD43" s="31">
        <v>0</v>
      </c>
      <c r="AE43" s="31">
        <v>0</v>
      </c>
      <c r="AF43" s="31">
        <v>0</v>
      </c>
      <c r="AG43" s="31">
        <v>0</v>
      </c>
      <c r="AH43" s="31">
        <v>0</v>
      </c>
      <c r="AI43" s="31">
        <v>0</v>
      </c>
      <c r="AJ43" s="31">
        <v>0</v>
      </c>
      <c r="AK43" s="31">
        <v>0</v>
      </c>
      <c r="AL43" s="31">
        <v>0</v>
      </c>
      <c r="AM43" s="31">
        <v>0</v>
      </c>
      <c r="AN43" s="31">
        <v>0</v>
      </c>
      <c r="AO43" s="31">
        <v>0</v>
      </c>
      <c r="AP43" s="31">
        <v>0</v>
      </c>
    </row>
    <row r="44" spans="1:42" x14ac:dyDescent="0.25">
      <c r="A44" s="31">
        <v>2</v>
      </c>
      <c r="B44" s="31">
        <v>13808</v>
      </c>
      <c r="C44" s="31">
        <v>2</v>
      </c>
      <c r="D44" s="31" t="s">
        <v>489</v>
      </c>
      <c r="E44" s="31"/>
      <c r="F44" s="31">
        <v>0</v>
      </c>
      <c r="G44" s="31">
        <v>0</v>
      </c>
      <c r="H44" s="31">
        <v>0</v>
      </c>
      <c r="I44" s="31">
        <v>0</v>
      </c>
      <c r="J44" s="31">
        <v>0</v>
      </c>
      <c r="K44" s="31" t="s">
        <v>882</v>
      </c>
      <c r="L44" s="2" t="str">
        <f t="shared" si="0"/>
        <v>Рихтовка</v>
      </c>
      <c r="M44" s="12">
        <f t="shared" si="1"/>
        <v>0</v>
      </c>
      <c r="N44" s="12">
        <f t="shared" si="2"/>
        <v>0</v>
      </c>
      <c r="O44" s="12">
        <f t="shared" si="3"/>
        <v>0</v>
      </c>
      <c r="P44" s="12">
        <f t="shared" si="4"/>
        <v>0</v>
      </c>
      <c r="Q44" s="12">
        <f t="shared" si="5"/>
        <v>0</v>
      </c>
      <c r="R44" s="12">
        <f t="shared" si="6"/>
        <v>0</v>
      </c>
      <c r="S44" s="12">
        <f t="shared" si="7"/>
        <v>0</v>
      </c>
      <c r="T44" s="31">
        <v>0</v>
      </c>
      <c r="U44" s="31">
        <v>0</v>
      </c>
      <c r="V44" s="31">
        <v>0</v>
      </c>
      <c r="W44" s="31">
        <v>0</v>
      </c>
      <c r="X44" s="31">
        <v>0</v>
      </c>
      <c r="Y44" s="31">
        <v>0</v>
      </c>
      <c r="Z44" s="31">
        <v>0</v>
      </c>
      <c r="AA44" s="31">
        <v>0</v>
      </c>
      <c r="AB44" s="31">
        <v>0</v>
      </c>
      <c r="AC44" s="31">
        <v>0</v>
      </c>
      <c r="AD44" s="31">
        <v>0</v>
      </c>
      <c r="AE44" s="31">
        <v>0</v>
      </c>
      <c r="AF44" s="31">
        <v>0</v>
      </c>
      <c r="AG44" s="31">
        <v>0</v>
      </c>
      <c r="AH44" s="31">
        <v>0</v>
      </c>
      <c r="AI44" s="31">
        <v>0</v>
      </c>
      <c r="AJ44" s="31">
        <v>0</v>
      </c>
      <c r="AK44" s="31">
        <v>0</v>
      </c>
      <c r="AL44" s="31">
        <v>0</v>
      </c>
      <c r="AM44" s="31">
        <v>0</v>
      </c>
      <c r="AN44" s="31">
        <v>0</v>
      </c>
      <c r="AO44" s="31">
        <v>0</v>
      </c>
      <c r="AP44" s="31">
        <v>0</v>
      </c>
    </row>
    <row r="45" spans="1:42" x14ac:dyDescent="0.25">
      <c r="A45" s="31">
        <v>2</v>
      </c>
      <c r="B45" s="31">
        <v>13808</v>
      </c>
      <c r="C45" s="31">
        <v>2</v>
      </c>
      <c r="D45" s="31" t="s">
        <v>490</v>
      </c>
      <c r="E45" s="31"/>
      <c r="F45" s="31">
        <v>0</v>
      </c>
      <c r="G45" s="31">
        <v>0</v>
      </c>
      <c r="H45" s="31">
        <v>0</v>
      </c>
      <c r="I45" s="31">
        <v>0</v>
      </c>
      <c r="J45" s="31">
        <v>0</v>
      </c>
      <c r="K45" s="31" t="s">
        <v>882</v>
      </c>
      <c r="L45" s="2" t="str">
        <f t="shared" si="0"/>
        <v>Рихтовка</v>
      </c>
      <c r="M45" s="12">
        <f t="shared" si="1"/>
        <v>0</v>
      </c>
      <c r="N45" s="12">
        <f t="shared" si="2"/>
        <v>0</v>
      </c>
      <c r="O45" s="12">
        <f t="shared" si="3"/>
        <v>0</v>
      </c>
      <c r="P45" s="12">
        <f t="shared" si="4"/>
        <v>0</v>
      </c>
      <c r="Q45" s="12">
        <f t="shared" si="5"/>
        <v>0</v>
      </c>
      <c r="R45" s="12">
        <f t="shared" si="6"/>
        <v>0</v>
      </c>
      <c r="S45" s="12">
        <f t="shared" si="7"/>
        <v>0</v>
      </c>
      <c r="T45" s="31">
        <v>0</v>
      </c>
      <c r="U45" s="31">
        <v>0</v>
      </c>
      <c r="V45" s="31">
        <v>0</v>
      </c>
      <c r="W45" s="31">
        <v>0</v>
      </c>
      <c r="X45" s="31">
        <v>0</v>
      </c>
      <c r="Y45" s="31">
        <v>0</v>
      </c>
      <c r="Z45" s="31">
        <v>0</v>
      </c>
      <c r="AA45" s="31">
        <v>0</v>
      </c>
      <c r="AB45" s="31">
        <v>0</v>
      </c>
      <c r="AC45" s="31">
        <v>0</v>
      </c>
      <c r="AD45" s="31">
        <v>0</v>
      </c>
      <c r="AE45" s="31">
        <v>0</v>
      </c>
      <c r="AF45" s="31">
        <v>0</v>
      </c>
      <c r="AG45" s="31">
        <v>0</v>
      </c>
      <c r="AH45" s="31">
        <v>0</v>
      </c>
      <c r="AI45" s="31">
        <v>0</v>
      </c>
      <c r="AJ45" s="31">
        <v>0</v>
      </c>
      <c r="AK45" s="31">
        <v>0</v>
      </c>
      <c r="AL45" s="31">
        <v>0</v>
      </c>
      <c r="AM45" s="31">
        <v>0</v>
      </c>
      <c r="AN45" s="31">
        <v>0</v>
      </c>
      <c r="AO45" s="31">
        <v>0</v>
      </c>
      <c r="AP45" s="31">
        <v>0</v>
      </c>
    </row>
    <row r="46" spans="1:42" x14ac:dyDescent="0.25">
      <c r="A46" s="31">
        <v>2</v>
      </c>
      <c r="B46" s="31">
        <v>13808</v>
      </c>
      <c r="C46" s="31">
        <v>2</v>
      </c>
      <c r="D46" s="31" t="s">
        <v>491</v>
      </c>
      <c r="E46" s="31"/>
      <c r="F46" s="31">
        <v>0</v>
      </c>
      <c r="G46" s="31">
        <v>0</v>
      </c>
      <c r="H46" s="31">
        <v>0</v>
      </c>
      <c r="I46" s="31">
        <v>0</v>
      </c>
      <c r="J46" s="31">
        <v>0</v>
      </c>
      <c r="K46" s="31" t="s">
        <v>882</v>
      </c>
      <c r="L46" s="2" t="str">
        <f t="shared" si="0"/>
        <v>Рихтовка</v>
      </c>
      <c r="M46" s="12">
        <f t="shared" si="1"/>
        <v>0</v>
      </c>
      <c r="N46" s="12">
        <f t="shared" si="2"/>
        <v>0</v>
      </c>
      <c r="O46" s="12">
        <f t="shared" si="3"/>
        <v>0</v>
      </c>
      <c r="P46" s="12">
        <f t="shared" si="4"/>
        <v>0</v>
      </c>
      <c r="Q46" s="12">
        <f t="shared" si="5"/>
        <v>0</v>
      </c>
      <c r="R46" s="12">
        <f t="shared" si="6"/>
        <v>0</v>
      </c>
      <c r="S46" s="12">
        <f t="shared" si="7"/>
        <v>0</v>
      </c>
      <c r="T46" s="31">
        <v>0</v>
      </c>
      <c r="U46" s="31">
        <v>0</v>
      </c>
      <c r="V46" s="31">
        <v>0</v>
      </c>
      <c r="W46" s="31">
        <v>0</v>
      </c>
      <c r="X46" s="31">
        <v>0</v>
      </c>
      <c r="Y46" s="31">
        <v>0</v>
      </c>
      <c r="Z46" s="31">
        <v>0</v>
      </c>
      <c r="AA46" s="31">
        <v>0</v>
      </c>
      <c r="AB46" s="31">
        <v>0</v>
      </c>
      <c r="AC46" s="31">
        <v>0</v>
      </c>
      <c r="AD46" s="31">
        <v>0</v>
      </c>
      <c r="AE46" s="31">
        <v>0</v>
      </c>
      <c r="AF46" s="31">
        <v>0</v>
      </c>
      <c r="AG46" s="31">
        <v>0</v>
      </c>
      <c r="AH46" s="31">
        <v>0</v>
      </c>
      <c r="AI46" s="31">
        <v>0</v>
      </c>
      <c r="AJ46" s="31">
        <v>0</v>
      </c>
      <c r="AK46" s="31">
        <v>0</v>
      </c>
      <c r="AL46" s="31">
        <v>0</v>
      </c>
      <c r="AM46" s="31">
        <v>0</v>
      </c>
      <c r="AN46" s="31">
        <v>0</v>
      </c>
      <c r="AO46" s="31">
        <v>0</v>
      </c>
      <c r="AP46" s="31">
        <v>0</v>
      </c>
    </row>
    <row r="47" spans="1:42" x14ac:dyDescent="0.25">
      <c r="A47" s="31">
        <v>2</v>
      </c>
      <c r="B47" s="31">
        <v>13808</v>
      </c>
      <c r="C47" s="31">
        <v>2</v>
      </c>
      <c r="D47" s="31" t="s">
        <v>492</v>
      </c>
      <c r="E47" s="31"/>
      <c r="F47" s="31">
        <v>0</v>
      </c>
      <c r="G47" s="31">
        <v>0</v>
      </c>
      <c r="H47" s="31">
        <v>0</v>
      </c>
      <c r="I47" s="31">
        <v>0</v>
      </c>
      <c r="J47" s="31">
        <v>0</v>
      </c>
      <c r="K47" s="31" t="s">
        <v>882</v>
      </c>
      <c r="L47" s="2" t="str">
        <f t="shared" si="0"/>
        <v>Рихтовка</v>
      </c>
      <c r="M47" s="12">
        <f t="shared" si="1"/>
        <v>0</v>
      </c>
      <c r="N47" s="12">
        <f t="shared" si="2"/>
        <v>0</v>
      </c>
      <c r="O47" s="12">
        <f t="shared" si="3"/>
        <v>0</v>
      </c>
      <c r="P47" s="12">
        <f t="shared" si="4"/>
        <v>0</v>
      </c>
      <c r="Q47" s="12">
        <f t="shared" si="5"/>
        <v>0</v>
      </c>
      <c r="R47" s="12">
        <f t="shared" si="6"/>
        <v>0</v>
      </c>
      <c r="S47" s="12">
        <f t="shared" si="7"/>
        <v>0</v>
      </c>
      <c r="T47" s="31">
        <v>0</v>
      </c>
      <c r="U47" s="31">
        <v>0</v>
      </c>
      <c r="V47" s="31">
        <v>0</v>
      </c>
      <c r="W47" s="31">
        <v>0</v>
      </c>
      <c r="X47" s="31">
        <v>0</v>
      </c>
      <c r="Y47" s="31">
        <v>0</v>
      </c>
      <c r="Z47" s="31">
        <v>0</v>
      </c>
      <c r="AA47" s="31">
        <v>0</v>
      </c>
      <c r="AB47" s="31">
        <v>0</v>
      </c>
      <c r="AC47" s="31">
        <v>0</v>
      </c>
      <c r="AD47" s="31">
        <v>0</v>
      </c>
      <c r="AE47" s="31">
        <v>0</v>
      </c>
      <c r="AF47" s="31">
        <v>0</v>
      </c>
      <c r="AG47" s="31">
        <v>0</v>
      </c>
      <c r="AH47" s="31">
        <v>0</v>
      </c>
      <c r="AI47" s="31">
        <v>0</v>
      </c>
      <c r="AJ47" s="31">
        <v>0</v>
      </c>
      <c r="AK47" s="31">
        <v>0</v>
      </c>
      <c r="AL47" s="31">
        <v>0</v>
      </c>
      <c r="AM47" s="31">
        <v>0</v>
      </c>
      <c r="AN47" s="31">
        <v>0</v>
      </c>
      <c r="AO47" s="31">
        <v>0</v>
      </c>
      <c r="AP47" s="31">
        <v>0</v>
      </c>
    </row>
    <row r="48" spans="1:42" x14ac:dyDescent="0.25">
      <c r="A48" s="31">
        <v>2</v>
      </c>
      <c r="B48" s="31">
        <v>13808</v>
      </c>
      <c r="C48" s="31">
        <v>2</v>
      </c>
      <c r="D48" s="31" t="s">
        <v>493</v>
      </c>
      <c r="E48" s="31"/>
      <c r="F48" s="31">
        <v>0</v>
      </c>
      <c r="G48" s="31">
        <v>0</v>
      </c>
      <c r="H48" s="31">
        <v>0</v>
      </c>
      <c r="I48" s="31">
        <v>0</v>
      </c>
      <c r="J48" s="31">
        <v>0</v>
      </c>
      <c r="K48" s="31" t="s">
        <v>882</v>
      </c>
      <c r="L48" s="2" t="str">
        <f t="shared" si="0"/>
        <v>Рихтовка</v>
      </c>
      <c r="M48" s="12">
        <f t="shared" si="1"/>
        <v>0</v>
      </c>
      <c r="N48" s="12">
        <f t="shared" si="2"/>
        <v>0</v>
      </c>
      <c r="O48" s="12">
        <f t="shared" si="3"/>
        <v>0</v>
      </c>
      <c r="P48" s="12">
        <f t="shared" si="4"/>
        <v>0</v>
      </c>
      <c r="Q48" s="12">
        <f t="shared" si="5"/>
        <v>0</v>
      </c>
      <c r="R48" s="12">
        <f t="shared" si="6"/>
        <v>0</v>
      </c>
      <c r="S48" s="12">
        <f t="shared" si="7"/>
        <v>0</v>
      </c>
      <c r="T48" s="31">
        <v>0</v>
      </c>
      <c r="U48" s="31">
        <v>0</v>
      </c>
      <c r="V48" s="31">
        <v>0</v>
      </c>
      <c r="W48" s="31">
        <v>0</v>
      </c>
      <c r="X48" s="31">
        <v>0</v>
      </c>
      <c r="Y48" s="31">
        <v>0</v>
      </c>
      <c r="Z48" s="31">
        <v>0</v>
      </c>
      <c r="AA48" s="31">
        <v>0</v>
      </c>
      <c r="AB48" s="31">
        <v>0</v>
      </c>
      <c r="AC48" s="31">
        <v>0</v>
      </c>
      <c r="AD48" s="31">
        <v>0</v>
      </c>
      <c r="AE48" s="31">
        <v>0</v>
      </c>
      <c r="AF48" s="31">
        <v>0</v>
      </c>
      <c r="AG48" s="31">
        <v>0</v>
      </c>
      <c r="AH48" s="31">
        <v>0</v>
      </c>
      <c r="AI48" s="31">
        <v>0</v>
      </c>
      <c r="AJ48" s="31">
        <v>0</v>
      </c>
      <c r="AK48" s="31">
        <v>0</v>
      </c>
      <c r="AL48" s="31">
        <v>0</v>
      </c>
      <c r="AM48" s="31">
        <v>0</v>
      </c>
      <c r="AN48" s="31">
        <v>0</v>
      </c>
      <c r="AO48" s="31">
        <v>0</v>
      </c>
      <c r="AP48" s="31">
        <v>0</v>
      </c>
    </row>
    <row r="49" spans="1:42" x14ac:dyDescent="0.25">
      <c r="A49" s="31">
        <v>2</v>
      </c>
      <c r="B49" s="31">
        <v>13808</v>
      </c>
      <c r="C49" s="31">
        <v>2</v>
      </c>
      <c r="D49" s="31" t="s">
        <v>494</v>
      </c>
      <c r="E49" s="31"/>
      <c r="F49" s="31">
        <v>0</v>
      </c>
      <c r="G49" s="31">
        <v>0</v>
      </c>
      <c r="H49" s="31">
        <v>0</v>
      </c>
      <c r="I49" s="31">
        <v>0</v>
      </c>
      <c r="J49" s="31">
        <v>0</v>
      </c>
      <c r="K49" s="31" t="s">
        <v>882</v>
      </c>
      <c r="L49" s="2" t="str">
        <f t="shared" si="0"/>
        <v>Рихтовка</v>
      </c>
      <c r="M49" s="12">
        <f t="shared" si="1"/>
        <v>0</v>
      </c>
      <c r="N49" s="12">
        <f t="shared" si="2"/>
        <v>0</v>
      </c>
      <c r="O49" s="12">
        <f t="shared" si="3"/>
        <v>0</v>
      </c>
      <c r="P49" s="12">
        <f t="shared" si="4"/>
        <v>0</v>
      </c>
      <c r="Q49" s="12">
        <f t="shared" si="5"/>
        <v>0</v>
      </c>
      <c r="R49" s="12">
        <f t="shared" si="6"/>
        <v>0</v>
      </c>
      <c r="S49" s="12">
        <f t="shared" si="7"/>
        <v>0</v>
      </c>
      <c r="T49" s="31">
        <v>0</v>
      </c>
      <c r="U49" s="31">
        <v>0</v>
      </c>
      <c r="V49" s="31">
        <v>0</v>
      </c>
      <c r="W49" s="31">
        <v>0</v>
      </c>
      <c r="X49" s="31">
        <v>0</v>
      </c>
      <c r="Y49" s="31">
        <v>0</v>
      </c>
      <c r="Z49" s="31">
        <v>0</v>
      </c>
      <c r="AA49" s="31">
        <v>0</v>
      </c>
      <c r="AB49" s="31">
        <v>0</v>
      </c>
      <c r="AC49" s="31">
        <v>0</v>
      </c>
      <c r="AD49" s="31">
        <v>0</v>
      </c>
      <c r="AE49" s="31">
        <v>0</v>
      </c>
      <c r="AF49" s="31">
        <v>0</v>
      </c>
      <c r="AG49" s="31">
        <v>0</v>
      </c>
      <c r="AH49" s="31">
        <v>0</v>
      </c>
      <c r="AI49" s="31">
        <v>0</v>
      </c>
      <c r="AJ49" s="31">
        <v>0</v>
      </c>
      <c r="AK49" s="31">
        <v>0</v>
      </c>
      <c r="AL49" s="31">
        <v>0</v>
      </c>
      <c r="AM49" s="31">
        <v>0</v>
      </c>
      <c r="AN49" s="31">
        <v>0</v>
      </c>
      <c r="AO49" s="31">
        <v>0</v>
      </c>
      <c r="AP49" s="31">
        <v>0</v>
      </c>
    </row>
    <row r="50" spans="1:42" x14ac:dyDescent="0.25">
      <c r="A50" s="31">
        <v>2</v>
      </c>
      <c r="B50" s="31">
        <v>13808</v>
      </c>
      <c r="C50" s="31">
        <v>2</v>
      </c>
      <c r="D50" s="31" t="s">
        <v>495</v>
      </c>
      <c r="E50" s="31"/>
      <c r="F50" s="31">
        <v>0</v>
      </c>
      <c r="G50" s="31">
        <v>0</v>
      </c>
      <c r="H50" s="31">
        <v>0</v>
      </c>
      <c r="I50" s="31">
        <v>0</v>
      </c>
      <c r="J50" s="31">
        <v>0</v>
      </c>
      <c r="K50" s="31" t="s">
        <v>882</v>
      </c>
      <c r="L50" s="2" t="str">
        <f t="shared" si="0"/>
        <v>Рихтовка</v>
      </c>
      <c r="M50" s="12">
        <f t="shared" si="1"/>
        <v>0</v>
      </c>
      <c r="N50" s="12">
        <f t="shared" si="2"/>
        <v>0</v>
      </c>
      <c r="O50" s="12">
        <f t="shared" si="3"/>
        <v>0</v>
      </c>
      <c r="P50" s="12">
        <f t="shared" si="4"/>
        <v>0</v>
      </c>
      <c r="Q50" s="12">
        <f t="shared" si="5"/>
        <v>0</v>
      </c>
      <c r="R50" s="12">
        <f t="shared" si="6"/>
        <v>0</v>
      </c>
      <c r="S50" s="12">
        <f t="shared" si="7"/>
        <v>0</v>
      </c>
      <c r="T50" s="31">
        <v>0</v>
      </c>
      <c r="U50" s="31">
        <v>0</v>
      </c>
      <c r="V50" s="31">
        <v>0</v>
      </c>
      <c r="W50" s="31">
        <v>0</v>
      </c>
      <c r="X50" s="31">
        <v>0</v>
      </c>
      <c r="Y50" s="31">
        <v>0</v>
      </c>
      <c r="Z50" s="31">
        <v>0</v>
      </c>
      <c r="AA50" s="31">
        <v>0</v>
      </c>
      <c r="AB50" s="31">
        <v>0</v>
      </c>
      <c r="AC50" s="31">
        <v>0</v>
      </c>
      <c r="AD50" s="31">
        <v>0</v>
      </c>
      <c r="AE50" s="31">
        <v>0</v>
      </c>
      <c r="AF50" s="31">
        <v>0</v>
      </c>
      <c r="AG50" s="31">
        <v>0</v>
      </c>
      <c r="AH50" s="31">
        <v>0</v>
      </c>
      <c r="AI50" s="31">
        <v>0</v>
      </c>
      <c r="AJ50" s="31">
        <v>0</v>
      </c>
      <c r="AK50" s="31">
        <v>0</v>
      </c>
      <c r="AL50" s="31">
        <v>0</v>
      </c>
      <c r="AM50" s="31">
        <v>0</v>
      </c>
      <c r="AN50" s="31">
        <v>0</v>
      </c>
      <c r="AO50" s="31">
        <v>0</v>
      </c>
      <c r="AP50" s="31">
        <v>0</v>
      </c>
    </row>
    <row r="51" spans="1:42" x14ac:dyDescent="0.25">
      <c r="A51" s="31">
        <v>2</v>
      </c>
      <c r="B51" s="31">
        <v>13808</v>
      </c>
      <c r="C51" s="31">
        <v>2</v>
      </c>
      <c r="D51" s="31" t="s">
        <v>497</v>
      </c>
      <c r="E51" s="31"/>
      <c r="F51" s="31">
        <v>0</v>
      </c>
      <c r="G51" s="31">
        <v>0</v>
      </c>
      <c r="H51" s="31">
        <v>0</v>
      </c>
      <c r="I51" s="31">
        <v>0</v>
      </c>
      <c r="J51" s="31">
        <v>0</v>
      </c>
      <c r="K51" s="31" t="s">
        <v>882</v>
      </c>
      <c r="L51" s="2" t="str">
        <f t="shared" si="0"/>
        <v>Рихтовка</v>
      </c>
      <c r="M51" s="12">
        <f t="shared" si="1"/>
        <v>0</v>
      </c>
      <c r="N51" s="12">
        <f t="shared" si="2"/>
        <v>0</v>
      </c>
      <c r="O51" s="12">
        <f t="shared" si="3"/>
        <v>0</v>
      </c>
      <c r="P51" s="12">
        <f t="shared" si="4"/>
        <v>0</v>
      </c>
      <c r="Q51" s="12">
        <f t="shared" si="5"/>
        <v>0</v>
      </c>
      <c r="R51" s="12">
        <f t="shared" si="6"/>
        <v>0</v>
      </c>
      <c r="S51" s="12">
        <f t="shared" si="7"/>
        <v>0</v>
      </c>
      <c r="T51" s="31">
        <v>0</v>
      </c>
      <c r="U51" s="31">
        <v>0</v>
      </c>
      <c r="V51" s="31">
        <v>0</v>
      </c>
      <c r="W51" s="31">
        <v>0</v>
      </c>
      <c r="X51" s="31">
        <v>0</v>
      </c>
      <c r="Y51" s="31">
        <v>0</v>
      </c>
      <c r="Z51" s="31">
        <v>0</v>
      </c>
      <c r="AA51" s="31">
        <v>0</v>
      </c>
      <c r="AB51" s="31">
        <v>0</v>
      </c>
      <c r="AC51" s="31">
        <v>0</v>
      </c>
      <c r="AD51" s="31">
        <v>0</v>
      </c>
      <c r="AE51" s="31">
        <v>0</v>
      </c>
      <c r="AF51" s="31">
        <v>0</v>
      </c>
      <c r="AG51" s="31">
        <v>0</v>
      </c>
      <c r="AH51" s="31">
        <v>0</v>
      </c>
      <c r="AI51" s="31">
        <v>0</v>
      </c>
      <c r="AJ51" s="31">
        <v>0</v>
      </c>
      <c r="AK51" s="31">
        <v>0</v>
      </c>
      <c r="AL51" s="31">
        <v>0</v>
      </c>
      <c r="AM51" s="31">
        <v>0</v>
      </c>
      <c r="AN51" s="31">
        <v>0</v>
      </c>
      <c r="AO51" s="31">
        <v>0</v>
      </c>
      <c r="AP51" s="31">
        <v>0</v>
      </c>
    </row>
    <row r="52" spans="1:42" x14ac:dyDescent="0.25">
      <c r="A52" s="31">
        <v>2</v>
      </c>
      <c r="B52" s="31">
        <v>13808</v>
      </c>
      <c r="C52" s="31">
        <v>2</v>
      </c>
      <c r="D52" s="31" t="s">
        <v>498</v>
      </c>
      <c r="E52" s="31"/>
      <c r="F52" s="31">
        <v>0</v>
      </c>
      <c r="G52" s="31">
        <v>0</v>
      </c>
      <c r="H52" s="31">
        <v>0</v>
      </c>
      <c r="I52" s="31">
        <v>0</v>
      </c>
      <c r="J52" s="31">
        <v>0</v>
      </c>
      <c r="K52" s="31" t="s">
        <v>882</v>
      </c>
      <c r="L52" s="2" t="str">
        <f t="shared" si="0"/>
        <v>Рихтовка</v>
      </c>
      <c r="M52" s="12">
        <f t="shared" si="1"/>
        <v>0</v>
      </c>
      <c r="N52" s="12">
        <f t="shared" si="2"/>
        <v>0</v>
      </c>
      <c r="O52" s="12">
        <f t="shared" si="3"/>
        <v>0</v>
      </c>
      <c r="P52" s="12">
        <f t="shared" si="4"/>
        <v>0</v>
      </c>
      <c r="Q52" s="12">
        <f t="shared" si="5"/>
        <v>0</v>
      </c>
      <c r="R52" s="12">
        <f t="shared" si="6"/>
        <v>0</v>
      </c>
      <c r="S52" s="12">
        <f t="shared" si="7"/>
        <v>0</v>
      </c>
      <c r="T52" s="31">
        <v>0</v>
      </c>
      <c r="U52" s="31">
        <v>0</v>
      </c>
      <c r="V52" s="31">
        <v>0</v>
      </c>
      <c r="W52" s="31">
        <v>0</v>
      </c>
      <c r="X52" s="31">
        <v>0</v>
      </c>
      <c r="Y52" s="31">
        <v>0</v>
      </c>
      <c r="Z52" s="31">
        <v>0</v>
      </c>
      <c r="AA52" s="31">
        <v>0</v>
      </c>
      <c r="AB52" s="31">
        <v>0</v>
      </c>
      <c r="AC52" s="31">
        <v>0</v>
      </c>
      <c r="AD52" s="31">
        <v>0</v>
      </c>
      <c r="AE52" s="31">
        <v>0</v>
      </c>
      <c r="AF52" s="31">
        <v>0</v>
      </c>
      <c r="AG52" s="31">
        <v>0</v>
      </c>
      <c r="AH52" s="31">
        <v>0</v>
      </c>
      <c r="AI52" s="31">
        <v>0</v>
      </c>
      <c r="AJ52" s="31">
        <v>0</v>
      </c>
      <c r="AK52" s="31">
        <v>0</v>
      </c>
      <c r="AL52" s="31">
        <v>0</v>
      </c>
      <c r="AM52" s="31">
        <v>0</v>
      </c>
      <c r="AN52" s="31">
        <v>0</v>
      </c>
      <c r="AO52" s="31">
        <v>0</v>
      </c>
      <c r="AP52" s="31">
        <v>0</v>
      </c>
    </row>
    <row r="53" spans="1:42" x14ac:dyDescent="0.25">
      <c r="A53" s="31">
        <v>2</v>
      </c>
      <c r="B53" s="31">
        <v>13808</v>
      </c>
      <c r="C53" s="31">
        <v>2</v>
      </c>
      <c r="D53" s="31" t="s">
        <v>499</v>
      </c>
      <c r="E53" s="31"/>
      <c r="F53" s="31">
        <v>0</v>
      </c>
      <c r="G53" s="31">
        <v>0</v>
      </c>
      <c r="H53" s="31">
        <v>0</v>
      </c>
      <c r="I53" s="31">
        <v>0</v>
      </c>
      <c r="J53" s="31">
        <v>0</v>
      </c>
      <c r="K53" s="31" t="s">
        <v>882</v>
      </c>
      <c r="L53" s="2" t="str">
        <f t="shared" si="0"/>
        <v>Рихтовка</v>
      </c>
      <c r="M53" s="12">
        <f t="shared" si="1"/>
        <v>0</v>
      </c>
      <c r="N53" s="12">
        <f t="shared" si="2"/>
        <v>0</v>
      </c>
      <c r="O53" s="12">
        <f t="shared" si="3"/>
        <v>0</v>
      </c>
      <c r="P53" s="12">
        <f t="shared" si="4"/>
        <v>0</v>
      </c>
      <c r="Q53" s="12">
        <f t="shared" si="5"/>
        <v>0</v>
      </c>
      <c r="R53" s="12">
        <f t="shared" si="6"/>
        <v>0</v>
      </c>
      <c r="S53" s="12">
        <f t="shared" si="7"/>
        <v>0</v>
      </c>
      <c r="T53" s="31">
        <v>0</v>
      </c>
      <c r="U53" s="31">
        <v>0</v>
      </c>
      <c r="V53" s="31">
        <v>0</v>
      </c>
      <c r="W53" s="31">
        <v>0</v>
      </c>
      <c r="X53" s="31">
        <v>0</v>
      </c>
      <c r="Y53" s="31">
        <v>0</v>
      </c>
      <c r="Z53" s="31">
        <v>0</v>
      </c>
      <c r="AA53" s="31">
        <v>0</v>
      </c>
      <c r="AB53" s="31">
        <v>0</v>
      </c>
      <c r="AC53" s="31">
        <v>0</v>
      </c>
      <c r="AD53" s="31">
        <v>0</v>
      </c>
      <c r="AE53" s="31">
        <v>0</v>
      </c>
      <c r="AF53" s="31">
        <v>0</v>
      </c>
      <c r="AG53" s="31">
        <v>0</v>
      </c>
      <c r="AH53" s="31">
        <v>0</v>
      </c>
      <c r="AI53" s="31">
        <v>0</v>
      </c>
      <c r="AJ53" s="31">
        <v>0</v>
      </c>
      <c r="AK53" s="31">
        <v>0</v>
      </c>
      <c r="AL53" s="31">
        <v>0</v>
      </c>
      <c r="AM53" s="31">
        <v>0</v>
      </c>
      <c r="AN53" s="31">
        <v>0</v>
      </c>
      <c r="AO53" s="31">
        <v>0</v>
      </c>
      <c r="AP53" s="31">
        <v>0</v>
      </c>
    </row>
    <row r="54" spans="1:42" x14ac:dyDescent="0.25">
      <c r="A54" s="31">
        <v>2</v>
      </c>
      <c r="B54" s="31">
        <v>13873</v>
      </c>
      <c r="C54" s="31" t="s">
        <v>396</v>
      </c>
      <c r="D54" s="31" t="s">
        <v>892</v>
      </c>
      <c r="E54" s="31"/>
      <c r="F54" s="31">
        <v>0</v>
      </c>
      <c r="G54" s="31">
        <v>0</v>
      </c>
      <c r="H54" s="31">
        <v>0</v>
      </c>
      <c r="I54" s="31">
        <v>0</v>
      </c>
      <c r="J54" s="31">
        <v>0</v>
      </c>
      <c r="K54" s="31" t="s">
        <v>882</v>
      </c>
      <c r="L54" s="2" t="str">
        <f t="shared" si="0"/>
        <v>Рихтовка</v>
      </c>
      <c r="M54" s="12">
        <f t="shared" si="1"/>
        <v>0</v>
      </c>
      <c r="N54" s="12">
        <f t="shared" si="2"/>
        <v>0</v>
      </c>
      <c r="O54" s="12">
        <f t="shared" si="3"/>
        <v>0</v>
      </c>
      <c r="P54" s="12">
        <f t="shared" si="4"/>
        <v>0</v>
      </c>
      <c r="Q54" s="12">
        <f t="shared" si="5"/>
        <v>0</v>
      </c>
      <c r="R54" s="12">
        <f t="shared" si="6"/>
        <v>0</v>
      </c>
      <c r="S54" s="12">
        <f t="shared" si="7"/>
        <v>0</v>
      </c>
      <c r="T54" s="31">
        <v>0</v>
      </c>
      <c r="U54" s="31">
        <v>0</v>
      </c>
      <c r="V54" s="31">
        <v>0</v>
      </c>
      <c r="W54" s="31">
        <v>0</v>
      </c>
      <c r="X54" s="31">
        <v>0</v>
      </c>
      <c r="Y54" s="31">
        <v>0</v>
      </c>
      <c r="Z54" s="31">
        <v>0</v>
      </c>
      <c r="AA54" s="31">
        <v>0</v>
      </c>
      <c r="AB54" s="31">
        <v>0</v>
      </c>
      <c r="AC54" s="31">
        <v>0</v>
      </c>
      <c r="AD54" s="31">
        <v>0</v>
      </c>
      <c r="AE54" s="31">
        <v>0</v>
      </c>
      <c r="AF54" s="31">
        <v>0</v>
      </c>
      <c r="AG54" s="31">
        <v>0</v>
      </c>
      <c r="AH54" s="31">
        <v>0</v>
      </c>
      <c r="AI54" s="31">
        <v>0</v>
      </c>
      <c r="AJ54" s="31">
        <v>0</v>
      </c>
      <c r="AK54" s="31">
        <v>0</v>
      </c>
      <c r="AL54" s="31">
        <v>0</v>
      </c>
      <c r="AM54" s="31">
        <v>0</v>
      </c>
      <c r="AN54" s="31">
        <v>0</v>
      </c>
      <c r="AO54" s="31">
        <v>0</v>
      </c>
      <c r="AP54" s="31">
        <v>0</v>
      </c>
    </row>
    <row r="55" spans="1:42" x14ac:dyDescent="0.25">
      <c r="A55" s="31">
        <v>2</v>
      </c>
      <c r="B55" s="31">
        <v>13873</v>
      </c>
      <c r="C55" s="31" t="s">
        <v>396</v>
      </c>
      <c r="D55" s="31" t="s">
        <v>893</v>
      </c>
      <c r="E55" s="31"/>
      <c r="F55" s="31">
        <v>0</v>
      </c>
      <c r="G55" s="31">
        <v>0</v>
      </c>
      <c r="H55" s="31">
        <v>0</v>
      </c>
      <c r="I55" s="31">
        <v>0</v>
      </c>
      <c r="J55" s="31">
        <v>0</v>
      </c>
      <c r="K55" s="31" t="s">
        <v>882</v>
      </c>
      <c r="L55" s="2" t="str">
        <f t="shared" si="0"/>
        <v>Рихтовка</v>
      </c>
      <c r="M55" s="12">
        <f t="shared" si="1"/>
        <v>0</v>
      </c>
      <c r="N55" s="12">
        <f t="shared" si="2"/>
        <v>0</v>
      </c>
      <c r="O55" s="12">
        <f t="shared" si="3"/>
        <v>0</v>
      </c>
      <c r="P55" s="12">
        <f t="shared" si="4"/>
        <v>0</v>
      </c>
      <c r="Q55" s="12">
        <f t="shared" si="5"/>
        <v>0</v>
      </c>
      <c r="R55" s="12">
        <f t="shared" si="6"/>
        <v>0</v>
      </c>
      <c r="S55" s="12">
        <f t="shared" si="7"/>
        <v>0</v>
      </c>
      <c r="T55" s="31">
        <v>0</v>
      </c>
      <c r="U55" s="31">
        <v>0</v>
      </c>
      <c r="V55" s="31">
        <v>0</v>
      </c>
      <c r="W55" s="31">
        <v>0</v>
      </c>
      <c r="X55" s="31">
        <v>0</v>
      </c>
      <c r="Y55" s="31">
        <v>0</v>
      </c>
      <c r="Z55" s="31">
        <v>0</v>
      </c>
      <c r="AA55" s="31">
        <v>0</v>
      </c>
      <c r="AB55" s="31">
        <v>0</v>
      </c>
      <c r="AC55" s="31">
        <v>0</v>
      </c>
      <c r="AD55" s="31">
        <v>0</v>
      </c>
      <c r="AE55" s="31">
        <v>0</v>
      </c>
      <c r="AF55" s="31">
        <v>0</v>
      </c>
      <c r="AG55" s="31">
        <v>0</v>
      </c>
      <c r="AH55" s="31">
        <v>0</v>
      </c>
      <c r="AI55" s="31">
        <v>0</v>
      </c>
      <c r="AJ55" s="31">
        <v>0</v>
      </c>
      <c r="AK55" s="31">
        <v>0</v>
      </c>
      <c r="AL55" s="31">
        <v>0</v>
      </c>
      <c r="AM55" s="31">
        <v>0</v>
      </c>
      <c r="AN55" s="31">
        <v>0</v>
      </c>
      <c r="AO55" s="31">
        <v>0</v>
      </c>
      <c r="AP55" s="31">
        <v>0</v>
      </c>
    </row>
    <row r="56" spans="1:42" x14ac:dyDescent="0.25">
      <c r="A56" s="31">
        <v>2</v>
      </c>
      <c r="B56" s="31">
        <v>13873</v>
      </c>
      <c r="C56" s="31" t="s">
        <v>396</v>
      </c>
      <c r="D56" s="31" t="s">
        <v>894</v>
      </c>
      <c r="E56" s="31"/>
      <c r="F56" s="31">
        <v>0</v>
      </c>
      <c r="G56" s="31">
        <v>0</v>
      </c>
      <c r="H56" s="31">
        <v>0</v>
      </c>
      <c r="I56" s="31">
        <v>0</v>
      </c>
      <c r="J56" s="31">
        <v>0</v>
      </c>
      <c r="K56" s="31" t="s">
        <v>882</v>
      </c>
      <c r="L56" s="2" t="str">
        <f t="shared" si="0"/>
        <v>Рихтовка</v>
      </c>
      <c r="M56" s="12">
        <f t="shared" si="1"/>
        <v>0</v>
      </c>
      <c r="N56" s="12">
        <f t="shared" si="2"/>
        <v>0</v>
      </c>
      <c r="O56" s="12">
        <f t="shared" si="3"/>
        <v>0</v>
      </c>
      <c r="P56" s="12">
        <f t="shared" si="4"/>
        <v>0</v>
      </c>
      <c r="Q56" s="12">
        <f t="shared" si="5"/>
        <v>0</v>
      </c>
      <c r="R56" s="12">
        <f t="shared" si="6"/>
        <v>0</v>
      </c>
      <c r="S56" s="12">
        <f t="shared" si="7"/>
        <v>0</v>
      </c>
      <c r="T56" s="31">
        <v>0</v>
      </c>
      <c r="U56" s="31">
        <v>0</v>
      </c>
      <c r="V56" s="31">
        <v>0</v>
      </c>
      <c r="W56" s="31">
        <v>0</v>
      </c>
      <c r="X56" s="31">
        <v>0</v>
      </c>
      <c r="Y56" s="31">
        <v>0</v>
      </c>
      <c r="Z56" s="31">
        <v>0</v>
      </c>
      <c r="AA56" s="31">
        <v>0</v>
      </c>
      <c r="AB56" s="31">
        <v>0</v>
      </c>
      <c r="AC56" s="31">
        <v>0</v>
      </c>
      <c r="AD56" s="31">
        <v>0</v>
      </c>
      <c r="AE56" s="31">
        <v>0</v>
      </c>
      <c r="AF56" s="31">
        <v>0</v>
      </c>
      <c r="AG56" s="31">
        <v>0</v>
      </c>
      <c r="AH56" s="31">
        <v>0</v>
      </c>
      <c r="AI56" s="31">
        <v>0</v>
      </c>
      <c r="AJ56" s="31">
        <v>0</v>
      </c>
      <c r="AK56" s="31">
        <v>0</v>
      </c>
      <c r="AL56" s="31">
        <v>0</v>
      </c>
      <c r="AM56" s="31">
        <v>0</v>
      </c>
      <c r="AN56" s="31">
        <v>0</v>
      </c>
      <c r="AO56" s="31">
        <v>0</v>
      </c>
      <c r="AP56" s="31">
        <v>0</v>
      </c>
    </row>
    <row r="57" spans="1:42" x14ac:dyDescent="0.25">
      <c r="A57" s="31">
        <v>2</v>
      </c>
      <c r="B57" s="31">
        <v>13873</v>
      </c>
      <c r="C57" s="31" t="s">
        <v>396</v>
      </c>
      <c r="D57" s="31" t="s">
        <v>895</v>
      </c>
      <c r="E57" s="31"/>
      <c r="F57" s="31">
        <v>0</v>
      </c>
      <c r="G57" s="31">
        <v>0</v>
      </c>
      <c r="H57" s="31">
        <v>0</v>
      </c>
      <c r="I57" s="31">
        <v>0</v>
      </c>
      <c r="J57" s="31">
        <v>0</v>
      </c>
      <c r="K57" s="31" t="s">
        <v>882</v>
      </c>
      <c r="L57" s="2" t="str">
        <f t="shared" si="0"/>
        <v>Рихтовка</v>
      </c>
      <c r="M57" s="12">
        <f t="shared" si="1"/>
        <v>0</v>
      </c>
      <c r="N57" s="12">
        <f t="shared" si="2"/>
        <v>0</v>
      </c>
      <c r="O57" s="12">
        <f t="shared" si="3"/>
        <v>0</v>
      </c>
      <c r="P57" s="12">
        <f t="shared" si="4"/>
        <v>0</v>
      </c>
      <c r="Q57" s="12">
        <f t="shared" si="5"/>
        <v>0</v>
      </c>
      <c r="R57" s="12">
        <f t="shared" si="6"/>
        <v>0</v>
      </c>
      <c r="S57" s="12">
        <f t="shared" si="7"/>
        <v>0</v>
      </c>
      <c r="T57" s="31">
        <v>0</v>
      </c>
      <c r="U57" s="31">
        <v>0</v>
      </c>
      <c r="V57" s="31">
        <v>0</v>
      </c>
      <c r="W57" s="31">
        <v>0</v>
      </c>
      <c r="X57" s="31">
        <v>0</v>
      </c>
      <c r="Y57" s="31">
        <v>0</v>
      </c>
      <c r="Z57" s="31">
        <v>0</v>
      </c>
      <c r="AA57" s="31">
        <v>0</v>
      </c>
      <c r="AB57" s="31">
        <v>0</v>
      </c>
      <c r="AC57" s="31">
        <v>0</v>
      </c>
      <c r="AD57" s="31">
        <v>0</v>
      </c>
      <c r="AE57" s="31">
        <v>0</v>
      </c>
      <c r="AF57" s="31">
        <v>0</v>
      </c>
      <c r="AG57" s="31">
        <v>0</v>
      </c>
      <c r="AH57" s="31">
        <v>0</v>
      </c>
      <c r="AI57" s="31">
        <v>0</v>
      </c>
      <c r="AJ57" s="31">
        <v>0</v>
      </c>
      <c r="AK57" s="31">
        <v>0</v>
      </c>
      <c r="AL57" s="31">
        <v>0</v>
      </c>
      <c r="AM57" s="31">
        <v>0</v>
      </c>
      <c r="AN57" s="31">
        <v>0</v>
      </c>
      <c r="AO57" s="31">
        <v>0</v>
      </c>
      <c r="AP57" s="31">
        <v>0</v>
      </c>
    </row>
    <row r="58" spans="1:42" x14ac:dyDescent="0.25">
      <c r="A58" s="31">
        <v>2</v>
      </c>
      <c r="B58" s="31">
        <v>24901</v>
      </c>
      <c r="C58" s="31">
        <v>1</v>
      </c>
      <c r="D58" s="31" t="s">
        <v>500</v>
      </c>
      <c r="E58" s="31"/>
      <c r="F58" s="31">
        <v>0</v>
      </c>
      <c r="G58" s="31">
        <v>0</v>
      </c>
      <c r="H58" s="31">
        <v>0</v>
      </c>
      <c r="I58" s="31">
        <v>0</v>
      </c>
      <c r="J58" s="31">
        <v>0</v>
      </c>
      <c r="K58" s="31" t="s">
        <v>882</v>
      </c>
      <c r="L58" s="2" t="str">
        <f t="shared" si="0"/>
        <v>Рихтовка</v>
      </c>
      <c r="M58" s="12">
        <f t="shared" si="1"/>
        <v>0</v>
      </c>
      <c r="N58" s="12">
        <f t="shared" si="2"/>
        <v>0</v>
      </c>
      <c r="O58" s="12">
        <f t="shared" si="3"/>
        <v>0</v>
      </c>
      <c r="P58" s="12">
        <f t="shared" si="4"/>
        <v>0</v>
      </c>
      <c r="Q58" s="12">
        <f t="shared" si="5"/>
        <v>0</v>
      </c>
      <c r="R58" s="12">
        <f t="shared" si="6"/>
        <v>0</v>
      </c>
      <c r="S58" s="12">
        <f t="shared" si="7"/>
        <v>0</v>
      </c>
      <c r="T58" s="31">
        <v>0</v>
      </c>
      <c r="U58" s="31">
        <v>0</v>
      </c>
      <c r="V58" s="31">
        <v>0</v>
      </c>
      <c r="W58" s="31">
        <v>0</v>
      </c>
      <c r="X58" s="31">
        <v>0</v>
      </c>
      <c r="Y58" s="31">
        <v>0</v>
      </c>
      <c r="Z58" s="31">
        <v>0</v>
      </c>
      <c r="AA58" s="31">
        <v>0</v>
      </c>
      <c r="AB58" s="31">
        <v>0</v>
      </c>
      <c r="AC58" s="31">
        <v>0</v>
      </c>
      <c r="AD58" s="31">
        <v>0</v>
      </c>
      <c r="AE58" s="31">
        <v>0</v>
      </c>
      <c r="AF58" s="31">
        <v>0</v>
      </c>
      <c r="AG58" s="31">
        <v>0</v>
      </c>
      <c r="AH58" s="31">
        <v>0</v>
      </c>
      <c r="AI58" s="31">
        <v>0</v>
      </c>
      <c r="AJ58" s="31">
        <v>0</v>
      </c>
      <c r="AK58" s="31">
        <v>0</v>
      </c>
      <c r="AL58" s="31">
        <v>0</v>
      </c>
      <c r="AM58" s="31">
        <v>0</v>
      </c>
      <c r="AN58" s="31">
        <v>0</v>
      </c>
      <c r="AO58" s="31">
        <v>0</v>
      </c>
      <c r="AP58" s="31">
        <v>0</v>
      </c>
    </row>
    <row r="59" spans="1:42" x14ac:dyDescent="0.25">
      <c r="A59" s="31">
        <v>28</v>
      </c>
      <c r="B59" s="31">
        <v>24901</v>
      </c>
      <c r="C59" s="31">
        <v>1</v>
      </c>
      <c r="D59" s="31" t="s">
        <v>500</v>
      </c>
      <c r="E59" s="31"/>
      <c r="F59" s="31">
        <v>0</v>
      </c>
      <c r="G59" s="31">
        <v>0</v>
      </c>
      <c r="H59" s="31">
        <v>0</v>
      </c>
      <c r="I59" s="31">
        <v>0</v>
      </c>
      <c r="J59" s="31">
        <v>0</v>
      </c>
      <c r="K59" s="31" t="s">
        <v>882</v>
      </c>
      <c r="L59" s="2" t="str">
        <f t="shared" si="0"/>
        <v>Рихтовка</v>
      </c>
      <c r="M59" s="12">
        <f t="shared" si="1"/>
        <v>0</v>
      </c>
      <c r="N59" s="12">
        <f t="shared" si="2"/>
        <v>0</v>
      </c>
      <c r="O59" s="12">
        <f t="shared" si="3"/>
        <v>0</v>
      </c>
      <c r="P59" s="12">
        <f t="shared" si="4"/>
        <v>0</v>
      </c>
      <c r="Q59" s="12">
        <f t="shared" si="5"/>
        <v>0</v>
      </c>
      <c r="R59" s="12">
        <f t="shared" si="6"/>
        <v>0</v>
      </c>
      <c r="S59" s="12">
        <f t="shared" si="7"/>
        <v>0</v>
      </c>
      <c r="T59" s="31">
        <v>0</v>
      </c>
      <c r="U59" s="31">
        <v>0</v>
      </c>
      <c r="V59" s="31">
        <v>0</v>
      </c>
      <c r="W59" s="31">
        <v>0</v>
      </c>
      <c r="X59" s="31">
        <v>0</v>
      </c>
      <c r="Y59" s="31">
        <v>0</v>
      </c>
      <c r="Z59" s="31">
        <v>0</v>
      </c>
      <c r="AA59" s="31">
        <v>0</v>
      </c>
      <c r="AB59" s="31">
        <v>0</v>
      </c>
      <c r="AC59" s="31">
        <v>0</v>
      </c>
      <c r="AD59" s="31">
        <v>0</v>
      </c>
      <c r="AE59" s="31">
        <v>0</v>
      </c>
      <c r="AF59" s="31">
        <v>0</v>
      </c>
      <c r="AG59" s="31">
        <v>0</v>
      </c>
      <c r="AH59" s="31">
        <v>0</v>
      </c>
      <c r="AI59" s="31">
        <v>0</v>
      </c>
      <c r="AJ59" s="31">
        <v>0</v>
      </c>
      <c r="AK59" s="31">
        <v>0</v>
      </c>
      <c r="AL59" s="31">
        <v>0</v>
      </c>
      <c r="AM59" s="31">
        <v>0</v>
      </c>
      <c r="AN59" s="31">
        <v>0</v>
      </c>
      <c r="AO59" s="31">
        <v>0</v>
      </c>
      <c r="AP59" s="31">
        <v>0</v>
      </c>
    </row>
    <row r="60" spans="1:42" x14ac:dyDescent="0.25">
      <c r="A60" s="31">
        <v>28</v>
      </c>
      <c r="B60" s="31">
        <v>24901</v>
      </c>
      <c r="C60" s="31">
        <v>1</v>
      </c>
      <c r="D60" s="31" t="s">
        <v>501</v>
      </c>
      <c r="E60" s="31"/>
      <c r="F60" s="31">
        <v>0</v>
      </c>
      <c r="G60" s="31">
        <v>0</v>
      </c>
      <c r="H60" s="31">
        <v>0</v>
      </c>
      <c r="I60" s="31">
        <v>0</v>
      </c>
      <c r="J60" s="31">
        <v>0</v>
      </c>
      <c r="K60" s="31" t="s">
        <v>882</v>
      </c>
      <c r="L60" s="2" t="str">
        <f t="shared" si="0"/>
        <v>Рихтовка</v>
      </c>
      <c r="M60" s="12">
        <f t="shared" si="1"/>
        <v>0</v>
      </c>
      <c r="N60" s="12">
        <f t="shared" si="2"/>
        <v>0</v>
      </c>
      <c r="O60" s="12">
        <f t="shared" si="3"/>
        <v>0</v>
      </c>
      <c r="P60" s="12">
        <f t="shared" si="4"/>
        <v>0</v>
      </c>
      <c r="Q60" s="12">
        <f t="shared" si="5"/>
        <v>0</v>
      </c>
      <c r="R60" s="12">
        <f t="shared" si="6"/>
        <v>0</v>
      </c>
      <c r="S60" s="12">
        <f t="shared" si="7"/>
        <v>0</v>
      </c>
      <c r="T60" s="31">
        <v>0</v>
      </c>
      <c r="U60" s="31">
        <v>0</v>
      </c>
      <c r="V60" s="31">
        <v>0</v>
      </c>
      <c r="W60" s="31">
        <v>0</v>
      </c>
      <c r="X60" s="31">
        <v>0</v>
      </c>
      <c r="Y60" s="31">
        <v>0</v>
      </c>
      <c r="Z60" s="31">
        <v>0</v>
      </c>
      <c r="AA60" s="31">
        <v>0</v>
      </c>
      <c r="AB60" s="31">
        <v>0</v>
      </c>
      <c r="AC60" s="31">
        <v>0</v>
      </c>
      <c r="AD60" s="31">
        <v>0</v>
      </c>
      <c r="AE60" s="31">
        <v>0</v>
      </c>
      <c r="AF60" s="31">
        <v>0</v>
      </c>
      <c r="AG60" s="31">
        <v>0</v>
      </c>
      <c r="AH60" s="31">
        <v>0</v>
      </c>
      <c r="AI60" s="31">
        <v>0</v>
      </c>
      <c r="AJ60" s="31">
        <v>0</v>
      </c>
      <c r="AK60" s="31">
        <v>0</v>
      </c>
      <c r="AL60" s="31">
        <v>0</v>
      </c>
      <c r="AM60" s="31">
        <v>0</v>
      </c>
      <c r="AN60" s="31">
        <v>0</v>
      </c>
      <c r="AO60" s="31">
        <v>0</v>
      </c>
      <c r="AP60" s="31">
        <v>0</v>
      </c>
    </row>
    <row r="61" spans="1:42" x14ac:dyDescent="0.25">
      <c r="A61" s="31">
        <v>28</v>
      </c>
      <c r="B61" s="31">
        <v>24901</v>
      </c>
      <c r="C61" s="31">
        <v>1</v>
      </c>
      <c r="D61" s="31" t="s">
        <v>502</v>
      </c>
      <c r="E61" s="31"/>
      <c r="F61" s="31">
        <v>0</v>
      </c>
      <c r="G61" s="31">
        <v>0</v>
      </c>
      <c r="H61" s="31">
        <v>0</v>
      </c>
      <c r="I61" s="31">
        <v>0</v>
      </c>
      <c r="J61" s="31">
        <v>0</v>
      </c>
      <c r="K61" s="31" t="s">
        <v>882</v>
      </c>
      <c r="L61" s="2" t="str">
        <f t="shared" si="0"/>
        <v>Рихтовка</v>
      </c>
      <c r="M61" s="12">
        <f t="shared" si="1"/>
        <v>0</v>
      </c>
      <c r="N61" s="12">
        <f t="shared" si="2"/>
        <v>0</v>
      </c>
      <c r="O61" s="12">
        <f t="shared" si="3"/>
        <v>0</v>
      </c>
      <c r="P61" s="12">
        <f t="shared" si="4"/>
        <v>0</v>
      </c>
      <c r="Q61" s="12">
        <f t="shared" si="5"/>
        <v>0</v>
      </c>
      <c r="R61" s="12">
        <f t="shared" si="6"/>
        <v>0</v>
      </c>
      <c r="S61" s="12">
        <f t="shared" si="7"/>
        <v>0</v>
      </c>
      <c r="T61" s="31">
        <v>0</v>
      </c>
      <c r="U61" s="31">
        <v>0</v>
      </c>
      <c r="V61" s="31">
        <v>0</v>
      </c>
      <c r="W61" s="31">
        <v>0</v>
      </c>
      <c r="X61" s="31">
        <v>0</v>
      </c>
      <c r="Y61" s="31">
        <v>0</v>
      </c>
      <c r="Z61" s="31">
        <v>0</v>
      </c>
      <c r="AA61" s="31">
        <v>0</v>
      </c>
      <c r="AB61" s="31">
        <v>0</v>
      </c>
      <c r="AC61" s="31">
        <v>0</v>
      </c>
      <c r="AD61" s="31">
        <v>0</v>
      </c>
      <c r="AE61" s="31">
        <v>0</v>
      </c>
      <c r="AF61" s="31">
        <v>0</v>
      </c>
      <c r="AG61" s="31">
        <v>0</v>
      </c>
      <c r="AH61" s="31">
        <v>0</v>
      </c>
      <c r="AI61" s="31">
        <v>0</v>
      </c>
      <c r="AJ61" s="31">
        <v>0</v>
      </c>
      <c r="AK61" s="31">
        <v>0</v>
      </c>
      <c r="AL61" s="31">
        <v>0</v>
      </c>
      <c r="AM61" s="31">
        <v>0</v>
      </c>
      <c r="AN61" s="31">
        <v>0</v>
      </c>
      <c r="AO61" s="31">
        <v>0</v>
      </c>
      <c r="AP61" s="31">
        <v>0</v>
      </c>
    </row>
    <row r="62" spans="1:42" x14ac:dyDescent="0.25">
      <c r="A62" s="31">
        <v>28</v>
      </c>
      <c r="B62" s="31">
        <v>24901</v>
      </c>
      <c r="C62" s="31">
        <v>1</v>
      </c>
      <c r="D62" s="31" t="s">
        <v>503</v>
      </c>
      <c r="E62" s="31"/>
      <c r="F62" s="31">
        <v>0</v>
      </c>
      <c r="G62" s="31">
        <v>0</v>
      </c>
      <c r="H62" s="31">
        <v>0</v>
      </c>
      <c r="I62" s="31">
        <v>0</v>
      </c>
      <c r="J62" s="31">
        <v>0</v>
      </c>
      <c r="K62" s="31" t="s">
        <v>882</v>
      </c>
      <c r="L62" s="2" t="str">
        <f t="shared" si="0"/>
        <v>Рихтовка</v>
      </c>
      <c r="M62" s="12">
        <f t="shared" si="1"/>
        <v>0</v>
      </c>
      <c r="N62" s="12">
        <f t="shared" si="2"/>
        <v>0</v>
      </c>
      <c r="O62" s="12">
        <f t="shared" si="3"/>
        <v>0</v>
      </c>
      <c r="P62" s="12">
        <f t="shared" si="4"/>
        <v>0</v>
      </c>
      <c r="Q62" s="12">
        <f t="shared" si="5"/>
        <v>0</v>
      </c>
      <c r="R62" s="12">
        <f t="shared" si="6"/>
        <v>0</v>
      </c>
      <c r="S62" s="12">
        <f t="shared" si="7"/>
        <v>0</v>
      </c>
      <c r="T62" s="31">
        <v>0</v>
      </c>
      <c r="U62" s="31">
        <v>0</v>
      </c>
      <c r="V62" s="31">
        <v>0</v>
      </c>
      <c r="W62" s="31">
        <v>0</v>
      </c>
      <c r="X62" s="31">
        <v>0</v>
      </c>
      <c r="Y62" s="31">
        <v>0</v>
      </c>
      <c r="Z62" s="31">
        <v>0</v>
      </c>
      <c r="AA62" s="31">
        <v>0</v>
      </c>
      <c r="AB62" s="31">
        <v>0</v>
      </c>
      <c r="AC62" s="31">
        <v>0</v>
      </c>
      <c r="AD62" s="31">
        <v>0</v>
      </c>
      <c r="AE62" s="31">
        <v>0</v>
      </c>
      <c r="AF62" s="31">
        <v>0</v>
      </c>
      <c r="AG62" s="31">
        <v>0</v>
      </c>
      <c r="AH62" s="31">
        <v>0</v>
      </c>
      <c r="AI62" s="31">
        <v>0</v>
      </c>
      <c r="AJ62" s="31">
        <v>0</v>
      </c>
      <c r="AK62" s="31">
        <v>0</v>
      </c>
      <c r="AL62" s="31">
        <v>0</v>
      </c>
      <c r="AM62" s="31">
        <v>0</v>
      </c>
      <c r="AN62" s="31">
        <v>0</v>
      </c>
      <c r="AO62" s="31">
        <v>0</v>
      </c>
      <c r="AP62" s="31">
        <v>0</v>
      </c>
    </row>
    <row r="63" spans="1:42" x14ac:dyDescent="0.25">
      <c r="A63" s="31">
        <v>28</v>
      </c>
      <c r="B63" s="31">
        <v>24901</v>
      </c>
      <c r="C63" s="31">
        <v>1</v>
      </c>
      <c r="D63" s="31" t="s">
        <v>504</v>
      </c>
      <c r="E63" s="31"/>
      <c r="F63" s="31">
        <v>0</v>
      </c>
      <c r="G63" s="31">
        <v>0</v>
      </c>
      <c r="H63" s="31">
        <v>0</v>
      </c>
      <c r="I63" s="31">
        <v>0</v>
      </c>
      <c r="J63" s="31">
        <v>0</v>
      </c>
      <c r="K63" s="31" t="s">
        <v>882</v>
      </c>
      <c r="L63" s="2" t="str">
        <f t="shared" si="0"/>
        <v>Рихтовка</v>
      </c>
      <c r="M63" s="12">
        <f t="shared" si="1"/>
        <v>0</v>
      </c>
      <c r="N63" s="12">
        <f t="shared" si="2"/>
        <v>0</v>
      </c>
      <c r="O63" s="12">
        <f t="shared" si="3"/>
        <v>0</v>
      </c>
      <c r="P63" s="12">
        <f t="shared" si="4"/>
        <v>0</v>
      </c>
      <c r="Q63" s="12">
        <f t="shared" si="5"/>
        <v>0</v>
      </c>
      <c r="R63" s="12">
        <f t="shared" si="6"/>
        <v>0</v>
      </c>
      <c r="S63" s="12">
        <f t="shared" si="7"/>
        <v>0</v>
      </c>
      <c r="T63" s="31">
        <v>0</v>
      </c>
      <c r="U63" s="31">
        <v>0</v>
      </c>
      <c r="V63" s="31">
        <v>0</v>
      </c>
      <c r="W63" s="31">
        <v>0</v>
      </c>
      <c r="X63" s="31">
        <v>0</v>
      </c>
      <c r="Y63" s="31">
        <v>0</v>
      </c>
      <c r="Z63" s="31">
        <v>0</v>
      </c>
      <c r="AA63" s="31">
        <v>0</v>
      </c>
      <c r="AB63" s="31">
        <v>0</v>
      </c>
      <c r="AC63" s="31">
        <v>0</v>
      </c>
      <c r="AD63" s="31">
        <v>0</v>
      </c>
      <c r="AE63" s="31">
        <v>0</v>
      </c>
      <c r="AF63" s="31">
        <v>0</v>
      </c>
      <c r="AG63" s="31">
        <v>0</v>
      </c>
      <c r="AH63" s="31">
        <v>0</v>
      </c>
      <c r="AI63" s="31">
        <v>0</v>
      </c>
      <c r="AJ63" s="31">
        <v>0</v>
      </c>
      <c r="AK63" s="31">
        <v>0</v>
      </c>
      <c r="AL63" s="31">
        <v>0</v>
      </c>
      <c r="AM63" s="31">
        <v>0</v>
      </c>
      <c r="AN63" s="31">
        <v>0</v>
      </c>
      <c r="AO63" s="31">
        <v>0</v>
      </c>
      <c r="AP63" s="31">
        <v>0</v>
      </c>
    </row>
    <row r="64" spans="1:42" x14ac:dyDescent="0.25">
      <c r="A64" s="31">
        <v>28</v>
      </c>
      <c r="B64" s="31">
        <v>24901</v>
      </c>
      <c r="C64" s="31">
        <v>1</v>
      </c>
      <c r="D64" s="31" t="s">
        <v>505</v>
      </c>
      <c r="E64" s="31"/>
      <c r="F64" s="31">
        <v>0</v>
      </c>
      <c r="G64" s="31">
        <v>0</v>
      </c>
      <c r="H64" s="31">
        <v>0</v>
      </c>
      <c r="I64" s="31">
        <v>0</v>
      </c>
      <c r="J64" s="31">
        <v>0</v>
      </c>
      <c r="K64" s="31" t="s">
        <v>882</v>
      </c>
      <c r="L64" s="2" t="str">
        <f t="shared" si="0"/>
        <v>Рихтовка</v>
      </c>
      <c r="M64" s="12">
        <f t="shared" si="1"/>
        <v>0</v>
      </c>
      <c r="N64" s="12">
        <f t="shared" si="2"/>
        <v>0</v>
      </c>
      <c r="O64" s="12">
        <f t="shared" si="3"/>
        <v>0</v>
      </c>
      <c r="P64" s="12">
        <f t="shared" si="4"/>
        <v>0</v>
      </c>
      <c r="Q64" s="12">
        <f t="shared" si="5"/>
        <v>0</v>
      </c>
      <c r="R64" s="12">
        <f t="shared" si="6"/>
        <v>0</v>
      </c>
      <c r="S64" s="12">
        <f t="shared" si="7"/>
        <v>0</v>
      </c>
      <c r="T64" s="31">
        <v>0</v>
      </c>
      <c r="U64" s="31">
        <v>0</v>
      </c>
      <c r="V64" s="31">
        <v>0</v>
      </c>
      <c r="W64" s="31">
        <v>0</v>
      </c>
      <c r="X64" s="31">
        <v>0</v>
      </c>
      <c r="Y64" s="31">
        <v>0</v>
      </c>
      <c r="Z64" s="31">
        <v>0</v>
      </c>
      <c r="AA64" s="31">
        <v>0</v>
      </c>
      <c r="AB64" s="31">
        <v>0</v>
      </c>
      <c r="AC64" s="31">
        <v>0</v>
      </c>
      <c r="AD64" s="31">
        <v>0</v>
      </c>
      <c r="AE64" s="31">
        <v>0</v>
      </c>
      <c r="AF64" s="31">
        <v>0</v>
      </c>
      <c r="AG64" s="31">
        <v>0</v>
      </c>
      <c r="AH64" s="31">
        <v>0</v>
      </c>
      <c r="AI64" s="31">
        <v>0</v>
      </c>
      <c r="AJ64" s="31">
        <v>0</v>
      </c>
      <c r="AK64" s="31">
        <v>0</v>
      </c>
      <c r="AL64" s="31">
        <v>0</v>
      </c>
      <c r="AM64" s="31">
        <v>0</v>
      </c>
      <c r="AN64" s="31">
        <v>0</v>
      </c>
      <c r="AO64" s="31">
        <v>0</v>
      </c>
      <c r="AP64" s="31">
        <v>0</v>
      </c>
    </row>
    <row r="65" spans="1:42" x14ac:dyDescent="0.25">
      <c r="A65" s="31">
        <v>28</v>
      </c>
      <c r="B65" s="31">
        <v>24901</v>
      </c>
      <c r="C65" s="31">
        <v>1</v>
      </c>
      <c r="D65" s="31" t="s">
        <v>506</v>
      </c>
      <c r="E65" s="31"/>
      <c r="F65" s="31">
        <v>0</v>
      </c>
      <c r="G65" s="31">
        <v>0</v>
      </c>
      <c r="H65" s="31">
        <v>0</v>
      </c>
      <c r="I65" s="31">
        <v>0</v>
      </c>
      <c r="J65" s="31">
        <v>0</v>
      </c>
      <c r="K65" s="31" t="s">
        <v>882</v>
      </c>
      <c r="L65" s="2" t="str">
        <f t="shared" si="0"/>
        <v>Рихтовка</v>
      </c>
      <c r="M65" s="12">
        <f t="shared" si="1"/>
        <v>0</v>
      </c>
      <c r="N65" s="12">
        <f t="shared" si="2"/>
        <v>0</v>
      </c>
      <c r="O65" s="12">
        <f t="shared" si="3"/>
        <v>0</v>
      </c>
      <c r="P65" s="12">
        <f t="shared" si="4"/>
        <v>0</v>
      </c>
      <c r="Q65" s="12">
        <f t="shared" si="5"/>
        <v>0</v>
      </c>
      <c r="R65" s="12">
        <f t="shared" si="6"/>
        <v>0</v>
      </c>
      <c r="S65" s="12">
        <f t="shared" si="7"/>
        <v>0</v>
      </c>
      <c r="T65" s="31">
        <v>0</v>
      </c>
      <c r="U65" s="31">
        <v>0</v>
      </c>
      <c r="V65" s="31">
        <v>0</v>
      </c>
      <c r="W65" s="31">
        <v>0</v>
      </c>
      <c r="X65" s="31">
        <v>0</v>
      </c>
      <c r="Y65" s="31">
        <v>0</v>
      </c>
      <c r="Z65" s="31">
        <v>0</v>
      </c>
      <c r="AA65" s="31">
        <v>0</v>
      </c>
      <c r="AB65" s="31">
        <v>0</v>
      </c>
      <c r="AC65" s="31">
        <v>0</v>
      </c>
      <c r="AD65" s="31">
        <v>0</v>
      </c>
      <c r="AE65" s="31">
        <v>0</v>
      </c>
      <c r="AF65" s="31">
        <v>0</v>
      </c>
      <c r="AG65" s="31">
        <v>0</v>
      </c>
      <c r="AH65" s="31">
        <v>0</v>
      </c>
      <c r="AI65" s="31">
        <v>0</v>
      </c>
      <c r="AJ65" s="31">
        <v>0</v>
      </c>
      <c r="AK65" s="31">
        <v>0</v>
      </c>
      <c r="AL65" s="31">
        <v>0</v>
      </c>
      <c r="AM65" s="31">
        <v>0</v>
      </c>
      <c r="AN65" s="31">
        <v>0</v>
      </c>
      <c r="AO65" s="31">
        <v>0</v>
      </c>
      <c r="AP65" s="31">
        <v>0</v>
      </c>
    </row>
    <row r="66" spans="1:42" x14ac:dyDescent="0.25">
      <c r="A66" s="31">
        <v>28</v>
      </c>
      <c r="B66" s="31">
        <v>24901</v>
      </c>
      <c r="C66" s="31">
        <v>1</v>
      </c>
      <c r="D66" s="31" t="s">
        <v>507</v>
      </c>
      <c r="E66" s="31"/>
      <c r="F66" s="31">
        <v>0</v>
      </c>
      <c r="G66" s="31">
        <v>0</v>
      </c>
      <c r="H66" s="31">
        <v>0</v>
      </c>
      <c r="I66" s="31">
        <v>0</v>
      </c>
      <c r="J66" s="31">
        <v>0</v>
      </c>
      <c r="K66" s="31" t="s">
        <v>882</v>
      </c>
      <c r="L66" s="2" t="str">
        <f t="shared" ref="L66:L129" si="8">IF($M66=N66,$N$1,IF($M66=O66,$O$1,IF($M66=P66,$P$1,IF($M66=Q66,$Q$1,IF($M66=R66,$R$1,$S$1)))))</f>
        <v>Рихтовка</v>
      </c>
      <c r="M66" s="12">
        <f t="shared" ref="M66:M129" si="9">MAX(N66,O66,P66,Q66,R66,S66)</f>
        <v>0</v>
      </c>
      <c r="N66" s="12">
        <f t="shared" ref="N66:N129" si="10">T66+U66+V66</f>
        <v>0</v>
      </c>
      <c r="O66" s="12">
        <f t="shared" ref="O66:O129" si="11">W66+X66+Y66</f>
        <v>0</v>
      </c>
      <c r="P66" s="12">
        <f t="shared" ref="P66:P129" si="12">Z66+AA66+AB66</f>
        <v>0</v>
      </c>
      <c r="Q66" s="12">
        <f t="shared" ref="Q66:Q129" si="13">AC66+AD66+AE66</f>
        <v>0</v>
      </c>
      <c r="R66" s="12">
        <f t="shared" ref="R66:R129" si="14">AF66+AG66+AH66</f>
        <v>0</v>
      </c>
      <c r="S66" s="12">
        <f t="shared" ref="S66:S129" si="15">AI66+AJ66+AK66</f>
        <v>0</v>
      </c>
      <c r="T66" s="31">
        <v>0</v>
      </c>
      <c r="U66" s="31">
        <v>0</v>
      </c>
      <c r="V66" s="31">
        <v>0</v>
      </c>
      <c r="W66" s="31">
        <v>0</v>
      </c>
      <c r="X66" s="31">
        <v>0</v>
      </c>
      <c r="Y66" s="31">
        <v>0</v>
      </c>
      <c r="Z66" s="31">
        <v>0</v>
      </c>
      <c r="AA66" s="31">
        <v>0</v>
      </c>
      <c r="AB66" s="31">
        <v>0</v>
      </c>
      <c r="AC66" s="31">
        <v>0</v>
      </c>
      <c r="AD66" s="31">
        <v>0</v>
      </c>
      <c r="AE66" s="31">
        <v>0</v>
      </c>
      <c r="AF66" s="31">
        <v>0</v>
      </c>
      <c r="AG66" s="31">
        <v>0</v>
      </c>
      <c r="AH66" s="31">
        <v>0</v>
      </c>
      <c r="AI66" s="31">
        <v>0</v>
      </c>
      <c r="AJ66" s="31">
        <v>0</v>
      </c>
      <c r="AK66" s="31">
        <v>0</v>
      </c>
      <c r="AL66" s="31">
        <v>0</v>
      </c>
      <c r="AM66" s="31">
        <v>0</v>
      </c>
      <c r="AN66" s="31">
        <v>0</v>
      </c>
      <c r="AO66" s="31">
        <v>0</v>
      </c>
      <c r="AP66" s="31">
        <v>0</v>
      </c>
    </row>
    <row r="67" spans="1:42" x14ac:dyDescent="0.25">
      <c r="A67" s="31">
        <v>28</v>
      </c>
      <c r="B67" s="31">
        <v>24901</v>
      </c>
      <c r="C67" s="31">
        <v>1</v>
      </c>
      <c r="D67" s="31" t="s">
        <v>508</v>
      </c>
      <c r="E67" s="31"/>
      <c r="F67" s="31">
        <v>0</v>
      </c>
      <c r="G67" s="31">
        <v>0</v>
      </c>
      <c r="H67" s="31">
        <v>0</v>
      </c>
      <c r="I67" s="31">
        <v>0</v>
      </c>
      <c r="J67" s="31">
        <v>0</v>
      </c>
      <c r="K67" s="31" t="s">
        <v>882</v>
      </c>
      <c r="L67" s="2" t="str">
        <f t="shared" si="8"/>
        <v>Рихтовка</v>
      </c>
      <c r="M67" s="12">
        <f t="shared" si="9"/>
        <v>0</v>
      </c>
      <c r="N67" s="12">
        <f t="shared" si="10"/>
        <v>0</v>
      </c>
      <c r="O67" s="12">
        <f t="shared" si="11"/>
        <v>0</v>
      </c>
      <c r="P67" s="12">
        <f t="shared" si="12"/>
        <v>0</v>
      </c>
      <c r="Q67" s="12">
        <f t="shared" si="13"/>
        <v>0</v>
      </c>
      <c r="R67" s="12">
        <f t="shared" si="14"/>
        <v>0</v>
      </c>
      <c r="S67" s="12">
        <f t="shared" si="15"/>
        <v>0</v>
      </c>
      <c r="T67" s="31">
        <v>0</v>
      </c>
      <c r="U67" s="31">
        <v>0</v>
      </c>
      <c r="V67" s="31">
        <v>0</v>
      </c>
      <c r="W67" s="31">
        <v>0</v>
      </c>
      <c r="X67" s="31">
        <v>0</v>
      </c>
      <c r="Y67" s="31">
        <v>0</v>
      </c>
      <c r="Z67" s="31">
        <v>0</v>
      </c>
      <c r="AA67" s="31">
        <v>0</v>
      </c>
      <c r="AB67" s="31">
        <v>0</v>
      </c>
      <c r="AC67" s="31">
        <v>0</v>
      </c>
      <c r="AD67" s="31">
        <v>0</v>
      </c>
      <c r="AE67" s="31">
        <v>0</v>
      </c>
      <c r="AF67" s="31">
        <v>0</v>
      </c>
      <c r="AG67" s="31">
        <v>0</v>
      </c>
      <c r="AH67" s="31">
        <v>0</v>
      </c>
      <c r="AI67" s="31">
        <v>0</v>
      </c>
      <c r="AJ67" s="31">
        <v>0</v>
      </c>
      <c r="AK67" s="31">
        <v>0</v>
      </c>
      <c r="AL67" s="31">
        <v>0</v>
      </c>
      <c r="AM67" s="31">
        <v>0</v>
      </c>
      <c r="AN67" s="31">
        <v>0</v>
      </c>
      <c r="AO67" s="31">
        <v>0</v>
      </c>
      <c r="AP67" s="31">
        <v>0</v>
      </c>
    </row>
    <row r="68" spans="1:42" x14ac:dyDescent="0.25">
      <c r="A68" s="31">
        <v>28</v>
      </c>
      <c r="B68" s="31">
        <v>24901</v>
      </c>
      <c r="C68" s="31">
        <v>1</v>
      </c>
      <c r="D68" s="31" t="s">
        <v>509</v>
      </c>
      <c r="E68" s="31"/>
      <c r="F68" s="31">
        <v>0</v>
      </c>
      <c r="G68" s="31">
        <v>0</v>
      </c>
      <c r="H68" s="31">
        <v>0</v>
      </c>
      <c r="I68" s="31">
        <v>0</v>
      </c>
      <c r="J68" s="31">
        <v>0</v>
      </c>
      <c r="K68" s="31" t="s">
        <v>882</v>
      </c>
      <c r="L68" s="2" t="str">
        <f t="shared" si="8"/>
        <v>Рихтовка</v>
      </c>
      <c r="M68" s="12">
        <f t="shared" si="9"/>
        <v>0</v>
      </c>
      <c r="N68" s="12">
        <f t="shared" si="10"/>
        <v>0</v>
      </c>
      <c r="O68" s="12">
        <f t="shared" si="11"/>
        <v>0</v>
      </c>
      <c r="P68" s="12">
        <f t="shared" si="12"/>
        <v>0</v>
      </c>
      <c r="Q68" s="12">
        <f t="shared" si="13"/>
        <v>0</v>
      </c>
      <c r="R68" s="12">
        <f t="shared" si="14"/>
        <v>0</v>
      </c>
      <c r="S68" s="12">
        <f t="shared" si="15"/>
        <v>0</v>
      </c>
      <c r="T68" s="31">
        <v>0</v>
      </c>
      <c r="U68" s="31">
        <v>0</v>
      </c>
      <c r="V68" s="31">
        <v>0</v>
      </c>
      <c r="W68" s="31">
        <v>0</v>
      </c>
      <c r="X68" s="31">
        <v>0</v>
      </c>
      <c r="Y68" s="31">
        <v>0</v>
      </c>
      <c r="Z68" s="31">
        <v>0</v>
      </c>
      <c r="AA68" s="31">
        <v>0</v>
      </c>
      <c r="AB68" s="31">
        <v>0</v>
      </c>
      <c r="AC68" s="31">
        <v>0</v>
      </c>
      <c r="AD68" s="31">
        <v>0</v>
      </c>
      <c r="AE68" s="31">
        <v>0</v>
      </c>
      <c r="AF68" s="31">
        <v>0</v>
      </c>
      <c r="AG68" s="31">
        <v>0</v>
      </c>
      <c r="AH68" s="31">
        <v>0</v>
      </c>
      <c r="AI68" s="31">
        <v>0</v>
      </c>
      <c r="AJ68" s="31">
        <v>0</v>
      </c>
      <c r="AK68" s="31">
        <v>0</v>
      </c>
      <c r="AL68" s="31">
        <v>0</v>
      </c>
      <c r="AM68" s="31">
        <v>0</v>
      </c>
      <c r="AN68" s="31">
        <v>0</v>
      </c>
      <c r="AO68" s="31">
        <v>0</v>
      </c>
      <c r="AP68" s="31">
        <v>0</v>
      </c>
    </row>
    <row r="69" spans="1:42" x14ac:dyDescent="0.25">
      <c r="A69" s="31">
        <v>28</v>
      </c>
      <c r="B69" s="31">
        <v>24901</v>
      </c>
      <c r="C69" s="31">
        <v>1</v>
      </c>
      <c r="D69" s="31" t="s">
        <v>510</v>
      </c>
      <c r="E69" s="31"/>
      <c r="F69" s="31">
        <v>0</v>
      </c>
      <c r="G69" s="31">
        <v>0</v>
      </c>
      <c r="H69" s="31">
        <v>0</v>
      </c>
      <c r="I69" s="31">
        <v>0</v>
      </c>
      <c r="J69" s="31">
        <v>0</v>
      </c>
      <c r="K69" s="31" t="s">
        <v>882</v>
      </c>
      <c r="L69" s="2" t="str">
        <f t="shared" si="8"/>
        <v>Рихтовка</v>
      </c>
      <c r="M69" s="12">
        <f t="shared" si="9"/>
        <v>0</v>
      </c>
      <c r="N69" s="12">
        <f t="shared" si="10"/>
        <v>0</v>
      </c>
      <c r="O69" s="12">
        <f t="shared" si="11"/>
        <v>0</v>
      </c>
      <c r="P69" s="12">
        <f t="shared" si="12"/>
        <v>0</v>
      </c>
      <c r="Q69" s="12">
        <f t="shared" si="13"/>
        <v>0</v>
      </c>
      <c r="R69" s="12">
        <f t="shared" si="14"/>
        <v>0</v>
      </c>
      <c r="S69" s="12">
        <f t="shared" si="15"/>
        <v>0</v>
      </c>
      <c r="T69" s="31">
        <v>0</v>
      </c>
      <c r="U69" s="31">
        <v>0</v>
      </c>
      <c r="V69" s="31">
        <v>0</v>
      </c>
      <c r="W69" s="31">
        <v>0</v>
      </c>
      <c r="X69" s="31">
        <v>0</v>
      </c>
      <c r="Y69" s="31">
        <v>0</v>
      </c>
      <c r="Z69" s="31">
        <v>0</v>
      </c>
      <c r="AA69" s="31">
        <v>0</v>
      </c>
      <c r="AB69" s="31">
        <v>0</v>
      </c>
      <c r="AC69" s="31">
        <v>0</v>
      </c>
      <c r="AD69" s="31">
        <v>0</v>
      </c>
      <c r="AE69" s="31">
        <v>0</v>
      </c>
      <c r="AF69" s="31">
        <v>0</v>
      </c>
      <c r="AG69" s="31">
        <v>0</v>
      </c>
      <c r="AH69" s="31">
        <v>0</v>
      </c>
      <c r="AI69" s="31">
        <v>0</v>
      </c>
      <c r="AJ69" s="31">
        <v>0</v>
      </c>
      <c r="AK69" s="31">
        <v>0</v>
      </c>
      <c r="AL69" s="31">
        <v>0</v>
      </c>
      <c r="AM69" s="31">
        <v>0</v>
      </c>
      <c r="AN69" s="31">
        <v>0</v>
      </c>
      <c r="AO69" s="31">
        <v>0</v>
      </c>
      <c r="AP69" s="31">
        <v>0</v>
      </c>
    </row>
    <row r="70" spans="1:42" x14ac:dyDescent="0.25">
      <c r="A70" s="31">
        <v>28</v>
      </c>
      <c r="B70" s="31">
        <v>24901</v>
      </c>
      <c r="C70" s="31">
        <v>1</v>
      </c>
      <c r="D70" s="31" t="s">
        <v>511</v>
      </c>
      <c r="E70" s="31"/>
      <c r="F70" s="31">
        <v>0</v>
      </c>
      <c r="G70" s="31">
        <v>0</v>
      </c>
      <c r="H70" s="31">
        <v>0</v>
      </c>
      <c r="I70" s="31">
        <v>0</v>
      </c>
      <c r="J70" s="31">
        <v>0</v>
      </c>
      <c r="K70" s="31" t="s">
        <v>882</v>
      </c>
      <c r="L70" s="2" t="str">
        <f t="shared" si="8"/>
        <v>Рихтовка</v>
      </c>
      <c r="M70" s="12">
        <f t="shared" si="9"/>
        <v>0</v>
      </c>
      <c r="N70" s="12">
        <f t="shared" si="10"/>
        <v>0</v>
      </c>
      <c r="O70" s="12">
        <f t="shared" si="11"/>
        <v>0</v>
      </c>
      <c r="P70" s="12">
        <f t="shared" si="12"/>
        <v>0</v>
      </c>
      <c r="Q70" s="12">
        <f t="shared" si="13"/>
        <v>0</v>
      </c>
      <c r="R70" s="12">
        <f t="shared" si="14"/>
        <v>0</v>
      </c>
      <c r="S70" s="12">
        <f t="shared" si="15"/>
        <v>0</v>
      </c>
      <c r="T70" s="31">
        <v>0</v>
      </c>
      <c r="U70" s="31">
        <v>0</v>
      </c>
      <c r="V70" s="31">
        <v>0</v>
      </c>
      <c r="W70" s="31">
        <v>0</v>
      </c>
      <c r="X70" s="31">
        <v>0</v>
      </c>
      <c r="Y70" s="31">
        <v>0</v>
      </c>
      <c r="Z70" s="31">
        <v>0</v>
      </c>
      <c r="AA70" s="31">
        <v>0</v>
      </c>
      <c r="AB70" s="31">
        <v>0</v>
      </c>
      <c r="AC70" s="31">
        <v>0</v>
      </c>
      <c r="AD70" s="31">
        <v>0</v>
      </c>
      <c r="AE70" s="31">
        <v>0</v>
      </c>
      <c r="AF70" s="31">
        <v>0</v>
      </c>
      <c r="AG70" s="31">
        <v>0</v>
      </c>
      <c r="AH70" s="31">
        <v>0</v>
      </c>
      <c r="AI70" s="31">
        <v>0</v>
      </c>
      <c r="AJ70" s="31">
        <v>0</v>
      </c>
      <c r="AK70" s="31">
        <v>0</v>
      </c>
      <c r="AL70" s="31">
        <v>0</v>
      </c>
      <c r="AM70" s="31">
        <v>0</v>
      </c>
      <c r="AN70" s="31">
        <v>0</v>
      </c>
      <c r="AO70" s="31">
        <v>0</v>
      </c>
      <c r="AP70" s="31">
        <v>0</v>
      </c>
    </row>
    <row r="71" spans="1:42" x14ac:dyDescent="0.25">
      <c r="A71" s="31">
        <v>28</v>
      </c>
      <c r="B71" s="31">
        <v>24901</v>
      </c>
      <c r="C71" s="31">
        <v>1</v>
      </c>
      <c r="D71" s="31" t="s">
        <v>512</v>
      </c>
      <c r="E71" s="31"/>
      <c r="F71" s="31">
        <v>0</v>
      </c>
      <c r="G71" s="31">
        <v>0</v>
      </c>
      <c r="H71" s="31">
        <v>0</v>
      </c>
      <c r="I71" s="31">
        <v>0</v>
      </c>
      <c r="J71" s="31">
        <v>0</v>
      </c>
      <c r="K71" s="31" t="s">
        <v>882</v>
      </c>
      <c r="L71" s="2" t="str">
        <f t="shared" si="8"/>
        <v>Рихтовка</v>
      </c>
      <c r="M71" s="12">
        <f t="shared" si="9"/>
        <v>0</v>
      </c>
      <c r="N71" s="12">
        <f t="shared" si="10"/>
        <v>0</v>
      </c>
      <c r="O71" s="12">
        <f t="shared" si="11"/>
        <v>0</v>
      </c>
      <c r="P71" s="12">
        <f t="shared" si="12"/>
        <v>0</v>
      </c>
      <c r="Q71" s="12">
        <f t="shared" si="13"/>
        <v>0</v>
      </c>
      <c r="R71" s="12">
        <f t="shared" si="14"/>
        <v>0</v>
      </c>
      <c r="S71" s="12">
        <f t="shared" si="15"/>
        <v>0</v>
      </c>
      <c r="T71" s="31">
        <v>0</v>
      </c>
      <c r="U71" s="31">
        <v>0</v>
      </c>
      <c r="V71" s="31">
        <v>0</v>
      </c>
      <c r="W71" s="31">
        <v>0</v>
      </c>
      <c r="X71" s="31">
        <v>0</v>
      </c>
      <c r="Y71" s="31">
        <v>0</v>
      </c>
      <c r="Z71" s="31">
        <v>0</v>
      </c>
      <c r="AA71" s="31">
        <v>0</v>
      </c>
      <c r="AB71" s="31">
        <v>0</v>
      </c>
      <c r="AC71" s="31">
        <v>0</v>
      </c>
      <c r="AD71" s="31">
        <v>0</v>
      </c>
      <c r="AE71" s="31">
        <v>0</v>
      </c>
      <c r="AF71" s="31">
        <v>0</v>
      </c>
      <c r="AG71" s="31">
        <v>0</v>
      </c>
      <c r="AH71" s="31">
        <v>0</v>
      </c>
      <c r="AI71" s="31">
        <v>0</v>
      </c>
      <c r="AJ71" s="31">
        <v>0</v>
      </c>
      <c r="AK71" s="31">
        <v>0</v>
      </c>
      <c r="AL71" s="31">
        <v>0</v>
      </c>
      <c r="AM71" s="31">
        <v>0</v>
      </c>
      <c r="AN71" s="31">
        <v>0</v>
      </c>
      <c r="AO71" s="31">
        <v>0</v>
      </c>
      <c r="AP71" s="31">
        <v>0</v>
      </c>
    </row>
    <row r="72" spans="1:42" x14ac:dyDescent="0.25">
      <c r="A72" s="31">
        <v>28</v>
      </c>
      <c r="B72" s="31">
        <v>24901</v>
      </c>
      <c r="C72" s="31">
        <v>1</v>
      </c>
      <c r="D72" s="31" t="s">
        <v>513</v>
      </c>
      <c r="E72" s="31"/>
      <c r="F72" s="31">
        <v>0</v>
      </c>
      <c r="G72" s="31">
        <v>0</v>
      </c>
      <c r="H72" s="31">
        <v>0</v>
      </c>
      <c r="I72" s="31">
        <v>0</v>
      </c>
      <c r="J72" s="31">
        <v>0</v>
      </c>
      <c r="K72" s="31" t="s">
        <v>882</v>
      </c>
      <c r="L72" s="2" t="str">
        <f t="shared" si="8"/>
        <v>Рихтовка</v>
      </c>
      <c r="M72" s="12">
        <f t="shared" si="9"/>
        <v>0</v>
      </c>
      <c r="N72" s="12">
        <f t="shared" si="10"/>
        <v>0</v>
      </c>
      <c r="O72" s="12">
        <f t="shared" si="11"/>
        <v>0</v>
      </c>
      <c r="P72" s="12">
        <f t="shared" si="12"/>
        <v>0</v>
      </c>
      <c r="Q72" s="12">
        <f t="shared" si="13"/>
        <v>0</v>
      </c>
      <c r="R72" s="12">
        <f t="shared" si="14"/>
        <v>0</v>
      </c>
      <c r="S72" s="12">
        <f t="shared" si="15"/>
        <v>0</v>
      </c>
      <c r="T72" s="31">
        <v>0</v>
      </c>
      <c r="U72" s="31">
        <v>0</v>
      </c>
      <c r="V72" s="31">
        <v>0</v>
      </c>
      <c r="W72" s="31">
        <v>0</v>
      </c>
      <c r="X72" s="31">
        <v>0</v>
      </c>
      <c r="Y72" s="31">
        <v>0</v>
      </c>
      <c r="Z72" s="31">
        <v>0</v>
      </c>
      <c r="AA72" s="31">
        <v>0</v>
      </c>
      <c r="AB72" s="31">
        <v>0</v>
      </c>
      <c r="AC72" s="31">
        <v>0</v>
      </c>
      <c r="AD72" s="31">
        <v>0</v>
      </c>
      <c r="AE72" s="31">
        <v>0</v>
      </c>
      <c r="AF72" s="31">
        <v>0</v>
      </c>
      <c r="AG72" s="31">
        <v>0</v>
      </c>
      <c r="AH72" s="31">
        <v>0</v>
      </c>
      <c r="AI72" s="31">
        <v>0</v>
      </c>
      <c r="AJ72" s="31">
        <v>0</v>
      </c>
      <c r="AK72" s="31">
        <v>0</v>
      </c>
      <c r="AL72" s="31">
        <v>0</v>
      </c>
      <c r="AM72" s="31">
        <v>0</v>
      </c>
      <c r="AN72" s="31">
        <v>0</v>
      </c>
      <c r="AO72" s="31">
        <v>0</v>
      </c>
      <c r="AP72" s="31">
        <v>0</v>
      </c>
    </row>
    <row r="73" spans="1:42" x14ac:dyDescent="0.25">
      <c r="A73" s="31">
        <v>29</v>
      </c>
      <c r="B73" s="31">
        <v>24901</v>
      </c>
      <c r="C73" s="31">
        <v>1</v>
      </c>
      <c r="D73" s="31" t="s">
        <v>514</v>
      </c>
      <c r="E73" s="31"/>
      <c r="F73" s="31">
        <v>0</v>
      </c>
      <c r="G73" s="31">
        <v>0</v>
      </c>
      <c r="H73" s="31">
        <v>0</v>
      </c>
      <c r="I73" s="31">
        <v>0</v>
      </c>
      <c r="J73" s="31">
        <v>0</v>
      </c>
      <c r="K73" s="31" t="s">
        <v>882</v>
      </c>
      <c r="L73" s="2" t="str">
        <f t="shared" si="8"/>
        <v>Рихтовка</v>
      </c>
      <c r="M73" s="12">
        <f t="shared" si="9"/>
        <v>0</v>
      </c>
      <c r="N73" s="12">
        <f t="shared" si="10"/>
        <v>0</v>
      </c>
      <c r="O73" s="12">
        <f t="shared" si="11"/>
        <v>0</v>
      </c>
      <c r="P73" s="12">
        <f t="shared" si="12"/>
        <v>0</v>
      </c>
      <c r="Q73" s="12">
        <f t="shared" si="13"/>
        <v>0</v>
      </c>
      <c r="R73" s="12">
        <f t="shared" si="14"/>
        <v>0</v>
      </c>
      <c r="S73" s="12">
        <f t="shared" si="15"/>
        <v>0</v>
      </c>
      <c r="T73" s="31">
        <v>0</v>
      </c>
      <c r="U73" s="31">
        <v>0</v>
      </c>
      <c r="V73" s="31">
        <v>0</v>
      </c>
      <c r="W73" s="31">
        <v>0</v>
      </c>
      <c r="X73" s="31">
        <v>0</v>
      </c>
      <c r="Y73" s="31">
        <v>0</v>
      </c>
      <c r="Z73" s="31">
        <v>0</v>
      </c>
      <c r="AA73" s="31">
        <v>0</v>
      </c>
      <c r="AB73" s="31">
        <v>0</v>
      </c>
      <c r="AC73" s="31">
        <v>0</v>
      </c>
      <c r="AD73" s="31">
        <v>0</v>
      </c>
      <c r="AE73" s="31">
        <v>0</v>
      </c>
      <c r="AF73" s="31">
        <v>0</v>
      </c>
      <c r="AG73" s="31">
        <v>0</v>
      </c>
      <c r="AH73" s="31">
        <v>0</v>
      </c>
      <c r="AI73" s="31">
        <v>0</v>
      </c>
      <c r="AJ73" s="31">
        <v>0</v>
      </c>
      <c r="AK73" s="31">
        <v>0</v>
      </c>
      <c r="AL73" s="31">
        <v>0</v>
      </c>
      <c r="AM73" s="31">
        <v>0</v>
      </c>
      <c r="AN73" s="31">
        <v>0</v>
      </c>
      <c r="AO73" s="31">
        <v>0</v>
      </c>
      <c r="AP73" s="31">
        <v>0</v>
      </c>
    </row>
    <row r="74" spans="1:42" x14ac:dyDescent="0.25">
      <c r="A74" s="31">
        <v>29</v>
      </c>
      <c r="B74" s="31">
        <v>24901</v>
      </c>
      <c r="C74" s="31">
        <v>1</v>
      </c>
      <c r="D74" s="31" t="s">
        <v>515</v>
      </c>
      <c r="E74" s="31"/>
      <c r="F74" s="31">
        <v>0</v>
      </c>
      <c r="G74" s="31">
        <v>0</v>
      </c>
      <c r="H74" s="31">
        <v>0</v>
      </c>
      <c r="I74" s="31">
        <v>0</v>
      </c>
      <c r="J74" s="31">
        <v>0</v>
      </c>
      <c r="K74" s="31" t="s">
        <v>882</v>
      </c>
      <c r="L74" s="2" t="str">
        <f t="shared" si="8"/>
        <v>Рихтовка</v>
      </c>
      <c r="M74" s="12">
        <f t="shared" si="9"/>
        <v>0</v>
      </c>
      <c r="N74" s="12">
        <f t="shared" si="10"/>
        <v>0</v>
      </c>
      <c r="O74" s="12">
        <f t="shared" si="11"/>
        <v>0</v>
      </c>
      <c r="P74" s="12">
        <f t="shared" si="12"/>
        <v>0</v>
      </c>
      <c r="Q74" s="12">
        <f t="shared" si="13"/>
        <v>0</v>
      </c>
      <c r="R74" s="12">
        <f t="shared" si="14"/>
        <v>0</v>
      </c>
      <c r="S74" s="12">
        <f t="shared" si="15"/>
        <v>0</v>
      </c>
      <c r="T74" s="31">
        <v>0</v>
      </c>
      <c r="U74" s="31">
        <v>0</v>
      </c>
      <c r="V74" s="31">
        <v>0</v>
      </c>
      <c r="W74" s="31">
        <v>0</v>
      </c>
      <c r="X74" s="31">
        <v>0</v>
      </c>
      <c r="Y74" s="31">
        <v>0</v>
      </c>
      <c r="Z74" s="31">
        <v>0</v>
      </c>
      <c r="AA74" s="31">
        <v>0</v>
      </c>
      <c r="AB74" s="31">
        <v>0</v>
      </c>
      <c r="AC74" s="31">
        <v>0</v>
      </c>
      <c r="AD74" s="31">
        <v>0</v>
      </c>
      <c r="AE74" s="31">
        <v>0</v>
      </c>
      <c r="AF74" s="31">
        <v>0</v>
      </c>
      <c r="AG74" s="31">
        <v>0</v>
      </c>
      <c r="AH74" s="31">
        <v>0</v>
      </c>
      <c r="AI74" s="31">
        <v>0</v>
      </c>
      <c r="AJ74" s="31">
        <v>0</v>
      </c>
      <c r="AK74" s="31">
        <v>0</v>
      </c>
      <c r="AL74" s="31">
        <v>0</v>
      </c>
      <c r="AM74" s="31">
        <v>0</v>
      </c>
      <c r="AN74" s="31">
        <v>0</v>
      </c>
      <c r="AO74" s="31">
        <v>0</v>
      </c>
      <c r="AP74" s="31">
        <v>0</v>
      </c>
    </row>
    <row r="75" spans="1:42" x14ac:dyDescent="0.25">
      <c r="A75" s="31">
        <v>29</v>
      </c>
      <c r="B75" s="31">
        <v>24901</v>
      </c>
      <c r="C75" s="31">
        <v>1</v>
      </c>
      <c r="D75" s="31" t="s">
        <v>516</v>
      </c>
      <c r="E75" s="31"/>
      <c r="F75" s="31">
        <v>0</v>
      </c>
      <c r="G75" s="31">
        <v>0</v>
      </c>
      <c r="H75" s="31">
        <v>0</v>
      </c>
      <c r="I75" s="31">
        <v>0</v>
      </c>
      <c r="J75" s="31">
        <v>0</v>
      </c>
      <c r="K75" s="31" t="s">
        <v>882</v>
      </c>
      <c r="L75" s="2" t="str">
        <f t="shared" si="8"/>
        <v>Рихтовка</v>
      </c>
      <c r="M75" s="12">
        <f t="shared" si="9"/>
        <v>0</v>
      </c>
      <c r="N75" s="12">
        <f t="shared" si="10"/>
        <v>0</v>
      </c>
      <c r="O75" s="12">
        <f t="shared" si="11"/>
        <v>0</v>
      </c>
      <c r="P75" s="12">
        <f t="shared" si="12"/>
        <v>0</v>
      </c>
      <c r="Q75" s="12">
        <f t="shared" si="13"/>
        <v>0</v>
      </c>
      <c r="R75" s="12">
        <f t="shared" si="14"/>
        <v>0</v>
      </c>
      <c r="S75" s="12">
        <f t="shared" si="15"/>
        <v>0</v>
      </c>
      <c r="T75" s="31">
        <v>0</v>
      </c>
      <c r="U75" s="31">
        <v>0</v>
      </c>
      <c r="V75" s="31">
        <v>0</v>
      </c>
      <c r="W75" s="31">
        <v>0</v>
      </c>
      <c r="X75" s="31">
        <v>0</v>
      </c>
      <c r="Y75" s="31">
        <v>0</v>
      </c>
      <c r="Z75" s="31">
        <v>0</v>
      </c>
      <c r="AA75" s="31">
        <v>0</v>
      </c>
      <c r="AB75" s="31">
        <v>0</v>
      </c>
      <c r="AC75" s="31">
        <v>0</v>
      </c>
      <c r="AD75" s="31">
        <v>0</v>
      </c>
      <c r="AE75" s="31">
        <v>0</v>
      </c>
      <c r="AF75" s="31">
        <v>0</v>
      </c>
      <c r="AG75" s="31">
        <v>0</v>
      </c>
      <c r="AH75" s="31">
        <v>0</v>
      </c>
      <c r="AI75" s="31">
        <v>0</v>
      </c>
      <c r="AJ75" s="31">
        <v>0</v>
      </c>
      <c r="AK75" s="31">
        <v>0</v>
      </c>
      <c r="AL75" s="31">
        <v>0</v>
      </c>
      <c r="AM75" s="31">
        <v>0</v>
      </c>
      <c r="AN75" s="31">
        <v>0</v>
      </c>
      <c r="AO75" s="31">
        <v>0</v>
      </c>
      <c r="AP75" s="31">
        <v>0</v>
      </c>
    </row>
    <row r="76" spans="1:42" x14ac:dyDescent="0.25">
      <c r="A76" s="31">
        <v>29</v>
      </c>
      <c r="B76" s="31">
        <v>24901</v>
      </c>
      <c r="C76" s="31">
        <v>1</v>
      </c>
      <c r="D76" s="31" t="s">
        <v>517</v>
      </c>
      <c r="E76" s="31"/>
      <c r="F76" s="31">
        <v>0</v>
      </c>
      <c r="G76" s="31">
        <v>0</v>
      </c>
      <c r="H76" s="31">
        <v>0</v>
      </c>
      <c r="I76" s="31">
        <v>0</v>
      </c>
      <c r="J76" s="31">
        <v>0</v>
      </c>
      <c r="K76" s="31" t="s">
        <v>882</v>
      </c>
      <c r="L76" s="2" t="str">
        <f t="shared" si="8"/>
        <v>Рихтовка</v>
      </c>
      <c r="M76" s="12">
        <f t="shared" si="9"/>
        <v>0</v>
      </c>
      <c r="N76" s="12">
        <f t="shared" si="10"/>
        <v>0</v>
      </c>
      <c r="O76" s="12">
        <f t="shared" si="11"/>
        <v>0</v>
      </c>
      <c r="P76" s="12">
        <f t="shared" si="12"/>
        <v>0</v>
      </c>
      <c r="Q76" s="12">
        <f t="shared" si="13"/>
        <v>0</v>
      </c>
      <c r="R76" s="12">
        <f t="shared" si="14"/>
        <v>0</v>
      </c>
      <c r="S76" s="12">
        <f t="shared" si="15"/>
        <v>0</v>
      </c>
      <c r="T76" s="31">
        <v>0</v>
      </c>
      <c r="U76" s="31">
        <v>0</v>
      </c>
      <c r="V76" s="31">
        <v>0</v>
      </c>
      <c r="W76" s="31">
        <v>0</v>
      </c>
      <c r="X76" s="31">
        <v>0</v>
      </c>
      <c r="Y76" s="31">
        <v>0</v>
      </c>
      <c r="Z76" s="31">
        <v>0</v>
      </c>
      <c r="AA76" s="31">
        <v>0</v>
      </c>
      <c r="AB76" s="31">
        <v>0</v>
      </c>
      <c r="AC76" s="31">
        <v>0</v>
      </c>
      <c r="AD76" s="31">
        <v>0</v>
      </c>
      <c r="AE76" s="31">
        <v>0</v>
      </c>
      <c r="AF76" s="31">
        <v>0</v>
      </c>
      <c r="AG76" s="31">
        <v>0</v>
      </c>
      <c r="AH76" s="31">
        <v>0</v>
      </c>
      <c r="AI76" s="31">
        <v>0</v>
      </c>
      <c r="AJ76" s="31">
        <v>0</v>
      </c>
      <c r="AK76" s="31">
        <v>0</v>
      </c>
      <c r="AL76" s="31">
        <v>0</v>
      </c>
      <c r="AM76" s="31">
        <v>0</v>
      </c>
      <c r="AN76" s="31">
        <v>0</v>
      </c>
      <c r="AO76" s="31">
        <v>0</v>
      </c>
      <c r="AP76" s="31">
        <v>0</v>
      </c>
    </row>
    <row r="77" spans="1:42" x14ac:dyDescent="0.25">
      <c r="A77" s="31">
        <v>29</v>
      </c>
      <c r="B77" s="31">
        <v>24901</v>
      </c>
      <c r="C77" s="31">
        <v>1</v>
      </c>
      <c r="D77" s="31" t="s">
        <v>518</v>
      </c>
      <c r="E77" s="31"/>
      <c r="F77" s="31">
        <v>0</v>
      </c>
      <c r="G77" s="31">
        <v>0</v>
      </c>
      <c r="H77" s="31">
        <v>0</v>
      </c>
      <c r="I77" s="31">
        <v>0</v>
      </c>
      <c r="J77" s="31">
        <v>0</v>
      </c>
      <c r="K77" s="31" t="s">
        <v>882</v>
      </c>
      <c r="L77" s="2" t="str">
        <f t="shared" si="8"/>
        <v>Рихтовка</v>
      </c>
      <c r="M77" s="12">
        <f t="shared" si="9"/>
        <v>0</v>
      </c>
      <c r="N77" s="12">
        <f t="shared" si="10"/>
        <v>0</v>
      </c>
      <c r="O77" s="12">
        <f t="shared" si="11"/>
        <v>0</v>
      </c>
      <c r="P77" s="12">
        <f t="shared" si="12"/>
        <v>0</v>
      </c>
      <c r="Q77" s="12">
        <f t="shared" si="13"/>
        <v>0</v>
      </c>
      <c r="R77" s="12">
        <f t="shared" si="14"/>
        <v>0</v>
      </c>
      <c r="S77" s="12">
        <f t="shared" si="15"/>
        <v>0</v>
      </c>
      <c r="T77" s="31">
        <v>0</v>
      </c>
      <c r="U77" s="31">
        <v>0</v>
      </c>
      <c r="V77" s="31">
        <v>0</v>
      </c>
      <c r="W77" s="31">
        <v>0</v>
      </c>
      <c r="X77" s="31">
        <v>0</v>
      </c>
      <c r="Y77" s="31">
        <v>0</v>
      </c>
      <c r="Z77" s="31">
        <v>0</v>
      </c>
      <c r="AA77" s="31">
        <v>0</v>
      </c>
      <c r="AB77" s="31">
        <v>0</v>
      </c>
      <c r="AC77" s="31">
        <v>0</v>
      </c>
      <c r="AD77" s="31">
        <v>0</v>
      </c>
      <c r="AE77" s="31">
        <v>0</v>
      </c>
      <c r="AF77" s="31">
        <v>0</v>
      </c>
      <c r="AG77" s="31">
        <v>0</v>
      </c>
      <c r="AH77" s="31">
        <v>0</v>
      </c>
      <c r="AI77" s="31">
        <v>0</v>
      </c>
      <c r="AJ77" s="31">
        <v>0</v>
      </c>
      <c r="AK77" s="31">
        <v>0</v>
      </c>
      <c r="AL77" s="31">
        <v>0</v>
      </c>
      <c r="AM77" s="31">
        <v>0</v>
      </c>
      <c r="AN77" s="31">
        <v>0</v>
      </c>
      <c r="AO77" s="31">
        <v>0</v>
      </c>
      <c r="AP77" s="31">
        <v>0</v>
      </c>
    </row>
    <row r="78" spans="1:42" x14ac:dyDescent="0.25">
      <c r="A78" s="31">
        <v>29</v>
      </c>
      <c r="B78" s="31">
        <v>24901</v>
      </c>
      <c r="C78" s="31">
        <v>1</v>
      </c>
      <c r="D78" s="31" t="s">
        <v>519</v>
      </c>
      <c r="E78" s="31"/>
      <c r="F78" s="31">
        <v>0</v>
      </c>
      <c r="G78" s="31">
        <v>0</v>
      </c>
      <c r="H78" s="31">
        <v>0</v>
      </c>
      <c r="I78" s="31">
        <v>0</v>
      </c>
      <c r="J78" s="31">
        <v>0</v>
      </c>
      <c r="K78" s="31" t="s">
        <v>882</v>
      </c>
      <c r="L78" s="2" t="str">
        <f t="shared" si="8"/>
        <v>Рихтовка</v>
      </c>
      <c r="M78" s="12">
        <f t="shared" si="9"/>
        <v>0</v>
      </c>
      <c r="N78" s="12">
        <f t="shared" si="10"/>
        <v>0</v>
      </c>
      <c r="O78" s="12">
        <f t="shared" si="11"/>
        <v>0</v>
      </c>
      <c r="P78" s="12">
        <f t="shared" si="12"/>
        <v>0</v>
      </c>
      <c r="Q78" s="12">
        <f t="shared" si="13"/>
        <v>0</v>
      </c>
      <c r="R78" s="12">
        <f t="shared" si="14"/>
        <v>0</v>
      </c>
      <c r="S78" s="12">
        <f t="shared" si="15"/>
        <v>0</v>
      </c>
      <c r="T78" s="31">
        <v>0</v>
      </c>
      <c r="U78" s="31">
        <v>0</v>
      </c>
      <c r="V78" s="31">
        <v>0</v>
      </c>
      <c r="W78" s="31">
        <v>0</v>
      </c>
      <c r="X78" s="31">
        <v>0</v>
      </c>
      <c r="Y78" s="31">
        <v>0</v>
      </c>
      <c r="Z78" s="31">
        <v>0</v>
      </c>
      <c r="AA78" s="31">
        <v>0</v>
      </c>
      <c r="AB78" s="31">
        <v>0</v>
      </c>
      <c r="AC78" s="31">
        <v>0</v>
      </c>
      <c r="AD78" s="31">
        <v>0</v>
      </c>
      <c r="AE78" s="31">
        <v>0</v>
      </c>
      <c r="AF78" s="31">
        <v>0</v>
      </c>
      <c r="AG78" s="31">
        <v>0</v>
      </c>
      <c r="AH78" s="31">
        <v>0</v>
      </c>
      <c r="AI78" s="31">
        <v>0</v>
      </c>
      <c r="AJ78" s="31">
        <v>0</v>
      </c>
      <c r="AK78" s="31">
        <v>0</v>
      </c>
      <c r="AL78" s="31">
        <v>0</v>
      </c>
      <c r="AM78" s="31">
        <v>0</v>
      </c>
      <c r="AN78" s="31">
        <v>0</v>
      </c>
      <c r="AO78" s="31">
        <v>0</v>
      </c>
      <c r="AP78" s="31">
        <v>0</v>
      </c>
    </row>
    <row r="79" spans="1:42" x14ac:dyDescent="0.25">
      <c r="A79" s="31">
        <v>29</v>
      </c>
      <c r="B79" s="31">
        <v>24901</v>
      </c>
      <c r="C79" s="31">
        <v>1</v>
      </c>
      <c r="D79" s="31" t="s">
        <v>520</v>
      </c>
      <c r="E79" s="31"/>
      <c r="F79" s="31">
        <v>0</v>
      </c>
      <c r="G79" s="31">
        <v>0</v>
      </c>
      <c r="H79" s="31">
        <v>0</v>
      </c>
      <c r="I79" s="31">
        <v>0</v>
      </c>
      <c r="J79" s="31">
        <v>0</v>
      </c>
      <c r="K79" s="31" t="s">
        <v>882</v>
      </c>
      <c r="L79" s="2" t="str">
        <f t="shared" si="8"/>
        <v>Рихтовка</v>
      </c>
      <c r="M79" s="12">
        <f t="shared" si="9"/>
        <v>0</v>
      </c>
      <c r="N79" s="12">
        <f t="shared" si="10"/>
        <v>0</v>
      </c>
      <c r="O79" s="12">
        <f t="shared" si="11"/>
        <v>0</v>
      </c>
      <c r="P79" s="12">
        <f t="shared" si="12"/>
        <v>0</v>
      </c>
      <c r="Q79" s="12">
        <f t="shared" si="13"/>
        <v>0</v>
      </c>
      <c r="R79" s="12">
        <f t="shared" si="14"/>
        <v>0</v>
      </c>
      <c r="S79" s="12">
        <f t="shared" si="15"/>
        <v>0</v>
      </c>
      <c r="T79" s="31">
        <v>0</v>
      </c>
      <c r="U79" s="31">
        <v>0</v>
      </c>
      <c r="V79" s="31">
        <v>0</v>
      </c>
      <c r="W79" s="31">
        <v>0</v>
      </c>
      <c r="X79" s="31">
        <v>0</v>
      </c>
      <c r="Y79" s="31">
        <v>0</v>
      </c>
      <c r="Z79" s="31">
        <v>0</v>
      </c>
      <c r="AA79" s="31">
        <v>0</v>
      </c>
      <c r="AB79" s="31">
        <v>0</v>
      </c>
      <c r="AC79" s="31">
        <v>0</v>
      </c>
      <c r="AD79" s="31">
        <v>0</v>
      </c>
      <c r="AE79" s="31">
        <v>0</v>
      </c>
      <c r="AF79" s="31">
        <v>0</v>
      </c>
      <c r="AG79" s="31">
        <v>0</v>
      </c>
      <c r="AH79" s="31">
        <v>0</v>
      </c>
      <c r="AI79" s="31">
        <v>0</v>
      </c>
      <c r="AJ79" s="31">
        <v>0</v>
      </c>
      <c r="AK79" s="31">
        <v>0</v>
      </c>
      <c r="AL79" s="31">
        <v>0</v>
      </c>
      <c r="AM79" s="31">
        <v>0</v>
      </c>
      <c r="AN79" s="31">
        <v>0</v>
      </c>
      <c r="AO79" s="31">
        <v>0</v>
      </c>
      <c r="AP79" s="31">
        <v>0</v>
      </c>
    </row>
    <row r="80" spans="1:42" x14ac:dyDescent="0.25">
      <c r="A80" s="31">
        <v>29</v>
      </c>
      <c r="B80" s="31">
        <v>24901</v>
      </c>
      <c r="C80" s="31">
        <v>1</v>
      </c>
      <c r="D80" s="31" t="s">
        <v>521</v>
      </c>
      <c r="E80" s="31"/>
      <c r="F80" s="31">
        <v>0</v>
      </c>
      <c r="G80" s="31">
        <v>0</v>
      </c>
      <c r="H80" s="31">
        <v>0</v>
      </c>
      <c r="I80" s="31">
        <v>0</v>
      </c>
      <c r="J80" s="31">
        <v>0</v>
      </c>
      <c r="K80" s="31" t="s">
        <v>882</v>
      </c>
      <c r="L80" s="2" t="str">
        <f t="shared" si="8"/>
        <v>Рихтовка</v>
      </c>
      <c r="M80" s="12">
        <f t="shared" si="9"/>
        <v>0</v>
      </c>
      <c r="N80" s="12">
        <f t="shared" si="10"/>
        <v>0</v>
      </c>
      <c r="O80" s="12">
        <f t="shared" si="11"/>
        <v>0</v>
      </c>
      <c r="P80" s="12">
        <f t="shared" si="12"/>
        <v>0</v>
      </c>
      <c r="Q80" s="12">
        <f t="shared" si="13"/>
        <v>0</v>
      </c>
      <c r="R80" s="12">
        <f t="shared" si="14"/>
        <v>0</v>
      </c>
      <c r="S80" s="12">
        <f t="shared" si="15"/>
        <v>0</v>
      </c>
      <c r="T80" s="31">
        <v>0</v>
      </c>
      <c r="U80" s="31">
        <v>0</v>
      </c>
      <c r="V80" s="31">
        <v>0</v>
      </c>
      <c r="W80" s="31">
        <v>0</v>
      </c>
      <c r="X80" s="31">
        <v>0</v>
      </c>
      <c r="Y80" s="31">
        <v>0</v>
      </c>
      <c r="Z80" s="31">
        <v>0</v>
      </c>
      <c r="AA80" s="31">
        <v>0</v>
      </c>
      <c r="AB80" s="31">
        <v>0</v>
      </c>
      <c r="AC80" s="31">
        <v>0</v>
      </c>
      <c r="AD80" s="31">
        <v>0</v>
      </c>
      <c r="AE80" s="31">
        <v>0</v>
      </c>
      <c r="AF80" s="31">
        <v>0</v>
      </c>
      <c r="AG80" s="31">
        <v>0</v>
      </c>
      <c r="AH80" s="31">
        <v>0</v>
      </c>
      <c r="AI80" s="31">
        <v>0</v>
      </c>
      <c r="AJ80" s="31">
        <v>0</v>
      </c>
      <c r="AK80" s="31">
        <v>0</v>
      </c>
      <c r="AL80" s="31">
        <v>0</v>
      </c>
      <c r="AM80" s="31">
        <v>0</v>
      </c>
      <c r="AN80" s="31">
        <v>0</v>
      </c>
      <c r="AO80" s="31">
        <v>0</v>
      </c>
      <c r="AP80" s="31">
        <v>0</v>
      </c>
    </row>
    <row r="81" spans="1:42" x14ac:dyDescent="0.25">
      <c r="A81" s="31">
        <v>29</v>
      </c>
      <c r="B81" s="31">
        <v>24901</v>
      </c>
      <c r="C81" s="31">
        <v>1</v>
      </c>
      <c r="D81" s="31" t="s">
        <v>522</v>
      </c>
      <c r="E81" s="31"/>
      <c r="F81" s="31">
        <v>0</v>
      </c>
      <c r="G81" s="31">
        <v>0</v>
      </c>
      <c r="H81" s="31">
        <v>0</v>
      </c>
      <c r="I81" s="31">
        <v>0</v>
      </c>
      <c r="J81" s="31">
        <v>0</v>
      </c>
      <c r="K81" s="31" t="s">
        <v>882</v>
      </c>
      <c r="L81" s="2" t="str">
        <f t="shared" si="8"/>
        <v>Рихтовка</v>
      </c>
      <c r="M81" s="12">
        <f t="shared" si="9"/>
        <v>0</v>
      </c>
      <c r="N81" s="12">
        <f t="shared" si="10"/>
        <v>0</v>
      </c>
      <c r="O81" s="12">
        <f t="shared" si="11"/>
        <v>0</v>
      </c>
      <c r="P81" s="12">
        <f t="shared" si="12"/>
        <v>0</v>
      </c>
      <c r="Q81" s="12">
        <f t="shared" si="13"/>
        <v>0</v>
      </c>
      <c r="R81" s="12">
        <f t="shared" si="14"/>
        <v>0</v>
      </c>
      <c r="S81" s="12">
        <f t="shared" si="15"/>
        <v>0</v>
      </c>
      <c r="T81" s="31">
        <v>0</v>
      </c>
      <c r="U81" s="31">
        <v>0</v>
      </c>
      <c r="V81" s="31">
        <v>0</v>
      </c>
      <c r="W81" s="31">
        <v>0</v>
      </c>
      <c r="X81" s="31">
        <v>0</v>
      </c>
      <c r="Y81" s="31">
        <v>0</v>
      </c>
      <c r="Z81" s="31">
        <v>0</v>
      </c>
      <c r="AA81" s="31">
        <v>0</v>
      </c>
      <c r="AB81" s="31">
        <v>0</v>
      </c>
      <c r="AC81" s="31">
        <v>0</v>
      </c>
      <c r="AD81" s="31">
        <v>0</v>
      </c>
      <c r="AE81" s="31">
        <v>0</v>
      </c>
      <c r="AF81" s="31">
        <v>0</v>
      </c>
      <c r="AG81" s="31">
        <v>0</v>
      </c>
      <c r="AH81" s="31">
        <v>0</v>
      </c>
      <c r="AI81" s="31">
        <v>0</v>
      </c>
      <c r="AJ81" s="31">
        <v>0</v>
      </c>
      <c r="AK81" s="31">
        <v>0</v>
      </c>
      <c r="AL81" s="31">
        <v>0</v>
      </c>
      <c r="AM81" s="31">
        <v>0</v>
      </c>
      <c r="AN81" s="31">
        <v>0</v>
      </c>
      <c r="AO81" s="31">
        <v>0</v>
      </c>
      <c r="AP81" s="31">
        <v>0</v>
      </c>
    </row>
    <row r="82" spans="1:42" x14ac:dyDescent="0.25">
      <c r="A82" s="31">
        <v>20</v>
      </c>
      <c r="B82" s="31">
        <v>24602</v>
      </c>
      <c r="C82" s="31">
        <v>1</v>
      </c>
      <c r="D82" s="31" t="s">
        <v>523</v>
      </c>
      <c r="E82" s="31"/>
      <c r="F82" s="31">
        <v>0</v>
      </c>
      <c r="G82" s="31">
        <v>0</v>
      </c>
      <c r="H82" s="31">
        <v>0</v>
      </c>
      <c r="I82" s="31">
        <v>0</v>
      </c>
      <c r="J82" s="31">
        <v>0</v>
      </c>
      <c r="K82" s="31" t="s">
        <v>882</v>
      </c>
      <c r="L82" s="2" t="str">
        <f t="shared" si="8"/>
        <v>Рихтовка</v>
      </c>
      <c r="M82" s="12">
        <f t="shared" si="9"/>
        <v>0</v>
      </c>
      <c r="N82" s="12">
        <f t="shared" si="10"/>
        <v>0</v>
      </c>
      <c r="O82" s="12">
        <f t="shared" si="11"/>
        <v>0</v>
      </c>
      <c r="P82" s="12">
        <f t="shared" si="12"/>
        <v>0</v>
      </c>
      <c r="Q82" s="12">
        <f t="shared" si="13"/>
        <v>0</v>
      </c>
      <c r="R82" s="12">
        <f t="shared" si="14"/>
        <v>0</v>
      </c>
      <c r="S82" s="12">
        <f t="shared" si="15"/>
        <v>0</v>
      </c>
      <c r="T82" s="31">
        <v>0</v>
      </c>
      <c r="U82" s="31">
        <v>0</v>
      </c>
      <c r="V82" s="31">
        <v>0</v>
      </c>
      <c r="W82" s="31">
        <v>0</v>
      </c>
      <c r="X82" s="31">
        <v>0</v>
      </c>
      <c r="Y82" s="31">
        <v>0</v>
      </c>
      <c r="Z82" s="31">
        <v>0</v>
      </c>
      <c r="AA82" s="31">
        <v>0</v>
      </c>
      <c r="AB82" s="31">
        <v>0</v>
      </c>
      <c r="AC82" s="31">
        <v>0</v>
      </c>
      <c r="AD82" s="31">
        <v>0</v>
      </c>
      <c r="AE82" s="31">
        <v>0</v>
      </c>
      <c r="AF82" s="31">
        <v>0</v>
      </c>
      <c r="AG82" s="31">
        <v>0</v>
      </c>
      <c r="AH82" s="31">
        <v>0</v>
      </c>
      <c r="AI82" s="31">
        <v>0</v>
      </c>
      <c r="AJ82" s="31">
        <v>0</v>
      </c>
      <c r="AK82" s="31">
        <v>0</v>
      </c>
      <c r="AL82" s="31">
        <v>0</v>
      </c>
      <c r="AM82" s="31">
        <v>0</v>
      </c>
      <c r="AN82" s="31">
        <v>0</v>
      </c>
      <c r="AO82" s="31">
        <v>0</v>
      </c>
      <c r="AP82" s="31">
        <v>0</v>
      </c>
    </row>
    <row r="83" spans="1:42" x14ac:dyDescent="0.25">
      <c r="A83" s="31">
        <v>20</v>
      </c>
      <c r="B83" s="31">
        <v>24602</v>
      </c>
      <c r="C83" s="31">
        <v>2</v>
      </c>
      <c r="D83" s="31" t="s">
        <v>523</v>
      </c>
      <c r="E83" s="31"/>
      <c r="F83" s="31">
        <v>0</v>
      </c>
      <c r="G83" s="31">
        <v>0</v>
      </c>
      <c r="H83" s="31">
        <v>0</v>
      </c>
      <c r="I83" s="31">
        <v>0</v>
      </c>
      <c r="J83" s="31">
        <v>0</v>
      </c>
      <c r="K83" s="31" t="s">
        <v>882</v>
      </c>
      <c r="L83" s="2" t="str">
        <f t="shared" si="8"/>
        <v>Рихтовка</v>
      </c>
      <c r="M83" s="12">
        <f t="shared" si="9"/>
        <v>0</v>
      </c>
      <c r="N83" s="12">
        <f t="shared" si="10"/>
        <v>0</v>
      </c>
      <c r="O83" s="12">
        <f t="shared" si="11"/>
        <v>0</v>
      </c>
      <c r="P83" s="12">
        <f t="shared" si="12"/>
        <v>0</v>
      </c>
      <c r="Q83" s="12">
        <f t="shared" si="13"/>
        <v>0</v>
      </c>
      <c r="R83" s="12">
        <f t="shared" si="14"/>
        <v>0</v>
      </c>
      <c r="S83" s="12">
        <f t="shared" si="15"/>
        <v>0</v>
      </c>
      <c r="T83" s="31">
        <v>0</v>
      </c>
      <c r="U83" s="31">
        <v>0</v>
      </c>
      <c r="V83" s="31">
        <v>0</v>
      </c>
      <c r="W83" s="31">
        <v>0</v>
      </c>
      <c r="X83" s="31">
        <v>0</v>
      </c>
      <c r="Y83" s="31">
        <v>0</v>
      </c>
      <c r="Z83" s="31">
        <v>0</v>
      </c>
      <c r="AA83" s="31">
        <v>0</v>
      </c>
      <c r="AB83" s="31">
        <v>0</v>
      </c>
      <c r="AC83" s="31">
        <v>0</v>
      </c>
      <c r="AD83" s="31">
        <v>0</v>
      </c>
      <c r="AE83" s="31">
        <v>0</v>
      </c>
      <c r="AF83" s="31">
        <v>0</v>
      </c>
      <c r="AG83" s="31">
        <v>0</v>
      </c>
      <c r="AH83" s="31">
        <v>0</v>
      </c>
      <c r="AI83" s="31">
        <v>0</v>
      </c>
      <c r="AJ83" s="31">
        <v>0</v>
      </c>
      <c r="AK83" s="31">
        <v>0</v>
      </c>
      <c r="AL83" s="31">
        <v>0</v>
      </c>
      <c r="AM83" s="31">
        <v>0</v>
      </c>
      <c r="AN83" s="31">
        <v>0</v>
      </c>
      <c r="AO83" s="31">
        <v>0</v>
      </c>
      <c r="AP83" s="31">
        <v>0</v>
      </c>
    </row>
    <row r="84" spans="1:42" x14ac:dyDescent="0.25">
      <c r="A84" s="31">
        <v>20</v>
      </c>
      <c r="B84" s="31">
        <v>24602</v>
      </c>
      <c r="C84" s="31">
        <v>1</v>
      </c>
      <c r="D84" s="31" t="s">
        <v>524</v>
      </c>
      <c r="E84" s="31"/>
      <c r="F84" s="31">
        <v>0</v>
      </c>
      <c r="G84" s="31">
        <v>0</v>
      </c>
      <c r="H84" s="31">
        <v>0</v>
      </c>
      <c r="I84" s="31">
        <v>0</v>
      </c>
      <c r="J84" s="31">
        <v>0</v>
      </c>
      <c r="K84" s="31" t="s">
        <v>882</v>
      </c>
      <c r="L84" s="2" t="str">
        <f t="shared" si="8"/>
        <v>Рихтовка</v>
      </c>
      <c r="M84" s="12">
        <f t="shared" si="9"/>
        <v>0</v>
      </c>
      <c r="N84" s="12">
        <f t="shared" si="10"/>
        <v>0</v>
      </c>
      <c r="O84" s="12">
        <f t="shared" si="11"/>
        <v>0</v>
      </c>
      <c r="P84" s="12">
        <f t="shared" si="12"/>
        <v>0</v>
      </c>
      <c r="Q84" s="12">
        <f t="shared" si="13"/>
        <v>0</v>
      </c>
      <c r="R84" s="12">
        <f t="shared" si="14"/>
        <v>0</v>
      </c>
      <c r="S84" s="12">
        <f t="shared" si="15"/>
        <v>0</v>
      </c>
      <c r="T84" s="31">
        <v>0</v>
      </c>
      <c r="U84" s="31">
        <v>0</v>
      </c>
      <c r="V84" s="31">
        <v>0</v>
      </c>
      <c r="W84" s="31">
        <v>0</v>
      </c>
      <c r="X84" s="31">
        <v>0</v>
      </c>
      <c r="Y84" s="31">
        <v>0</v>
      </c>
      <c r="Z84" s="31">
        <v>0</v>
      </c>
      <c r="AA84" s="31">
        <v>0</v>
      </c>
      <c r="AB84" s="31">
        <v>0</v>
      </c>
      <c r="AC84" s="31">
        <v>0</v>
      </c>
      <c r="AD84" s="31">
        <v>0</v>
      </c>
      <c r="AE84" s="31">
        <v>0</v>
      </c>
      <c r="AF84" s="31">
        <v>0</v>
      </c>
      <c r="AG84" s="31">
        <v>0</v>
      </c>
      <c r="AH84" s="31">
        <v>0</v>
      </c>
      <c r="AI84" s="31">
        <v>0</v>
      </c>
      <c r="AJ84" s="31">
        <v>0</v>
      </c>
      <c r="AK84" s="31">
        <v>0</v>
      </c>
      <c r="AL84" s="31">
        <v>0</v>
      </c>
      <c r="AM84" s="31">
        <v>0</v>
      </c>
      <c r="AN84" s="31">
        <v>0</v>
      </c>
      <c r="AO84" s="31">
        <v>0</v>
      </c>
      <c r="AP84" s="31">
        <v>0</v>
      </c>
    </row>
    <row r="85" spans="1:42" x14ac:dyDescent="0.25">
      <c r="A85" s="31">
        <v>20</v>
      </c>
      <c r="B85" s="31">
        <v>24602</v>
      </c>
      <c r="C85" s="31">
        <v>1</v>
      </c>
      <c r="D85" s="31" t="s">
        <v>525</v>
      </c>
      <c r="E85" s="31"/>
      <c r="F85" s="31">
        <v>0</v>
      </c>
      <c r="G85" s="31">
        <v>0</v>
      </c>
      <c r="H85" s="31">
        <v>0</v>
      </c>
      <c r="I85" s="31">
        <v>0</v>
      </c>
      <c r="J85" s="31">
        <v>0</v>
      </c>
      <c r="K85" s="31" t="s">
        <v>882</v>
      </c>
      <c r="L85" s="2" t="str">
        <f t="shared" si="8"/>
        <v>Рихтовка</v>
      </c>
      <c r="M85" s="12">
        <f t="shared" si="9"/>
        <v>0</v>
      </c>
      <c r="N85" s="12">
        <f t="shared" si="10"/>
        <v>0</v>
      </c>
      <c r="O85" s="12">
        <f t="shared" si="11"/>
        <v>0</v>
      </c>
      <c r="P85" s="12">
        <f t="shared" si="12"/>
        <v>0</v>
      </c>
      <c r="Q85" s="12">
        <f t="shared" si="13"/>
        <v>0</v>
      </c>
      <c r="R85" s="12">
        <f t="shared" si="14"/>
        <v>0</v>
      </c>
      <c r="S85" s="12">
        <f t="shared" si="15"/>
        <v>0</v>
      </c>
      <c r="T85" s="31">
        <v>0</v>
      </c>
      <c r="U85" s="31">
        <v>0</v>
      </c>
      <c r="V85" s="31">
        <v>0</v>
      </c>
      <c r="W85" s="31">
        <v>0</v>
      </c>
      <c r="X85" s="31">
        <v>0</v>
      </c>
      <c r="Y85" s="31">
        <v>0</v>
      </c>
      <c r="Z85" s="31">
        <v>0</v>
      </c>
      <c r="AA85" s="31">
        <v>0</v>
      </c>
      <c r="AB85" s="31">
        <v>0</v>
      </c>
      <c r="AC85" s="31">
        <v>0</v>
      </c>
      <c r="AD85" s="31">
        <v>0</v>
      </c>
      <c r="AE85" s="31">
        <v>0</v>
      </c>
      <c r="AF85" s="31">
        <v>0</v>
      </c>
      <c r="AG85" s="31">
        <v>0</v>
      </c>
      <c r="AH85" s="31">
        <v>0</v>
      </c>
      <c r="AI85" s="31">
        <v>0</v>
      </c>
      <c r="AJ85" s="31">
        <v>0</v>
      </c>
      <c r="AK85" s="31">
        <v>0</v>
      </c>
      <c r="AL85" s="31">
        <v>0</v>
      </c>
      <c r="AM85" s="31">
        <v>0</v>
      </c>
      <c r="AN85" s="31">
        <v>0</v>
      </c>
      <c r="AO85" s="31">
        <v>0</v>
      </c>
      <c r="AP85" s="31">
        <v>0</v>
      </c>
    </row>
    <row r="86" spans="1:42" x14ac:dyDescent="0.25">
      <c r="A86" s="31">
        <v>20</v>
      </c>
      <c r="B86" s="31">
        <v>24602</v>
      </c>
      <c r="C86" s="31">
        <v>1</v>
      </c>
      <c r="D86" s="31" t="s">
        <v>526</v>
      </c>
      <c r="E86" s="31"/>
      <c r="F86" s="31">
        <v>0</v>
      </c>
      <c r="G86" s="31">
        <v>0</v>
      </c>
      <c r="H86" s="31">
        <v>0</v>
      </c>
      <c r="I86" s="31">
        <v>0</v>
      </c>
      <c r="J86" s="31">
        <v>0</v>
      </c>
      <c r="K86" s="31" t="s">
        <v>882</v>
      </c>
      <c r="L86" s="2" t="str">
        <f t="shared" si="8"/>
        <v>Рихтовка</v>
      </c>
      <c r="M86" s="12">
        <f t="shared" si="9"/>
        <v>0</v>
      </c>
      <c r="N86" s="12">
        <f t="shared" si="10"/>
        <v>0</v>
      </c>
      <c r="O86" s="12">
        <f t="shared" si="11"/>
        <v>0</v>
      </c>
      <c r="P86" s="12">
        <f t="shared" si="12"/>
        <v>0</v>
      </c>
      <c r="Q86" s="12">
        <f t="shared" si="13"/>
        <v>0</v>
      </c>
      <c r="R86" s="12">
        <f t="shared" si="14"/>
        <v>0</v>
      </c>
      <c r="S86" s="12">
        <f t="shared" si="15"/>
        <v>0</v>
      </c>
      <c r="T86" s="31">
        <v>0</v>
      </c>
      <c r="U86" s="31">
        <v>0</v>
      </c>
      <c r="V86" s="31">
        <v>0</v>
      </c>
      <c r="W86" s="31">
        <v>0</v>
      </c>
      <c r="X86" s="31">
        <v>0</v>
      </c>
      <c r="Y86" s="31">
        <v>0</v>
      </c>
      <c r="Z86" s="31">
        <v>0</v>
      </c>
      <c r="AA86" s="31">
        <v>0</v>
      </c>
      <c r="AB86" s="31">
        <v>0</v>
      </c>
      <c r="AC86" s="31">
        <v>0</v>
      </c>
      <c r="AD86" s="31">
        <v>0</v>
      </c>
      <c r="AE86" s="31">
        <v>0</v>
      </c>
      <c r="AF86" s="31">
        <v>0</v>
      </c>
      <c r="AG86" s="31">
        <v>0</v>
      </c>
      <c r="AH86" s="31">
        <v>0</v>
      </c>
      <c r="AI86" s="31">
        <v>0</v>
      </c>
      <c r="AJ86" s="31">
        <v>0</v>
      </c>
      <c r="AK86" s="31">
        <v>0</v>
      </c>
      <c r="AL86" s="31">
        <v>0</v>
      </c>
      <c r="AM86" s="31">
        <v>0</v>
      </c>
      <c r="AN86" s="31">
        <v>0</v>
      </c>
      <c r="AO86" s="31">
        <v>0</v>
      </c>
      <c r="AP86" s="31">
        <v>0</v>
      </c>
    </row>
    <row r="87" spans="1:42" x14ac:dyDescent="0.25">
      <c r="A87" s="31">
        <v>20</v>
      </c>
      <c r="B87" s="31">
        <v>24602</v>
      </c>
      <c r="C87" s="31">
        <v>1</v>
      </c>
      <c r="D87" s="31" t="s">
        <v>527</v>
      </c>
      <c r="E87" s="31"/>
      <c r="F87" s="31">
        <v>0</v>
      </c>
      <c r="G87" s="31">
        <v>0</v>
      </c>
      <c r="H87" s="31">
        <v>0</v>
      </c>
      <c r="I87" s="31">
        <v>0</v>
      </c>
      <c r="J87" s="31">
        <v>0</v>
      </c>
      <c r="K87" s="31" t="s">
        <v>882</v>
      </c>
      <c r="L87" s="2" t="str">
        <f t="shared" si="8"/>
        <v>Рихтовка</v>
      </c>
      <c r="M87" s="12">
        <f t="shared" si="9"/>
        <v>0</v>
      </c>
      <c r="N87" s="12">
        <f t="shared" si="10"/>
        <v>0</v>
      </c>
      <c r="O87" s="12">
        <f t="shared" si="11"/>
        <v>0</v>
      </c>
      <c r="P87" s="12">
        <f t="shared" si="12"/>
        <v>0</v>
      </c>
      <c r="Q87" s="12">
        <f t="shared" si="13"/>
        <v>0</v>
      </c>
      <c r="R87" s="12">
        <f t="shared" si="14"/>
        <v>0</v>
      </c>
      <c r="S87" s="12">
        <f t="shared" si="15"/>
        <v>0</v>
      </c>
      <c r="T87" s="31">
        <v>0</v>
      </c>
      <c r="U87" s="31">
        <v>0</v>
      </c>
      <c r="V87" s="31">
        <v>0</v>
      </c>
      <c r="W87" s="31">
        <v>0</v>
      </c>
      <c r="X87" s="31">
        <v>0</v>
      </c>
      <c r="Y87" s="31">
        <v>0</v>
      </c>
      <c r="Z87" s="31">
        <v>0</v>
      </c>
      <c r="AA87" s="31">
        <v>0</v>
      </c>
      <c r="AB87" s="31">
        <v>0</v>
      </c>
      <c r="AC87" s="31">
        <v>0</v>
      </c>
      <c r="AD87" s="31">
        <v>0</v>
      </c>
      <c r="AE87" s="31">
        <v>0</v>
      </c>
      <c r="AF87" s="31">
        <v>0</v>
      </c>
      <c r="AG87" s="31">
        <v>0</v>
      </c>
      <c r="AH87" s="31">
        <v>0</v>
      </c>
      <c r="AI87" s="31">
        <v>0</v>
      </c>
      <c r="AJ87" s="31">
        <v>0</v>
      </c>
      <c r="AK87" s="31">
        <v>0</v>
      </c>
      <c r="AL87" s="31">
        <v>0</v>
      </c>
      <c r="AM87" s="31">
        <v>0</v>
      </c>
      <c r="AN87" s="31">
        <v>0</v>
      </c>
      <c r="AO87" s="31">
        <v>0</v>
      </c>
      <c r="AP87" s="31">
        <v>0</v>
      </c>
    </row>
    <row r="88" spans="1:42" x14ac:dyDescent="0.25">
      <c r="A88" s="31">
        <v>20</v>
      </c>
      <c r="B88" s="31">
        <v>24602</v>
      </c>
      <c r="C88" s="31">
        <v>1</v>
      </c>
      <c r="D88" s="31" t="s">
        <v>528</v>
      </c>
      <c r="E88" s="31"/>
      <c r="F88" s="31">
        <v>0</v>
      </c>
      <c r="G88" s="31">
        <v>0</v>
      </c>
      <c r="H88" s="31">
        <v>0</v>
      </c>
      <c r="I88" s="31">
        <v>0</v>
      </c>
      <c r="J88" s="31">
        <v>0</v>
      </c>
      <c r="K88" s="31" t="s">
        <v>882</v>
      </c>
      <c r="L88" s="2" t="str">
        <f t="shared" si="8"/>
        <v>Рихтовка</v>
      </c>
      <c r="M88" s="12">
        <f t="shared" si="9"/>
        <v>0</v>
      </c>
      <c r="N88" s="12">
        <f t="shared" si="10"/>
        <v>0</v>
      </c>
      <c r="O88" s="12">
        <f t="shared" si="11"/>
        <v>0</v>
      </c>
      <c r="P88" s="12">
        <f t="shared" si="12"/>
        <v>0</v>
      </c>
      <c r="Q88" s="12">
        <f t="shared" si="13"/>
        <v>0</v>
      </c>
      <c r="R88" s="12">
        <f t="shared" si="14"/>
        <v>0</v>
      </c>
      <c r="S88" s="12">
        <f t="shared" si="15"/>
        <v>0</v>
      </c>
      <c r="T88" s="31">
        <v>0</v>
      </c>
      <c r="U88" s="31">
        <v>0</v>
      </c>
      <c r="V88" s="31">
        <v>0</v>
      </c>
      <c r="W88" s="31">
        <v>0</v>
      </c>
      <c r="X88" s="31">
        <v>0</v>
      </c>
      <c r="Y88" s="31">
        <v>0</v>
      </c>
      <c r="Z88" s="31">
        <v>0</v>
      </c>
      <c r="AA88" s="31">
        <v>0</v>
      </c>
      <c r="AB88" s="31">
        <v>0</v>
      </c>
      <c r="AC88" s="31">
        <v>0</v>
      </c>
      <c r="AD88" s="31">
        <v>0</v>
      </c>
      <c r="AE88" s="31">
        <v>0</v>
      </c>
      <c r="AF88" s="31">
        <v>0</v>
      </c>
      <c r="AG88" s="31">
        <v>0</v>
      </c>
      <c r="AH88" s="31">
        <v>0</v>
      </c>
      <c r="AI88" s="31">
        <v>0</v>
      </c>
      <c r="AJ88" s="31">
        <v>0</v>
      </c>
      <c r="AK88" s="31">
        <v>0</v>
      </c>
      <c r="AL88" s="31">
        <v>0</v>
      </c>
      <c r="AM88" s="31">
        <v>0</v>
      </c>
      <c r="AN88" s="31">
        <v>0</v>
      </c>
      <c r="AO88" s="31">
        <v>0</v>
      </c>
      <c r="AP88" s="31">
        <v>0</v>
      </c>
    </row>
    <row r="89" spans="1:42" x14ac:dyDescent="0.25">
      <c r="A89" s="31">
        <v>20</v>
      </c>
      <c r="B89" s="31">
        <v>24602</v>
      </c>
      <c r="C89" s="31">
        <v>1</v>
      </c>
      <c r="D89" s="31" t="s">
        <v>529</v>
      </c>
      <c r="E89" s="31"/>
      <c r="F89" s="31">
        <v>0</v>
      </c>
      <c r="G89" s="31">
        <v>0</v>
      </c>
      <c r="H89" s="31">
        <v>0</v>
      </c>
      <c r="I89" s="31">
        <v>0</v>
      </c>
      <c r="J89" s="31">
        <v>0</v>
      </c>
      <c r="K89" s="31" t="s">
        <v>882</v>
      </c>
      <c r="L89" s="2" t="str">
        <f t="shared" si="8"/>
        <v>Рихтовка</v>
      </c>
      <c r="M89" s="12">
        <f t="shared" si="9"/>
        <v>0</v>
      </c>
      <c r="N89" s="12">
        <f t="shared" si="10"/>
        <v>0</v>
      </c>
      <c r="O89" s="12">
        <f t="shared" si="11"/>
        <v>0</v>
      </c>
      <c r="P89" s="12">
        <f t="shared" si="12"/>
        <v>0</v>
      </c>
      <c r="Q89" s="12">
        <f t="shared" si="13"/>
        <v>0</v>
      </c>
      <c r="R89" s="12">
        <f t="shared" si="14"/>
        <v>0</v>
      </c>
      <c r="S89" s="12">
        <f t="shared" si="15"/>
        <v>0</v>
      </c>
      <c r="T89" s="31">
        <v>0</v>
      </c>
      <c r="U89" s="31">
        <v>0</v>
      </c>
      <c r="V89" s="31">
        <v>0</v>
      </c>
      <c r="W89" s="31">
        <v>0</v>
      </c>
      <c r="X89" s="31">
        <v>0</v>
      </c>
      <c r="Y89" s="31">
        <v>0</v>
      </c>
      <c r="Z89" s="31">
        <v>0</v>
      </c>
      <c r="AA89" s="31">
        <v>0</v>
      </c>
      <c r="AB89" s="31">
        <v>0</v>
      </c>
      <c r="AC89" s="31">
        <v>0</v>
      </c>
      <c r="AD89" s="31">
        <v>0</v>
      </c>
      <c r="AE89" s="31">
        <v>0</v>
      </c>
      <c r="AF89" s="31">
        <v>0</v>
      </c>
      <c r="AG89" s="31">
        <v>0</v>
      </c>
      <c r="AH89" s="31">
        <v>0</v>
      </c>
      <c r="AI89" s="31">
        <v>0</v>
      </c>
      <c r="AJ89" s="31">
        <v>0</v>
      </c>
      <c r="AK89" s="31">
        <v>0</v>
      </c>
      <c r="AL89" s="31">
        <v>0</v>
      </c>
      <c r="AM89" s="31">
        <v>0</v>
      </c>
      <c r="AN89" s="31">
        <v>0</v>
      </c>
      <c r="AO89" s="31">
        <v>0</v>
      </c>
      <c r="AP89" s="31">
        <v>0</v>
      </c>
    </row>
    <row r="90" spans="1:42" x14ac:dyDescent="0.25">
      <c r="A90" s="31">
        <v>20</v>
      </c>
      <c r="B90" s="31">
        <v>24602</v>
      </c>
      <c r="C90" s="31">
        <v>1</v>
      </c>
      <c r="D90" s="31" t="s">
        <v>530</v>
      </c>
      <c r="E90" s="31"/>
      <c r="F90" s="31">
        <v>0</v>
      </c>
      <c r="G90" s="31">
        <v>0</v>
      </c>
      <c r="H90" s="31">
        <v>0</v>
      </c>
      <c r="I90" s="31">
        <v>0</v>
      </c>
      <c r="J90" s="31">
        <v>0</v>
      </c>
      <c r="K90" s="31" t="s">
        <v>882</v>
      </c>
      <c r="L90" s="2" t="str">
        <f t="shared" si="8"/>
        <v>Рихтовка</v>
      </c>
      <c r="M90" s="12">
        <f t="shared" si="9"/>
        <v>0</v>
      </c>
      <c r="N90" s="12">
        <f t="shared" si="10"/>
        <v>0</v>
      </c>
      <c r="O90" s="12">
        <f t="shared" si="11"/>
        <v>0</v>
      </c>
      <c r="P90" s="12">
        <f t="shared" si="12"/>
        <v>0</v>
      </c>
      <c r="Q90" s="12">
        <f t="shared" si="13"/>
        <v>0</v>
      </c>
      <c r="R90" s="12">
        <f t="shared" si="14"/>
        <v>0</v>
      </c>
      <c r="S90" s="12">
        <f t="shared" si="15"/>
        <v>0</v>
      </c>
      <c r="T90" s="31">
        <v>0</v>
      </c>
      <c r="U90" s="31">
        <v>0</v>
      </c>
      <c r="V90" s="31">
        <v>0</v>
      </c>
      <c r="W90" s="31">
        <v>0</v>
      </c>
      <c r="X90" s="31">
        <v>0</v>
      </c>
      <c r="Y90" s="31">
        <v>0</v>
      </c>
      <c r="Z90" s="31">
        <v>0</v>
      </c>
      <c r="AA90" s="31">
        <v>0</v>
      </c>
      <c r="AB90" s="31">
        <v>0</v>
      </c>
      <c r="AC90" s="31">
        <v>0</v>
      </c>
      <c r="AD90" s="31">
        <v>0</v>
      </c>
      <c r="AE90" s="31">
        <v>0</v>
      </c>
      <c r="AF90" s="31">
        <v>0</v>
      </c>
      <c r="AG90" s="31">
        <v>0</v>
      </c>
      <c r="AH90" s="31">
        <v>0</v>
      </c>
      <c r="AI90" s="31">
        <v>0</v>
      </c>
      <c r="AJ90" s="31">
        <v>0</v>
      </c>
      <c r="AK90" s="31">
        <v>0</v>
      </c>
      <c r="AL90" s="31">
        <v>0</v>
      </c>
      <c r="AM90" s="31">
        <v>0</v>
      </c>
      <c r="AN90" s="31">
        <v>0</v>
      </c>
      <c r="AO90" s="31">
        <v>0</v>
      </c>
      <c r="AP90" s="31">
        <v>0</v>
      </c>
    </row>
    <row r="91" spans="1:42" x14ac:dyDescent="0.25">
      <c r="A91" s="31">
        <v>20</v>
      </c>
      <c r="B91" s="31">
        <v>24602</v>
      </c>
      <c r="C91" s="31">
        <v>1</v>
      </c>
      <c r="D91" s="31" t="s">
        <v>531</v>
      </c>
      <c r="E91" s="31"/>
      <c r="F91" s="31">
        <v>0</v>
      </c>
      <c r="G91" s="31">
        <v>0</v>
      </c>
      <c r="H91" s="31">
        <v>0</v>
      </c>
      <c r="I91" s="31">
        <v>0</v>
      </c>
      <c r="J91" s="31">
        <v>0</v>
      </c>
      <c r="K91" s="31" t="s">
        <v>882</v>
      </c>
      <c r="L91" s="2" t="str">
        <f t="shared" si="8"/>
        <v>Рихтовка</v>
      </c>
      <c r="M91" s="12">
        <f t="shared" si="9"/>
        <v>0</v>
      </c>
      <c r="N91" s="12">
        <f t="shared" si="10"/>
        <v>0</v>
      </c>
      <c r="O91" s="12">
        <f t="shared" si="11"/>
        <v>0</v>
      </c>
      <c r="P91" s="12">
        <f t="shared" si="12"/>
        <v>0</v>
      </c>
      <c r="Q91" s="12">
        <f t="shared" si="13"/>
        <v>0</v>
      </c>
      <c r="R91" s="12">
        <f t="shared" si="14"/>
        <v>0</v>
      </c>
      <c r="S91" s="12">
        <f t="shared" si="15"/>
        <v>0</v>
      </c>
      <c r="T91" s="31">
        <v>0</v>
      </c>
      <c r="U91" s="31">
        <v>0</v>
      </c>
      <c r="V91" s="31">
        <v>0</v>
      </c>
      <c r="W91" s="31">
        <v>0</v>
      </c>
      <c r="X91" s="31">
        <v>0</v>
      </c>
      <c r="Y91" s="31">
        <v>0</v>
      </c>
      <c r="Z91" s="31">
        <v>0</v>
      </c>
      <c r="AA91" s="31">
        <v>0</v>
      </c>
      <c r="AB91" s="31">
        <v>0</v>
      </c>
      <c r="AC91" s="31">
        <v>0</v>
      </c>
      <c r="AD91" s="31">
        <v>0</v>
      </c>
      <c r="AE91" s="31">
        <v>0</v>
      </c>
      <c r="AF91" s="31">
        <v>0</v>
      </c>
      <c r="AG91" s="31">
        <v>0</v>
      </c>
      <c r="AH91" s="31">
        <v>0</v>
      </c>
      <c r="AI91" s="31">
        <v>0</v>
      </c>
      <c r="AJ91" s="31">
        <v>0</v>
      </c>
      <c r="AK91" s="31">
        <v>0</v>
      </c>
      <c r="AL91" s="31">
        <v>0</v>
      </c>
      <c r="AM91" s="31">
        <v>0</v>
      </c>
      <c r="AN91" s="31">
        <v>0</v>
      </c>
      <c r="AO91" s="31">
        <v>0</v>
      </c>
      <c r="AP91" s="31">
        <v>0</v>
      </c>
    </row>
    <row r="92" spans="1:42" x14ac:dyDescent="0.25">
      <c r="A92" s="31">
        <v>20</v>
      </c>
      <c r="B92" s="31">
        <v>24602</v>
      </c>
      <c r="C92" s="31">
        <v>1</v>
      </c>
      <c r="D92" s="31" t="s">
        <v>532</v>
      </c>
      <c r="E92" s="31"/>
      <c r="F92" s="31">
        <v>0</v>
      </c>
      <c r="G92" s="31">
        <v>0</v>
      </c>
      <c r="H92" s="31">
        <v>0</v>
      </c>
      <c r="I92" s="31">
        <v>0</v>
      </c>
      <c r="J92" s="31">
        <v>0</v>
      </c>
      <c r="K92" s="31" t="s">
        <v>882</v>
      </c>
      <c r="L92" s="2" t="str">
        <f t="shared" si="8"/>
        <v>Рихтовка</v>
      </c>
      <c r="M92" s="12">
        <f t="shared" si="9"/>
        <v>0</v>
      </c>
      <c r="N92" s="12">
        <f t="shared" si="10"/>
        <v>0</v>
      </c>
      <c r="O92" s="12">
        <f t="shared" si="11"/>
        <v>0</v>
      </c>
      <c r="P92" s="12">
        <f t="shared" si="12"/>
        <v>0</v>
      </c>
      <c r="Q92" s="12">
        <f t="shared" si="13"/>
        <v>0</v>
      </c>
      <c r="R92" s="12">
        <f t="shared" si="14"/>
        <v>0</v>
      </c>
      <c r="S92" s="12">
        <f t="shared" si="15"/>
        <v>0</v>
      </c>
      <c r="T92" s="31">
        <v>0</v>
      </c>
      <c r="U92" s="31">
        <v>0</v>
      </c>
      <c r="V92" s="31">
        <v>0</v>
      </c>
      <c r="W92" s="31">
        <v>0</v>
      </c>
      <c r="X92" s="31">
        <v>0</v>
      </c>
      <c r="Y92" s="31">
        <v>0</v>
      </c>
      <c r="Z92" s="31">
        <v>0</v>
      </c>
      <c r="AA92" s="31">
        <v>0</v>
      </c>
      <c r="AB92" s="31">
        <v>0</v>
      </c>
      <c r="AC92" s="31">
        <v>0</v>
      </c>
      <c r="AD92" s="31">
        <v>0</v>
      </c>
      <c r="AE92" s="31">
        <v>0</v>
      </c>
      <c r="AF92" s="31">
        <v>0</v>
      </c>
      <c r="AG92" s="31">
        <v>0</v>
      </c>
      <c r="AH92" s="31">
        <v>0</v>
      </c>
      <c r="AI92" s="31">
        <v>0</v>
      </c>
      <c r="AJ92" s="31">
        <v>0</v>
      </c>
      <c r="AK92" s="31">
        <v>0</v>
      </c>
      <c r="AL92" s="31">
        <v>0</v>
      </c>
      <c r="AM92" s="31">
        <v>0</v>
      </c>
      <c r="AN92" s="31">
        <v>0</v>
      </c>
      <c r="AO92" s="31">
        <v>0</v>
      </c>
      <c r="AP92" s="31">
        <v>0</v>
      </c>
    </row>
    <row r="93" spans="1:42" x14ac:dyDescent="0.25">
      <c r="A93" s="31">
        <v>20</v>
      </c>
      <c r="B93" s="31">
        <v>24602</v>
      </c>
      <c r="C93" s="31">
        <v>1</v>
      </c>
      <c r="D93" s="31" t="s">
        <v>533</v>
      </c>
      <c r="E93" s="31"/>
      <c r="F93" s="31">
        <v>0</v>
      </c>
      <c r="G93" s="31">
        <v>0</v>
      </c>
      <c r="H93" s="31">
        <v>0</v>
      </c>
      <c r="I93" s="31">
        <v>0</v>
      </c>
      <c r="J93" s="31">
        <v>0</v>
      </c>
      <c r="K93" s="31" t="s">
        <v>882</v>
      </c>
      <c r="L93" s="2" t="str">
        <f t="shared" si="8"/>
        <v>Рихтовка</v>
      </c>
      <c r="M93" s="12">
        <f t="shared" si="9"/>
        <v>0</v>
      </c>
      <c r="N93" s="12">
        <f t="shared" si="10"/>
        <v>0</v>
      </c>
      <c r="O93" s="12">
        <f t="shared" si="11"/>
        <v>0</v>
      </c>
      <c r="P93" s="12">
        <f t="shared" si="12"/>
        <v>0</v>
      </c>
      <c r="Q93" s="12">
        <f t="shared" si="13"/>
        <v>0</v>
      </c>
      <c r="R93" s="12">
        <f t="shared" si="14"/>
        <v>0</v>
      </c>
      <c r="S93" s="12">
        <f t="shared" si="15"/>
        <v>0</v>
      </c>
      <c r="T93" s="31">
        <v>0</v>
      </c>
      <c r="U93" s="31">
        <v>0</v>
      </c>
      <c r="V93" s="31">
        <v>0</v>
      </c>
      <c r="W93" s="31">
        <v>0</v>
      </c>
      <c r="X93" s="31">
        <v>0</v>
      </c>
      <c r="Y93" s="31">
        <v>0</v>
      </c>
      <c r="Z93" s="31">
        <v>0</v>
      </c>
      <c r="AA93" s="31">
        <v>0</v>
      </c>
      <c r="AB93" s="31">
        <v>0</v>
      </c>
      <c r="AC93" s="31">
        <v>0</v>
      </c>
      <c r="AD93" s="31">
        <v>0</v>
      </c>
      <c r="AE93" s="31">
        <v>0</v>
      </c>
      <c r="AF93" s="31">
        <v>0</v>
      </c>
      <c r="AG93" s="31">
        <v>0</v>
      </c>
      <c r="AH93" s="31">
        <v>0</v>
      </c>
      <c r="AI93" s="31">
        <v>0</v>
      </c>
      <c r="AJ93" s="31">
        <v>0</v>
      </c>
      <c r="AK93" s="31">
        <v>0</v>
      </c>
      <c r="AL93" s="31">
        <v>0</v>
      </c>
      <c r="AM93" s="31">
        <v>0</v>
      </c>
      <c r="AN93" s="31">
        <v>0</v>
      </c>
      <c r="AO93" s="31">
        <v>0</v>
      </c>
      <c r="AP93" s="31">
        <v>0</v>
      </c>
    </row>
    <row r="94" spans="1:42" x14ac:dyDescent="0.25">
      <c r="A94" s="31">
        <v>20</v>
      </c>
      <c r="B94" s="31">
        <v>24602</v>
      </c>
      <c r="C94" s="31">
        <v>1</v>
      </c>
      <c r="D94" s="31" t="s">
        <v>534</v>
      </c>
      <c r="E94" s="31"/>
      <c r="F94" s="31">
        <v>0</v>
      </c>
      <c r="G94" s="31">
        <v>0</v>
      </c>
      <c r="H94" s="31">
        <v>0</v>
      </c>
      <c r="I94" s="31">
        <v>0</v>
      </c>
      <c r="J94" s="31">
        <v>0</v>
      </c>
      <c r="K94" s="31" t="s">
        <v>882</v>
      </c>
      <c r="L94" s="2" t="str">
        <f t="shared" si="8"/>
        <v>Рихтовка</v>
      </c>
      <c r="M94" s="12">
        <f t="shared" si="9"/>
        <v>0</v>
      </c>
      <c r="N94" s="12">
        <f t="shared" si="10"/>
        <v>0</v>
      </c>
      <c r="O94" s="12">
        <f t="shared" si="11"/>
        <v>0</v>
      </c>
      <c r="P94" s="12">
        <f t="shared" si="12"/>
        <v>0</v>
      </c>
      <c r="Q94" s="12">
        <f t="shared" si="13"/>
        <v>0</v>
      </c>
      <c r="R94" s="12">
        <f t="shared" si="14"/>
        <v>0</v>
      </c>
      <c r="S94" s="12">
        <f t="shared" si="15"/>
        <v>0</v>
      </c>
      <c r="T94" s="31">
        <v>0</v>
      </c>
      <c r="U94" s="31">
        <v>0</v>
      </c>
      <c r="V94" s="31">
        <v>0</v>
      </c>
      <c r="W94" s="31">
        <v>0</v>
      </c>
      <c r="X94" s="31">
        <v>0</v>
      </c>
      <c r="Y94" s="31">
        <v>0</v>
      </c>
      <c r="Z94" s="31">
        <v>0</v>
      </c>
      <c r="AA94" s="31">
        <v>0</v>
      </c>
      <c r="AB94" s="31">
        <v>0</v>
      </c>
      <c r="AC94" s="31">
        <v>0</v>
      </c>
      <c r="AD94" s="31">
        <v>0</v>
      </c>
      <c r="AE94" s="31">
        <v>0</v>
      </c>
      <c r="AF94" s="31">
        <v>0</v>
      </c>
      <c r="AG94" s="31">
        <v>0</v>
      </c>
      <c r="AH94" s="31">
        <v>0</v>
      </c>
      <c r="AI94" s="31">
        <v>0</v>
      </c>
      <c r="AJ94" s="31">
        <v>0</v>
      </c>
      <c r="AK94" s="31">
        <v>0</v>
      </c>
      <c r="AL94" s="31">
        <v>0</v>
      </c>
      <c r="AM94" s="31">
        <v>0</v>
      </c>
      <c r="AN94" s="31">
        <v>0</v>
      </c>
      <c r="AO94" s="31">
        <v>0</v>
      </c>
      <c r="AP94" s="31">
        <v>0</v>
      </c>
    </row>
    <row r="95" spans="1:42" x14ac:dyDescent="0.25">
      <c r="A95" s="31">
        <v>20</v>
      </c>
      <c r="B95" s="31">
        <v>24602</v>
      </c>
      <c r="C95" s="31">
        <v>1</v>
      </c>
      <c r="D95" s="31" t="s">
        <v>535</v>
      </c>
      <c r="E95" s="31"/>
      <c r="F95" s="31">
        <v>0</v>
      </c>
      <c r="G95" s="31">
        <v>0</v>
      </c>
      <c r="H95" s="31">
        <v>0</v>
      </c>
      <c r="I95" s="31">
        <v>0</v>
      </c>
      <c r="J95" s="31">
        <v>0</v>
      </c>
      <c r="K95" s="31" t="s">
        <v>882</v>
      </c>
      <c r="L95" s="2" t="str">
        <f t="shared" si="8"/>
        <v>Рихтовка</v>
      </c>
      <c r="M95" s="12">
        <f t="shared" si="9"/>
        <v>0</v>
      </c>
      <c r="N95" s="12">
        <f t="shared" si="10"/>
        <v>0</v>
      </c>
      <c r="O95" s="12">
        <f t="shared" si="11"/>
        <v>0</v>
      </c>
      <c r="P95" s="12">
        <f t="shared" si="12"/>
        <v>0</v>
      </c>
      <c r="Q95" s="12">
        <f t="shared" si="13"/>
        <v>0</v>
      </c>
      <c r="R95" s="12">
        <f t="shared" si="14"/>
        <v>0</v>
      </c>
      <c r="S95" s="12">
        <f t="shared" si="15"/>
        <v>0</v>
      </c>
      <c r="T95" s="31">
        <v>0</v>
      </c>
      <c r="U95" s="31">
        <v>0</v>
      </c>
      <c r="V95" s="31">
        <v>0</v>
      </c>
      <c r="W95" s="31">
        <v>0</v>
      </c>
      <c r="X95" s="31">
        <v>0</v>
      </c>
      <c r="Y95" s="31">
        <v>0</v>
      </c>
      <c r="Z95" s="31">
        <v>0</v>
      </c>
      <c r="AA95" s="31">
        <v>0</v>
      </c>
      <c r="AB95" s="31">
        <v>0</v>
      </c>
      <c r="AC95" s="31">
        <v>0</v>
      </c>
      <c r="AD95" s="31">
        <v>0</v>
      </c>
      <c r="AE95" s="31">
        <v>0</v>
      </c>
      <c r="AF95" s="31">
        <v>0</v>
      </c>
      <c r="AG95" s="31">
        <v>0</v>
      </c>
      <c r="AH95" s="31">
        <v>0</v>
      </c>
      <c r="AI95" s="31">
        <v>0</v>
      </c>
      <c r="AJ95" s="31">
        <v>0</v>
      </c>
      <c r="AK95" s="31">
        <v>0</v>
      </c>
      <c r="AL95" s="31">
        <v>0</v>
      </c>
      <c r="AM95" s="31">
        <v>0</v>
      </c>
      <c r="AN95" s="31">
        <v>0</v>
      </c>
      <c r="AO95" s="31">
        <v>0</v>
      </c>
      <c r="AP95" s="31">
        <v>0</v>
      </c>
    </row>
    <row r="96" spans="1:42" x14ac:dyDescent="0.25">
      <c r="A96" s="31">
        <v>20</v>
      </c>
      <c r="B96" s="31">
        <v>24602</v>
      </c>
      <c r="C96" s="31">
        <v>1</v>
      </c>
      <c r="D96" s="31" t="s">
        <v>536</v>
      </c>
      <c r="E96" s="31"/>
      <c r="F96" s="31">
        <v>0</v>
      </c>
      <c r="G96" s="31">
        <v>0</v>
      </c>
      <c r="H96" s="31">
        <v>0</v>
      </c>
      <c r="I96" s="31">
        <v>0</v>
      </c>
      <c r="J96" s="31">
        <v>0</v>
      </c>
      <c r="K96" s="31" t="s">
        <v>882</v>
      </c>
      <c r="L96" s="2" t="str">
        <f t="shared" si="8"/>
        <v>Рихтовка</v>
      </c>
      <c r="M96" s="12">
        <f t="shared" si="9"/>
        <v>0</v>
      </c>
      <c r="N96" s="12">
        <f t="shared" si="10"/>
        <v>0</v>
      </c>
      <c r="O96" s="12">
        <f t="shared" si="11"/>
        <v>0</v>
      </c>
      <c r="P96" s="12">
        <f t="shared" si="12"/>
        <v>0</v>
      </c>
      <c r="Q96" s="12">
        <f t="shared" si="13"/>
        <v>0</v>
      </c>
      <c r="R96" s="12">
        <f t="shared" si="14"/>
        <v>0</v>
      </c>
      <c r="S96" s="12">
        <f t="shared" si="15"/>
        <v>0</v>
      </c>
      <c r="T96" s="31">
        <v>0</v>
      </c>
      <c r="U96" s="31">
        <v>0</v>
      </c>
      <c r="V96" s="31">
        <v>0</v>
      </c>
      <c r="W96" s="31">
        <v>0</v>
      </c>
      <c r="X96" s="31">
        <v>0</v>
      </c>
      <c r="Y96" s="31">
        <v>0</v>
      </c>
      <c r="Z96" s="31">
        <v>0</v>
      </c>
      <c r="AA96" s="31">
        <v>0</v>
      </c>
      <c r="AB96" s="31">
        <v>0</v>
      </c>
      <c r="AC96" s="31">
        <v>0</v>
      </c>
      <c r="AD96" s="31">
        <v>0</v>
      </c>
      <c r="AE96" s="31">
        <v>0</v>
      </c>
      <c r="AF96" s="31">
        <v>0</v>
      </c>
      <c r="AG96" s="31">
        <v>0</v>
      </c>
      <c r="AH96" s="31">
        <v>0</v>
      </c>
      <c r="AI96" s="31">
        <v>0</v>
      </c>
      <c r="AJ96" s="31">
        <v>0</v>
      </c>
      <c r="AK96" s="31">
        <v>0</v>
      </c>
      <c r="AL96" s="31">
        <v>0</v>
      </c>
      <c r="AM96" s="31">
        <v>0</v>
      </c>
      <c r="AN96" s="31">
        <v>0</v>
      </c>
      <c r="AO96" s="31">
        <v>0</v>
      </c>
      <c r="AP96" s="31">
        <v>0</v>
      </c>
    </row>
    <row r="97" spans="1:42" x14ac:dyDescent="0.25">
      <c r="A97" s="31">
        <v>20</v>
      </c>
      <c r="B97" s="31">
        <v>24602</v>
      </c>
      <c r="C97" s="31">
        <v>1</v>
      </c>
      <c r="D97" s="31" t="s">
        <v>537</v>
      </c>
      <c r="E97" s="31"/>
      <c r="F97" s="31">
        <v>0</v>
      </c>
      <c r="G97" s="31">
        <v>0</v>
      </c>
      <c r="H97" s="31">
        <v>0</v>
      </c>
      <c r="I97" s="31">
        <v>0</v>
      </c>
      <c r="J97" s="31">
        <v>0</v>
      </c>
      <c r="K97" s="31" t="s">
        <v>882</v>
      </c>
      <c r="L97" s="2" t="str">
        <f t="shared" si="8"/>
        <v>Рихтовка</v>
      </c>
      <c r="M97" s="12">
        <f t="shared" si="9"/>
        <v>0</v>
      </c>
      <c r="N97" s="12">
        <f t="shared" si="10"/>
        <v>0</v>
      </c>
      <c r="O97" s="12">
        <f t="shared" si="11"/>
        <v>0</v>
      </c>
      <c r="P97" s="12">
        <f t="shared" si="12"/>
        <v>0</v>
      </c>
      <c r="Q97" s="12">
        <f t="shared" si="13"/>
        <v>0</v>
      </c>
      <c r="R97" s="12">
        <f t="shared" si="14"/>
        <v>0</v>
      </c>
      <c r="S97" s="12">
        <f t="shared" si="15"/>
        <v>0</v>
      </c>
      <c r="T97" s="31">
        <v>0</v>
      </c>
      <c r="U97" s="31">
        <v>0</v>
      </c>
      <c r="V97" s="31">
        <v>0</v>
      </c>
      <c r="W97" s="31">
        <v>0</v>
      </c>
      <c r="X97" s="31">
        <v>0</v>
      </c>
      <c r="Y97" s="31">
        <v>0</v>
      </c>
      <c r="Z97" s="31">
        <v>0</v>
      </c>
      <c r="AA97" s="31">
        <v>0</v>
      </c>
      <c r="AB97" s="31">
        <v>0</v>
      </c>
      <c r="AC97" s="31">
        <v>0</v>
      </c>
      <c r="AD97" s="31">
        <v>0</v>
      </c>
      <c r="AE97" s="31">
        <v>0</v>
      </c>
      <c r="AF97" s="31">
        <v>0</v>
      </c>
      <c r="AG97" s="31">
        <v>0</v>
      </c>
      <c r="AH97" s="31">
        <v>0</v>
      </c>
      <c r="AI97" s="31">
        <v>0</v>
      </c>
      <c r="AJ97" s="31">
        <v>0</v>
      </c>
      <c r="AK97" s="31">
        <v>0</v>
      </c>
      <c r="AL97" s="31">
        <v>0</v>
      </c>
      <c r="AM97" s="31">
        <v>0</v>
      </c>
      <c r="AN97" s="31">
        <v>0</v>
      </c>
      <c r="AO97" s="31">
        <v>0</v>
      </c>
      <c r="AP97" s="31">
        <v>0</v>
      </c>
    </row>
    <row r="98" spans="1:42" x14ac:dyDescent="0.25">
      <c r="A98" s="31">
        <v>20</v>
      </c>
      <c r="B98" s="31">
        <v>24602</v>
      </c>
      <c r="C98" s="31">
        <v>1</v>
      </c>
      <c r="D98" s="31" t="s">
        <v>945</v>
      </c>
      <c r="E98" s="31"/>
      <c r="F98" s="31">
        <v>0</v>
      </c>
      <c r="G98" s="31">
        <v>0</v>
      </c>
      <c r="H98" s="31">
        <v>0</v>
      </c>
      <c r="I98" s="31">
        <v>0</v>
      </c>
      <c r="J98" s="31">
        <v>0</v>
      </c>
      <c r="K98" s="31" t="s">
        <v>882</v>
      </c>
      <c r="L98" s="2" t="str">
        <f t="shared" si="8"/>
        <v>Рихтовка</v>
      </c>
      <c r="M98" s="12">
        <f t="shared" si="9"/>
        <v>0</v>
      </c>
      <c r="N98" s="12">
        <f t="shared" si="10"/>
        <v>0</v>
      </c>
      <c r="O98" s="12">
        <f t="shared" si="11"/>
        <v>0</v>
      </c>
      <c r="P98" s="12">
        <f t="shared" si="12"/>
        <v>0</v>
      </c>
      <c r="Q98" s="12">
        <f t="shared" si="13"/>
        <v>0</v>
      </c>
      <c r="R98" s="12">
        <f t="shared" si="14"/>
        <v>0</v>
      </c>
      <c r="S98" s="12">
        <f t="shared" si="15"/>
        <v>0</v>
      </c>
      <c r="T98" s="31">
        <v>0</v>
      </c>
      <c r="U98" s="31">
        <v>0</v>
      </c>
      <c r="V98" s="31">
        <v>0</v>
      </c>
      <c r="W98" s="31">
        <v>0</v>
      </c>
      <c r="X98" s="31">
        <v>0</v>
      </c>
      <c r="Y98" s="31">
        <v>0</v>
      </c>
      <c r="Z98" s="31">
        <v>0</v>
      </c>
      <c r="AA98" s="31">
        <v>0</v>
      </c>
      <c r="AB98" s="31">
        <v>0</v>
      </c>
      <c r="AC98" s="31">
        <v>0</v>
      </c>
      <c r="AD98" s="31">
        <v>0</v>
      </c>
      <c r="AE98" s="31">
        <v>0</v>
      </c>
      <c r="AF98" s="31">
        <v>0</v>
      </c>
      <c r="AG98" s="31">
        <v>0</v>
      </c>
      <c r="AH98" s="31">
        <v>0</v>
      </c>
      <c r="AI98" s="31">
        <v>0</v>
      </c>
      <c r="AJ98" s="31">
        <v>0</v>
      </c>
      <c r="AK98" s="31">
        <v>0</v>
      </c>
      <c r="AL98" s="31">
        <v>0</v>
      </c>
      <c r="AM98" s="31">
        <v>0</v>
      </c>
      <c r="AN98" s="31">
        <v>0</v>
      </c>
      <c r="AO98" s="31">
        <v>0</v>
      </c>
      <c r="AP98" s="31">
        <v>0</v>
      </c>
    </row>
    <row r="99" spans="1:42" x14ac:dyDescent="0.25">
      <c r="A99" s="31">
        <v>20</v>
      </c>
      <c r="B99" s="31">
        <v>24602</v>
      </c>
      <c r="C99" s="31">
        <v>1</v>
      </c>
      <c r="D99" s="31" t="s">
        <v>946</v>
      </c>
      <c r="E99" s="31"/>
      <c r="F99" s="31">
        <v>0</v>
      </c>
      <c r="G99" s="31">
        <v>0</v>
      </c>
      <c r="H99" s="31">
        <v>0</v>
      </c>
      <c r="I99" s="31">
        <v>0</v>
      </c>
      <c r="J99" s="31">
        <v>0</v>
      </c>
      <c r="K99" s="31" t="s">
        <v>882</v>
      </c>
      <c r="L99" s="2" t="str">
        <f t="shared" si="8"/>
        <v>Рихтовка</v>
      </c>
      <c r="M99" s="12">
        <f t="shared" si="9"/>
        <v>0</v>
      </c>
      <c r="N99" s="12">
        <f t="shared" si="10"/>
        <v>0</v>
      </c>
      <c r="O99" s="12">
        <f t="shared" si="11"/>
        <v>0</v>
      </c>
      <c r="P99" s="12">
        <f t="shared" si="12"/>
        <v>0</v>
      </c>
      <c r="Q99" s="12">
        <f t="shared" si="13"/>
        <v>0</v>
      </c>
      <c r="R99" s="12">
        <f t="shared" si="14"/>
        <v>0</v>
      </c>
      <c r="S99" s="12">
        <f t="shared" si="15"/>
        <v>0</v>
      </c>
      <c r="T99" s="31">
        <v>0</v>
      </c>
      <c r="U99" s="31">
        <v>0</v>
      </c>
      <c r="V99" s="31">
        <v>0</v>
      </c>
      <c r="W99" s="31">
        <v>0</v>
      </c>
      <c r="X99" s="31">
        <v>0</v>
      </c>
      <c r="Y99" s="31">
        <v>0</v>
      </c>
      <c r="Z99" s="31">
        <v>0</v>
      </c>
      <c r="AA99" s="31">
        <v>0</v>
      </c>
      <c r="AB99" s="31">
        <v>0</v>
      </c>
      <c r="AC99" s="31">
        <v>0</v>
      </c>
      <c r="AD99" s="31">
        <v>0</v>
      </c>
      <c r="AE99" s="31">
        <v>0</v>
      </c>
      <c r="AF99" s="31">
        <v>0</v>
      </c>
      <c r="AG99" s="31">
        <v>0</v>
      </c>
      <c r="AH99" s="31">
        <v>0</v>
      </c>
      <c r="AI99" s="31">
        <v>0</v>
      </c>
      <c r="AJ99" s="31">
        <v>0</v>
      </c>
      <c r="AK99" s="31">
        <v>0</v>
      </c>
      <c r="AL99" s="31">
        <v>0</v>
      </c>
      <c r="AM99" s="31">
        <v>0</v>
      </c>
      <c r="AN99" s="31">
        <v>0</v>
      </c>
      <c r="AO99" s="31">
        <v>0</v>
      </c>
      <c r="AP99" s="31">
        <v>0</v>
      </c>
    </row>
    <row r="100" spans="1:42" x14ac:dyDescent="0.25">
      <c r="A100" s="31">
        <v>20</v>
      </c>
      <c r="B100" s="31">
        <v>24602</v>
      </c>
      <c r="C100" s="31">
        <v>1</v>
      </c>
      <c r="D100" s="31" t="s">
        <v>538</v>
      </c>
      <c r="E100" s="31"/>
      <c r="F100" s="31">
        <v>0</v>
      </c>
      <c r="G100" s="31">
        <v>0</v>
      </c>
      <c r="H100" s="31">
        <v>0</v>
      </c>
      <c r="I100" s="31">
        <v>0</v>
      </c>
      <c r="J100" s="31">
        <v>0</v>
      </c>
      <c r="K100" s="31" t="s">
        <v>882</v>
      </c>
      <c r="L100" s="2" t="str">
        <f t="shared" si="8"/>
        <v>Рихтовка</v>
      </c>
      <c r="M100" s="12">
        <f t="shared" si="9"/>
        <v>0</v>
      </c>
      <c r="N100" s="12">
        <f t="shared" si="10"/>
        <v>0</v>
      </c>
      <c r="O100" s="12">
        <f t="shared" si="11"/>
        <v>0</v>
      </c>
      <c r="P100" s="12">
        <f t="shared" si="12"/>
        <v>0</v>
      </c>
      <c r="Q100" s="12">
        <f t="shared" si="13"/>
        <v>0</v>
      </c>
      <c r="R100" s="12">
        <f t="shared" si="14"/>
        <v>0</v>
      </c>
      <c r="S100" s="12">
        <f t="shared" si="15"/>
        <v>0</v>
      </c>
      <c r="T100" s="31">
        <v>0</v>
      </c>
      <c r="U100" s="31">
        <v>0</v>
      </c>
      <c r="V100" s="31">
        <v>0</v>
      </c>
      <c r="W100" s="31">
        <v>0</v>
      </c>
      <c r="X100" s="31">
        <v>0</v>
      </c>
      <c r="Y100" s="31">
        <v>0</v>
      </c>
      <c r="Z100" s="31">
        <v>0</v>
      </c>
      <c r="AA100" s="31">
        <v>0</v>
      </c>
      <c r="AB100" s="31">
        <v>0</v>
      </c>
      <c r="AC100" s="31">
        <v>0</v>
      </c>
      <c r="AD100" s="31">
        <v>0</v>
      </c>
      <c r="AE100" s="31">
        <v>0</v>
      </c>
      <c r="AF100" s="31">
        <v>0</v>
      </c>
      <c r="AG100" s="31">
        <v>0</v>
      </c>
      <c r="AH100" s="31">
        <v>0</v>
      </c>
      <c r="AI100" s="31">
        <v>0</v>
      </c>
      <c r="AJ100" s="31">
        <v>0</v>
      </c>
      <c r="AK100" s="31">
        <v>0</v>
      </c>
      <c r="AL100" s="31">
        <v>0</v>
      </c>
      <c r="AM100" s="31">
        <v>0</v>
      </c>
      <c r="AN100" s="31">
        <v>0</v>
      </c>
      <c r="AO100" s="31">
        <v>0</v>
      </c>
      <c r="AP100" s="31">
        <v>0</v>
      </c>
    </row>
    <row r="101" spans="1:42" x14ac:dyDescent="0.25">
      <c r="A101" s="31">
        <v>22</v>
      </c>
      <c r="B101" s="31">
        <v>24602</v>
      </c>
      <c r="C101" s="31">
        <v>1</v>
      </c>
      <c r="D101" s="31" t="s">
        <v>538</v>
      </c>
      <c r="E101" s="31"/>
      <c r="F101" s="31">
        <v>0</v>
      </c>
      <c r="G101" s="31">
        <v>0</v>
      </c>
      <c r="H101" s="31">
        <v>0</v>
      </c>
      <c r="I101" s="31">
        <v>0</v>
      </c>
      <c r="J101" s="31">
        <v>0</v>
      </c>
      <c r="K101" s="31" t="s">
        <v>882</v>
      </c>
      <c r="L101" s="2" t="str">
        <f t="shared" si="8"/>
        <v>Рихтовка</v>
      </c>
      <c r="M101" s="12">
        <f t="shared" si="9"/>
        <v>0</v>
      </c>
      <c r="N101" s="12">
        <f t="shared" si="10"/>
        <v>0</v>
      </c>
      <c r="O101" s="12">
        <f t="shared" si="11"/>
        <v>0</v>
      </c>
      <c r="P101" s="12">
        <f t="shared" si="12"/>
        <v>0</v>
      </c>
      <c r="Q101" s="12">
        <f t="shared" si="13"/>
        <v>0</v>
      </c>
      <c r="R101" s="12">
        <f t="shared" si="14"/>
        <v>0</v>
      </c>
      <c r="S101" s="12">
        <f t="shared" si="15"/>
        <v>0</v>
      </c>
      <c r="T101" s="31">
        <v>0</v>
      </c>
      <c r="U101" s="31">
        <v>0</v>
      </c>
      <c r="V101" s="31">
        <v>0</v>
      </c>
      <c r="W101" s="31">
        <v>0</v>
      </c>
      <c r="X101" s="31">
        <v>0</v>
      </c>
      <c r="Y101" s="31">
        <v>0</v>
      </c>
      <c r="Z101" s="31">
        <v>0</v>
      </c>
      <c r="AA101" s="31">
        <v>0</v>
      </c>
      <c r="AB101" s="31">
        <v>0</v>
      </c>
      <c r="AC101" s="31">
        <v>0</v>
      </c>
      <c r="AD101" s="31">
        <v>0</v>
      </c>
      <c r="AE101" s="31">
        <v>0</v>
      </c>
      <c r="AF101" s="31">
        <v>0</v>
      </c>
      <c r="AG101" s="31">
        <v>0</v>
      </c>
      <c r="AH101" s="31">
        <v>0</v>
      </c>
      <c r="AI101" s="31">
        <v>0</v>
      </c>
      <c r="AJ101" s="31">
        <v>0</v>
      </c>
      <c r="AK101" s="31">
        <v>0</v>
      </c>
      <c r="AL101" s="31">
        <v>0</v>
      </c>
      <c r="AM101" s="31">
        <v>0</v>
      </c>
      <c r="AN101" s="31">
        <v>0</v>
      </c>
      <c r="AO101" s="31">
        <v>0</v>
      </c>
      <c r="AP101" s="31">
        <v>0</v>
      </c>
    </row>
    <row r="102" spans="1:42" x14ac:dyDescent="0.25">
      <c r="A102" s="31">
        <v>22</v>
      </c>
      <c r="B102" s="31">
        <v>24602</v>
      </c>
      <c r="C102" s="31">
        <v>1</v>
      </c>
      <c r="D102" s="31" t="s">
        <v>539</v>
      </c>
      <c r="E102" s="31"/>
      <c r="F102" s="31">
        <v>0</v>
      </c>
      <c r="G102" s="31">
        <v>0</v>
      </c>
      <c r="H102" s="31">
        <v>0</v>
      </c>
      <c r="I102" s="31">
        <v>0</v>
      </c>
      <c r="J102" s="31">
        <v>0</v>
      </c>
      <c r="K102" s="31" t="s">
        <v>882</v>
      </c>
      <c r="L102" s="2" t="str">
        <f t="shared" si="8"/>
        <v>Рихтовка</v>
      </c>
      <c r="M102" s="12">
        <f t="shared" si="9"/>
        <v>0</v>
      </c>
      <c r="N102" s="12">
        <f t="shared" si="10"/>
        <v>0</v>
      </c>
      <c r="O102" s="12">
        <f t="shared" si="11"/>
        <v>0</v>
      </c>
      <c r="P102" s="12">
        <f t="shared" si="12"/>
        <v>0</v>
      </c>
      <c r="Q102" s="12">
        <f t="shared" si="13"/>
        <v>0</v>
      </c>
      <c r="R102" s="12">
        <f t="shared" si="14"/>
        <v>0</v>
      </c>
      <c r="S102" s="12">
        <f t="shared" si="15"/>
        <v>0</v>
      </c>
      <c r="T102" s="31">
        <v>0</v>
      </c>
      <c r="U102" s="31">
        <v>0</v>
      </c>
      <c r="V102" s="31">
        <v>0</v>
      </c>
      <c r="W102" s="31">
        <v>0</v>
      </c>
      <c r="X102" s="31">
        <v>0</v>
      </c>
      <c r="Y102" s="31">
        <v>0</v>
      </c>
      <c r="Z102" s="31">
        <v>0</v>
      </c>
      <c r="AA102" s="31">
        <v>0</v>
      </c>
      <c r="AB102" s="31">
        <v>0</v>
      </c>
      <c r="AC102" s="31">
        <v>0</v>
      </c>
      <c r="AD102" s="31">
        <v>0</v>
      </c>
      <c r="AE102" s="31">
        <v>0</v>
      </c>
      <c r="AF102" s="31">
        <v>0</v>
      </c>
      <c r="AG102" s="31">
        <v>0</v>
      </c>
      <c r="AH102" s="31">
        <v>0</v>
      </c>
      <c r="AI102" s="31">
        <v>0</v>
      </c>
      <c r="AJ102" s="31">
        <v>0</v>
      </c>
      <c r="AK102" s="31">
        <v>0</v>
      </c>
      <c r="AL102" s="31">
        <v>0</v>
      </c>
      <c r="AM102" s="31">
        <v>0</v>
      </c>
      <c r="AN102" s="31">
        <v>0</v>
      </c>
      <c r="AO102" s="31">
        <v>0</v>
      </c>
      <c r="AP102" s="31">
        <v>0</v>
      </c>
    </row>
    <row r="103" spans="1:42" x14ac:dyDescent="0.25">
      <c r="A103" s="31">
        <v>22</v>
      </c>
      <c r="B103" s="31">
        <v>24602</v>
      </c>
      <c r="C103" s="31">
        <v>1</v>
      </c>
      <c r="D103" s="31" t="s">
        <v>540</v>
      </c>
      <c r="E103" s="31"/>
      <c r="F103" s="31">
        <v>0</v>
      </c>
      <c r="G103" s="31">
        <v>0</v>
      </c>
      <c r="H103" s="31">
        <v>0</v>
      </c>
      <c r="I103" s="31">
        <v>0</v>
      </c>
      <c r="J103" s="31">
        <v>0</v>
      </c>
      <c r="K103" s="31" t="s">
        <v>882</v>
      </c>
      <c r="L103" s="2" t="str">
        <f t="shared" si="8"/>
        <v>Рихтовка</v>
      </c>
      <c r="M103" s="12">
        <f t="shared" si="9"/>
        <v>0</v>
      </c>
      <c r="N103" s="12">
        <f t="shared" si="10"/>
        <v>0</v>
      </c>
      <c r="O103" s="12">
        <f t="shared" si="11"/>
        <v>0</v>
      </c>
      <c r="P103" s="12">
        <f t="shared" si="12"/>
        <v>0</v>
      </c>
      <c r="Q103" s="12">
        <f t="shared" si="13"/>
        <v>0</v>
      </c>
      <c r="R103" s="12">
        <f t="shared" si="14"/>
        <v>0</v>
      </c>
      <c r="S103" s="12">
        <f t="shared" si="15"/>
        <v>0</v>
      </c>
      <c r="T103" s="31">
        <v>0</v>
      </c>
      <c r="U103" s="31">
        <v>0</v>
      </c>
      <c r="V103" s="31">
        <v>0</v>
      </c>
      <c r="W103" s="31">
        <v>0</v>
      </c>
      <c r="X103" s="31">
        <v>0</v>
      </c>
      <c r="Y103" s="31">
        <v>0</v>
      </c>
      <c r="Z103" s="31">
        <v>0</v>
      </c>
      <c r="AA103" s="31">
        <v>0</v>
      </c>
      <c r="AB103" s="31">
        <v>0</v>
      </c>
      <c r="AC103" s="31">
        <v>0</v>
      </c>
      <c r="AD103" s="31">
        <v>0</v>
      </c>
      <c r="AE103" s="31">
        <v>0</v>
      </c>
      <c r="AF103" s="31">
        <v>0</v>
      </c>
      <c r="AG103" s="31">
        <v>0</v>
      </c>
      <c r="AH103" s="31">
        <v>0</v>
      </c>
      <c r="AI103" s="31">
        <v>0</v>
      </c>
      <c r="AJ103" s="31">
        <v>0</v>
      </c>
      <c r="AK103" s="31">
        <v>0</v>
      </c>
      <c r="AL103" s="31">
        <v>0</v>
      </c>
      <c r="AM103" s="31">
        <v>0</v>
      </c>
      <c r="AN103" s="31">
        <v>0</v>
      </c>
      <c r="AO103" s="31">
        <v>0</v>
      </c>
      <c r="AP103" s="31">
        <v>0</v>
      </c>
    </row>
    <row r="104" spans="1:42" x14ac:dyDescent="0.25">
      <c r="A104" s="31">
        <v>22</v>
      </c>
      <c r="B104" s="31">
        <v>24602</v>
      </c>
      <c r="C104" s="31">
        <v>1</v>
      </c>
      <c r="D104" s="31" t="s">
        <v>541</v>
      </c>
      <c r="E104" s="31"/>
      <c r="F104" s="31">
        <v>0</v>
      </c>
      <c r="G104" s="31">
        <v>0</v>
      </c>
      <c r="H104" s="31">
        <v>0</v>
      </c>
      <c r="I104" s="31">
        <v>0</v>
      </c>
      <c r="J104" s="31">
        <v>0</v>
      </c>
      <c r="K104" s="31" t="s">
        <v>882</v>
      </c>
      <c r="L104" s="2" t="str">
        <f t="shared" si="8"/>
        <v>Рихтовка</v>
      </c>
      <c r="M104" s="12">
        <f t="shared" si="9"/>
        <v>0</v>
      </c>
      <c r="N104" s="12">
        <f t="shared" si="10"/>
        <v>0</v>
      </c>
      <c r="O104" s="12">
        <f t="shared" si="11"/>
        <v>0</v>
      </c>
      <c r="P104" s="12">
        <f t="shared" si="12"/>
        <v>0</v>
      </c>
      <c r="Q104" s="12">
        <f t="shared" si="13"/>
        <v>0</v>
      </c>
      <c r="R104" s="12">
        <f t="shared" si="14"/>
        <v>0</v>
      </c>
      <c r="S104" s="12">
        <f t="shared" si="15"/>
        <v>0</v>
      </c>
      <c r="T104" s="31">
        <v>0</v>
      </c>
      <c r="U104" s="31">
        <v>0</v>
      </c>
      <c r="V104" s="31">
        <v>0</v>
      </c>
      <c r="W104" s="31">
        <v>0</v>
      </c>
      <c r="X104" s="31">
        <v>0</v>
      </c>
      <c r="Y104" s="31">
        <v>0</v>
      </c>
      <c r="Z104" s="31">
        <v>0</v>
      </c>
      <c r="AA104" s="31">
        <v>0</v>
      </c>
      <c r="AB104" s="31">
        <v>0</v>
      </c>
      <c r="AC104" s="31">
        <v>0</v>
      </c>
      <c r="AD104" s="31">
        <v>0</v>
      </c>
      <c r="AE104" s="31">
        <v>0</v>
      </c>
      <c r="AF104" s="31">
        <v>0</v>
      </c>
      <c r="AG104" s="31">
        <v>0</v>
      </c>
      <c r="AH104" s="31">
        <v>0</v>
      </c>
      <c r="AI104" s="31">
        <v>0</v>
      </c>
      <c r="AJ104" s="31">
        <v>0</v>
      </c>
      <c r="AK104" s="31">
        <v>0</v>
      </c>
      <c r="AL104" s="31">
        <v>0</v>
      </c>
      <c r="AM104" s="31">
        <v>0</v>
      </c>
      <c r="AN104" s="31">
        <v>0</v>
      </c>
      <c r="AO104" s="31">
        <v>0</v>
      </c>
      <c r="AP104" s="31">
        <v>0</v>
      </c>
    </row>
    <row r="105" spans="1:42" x14ac:dyDescent="0.25">
      <c r="A105" s="31">
        <v>22</v>
      </c>
      <c r="B105" s="31">
        <v>24602</v>
      </c>
      <c r="C105" s="31">
        <v>1</v>
      </c>
      <c r="D105" s="31" t="s">
        <v>542</v>
      </c>
      <c r="E105" s="31"/>
      <c r="F105" s="31">
        <v>0</v>
      </c>
      <c r="G105" s="31">
        <v>0</v>
      </c>
      <c r="H105" s="31">
        <v>0</v>
      </c>
      <c r="I105" s="31">
        <v>0</v>
      </c>
      <c r="J105" s="31">
        <v>0</v>
      </c>
      <c r="K105" s="31" t="s">
        <v>882</v>
      </c>
      <c r="L105" s="2" t="str">
        <f t="shared" si="8"/>
        <v>Рихтовка</v>
      </c>
      <c r="M105" s="12">
        <f t="shared" si="9"/>
        <v>0</v>
      </c>
      <c r="N105" s="12">
        <f t="shared" si="10"/>
        <v>0</v>
      </c>
      <c r="O105" s="12">
        <f t="shared" si="11"/>
        <v>0</v>
      </c>
      <c r="P105" s="12">
        <f t="shared" si="12"/>
        <v>0</v>
      </c>
      <c r="Q105" s="12">
        <f t="shared" si="13"/>
        <v>0</v>
      </c>
      <c r="R105" s="12">
        <f t="shared" si="14"/>
        <v>0</v>
      </c>
      <c r="S105" s="12">
        <f t="shared" si="15"/>
        <v>0</v>
      </c>
      <c r="T105" s="31">
        <v>0</v>
      </c>
      <c r="U105" s="31">
        <v>0</v>
      </c>
      <c r="V105" s="31">
        <v>0</v>
      </c>
      <c r="W105" s="31">
        <v>0</v>
      </c>
      <c r="X105" s="31">
        <v>0</v>
      </c>
      <c r="Y105" s="31">
        <v>0</v>
      </c>
      <c r="Z105" s="31">
        <v>0</v>
      </c>
      <c r="AA105" s="31">
        <v>0</v>
      </c>
      <c r="AB105" s="31">
        <v>0</v>
      </c>
      <c r="AC105" s="31">
        <v>0</v>
      </c>
      <c r="AD105" s="31">
        <v>0</v>
      </c>
      <c r="AE105" s="31">
        <v>0</v>
      </c>
      <c r="AF105" s="31">
        <v>0</v>
      </c>
      <c r="AG105" s="31">
        <v>0</v>
      </c>
      <c r="AH105" s="31">
        <v>0</v>
      </c>
      <c r="AI105" s="31">
        <v>0</v>
      </c>
      <c r="AJ105" s="31">
        <v>0</v>
      </c>
      <c r="AK105" s="31">
        <v>0</v>
      </c>
      <c r="AL105" s="31">
        <v>0</v>
      </c>
      <c r="AM105" s="31">
        <v>0</v>
      </c>
      <c r="AN105" s="31">
        <v>0</v>
      </c>
      <c r="AO105" s="31">
        <v>0</v>
      </c>
      <c r="AP105" s="31">
        <v>0</v>
      </c>
    </row>
    <row r="106" spans="1:42" x14ac:dyDescent="0.25">
      <c r="A106" s="31">
        <v>22</v>
      </c>
      <c r="B106" s="31">
        <v>24602</v>
      </c>
      <c r="C106" s="31">
        <v>1</v>
      </c>
      <c r="D106" s="31" t="s">
        <v>543</v>
      </c>
      <c r="E106" s="31"/>
      <c r="F106" s="31">
        <v>0</v>
      </c>
      <c r="G106" s="31">
        <v>0</v>
      </c>
      <c r="H106" s="31">
        <v>0</v>
      </c>
      <c r="I106" s="31">
        <v>0</v>
      </c>
      <c r="J106" s="31">
        <v>0</v>
      </c>
      <c r="K106" s="31" t="s">
        <v>882</v>
      </c>
      <c r="L106" s="2" t="str">
        <f t="shared" si="8"/>
        <v>Рихтовка</v>
      </c>
      <c r="M106" s="12">
        <f t="shared" si="9"/>
        <v>0</v>
      </c>
      <c r="N106" s="12">
        <f t="shared" si="10"/>
        <v>0</v>
      </c>
      <c r="O106" s="12">
        <f t="shared" si="11"/>
        <v>0</v>
      </c>
      <c r="P106" s="12">
        <f t="shared" si="12"/>
        <v>0</v>
      </c>
      <c r="Q106" s="12">
        <f t="shared" si="13"/>
        <v>0</v>
      </c>
      <c r="R106" s="12">
        <f t="shared" si="14"/>
        <v>0</v>
      </c>
      <c r="S106" s="12">
        <f t="shared" si="15"/>
        <v>0</v>
      </c>
      <c r="T106" s="31">
        <v>0</v>
      </c>
      <c r="U106" s="31">
        <v>0</v>
      </c>
      <c r="V106" s="31">
        <v>0</v>
      </c>
      <c r="W106" s="31">
        <v>0</v>
      </c>
      <c r="X106" s="31">
        <v>0</v>
      </c>
      <c r="Y106" s="31">
        <v>0</v>
      </c>
      <c r="Z106" s="31">
        <v>0</v>
      </c>
      <c r="AA106" s="31">
        <v>0</v>
      </c>
      <c r="AB106" s="31">
        <v>0</v>
      </c>
      <c r="AC106" s="31">
        <v>0</v>
      </c>
      <c r="AD106" s="31">
        <v>0</v>
      </c>
      <c r="AE106" s="31">
        <v>0</v>
      </c>
      <c r="AF106" s="31">
        <v>0</v>
      </c>
      <c r="AG106" s="31">
        <v>0</v>
      </c>
      <c r="AH106" s="31">
        <v>0</v>
      </c>
      <c r="AI106" s="31">
        <v>0</v>
      </c>
      <c r="AJ106" s="31">
        <v>0</v>
      </c>
      <c r="AK106" s="31">
        <v>0</v>
      </c>
      <c r="AL106" s="31">
        <v>0</v>
      </c>
      <c r="AM106" s="31">
        <v>0</v>
      </c>
      <c r="AN106" s="31">
        <v>0</v>
      </c>
      <c r="AO106" s="31">
        <v>0</v>
      </c>
      <c r="AP106" s="31">
        <v>0</v>
      </c>
    </row>
    <row r="107" spans="1:42" x14ac:dyDescent="0.25">
      <c r="A107" s="31">
        <v>22</v>
      </c>
      <c r="B107" s="31">
        <v>24602</v>
      </c>
      <c r="C107" s="31">
        <v>1</v>
      </c>
      <c r="D107" s="31" t="s">
        <v>544</v>
      </c>
      <c r="E107" s="31"/>
      <c r="F107" s="31">
        <v>0</v>
      </c>
      <c r="G107" s="31">
        <v>0</v>
      </c>
      <c r="H107" s="31">
        <v>0</v>
      </c>
      <c r="I107" s="31">
        <v>0</v>
      </c>
      <c r="J107" s="31">
        <v>0</v>
      </c>
      <c r="K107" s="31" t="s">
        <v>882</v>
      </c>
      <c r="L107" s="2" t="str">
        <f t="shared" si="8"/>
        <v>Рихтовка</v>
      </c>
      <c r="M107" s="12">
        <f t="shared" si="9"/>
        <v>0</v>
      </c>
      <c r="N107" s="12">
        <f t="shared" si="10"/>
        <v>0</v>
      </c>
      <c r="O107" s="12">
        <f t="shared" si="11"/>
        <v>0</v>
      </c>
      <c r="P107" s="12">
        <f t="shared" si="12"/>
        <v>0</v>
      </c>
      <c r="Q107" s="12">
        <f t="shared" si="13"/>
        <v>0</v>
      </c>
      <c r="R107" s="12">
        <f t="shared" si="14"/>
        <v>0</v>
      </c>
      <c r="S107" s="12">
        <f t="shared" si="15"/>
        <v>0</v>
      </c>
      <c r="T107" s="31">
        <v>0</v>
      </c>
      <c r="U107" s="31">
        <v>0</v>
      </c>
      <c r="V107" s="31">
        <v>0</v>
      </c>
      <c r="W107" s="31">
        <v>0</v>
      </c>
      <c r="X107" s="31">
        <v>0</v>
      </c>
      <c r="Y107" s="31">
        <v>0</v>
      </c>
      <c r="Z107" s="31">
        <v>0</v>
      </c>
      <c r="AA107" s="31">
        <v>0</v>
      </c>
      <c r="AB107" s="31">
        <v>0</v>
      </c>
      <c r="AC107" s="31">
        <v>0</v>
      </c>
      <c r="AD107" s="31">
        <v>0</v>
      </c>
      <c r="AE107" s="31">
        <v>0</v>
      </c>
      <c r="AF107" s="31">
        <v>0</v>
      </c>
      <c r="AG107" s="31">
        <v>0</v>
      </c>
      <c r="AH107" s="31">
        <v>0</v>
      </c>
      <c r="AI107" s="31">
        <v>0</v>
      </c>
      <c r="AJ107" s="31">
        <v>0</v>
      </c>
      <c r="AK107" s="31">
        <v>0</v>
      </c>
      <c r="AL107" s="31">
        <v>0</v>
      </c>
      <c r="AM107" s="31">
        <v>0</v>
      </c>
      <c r="AN107" s="31">
        <v>0</v>
      </c>
      <c r="AO107" s="31">
        <v>0</v>
      </c>
      <c r="AP107" s="31">
        <v>0</v>
      </c>
    </row>
    <row r="108" spans="1:42" x14ac:dyDescent="0.25">
      <c r="A108" s="31">
        <v>22</v>
      </c>
      <c r="B108" s="31">
        <v>24602</v>
      </c>
      <c r="C108" s="31">
        <v>1</v>
      </c>
      <c r="D108" s="31" t="s">
        <v>545</v>
      </c>
      <c r="E108" s="31"/>
      <c r="F108" s="31">
        <v>0</v>
      </c>
      <c r="G108" s="31">
        <v>0</v>
      </c>
      <c r="H108" s="31">
        <v>0</v>
      </c>
      <c r="I108" s="31">
        <v>0</v>
      </c>
      <c r="J108" s="31">
        <v>0</v>
      </c>
      <c r="K108" s="31" t="s">
        <v>882</v>
      </c>
      <c r="L108" s="2" t="str">
        <f t="shared" si="8"/>
        <v>Рихтовка</v>
      </c>
      <c r="M108" s="12">
        <f t="shared" si="9"/>
        <v>0</v>
      </c>
      <c r="N108" s="12">
        <f t="shared" si="10"/>
        <v>0</v>
      </c>
      <c r="O108" s="12">
        <f t="shared" si="11"/>
        <v>0</v>
      </c>
      <c r="P108" s="12">
        <f t="shared" si="12"/>
        <v>0</v>
      </c>
      <c r="Q108" s="12">
        <f t="shared" si="13"/>
        <v>0</v>
      </c>
      <c r="R108" s="12">
        <f t="shared" si="14"/>
        <v>0</v>
      </c>
      <c r="S108" s="12">
        <f t="shared" si="15"/>
        <v>0</v>
      </c>
      <c r="T108" s="31">
        <v>0</v>
      </c>
      <c r="U108" s="31">
        <v>0</v>
      </c>
      <c r="V108" s="31">
        <v>0</v>
      </c>
      <c r="W108" s="31">
        <v>0</v>
      </c>
      <c r="X108" s="31">
        <v>0</v>
      </c>
      <c r="Y108" s="31">
        <v>0</v>
      </c>
      <c r="Z108" s="31">
        <v>0</v>
      </c>
      <c r="AA108" s="31">
        <v>0</v>
      </c>
      <c r="AB108" s="31">
        <v>0</v>
      </c>
      <c r="AC108" s="31">
        <v>0</v>
      </c>
      <c r="AD108" s="31">
        <v>0</v>
      </c>
      <c r="AE108" s="31">
        <v>0</v>
      </c>
      <c r="AF108" s="31">
        <v>0</v>
      </c>
      <c r="AG108" s="31">
        <v>0</v>
      </c>
      <c r="AH108" s="31">
        <v>0</v>
      </c>
      <c r="AI108" s="31">
        <v>0</v>
      </c>
      <c r="AJ108" s="31">
        <v>0</v>
      </c>
      <c r="AK108" s="31">
        <v>0</v>
      </c>
      <c r="AL108" s="31">
        <v>0</v>
      </c>
      <c r="AM108" s="31">
        <v>0</v>
      </c>
      <c r="AN108" s="31">
        <v>0</v>
      </c>
      <c r="AO108" s="31">
        <v>0</v>
      </c>
      <c r="AP108" s="31">
        <v>0</v>
      </c>
    </row>
    <row r="109" spans="1:42" x14ac:dyDescent="0.25">
      <c r="A109" s="31">
        <v>22</v>
      </c>
      <c r="B109" s="31">
        <v>24602</v>
      </c>
      <c r="C109" s="31">
        <v>1</v>
      </c>
      <c r="D109" s="31" t="s">
        <v>546</v>
      </c>
      <c r="E109" s="31"/>
      <c r="F109" s="31">
        <v>0</v>
      </c>
      <c r="G109" s="31">
        <v>0</v>
      </c>
      <c r="H109" s="31">
        <v>0</v>
      </c>
      <c r="I109" s="31">
        <v>0</v>
      </c>
      <c r="J109" s="31">
        <v>0</v>
      </c>
      <c r="K109" s="31" t="s">
        <v>882</v>
      </c>
      <c r="L109" s="2" t="str">
        <f t="shared" si="8"/>
        <v>Рихтовка</v>
      </c>
      <c r="M109" s="12">
        <f t="shared" si="9"/>
        <v>0</v>
      </c>
      <c r="N109" s="12">
        <f t="shared" si="10"/>
        <v>0</v>
      </c>
      <c r="O109" s="12">
        <f t="shared" si="11"/>
        <v>0</v>
      </c>
      <c r="P109" s="12">
        <f t="shared" si="12"/>
        <v>0</v>
      </c>
      <c r="Q109" s="12">
        <f t="shared" si="13"/>
        <v>0</v>
      </c>
      <c r="R109" s="12">
        <f t="shared" si="14"/>
        <v>0</v>
      </c>
      <c r="S109" s="12">
        <f t="shared" si="15"/>
        <v>0</v>
      </c>
      <c r="T109" s="31">
        <v>0</v>
      </c>
      <c r="U109" s="31">
        <v>0</v>
      </c>
      <c r="V109" s="31">
        <v>0</v>
      </c>
      <c r="W109" s="31">
        <v>0</v>
      </c>
      <c r="X109" s="31">
        <v>0</v>
      </c>
      <c r="Y109" s="31">
        <v>0</v>
      </c>
      <c r="Z109" s="31">
        <v>0</v>
      </c>
      <c r="AA109" s="31">
        <v>0</v>
      </c>
      <c r="AB109" s="31">
        <v>0</v>
      </c>
      <c r="AC109" s="31">
        <v>0</v>
      </c>
      <c r="AD109" s="31">
        <v>0</v>
      </c>
      <c r="AE109" s="31">
        <v>0</v>
      </c>
      <c r="AF109" s="31">
        <v>0</v>
      </c>
      <c r="AG109" s="31">
        <v>0</v>
      </c>
      <c r="AH109" s="31">
        <v>0</v>
      </c>
      <c r="AI109" s="31">
        <v>0</v>
      </c>
      <c r="AJ109" s="31">
        <v>0</v>
      </c>
      <c r="AK109" s="31">
        <v>0</v>
      </c>
      <c r="AL109" s="31">
        <v>0</v>
      </c>
      <c r="AM109" s="31">
        <v>0</v>
      </c>
      <c r="AN109" s="31">
        <v>0</v>
      </c>
      <c r="AO109" s="31">
        <v>0</v>
      </c>
      <c r="AP109" s="31">
        <v>0</v>
      </c>
    </row>
    <row r="110" spans="1:42" x14ac:dyDescent="0.25">
      <c r="A110" s="31">
        <v>22</v>
      </c>
      <c r="B110" s="31">
        <v>24602</v>
      </c>
      <c r="C110" s="31">
        <v>1</v>
      </c>
      <c r="D110" s="31" t="s">
        <v>947</v>
      </c>
      <c r="E110" s="31"/>
      <c r="F110" s="31">
        <v>0</v>
      </c>
      <c r="G110" s="31">
        <v>0</v>
      </c>
      <c r="H110" s="31">
        <v>0</v>
      </c>
      <c r="I110" s="31">
        <v>0</v>
      </c>
      <c r="J110" s="31">
        <v>0</v>
      </c>
      <c r="K110" s="31" t="s">
        <v>882</v>
      </c>
      <c r="L110" s="2" t="str">
        <f t="shared" si="8"/>
        <v>Рихтовка</v>
      </c>
      <c r="M110" s="12">
        <f t="shared" si="9"/>
        <v>0</v>
      </c>
      <c r="N110" s="12">
        <f t="shared" si="10"/>
        <v>0</v>
      </c>
      <c r="O110" s="12">
        <f t="shared" si="11"/>
        <v>0</v>
      </c>
      <c r="P110" s="12">
        <f t="shared" si="12"/>
        <v>0</v>
      </c>
      <c r="Q110" s="12">
        <f t="shared" si="13"/>
        <v>0</v>
      </c>
      <c r="R110" s="12">
        <f t="shared" si="14"/>
        <v>0</v>
      </c>
      <c r="S110" s="12">
        <f t="shared" si="15"/>
        <v>0</v>
      </c>
      <c r="T110" s="31">
        <v>0</v>
      </c>
      <c r="U110" s="31">
        <v>0</v>
      </c>
      <c r="V110" s="31">
        <v>0</v>
      </c>
      <c r="W110" s="31">
        <v>0</v>
      </c>
      <c r="X110" s="31">
        <v>0</v>
      </c>
      <c r="Y110" s="31">
        <v>0</v>
      </c>
      <c r="Z110" s="31">
        <v>0</v>
      </c>
      <c r="AA110" s="31">
        <v>0</v>
      </c>
      <c r="AB110" s="31">
        <v>0</v>
      </c>
      <c r="AC110" s="31">
        <v>0</v>
      </c>
      <c r="AD110" s="31">
        <v>0</v>
      </c>
      <c r="AE110" s="31">
        <v>0</v>
      </c>
      <c r="AF110" s="31">
        <v>0</v>
      </c>
      <c r="AG110" s="31">
        <v>0</v>
      </c>
      <c r="AH110" s="31">
        <v>0</v>
      </c>
      <c r="AI110" s="31">
        <v>0</v>
      </c>
      <c r="AJ110" s="31">
        <v>0</v>
      </c>
      <c r="AK110" s="31">
        <v>0</v>
      </c>
      <c r="AL110" s="31">
        <v>0</v>
      </c>
      <c r="AM110" s="31">
        <v>0</v>
      </c>
      <c r="AN110" s="31">
        <v>0</v>
      </c>
      <c r="AO110" s="31">
        <v>0</v>
      </c>
      <c r="AP110" s="31">
        <v>0</v>
      </c>
    </row>
    <row r="111" spans="1:42" x14ac:dyDescent="0.25">
      <c r="A111" s="31">
        <v>22</v>
      </c>
      <c r="B111" s="31">
        <v>24602</v>
      </c>
      <c r="C111" s="31">
        <v>1</v>
      </c>
      <c r="D111" s="31" t="s">
        <v>948</v>
      </c>
      <c r="E111" s="31"/>
      <c r="F111" s="31">
        <v>0</v>
      </c>
      <c r="G111" s="31">
        <v>0</v>
      </c>
      <c r="H111" s="31">
        <v>0</v>
      </c>
      <c r="I111" s="31">
        <v>0</v>
      </c>
      <c r="J111" s="31">
        <v>0</v>
      </c>
      <c r="K111" s="31" t="s">
        <v>882</v>
      </c>
      <c r="L111" s="2" t="str">
        <f t="shared" si="8"/>
        <v>Рихтовка</v>
      </c>
      <c r="M111" s="12">
        <f t="shared" si="9"/>
        <v>0</v>
      </c>
      <c r="N111" s="12">
        <f t="shared" si="10"/>
        <v>0</v>
      </c>
      <c r="O111" s="12">
        <f t="shared" si="11"/>
        <v>0</v>
      </c>
      <c r="P111" s="12">
        <f t="shared" si="12"/>
        <v>0</v>
      </c>
      <c r="Q111" s="12">
        <f t="shared" si="13"/>
        <v>0</v>
      </c>
      <c r="R111" s="12">
        <f t="shared" si="14"/>
        <v>0</v>
      </c>
      <c r="S111" s="12">
        <f t="shared" si="15"/>
        <v>0</v>
      </c>
      <c r="T111" s="31">
        <v>0</v>
      </c>
      <c r="U111" s="31">
        <v>0</v>
      </c>
      <c r="V111" s="31">
        <v>0</v>
      </c>
      <c r="W111" s="31">
        <v>0</v>
      </c>
      <c r="X111" s="31">
        <v>0</v>
      </c>
      <c r="Y111" s="31">
        <v>0</v>
      </c>
      <c r="Z111" s="31">
        <v>0</v>
      </c>
      <c r="AA111" s="31">
        <v>0</v>
      </c>
      <c r="AB111" s="31">
        <v>0</v>
      </c>
      <c r="AC111" s="31">
        <v>0</v>
      </c>
      <c r="AD111" s="31">
        <v>0</v>
      </c>
      <c r="AE111" s="31">
        <v>0</v>
      </c>
      <c r="AF111" s="31">
        <v>0</v>
      </c>
      <c r="AG111" s="31">
        <v>0</v>
      </c>
      <c r="AH111" s="31">
        <v>0</v>
      </c>
      <c r="AI111" s="31">
        <v>0</v>
      </c>
      <c r="AJ111" s="31">
        <v>0</v>
      </c>
      <c r="AK111" s="31">
        <v>0</v>
      </c>
      <c r="AL111" s="31">
        <v>0</v>
      </c>
      <c r="AM111" s="31">
        <v>0</v>
      </c>
      <c r="AN111" s="31">
        <v>0</v>
      </c>
      <c r="AO111" s="31">
        <v>0</v>
      </c>
      <c r="AP111" s="31">
        <v>0</v>
      </c>
    </row>
    <row r="112" spans="1:42" x14ac:dyDescent="0.25">
      <c r="A112" s="31">
        <v>22</v>
      </c>
      <c r="B112" s="31">
        <v>24602</v>
      </c>
      <c r="C112" s="31">
        <v>1</v>
      </c>
      <c r="D112" s="31" t="s">
        <v>547</v>
      </c>
      <c r="E112" s="31"/>
      <c r="F112" s="31">
        <v>0</v>
      </c>
      <c r="G112" s="31">
        <v>0</v>
      </c>
      <c r="H112" s="31">
        <v>0</v>
      </c>
      <c r="I112" s="31">
        <v>0</v>
      </c>
      <c r="J112" s="31">
        <v>0</v>
      </c>
      <c r="K112" s="31" t="s">
        <v>882</v>
      </c>
      <c r="L112" s="2" t="str">
        <f t="shared" si="8"/>
        <v>Рихтовка</v>
      </c>
      <c r="M112" s="12">
        <f t="shared" si="9"/>
        <v>0</v>
      </c>
      <c r="N112" s="12">
        <f t="shared" si="10"/>
        <v>0</v>
      </c>
      <c r="O112" s="12">
        <f t="shared" si="11"/>
        <v>0</v>
      </c>
      <c r="P112" s="12">
        <f t="shared" si="12"/>
        <v>0</v>
      </c>
      <c r="Q112" s="12">
        <f t="shared" si="13"/>
        <v>0</v>
      </c>
      <c r="R112" s="12">
        <f t="shared" si="14"/>
        <v>0</v>
      </c>
      <c r="S112" s="12">
        <f t="shared" si="15"/>
        <v>0</v>
      </c>
      <c r="T112" s="31">
        <v>0</v>
      </c>
      <c r="U112" s="31">
        <v>0</v>
      </c>
      <c r="V112" s="31">
        <v>0</v>
      </c>
      <c r="W112" s="31">
        <v>0</v>
      </c>
      <c r="X112" s="31">
        <v>0</v>
      </c>
      <c r="Y112" s="31">
        <v>0</v>
      </c>
      <c r="Z112" s="31">
        <v>0</v>
      </c>
      <c r="AA112" s="31">
        <v>0</v>
      </c>
      <c r="AB112" s="31">
        <v>0</v>
      </c>
      <c r="AC112" s="31">
        <v>0</v>
      </c>
      <c r="AD112" s="31">
        <v>0</v>
      </c>
      <c r="AE112" s="31">
        <v>0</v>
      </c>
      <c r="AF112" s="31">
        <v>0</v>
      </c>
      <c r="AG112" s="31">
        <v>0</v>
      </c>
      <c r="AH112" s="31">
        <v>0</v>
      </c>
      <c r="AI112" s="31">
        <v>0</v>
      </c>
      <c r="AJ112" s="31">
        <v>0</v>
      </c>
      <c r="AK112" s="31">
        <v>0</v>
      </c>
      <c r="AL112" s="31">
        <v>0</v>
      </c>
      <c r="AM112" s="31">
        <v>0</v>
      </c>
      <c r="AN112" s="31">
        <v>0</v>
      </c>
      <c r="AO112" s="31">
        <v>0</v>
      </c>
      <c r="AP112" s="31">
        <v>0</v>
      </c>
    </row>
    <row r="113" spans="1:42" x14ac:dyDescent="0.25">
      <c r="A113" s="31">
        <v>22</v>
      </c>
      <c r="B113" s="31">
        <v>24603</v>
      </c>
      <c r="C113" s="31">
        <v>1</v>
      </c>
      <c r="D113" s="31" t="s">
        <v>548</v>
      </c>
      <c r="E113" s="31"/>
      <c r="F113" s="31">
        <v>0</v>
      </c>
      <c r="G113" s="31">
        <v>0</v>
      </c>
      <c r="H113" s="31">
        <v>0</v>
      </c>
      <c r="I113" s="31">
        <v>0</v>
      </c>
      <c r="J113" s="31">
        <v>0</v>
      </c>
      <c r="K113" s="31" t="s">
        <v>882</v>
      </c>
      <c r="L113" s="2" t="str">
        <f t="shared" si="8"/>
        <v>Рихтовка</v>
      </c>
      <c r="M113" s="12">
        <f t="shared" si="9"/>
        <v>0</v>
      </c>
      <c r="N113" s="12">
        <f t="shared" si="10"/>
        <v>0</v>
      </c>
      <c r="O113" s="12">
        <f t="shared" si="11"/>
        <v>0</v>
      </c>
      <c r="P113" s="12">
        <f t="shared" si="12"/>
        <v>0</v>
      </c>
      <c r="Q113" s="12">
        <f t="shared" si="13"/>
        <v>0</v>
      </c>
      <c r="R113" s="12">
        <f t="shared" si="14"/>
        <v>0</v>
      </c>
      <c r="S113" s="12">
        <f t="shared" si="15"/>
        <v>0</v>
      </c>
      <c r="T113" s="31">
        <v>0</v>
      </c>
      <c r="U113" s="31">
        <v>0</v>
      </c>
      <c r="V113" s="31">
        <v>0</v>
      </c>
      <c r="W113" s="31">
        <v>0</v>
      </c>
      <c r="X113" s="31">
        <v>0</v>
      </c>
      <c r="Y113" s="31">
        <v>0</v>
      </c>
      <c r="Z113" s="31">
        <v>0</v>
      </c>
      <c r="AA113" s="31">
        <v>0</v>
      </c>
      <c r="AB113" s="31">
        <v>0</v>
      </c>
      <c r="AC113" s="31">
        <v>0</v>
      </c>
      <c r="AD113" s="31">
        <v>0</v>
      </c>
      <c r="AE113" s="31">
        <v>0</v>
      </c>
      <c r="AF113" s="31">
        <v>0</v>
      </c>
      <c r="AG113" s="31">
        <v>0</v>
      </c>
      <c r="AH113" s="31">
        <v>0</v>
      </c>
      <c r="AI113" s="31">
        <v>0</v>
      </c>
      <c r="AJ113" s="31">
        <v>0</v>
      </c>
      <c r="AK113" s="31">
        <v>0</v>
      </c>
      <c r="AL113" s="31">
        <v>0</v>
      </c>
      <c r="AM113" s="31">
        <v>0</v>
      </c>
      <c r="AN113" s="31">
        <v>0</v>
      </c>
      <c r="AO113" s="31">
        <v>0</v>
      </c>
      <c r="AP113" s="31">
        <v>0</v>
      </c>
    </row>
    <row r="114" spans="1:42" x14ac:dyDescent="0.25">
      <c r="A114" s="31">
        <v>22</v>
      </c>
      <c r="B114" s="31">
        <v>24603</v>
      </c>
      <c r="C114" s="31">
        <v>1</v>
      </c>
      <c r="D114" s="31" t="s">
        <v>549</v>
      </c>
      <c r="E114" s="31"/>
      <c r="F114" s="31">
        <v>0</v>
      </c>
      <c r="G114" s="31">
        <v>0</v>
      </c>
      <c r="H114" s="31">
        <v>0</v>
      </c>
      <c r="I114" s="31">
        <v>0</v>
      </c>
      <c r="J114" s="31">
        <v>0</v>
      </c>
      <c r="K114" s="31" t="s">
        <v>882</v>
      </c>
      <c r="L114" s="2" t="str">
        <f t="shared" si="8"/>
        <v>Рихтовка</v>
      </c>
      <c r="M114" s="12">
        <f t="shared" si="9"/>
        <v>0</v>
      </c>
      <c r="N114" s="12">
        <f t="shared" si="10"/>
        <v>0</v>
      </c>
      <c r="O114" s="12">
        <f t="shared" si="11"/>
        <v>0</v>
      </c>
      <c r="P114" s="12">
        <f t="shared" si="12"/>
        <v>0</v>
      </c>
      <c r="Q114" s="12">
        <f t="shared" si="13"/>
        <v>0</v>
      </c>
      <c r="R114" s="12">
        <f t="shared" si="14"/>
        <v>0</v>
      </c>
      <c r="S114" s="12">
        <f t="shared" si="15"/>
        <v>0</v>
      </c>
      <c r="T114" s="31">
        <v>0</v>
      </c>
      <c r="U114" s="31">
        <v>0</v>
      </c>
      <c r="V114" s="31">
        <v>0</v>
      </c>
      <c r="W114" s="31">
        <v>0</v>
      </c>
      <c r="X114" s="31">
        <v>0</v>
      </c>
      <c r="Y114" s="31">
        <v>0</v>
      </c>
      <c r="Z114" s="31">
        <v>0</v>
      </c>
      <c r="AA114" s="31">
        <v>0</v>
      </c>
      <c r="AB114" s="31">
        <v>0</v>
      </c>
      <c r="AC114" s="31">
        <v>0</v>
      </c>
      <c r="AD114" s="31">
        <v>0</v>
      </c>
      <c r="AE114" s="31">
        <v>0</v>
      </c>
      <c r="AF114" s="31">
        <v>0</v>
      </c>
      <c r="AG114" s="31">
        <v>0</v>
      </c>
      <c r="AH114" s="31">
        <v>0</v>
      </c>
      <c r="AI114" s="31">
        <v>0</v>
      </c>
      <c r="AJ114" s="31">
        <v>0</v>
      </c>
      <c r="AK114" s="31">
        <v>0</v>
      </c>
      <c r="AL114" s="31">
        <v>0</v>
      </c>
      <c r="AM114" s="31">
        <v>0</v>
      </c>
      <c r="AN114" s="31">
        <v>0</v>
      </c>
      <c r="AO114" s="31">
        <v>0</v>
      </c>
      <c r="AP114" s="31">
        <v>0</v>
      </c>
    </row>
    <row r="115" spans="1:42" x14ac:dyDescent="0.25">
      <c r="A115" s="31">
        <v>22</v>
      </c>
      <c r="B115" s="31">
        <v>24701</v>
      </c>
      <c r="C115" s="31">
        <v>1</v>
      </c>
      <c r="D115" s="31" t="s">
        <v>550</v>
      </c>
      <c r="E115" s="31"/>
      <c r="F115" s="31">
        <v>0</v>
      </c>
      <c r="G115" s="31">
        <v>0</v>
      </c>
      <c r="H115" s="31">
        <v>0</v>
      </c>
      <c r="I115" s="31">
        <v>0</v>
      </c>
      <c r="J115" s="31">
        <v>0</v>
      </c>
      <c r="K115" s="31" t="s">
        <v>882</v>
      </c>
      <c r="L115" s="2" t="str">
        <f t="shared" si="8"/>
        <v>Рихтовка</v>
      </c>
      <c r="M115" s="12">
        <f t="shared" si="9"/>
        <v>0</v>
      </c>
      <c r="N115" s="12">
        <f t="shared" si="10"/>
        <v>0</v>
      </c>
      <c r="O115" s="12">
        <f t="shared" si="11"/>
        <v>0</v>
      </c>
      <c r="P115" s="12">
        <f t="shared" si="12"/>
        <v>0</v>
      </c>
      <c r="Q115" s="12">
        <f t="shared" si="13"/>
        <v>0</v>
      </c>
      <c r="R115" s="12">
        <f t="shared" si="14"/>
        <v>0</v>
      </c>
      <c r="S115" s="12">
        <f t="shared" si="15"/>
        <v>0</v>
      </c>
      <c r="T115" s="31">
        <v>0</v>
      </c>
      <c r="U115" s="31">
        <v>0</v>
      </c>
      <c r="V115" s="31">
        <v>0</v>
      </c>
      <c r="W115" s="31">
        <v>0</v>
      </c>
      <c r="X115" s="31">
        <v>0</v>
      </c>
      <c r="Y115" s="31">
        <v>0</v>
      </c>
      <c r="Z115" s="31">
        <v>0</v>
      </c>
      <c r="AA115" s="31">
        <v>0</v>
      </c>
      <c r="AB115" s="31">
        <v>0</v>
      </c>
      <c r="AC115" s="31">
        <v>0</v>
      </c>
      <c r="AD115" s="31">
        <v>0</v>
      </c>
      <c r="AE115" s="31">
        <v>0</v>
      </c>
      <c r="AF115" s="31">
        <v>0</v>
      </c>
      <c r="AG115" s="31">
        <v>0</v>
      </c>
      <c r="AH115" s="31">
        <v>0</v>
      </c>
      <c r="AI115" s="31">
        <v>0</v>
      </c>
      <c r="AJ115" s="31">
        <v>0</v>
      </c>
      <c r="AK115" s="31">
        <v>0</v>
      </c>
      <c r="AL115" s="31">
        <v>0</v>
      </c>
      <c r="AM115" s="31">
        <v>0</v>
      </c>
      <c r="AN115" s="31">
        <v>0</v>
      </c>
      <c r="AO115" s="31">
        <v>0</v>
      </c>
      <c r="AP115" s="31">
        <v>0</v>
      </c>
    </row>
    <row r="116" spans="1:42" x14ac:dyDescent="0.25">
      <c r="A116" s="31">
        <v>22</v>
      </c>
      <c r="B116" s="31">
        <v>24701</v>
      </c>
      <c r="C116" s="31">
        <v>1</v>
      </c>
      <c r="D116" s="31" t="s">
        <v>551</v>
      </c>
      <c r="E116" s="31"/>
      <c r="F116" s="31">
        <v>0</v>
      </c>
      <c r="G116" s="31">
        <v>0</v>
      </c>
      <c r="H116" s="31">
        <v>0</v>
      </c>
      <c r="I116" s="31">
        <v>0</v>
      </c>
      <c r="J116" s="31">
        <v>0</v>
      </c>
      <c r="K116" s="31" t="s">
        <v>882</v>
      </c>
      <c r="L116" s="2" t="str">
        <f t="shared" si="8"/>
        <v>Рихтовка</v>
      </c>
      <c r="M116" s="12">
        <f t="shared" si="9"/>
        <v>0</v>
      </c>
      <c r="N116" s="12">
        <f t="shared" si="10"/>
        <v>0</v>
      </c>
      <c r="O116" s="12">
        <f t="shared" si="11"/>
        <v>0</v>
      </c>
      <c r="P116" s="12">
        <f t="shared" si="12"/>
        <v>0</v>
      </c>
      <c r="Q116" s="12">
        <f t="shared" si="13"/>
        <v>0</v>
      </c>
      <c r="R116" s="12">
        <f t="shared" si="14"/>
        <v>0</v>
      </c>
      <c r="S116" s="12">
        <f t="shared" si="15"/>
        <v>0</v>
      </c>
      <c r="T116" s="31">
        <v>0</v>
      </c>
      <c r="U116" s="31">
        <v>0</v>
      </c>
      <c r="V116" s="31">
        <v>0</v>
      </c>
      <c r="W116" s="31">
        <v>0</v>
      </c>
      <c r="X116" s="31">
        <v>0</v>
      </c>
      <c r="Y116" s="31">
        <v>0</v>
      </c>
      <c r="Z116" s="31">
        <v>0</v>
      </c>
      <c r="AA116" s="31">
        <v>0</v>
      </c>
      <c r="AB116" s="31">
        <v>0</v>
      </c>
      <c r="AC116" s="31">
        <v>0</v>
      </c>
      <c r="AD116" s="31">
        <v>0</v>
      </c>
      <c r="AE116" s="31">
        <v>0</v>
      </c>
      <c r="AF116" s="31">
        <v>0</v>
      </c>
      <c r="AG116" s="31">
        <v>0</v>
      </c>
      <c r="AH116" s="31">
        <v>0</v>
      </c>
      <c r="AI116" s="31">
        <v>0</v>
      </c>
      <c r="AJ116" s="31">
        <v>0</v>
      </c>
      <c r="AK116" s="31">
        <v>0</v>
      </c>
      <c r="AL116" s="31">
        <v>0</v>
      </c>
      <c r="AM116" s="31">
        <v>0</v>
      </c>
      <c r="AN116" s="31">
        <v>0</v>
      </c>
      <c r="AO116" s="31">
        <v>0</v>
      </c>
      <c r="AP116" s="31">
        <v>0</v>
      </c>
    </row>
    <row r="117" spans="1:42" x14ac:dyDescent="0.25">
      <c r="A117" s="31">
        <v>22</v>
      </c>
      <c r="B117" s="31">
        <v>24701</v>
      </c>
      <c r="C117" s="31">
        <v>1</v>
      </c>
      <c r="D117" s="31" t="s">
        <v>552</v>
      </c>
      <c r="E117" s="31"/>
      <c r="F117" s="31">
        <v>0</v>
      </c>
      <c r="G117" s="31">
        <v>0</v>
      </c>
      <c r="H117" s="31">
        <v>0</v>
      </c>
      <c r="I117" s="31">
        <v>0</v>
      </c>
      <c r="J117" s="31">
        <v>0</v>
      </c>
      <c r="K117" s="31" t="s">
        <v>882</v>
      </c>
      <c r="L117" s="2" t="str">
        <f t="shared" si="8"/>
        <v>Рихтовка</v>
      </c>
      <c r="M117" s="12">
        <f t="shared" si="9"/>
        <v>0</v>
      </c>
      <c r="N117" s="12">
        <f t="shared" si="10"/>
        <v>0</v>
      </c>
      <c r="O117" s="12">
        <f t="shared" si="11"/>
        <v>0</v>
      </c>
      <c r="P117" s="12">
        <f t="shared" si="12"/>
        <v>0</v>
      </c>
      <c r="Q117" s="12">
        <f t="shared" si="13"/>
        <v>0</v>
      </c>
      <c r="R117" s="12">
        <f t="shared" si="14"/>
        <v>0</v>
      </c>
      <c r="S117" s="12">
        <f t="shared" si="15"/>
        <v>0</v>
      </c>
      <c r="T117" s="31">
        <v>0</v>
      </c>
      <c r="U117" s="31">
        <v>0</v>
      </c>
      <c r="V117" s="31">
        <v>0</v>
      </c>
      <c r="W117" s="31">
        <v>0</v>
      </c>
      <c r="X117" s="31">
        <v>0</v>
      </c>
      <c r="Y117" s="31">
        <v>0</v>
      </c>
      <c r="Z117" s="31">
        <v>0</v>
      </c>
      <c r="AA117" s="31">
        <v>0</v>
      </c>
      <c r="AB117" s="31">
        <v>0</v>
      </c>
      <c r="AC117" s="31">
        <v>0</v>
      </c>
      <c r="AD117" s="31">
        <v>0</v>
      </c>
      <c r="AE117" s="31">
        <v>0</v>
      </c>
      <c r="AF117" s="31">
        <v>0</v>
      </c>
      <c r="AG117" s="31">
        <v>0</v>
      </c>
      <c r="AH117" s="31">
        <v>0</v>
      </c>
      <c r="AI117" s="31">
        <v>0</v>
      </c>
      <c r="AJ117" s="31">
        <v>0</v>
      </c>
      <c r="AK117" s="31">
        <v>0</v>
      </c>
      <c r="AL117" s="31">
        <v>0</v>
      </c>
      <c r="AM117" s="31">
        <v>0</v>
      </c>
      <c r="AN117" s="31">
        <v>0</v>
      </c>
      <c r="AO117" s="31">
        <v>0</v>
      </c>
      <c r="AP117" s="31">
        <v>0</v>
      </c>
    </row>
    <row r="118" spans="1:42" x14ac:dyDescent="0.25">
      <c r="A118" s="31">
        <v>22</v>
      </c>
      <c r="B118" s="31">
        <v>24701</v>
      </c>
      <c r="C118" s="31">
        <v>1</v>
      </c>
      <c r="D118" s="31" t="s">
        <v>553</v>
      </c>
      <c r="E118" s="31"/>
      <c r="F118" s="31">
        <v>0</v>
      </c>
      <c r="G118" s="31">
        <v>0</v>
      </c>
      <c r="H118" s="31">
        <v>0</v>
      </c>
      <c r="I118" s="31">
        <v>0</v>
      </c>
      <c r="J118" s="31">
        <v>0</v>
      </c>
      <c r="K118" s="31" t="s">
        <v>882</v>
      </c>
      <c r="L118" s="2" t="str">
        <f t="shared" si="8"/>
        <v>Рихтовка</v>
      </c>
      <c r="M118" s="12">
        <f t="shared" si="9"/>
        <v>0</v>
      </c>
      <c r="N118" s="12">
        <f t="shared" si="10"/>
        <v>0</v>
      </c>
      <c r="O118" s="12">
        <f t="shared" si="11"/>
        <v>0</v>
      </c>
      <c r="P118" s="12">
        <f t="shared" si="12"/>
        <v>0</v>
      </c>
      <c r="Q118" s="12">
        <f t="shared" si="13"/>
        <v>0</v>
      </c>
      <c r="R118" s="12">
        <f t="shared" si="14"/>
        <v>0</v>
      </c>
      <c r="S118" s="12">
        <f t="shared" si="15"/>
        <v>0</v>
      </c>
      <c r="T118" s="31">
        <v>0</v>
      </c>
      <c r="U118" s="31">
        <v>0</v>
      </c>
      <c r="V118" s="31">
        <v>0</v>
      </c>
      <c r="W118" s="31">
        <v>0</v>
      </c>
      <c r="X118" s="31">
        <v>0</v>
      </c>
      <c r="Y118" s="31">
        <v>0</v>
      </c>
      <c r="Z118" s="31">
        <v>0</v>
      </c>
      <c r="AA118" s="31">
        <v>0</v>
      </c>
      <c r="AB118" s="31">
        <v>0</v>
      </c>
      <c r="AC118" s="31">
        <v>0</v>
      </c>
      <c r="AD118" s="31">
        <v>0</v>
      </c>
      <c r="AE118" s="31">
        <v>0</v>
      </c>
      <c r="AF118" s="31">
        <v>0</v>
      </c>
      <c r="AG118" s="31">
        <v>0</v>
      </c>
      <c r="AH118" s="31">
        <v>0</v>
      </c>
      <c r="AI118" s="31">
        <v>0</v>
      </c>
      <c r="AJ118" s="31">
        <v>0</v>
      </c>
      <c r="AK118" s="31">
        <v>0</v>
      </c>
      <c r="AL118" s="31">
        <v>0</v>
      </c>
      <c r="AM118" s="31">
        <v>0</v>
      </c>
      <c r="AN118" s="31">
        <v>0</v>
      </c>
      <c r="AO118" s="31">
        <v>0</v>
      </c>
      <c r="AP118" s="31">
        <v>0</v>
      </c>
    </row>
    <row r="119" spans="1:42" x14ac:dyDescent="0.25">
      <c r="A119" s="31">
        <v>22</v>
      </c>
      <c r="B119" s="31">
        <v>24701</v>
      </c>
      <c r="C119" s="31">
        <v>1</v>
      </c>
      <c r="D119" s="31" t="s">
        <v>554</v>
      </c>
      <c r="E119" s="31"/>
      <c r="F119" s="31">
        <v>0</v>
      </c>
      <c r="G119" s="31">
        <v>0</v>
      </c>
      <c r="H119" s="31">
        <v>0</v>
      </c>
      <c r="I119" s="31">
        <v>0</v>
      </c>
      <c r="J119" s="31">
        <v>0</v>
      </c>
      <c r="K119" s="31" t="s">
        <v>882</v>
      </c>
      <c r="L119" s="2" t="str">
        <f t="shared" si="8"/>
        <v>Рихтовка</v>
      </c>
      <c r="M119" s="12">
        <f t="shared" si="9"/>
        <v>0</v>
      </c>
      <c r="N119" s="12">
        <f t="shared" si="10"/>
        <v>0</v>
      </c>
      <c r="O119" s="12">
        <f t="shared" si="11"/>
        <v>0</v>
      </c>
      <c r="P119" s="12">
        <f t="shared" si="12"/>
        <v>0</v>
      </c>
      <c r="Q119" s="12">
        <f t="shared" si="13"/>
        <v>0</v>
      </c>
      <c r="R119" s="12">
        <f t="shared" si="14"/>
        <v>0</v>
      </c>
      <c r="S119" s="12">
        <f t="shared" si="15"/>
        <v>0</v>
      </c>
      <c r="T119" s="31">
        <v>0</v>
      </c>
      <c r="U119" s="31">
        <v>0</v>
      </c>
      <c r="V119" s="31">
        <v>0</v>
      </c>
      <c r="W119" s="31">
        <v>0</v>
      </c>
      <c r="X119" s="31">
        <v>0</v>
      </c>
      <c r="Y119" s="31">
        <v>0</v>
      </c>
      <c r="Z119" s="31">
        <v>0</v>
      </c>
      <c r="AA119" s="31">
        <v>0</v>
      </c>
      <c r="AB119" s="31">
        <v>0</v>
      </c>
      <c r="AC119" s="31">
        <v>0</v>
      </c>
      <c r="AD119" s="31">
        <v>0</v>
      </c>
      <c r="AE119" s="31">
        <v>0</v>
      </c>
      <c r="AF119" s="31">
        <v>0</v>
      </c>
      <c r="AG119" s="31">
        <v>0</v>
      </c>
      <c r="AH119" s="31">
        <v>0</v>
      </c>
      <c r="AI119" s="31">
        <v>0</v>
      </c>
      <c r="AJ119" s="31">
        <v>0</v>
      </c>
      <c r="AK119" s="31">
        <v>0</v>
      </c>
      <c r="AL119" s="31">
        <v>0</v>
      </c>
      <c r="AM119" s="31">
        <v>0</v>
      </c>
      <c r="AN119" s="31">
        <v>0</v>
      </c>
      <c r="AO119" s="31">
        <v>0</v>
      </c>
      <c r="AP119" s="31">
        <v>0</v>
      </c>
    </row>
    <row r="120" spans="1:42" x14ac:dyDescent="0.25">
      <c r="A120" s="31">
        <v>22</v>
      </c>
      <c r="B120" s="31">
        <v>24701</v>
      </c>
      <c r="C120" s="31">
        <v>1</v>
      </c>
      <c r="D120" s="31" t="s">
        <v>555</v>
      </c>
      <c r="E120" s="31"/>
      <c r="F120" s="31">
        <v>0</v>
      </c>
      <c r="G120" s="31">
        <v>0</v>
      </c>
      <c r="H120" s="31">
        <v>0</v>
      </c>
      <c r="I120" s="31">
        <v>0</v>
      </c>
      <c r="J120" s="31">
        <v>0</v>
      </c>
      <c r="K120" s="31" t="s">
        <v>882</v>
      </c>
      <c r="L120" s="2" t="str">
        <f t="shared" si="8"/>
        <v>Рихтовка</v>
      </c>
      <c r="M120" s="12">
        <f t="shared" si="9"/>
        <v>0</v>
      </c>
      <c r="N120" s="12">
        <f t="shared" si="10"/>
        <v>0</v>
      </c>
      <c r="O120" s="12">
        <f t="shared" si="11"/>
        <v>0</v>
      </c>
      <c r="P120" s="12">
        <f t="shared" si="12"/>
        <v>0</v>
      </c>
      <c r="Q120" s="12">
        <f t="shared" si="13"/>
        <v>0</v>
      </c>
      <c r="R120" s="12">
        <f t="shared" si="14"/>
        <v>0</v>
      </c>
      <c r="S120" s="12">
        <f t="shared" si="15"/>
        <v>0</v>
      </c>
      <c r="T120" s="31">
        <v>0</v>
      </c>
      <c r="U120" s="31">
        <v>0</v>
      </c>
      <c r="V120" s="31">
        <v>0</v>
      </c>
      <c r="W120" s="31">
        <v>0</v>
      </c>
      <c r="X120" s="31">
        <v>0</v>
      </c>
      <c r="Y120" s="31">
        <v>0</v>
      </c>
      <c r="Z120" s="31">
        <v>0</v>
      </c>
      <c r="AA120" s="31">
        <v>0</v>
      </c>
      <c r="AB120" s="31">
        <v>0</v>
      </c>
      <c r="AC120" s="31">
        <v>0</v>
      </c>
      <c r="AD120" s="31">
        <v>0</v>
      </c>
      <c r="AE120" s="31">
        <v>0</v>
      </c>
      <c r="AF120" s="31">
        <v>0</v>
      </c>
      <c r="AG120" s="31">
        <v>0</v>
      </c>
      <c r="AH120" s="31">
        <v>0</v>
      </c>
      <c r="AI120" s="31">
        <v>0</v>
      </c>
      <c r="AJ120" s="31">
        <v>0</v>
      </c>
      <c r="AK120" s="31">
        <v>0</v>
      </c>
      <c r="AL120" s="31">
        <v>0</v>
      </c>
      <c r="AM120" s="31">
        <v>0</v>
      </c>
      <c r="AN120" s="31">
        <v>0</v>
      </c>
      <c r="AO120" s="31">
        <v>0</v>
      </c>
      <c r="AP120" s="31">
        <v>0</v>
      </c>
    </row>
    <row r="121" spans="1:42" x14ac:dyDescent="0.25">
      <c r="A121" s="31">
        <v>22</v>
      </c>
      <c r="B121" s="31">
        <v>24701</v>
      </c>
      <c r="C121" s="31">
        <v>1</v>
      </c>
      <c r="D121" s="31" t="s">
        <v>556</v>
      </c>
      <c r="E121" s="31"/>
      <c r="F121" s="31">
        <v>0</v>
      </c>
      <c r="G121" s="31">
        <v>0</v>
      </c>
      <c r="H121" s="31">
        <v>0</v>
      </c>
      <c r="I121" s="31">
        <v>0</v>
      </c>
      <c r="J121" s="31">
        <v>0</v>
      </c>
      <c r="K121" s="31" t="s">
        <v>882</v>
      </c>
      <c r="L121" s="2" t="str">
        <f t="shared" si="8"/>
        <v>Рихтовка</v>
      </c>
      <c r="M121" s="12">
        <f t="shared" si="9"/>
        <v>0</v>
      </c>
      <c r="N121" s="12">
        <f t="shared" si="10"/>
        <v>0</v>
      </c>
      <c r="O121" s="12">
        <f t="shared" si="11"/>
        <v>0</v>
      </c>
      <c r="P121" s="12">
        <f t="shared" si="12"/>
        <v>0</v>
      </c>
      <c r="Q121" s="12">
        <f t="shared" si="13"/>
        <v>0</v>
      </c>
      <c r="R121" s="12">
        <f t="shared" si="14"/>
        <v>0</v>
      </c>
      <c r="S121" s="12">
        <f t="shared" si="15"/>
        <v>0</v>
      </c>
      <c r="T121" s="31">
        <v>0</v>
      </c>
      <c r="U121" s="31">
        <v>0</v>
      </c>
      <c r="V121" s="31">
        <v>0</v>
      </c>
      <c r="W121" s="31">
        <v>0</v>
      </c>
      <c r="X121" s="31">
        <v>0</v>
      </c>
      <c r="Y121" s="31">
        <v>0</v>
      </c>
      <c r="Z121" s="31">
        <v>0</v>
      </c>
      <c r="AA121" s="31">
        <v>0</v>
      </c>
      <c r="AB121" s="31">
        <v>0</v>
      </c>
      <c r="AC121" s="31">
        <v>0</v>
      </c>
      <c r="AD121" s="31">
        <v>0</v>
      </c>
      <c r="AE121" s="31">
        <v>0</v>
      </c>
      <c r="AF121" s="31">
        <v>0</v>
      </c>
      <c r="AG121" s="31">
        <v>0</v>
      </c>
      <c r="AH121" s="31">
        <v>0</v>
      </c>
      <c r="AI121" s="31">
        <v>0</v>
      </c>
      <c r="AJ121" s="31">
        <v>0</v>
      </c>
      <c r="AK121" s="31">
        <v>0</v>
      </c>
      <c r="AL121" s="31">
        <v>0</v>
      </c>
      <c r="AM121" s="31">
        <v>0</v>
      </c>
      <c r="AN121" s="31">
        <v>0</v>
      </c>
      <c r="AO121" s="31">
        <v>0</v>
      </c>
      <c r="AP121" s="31">
        <v>0</v>
      </c>
    </row>
    <row r="122" spans="1:42" x14ac:dyDescent="0.25">
      <c r="A122" s="31">
        <v>22</v>
      </c>
      <c r="B122" s="31">
        <v>24701</v>
      </c>
      <c r="C122" s="31">
        <v>1</v>
      </c>
      <c r="D122" s="31" t="s">
        <v>557</v>
      </c>
      <c r="E122" s="31"/>
      <c r="F122" s="31">
        <v>0</v>
      </c>
      <c r="G122" s="31">
        <v>0</v>
      </c>
      <c r="H122" s="31">
        <v>0</v>
      </c>
      <c r="I122" s="31">
        <v>0</v>
      </c>
      <c r="J122" s="31">
        <v>0</v>
      </c>
      <c r="K122" s="31" t="s">
        <v>882</v>
      </c>
      <c r="L122" s="2" t="str">
        <f t="shared" si="8"/>
        <v>Рихтовка</v>
      </c>
      <c r="M122" s="12">
        <f t="shared" si="9"/>
        <v>0</v>
      </c>
      <c r="N122" s="12">
        <f t="shared" si="10"/>
        <v>0</v>
      </c>
      <c r="O122" s="12">
        <f t="shared" si="11"/>
        <v>0</v>
      </c>
      <c r="P122" s="12">
        <f t="shared" si="12"/>
        <v>0</v>
      </c>
      <c r="Q122" s="12">
        <f t="shared" si="13"/>
        <v>0</v>
      </c>
      <c r="R122" s="12">
        <f t="shared" si="14"/>
        <v>0</v>
      </c>
      <c r="S122" s="12">
        <f t="shared" si="15"/>
        <v>0</v>
      </c>
      <c r="T122" s="31">
        <v>0</v>
      </c>
      <c r="U122" s="31">
        <v>0</v>
      </c>
      <c r="V122" s="31">
        <v>0</v>
      </c>
      <c r="W122" s="31">
        <v>0</v>
      </c>
      <c r="X122" s="31">
        <v>0</v>
      </c>
      <c r="Y122" s="31">
        <v>0</v>
      </c>
      <c r="Z122" s="31">
        <v>0</v>
      </c>
      <c r="AA122" s="31">
        <v>0</v>
      </c>
      <c r="AB122" s="31">
        <v>0</v>
      </c>
      <c r="AC122" s="31">
        <v>0</v>
      </c>
      <c r="AD122" s="31">
        <v>0</v>
      </c>
      <c r="AE122" s="31">
        <v>0</v>
      </c>
      <c r="AF122" s="31">
        <v>0</v>
      </c>
      <c r="AG122" s="31">
        <v>0</v>
      </c>
      <c r="AH122" s="31">
        <v>0</v>
      </c>
      <c r="AI122" s="31">
        <v>0</v>
      </c>
      <c r="AJ122" s="31">
        <v>0</v>
      </c>
      <c r="AK122" s="31">
        <v>0</v>
      </c>
      <c r="AL122" s="31">
        <v>0</v>
      </c>
      <c r="AM122" s="31">
        <v>0</v>
      </c>
      <c r="AN122" s="31">
        <v>0</v>
      </c>
      <c r="AO122" s="31">
        <v>0</v>
      </c>
      <c r="AP122" s="31">
        <v>0</v>
      </c>
    </row>
    <row r="123" spans="1:42" x14ac:dyDescent="0.25">
      <c r="A123" s="31">
        <v>22</v>
      </c>
      <c r="B123" s="31">
        <v>24701</v>
      </c>
      <c r="C123" s="31">
        <v>1</v>
      </c>
      <c r="D123" s="31" t="s">
        <v>558</v>
      </c>
      <c r="E123" s="31"/>
      <c r="F123" s="31">
        <v>0</v>
      </c>
      <c r="G123" s="31">
        <v>0</v>
      </c>
      <c r="H123" s="31">
        <v>0</v>
      </c>
      <c r="I123" s="31">
        <v>0</v>
      </c>
      <c r="J123" s="31">
        <v>0</v>
      </c>
      <c r="K123" s="31" t="s">
        <v>882</v>
      </c>
      <c r="L123" s="2" t="str">
        <f t="shared" si="8"/>
        <v>Рихтовка</v>
      </c>
      <c r="M123" s="12">
        <f t="shared" si="9"/>
        <v>0</v>
      </c>
      <c r="N123" s="12">
        <f t="shared" si="10"/>
        <v>0</v>
      </c>
      <c r="O123" s="12">
        <f t="shared" si="11"/>
        <v>0</v>
      </c>
      <c r="P123" s="12">
        <f t="shared" si="12"/>
        <v>0</v>
      </c>
      <c r="Q123" s="12">
        <f t="shared" si="13"/>
        <v>0</v>
      </c>
      <c r="R123" s="12">
        <f t="shared" si="14"/>
        <v>0</v>
      </c>
      <c r="S123" s="12">
        <f t="shared" si="15"/>
        <v>0</v>
      </c>
      <c r="T123" s="31">
        <v>0</v>
      </c>
      <c r="U123" s="31">
        <v>0</v>
      </c>
      <c r="V123" s="31">
        <v>0</v>
      </c>
      <c r="W123" s="31">
        <v>0</v>
      </c>
      <c r="X123" s="31">
        <v>0</v>
      </c>
      <c r="Y123" s="31">
        <v>0</v>
      </c>
      <c r="Z123" s="31">
        <v>0</v>
      </c>
      <c r="AA123" s="31">
        <v>0</v>
      </c>
      <c r="AB123" s="31">
        <v>0</v>
      </c>
      <c r="AC123" s="31">
        <v>0</v>
      </c>
      <c r="AD123" s="31">
        <v>0</v>
      </c>
      <c r="AE123" s="31">
        <v>0</v>
      </c>
      <c r="AF123" s="31">
        <v>0</v>
      </c>
      <c r="AG123" s="31">
        <v>0</v>
      </c>
      <c r="AH123" s="31">
        <v>0</v>
      </c>
      <c r="AI123" s="31">
        <v>0</v>
      </c>
      <c r="AJ123" s="31">
        <v>0</v>
      </c>
      <c r="AK123" s="31">
        <v>0</v>
      </c>
      <c r="AL123" s="31">
        <v>0</v>
      </c>
      <c r="AM123" s="31">
        <v>0</v>
      </c>
      <c r="AN123" s="31">
        <v>0</v>
      </c>
      <c r="AO123" s="31">
        <v>0</v>
      </c>
      <c r="AP123" s="31">
        <v>0</v>
      </c>
    </row>
    <row r="124" spans="1:42" x14ac:dyDescent="0.25">
      <c r="A124" s="31">
        <v>22</v>
      </c>
      <c r="B124" s="31">
        <v>24701</v>
      </c>
      <c r="C124" s="31">
        <v>1</v>
      </c>
      <c r="D124" s="31" t="s">
        <v>559</v>
      </c>
      <c r="E124" s="31"/>
      <c r="F124" s="31">
        <v>0</v>
      </c>
      <c r="G124" s="31">
        <v>0</v>
      </c>
      <c r="H124" s="31">
        <v>0</v>
      </c>
      <c r="I124" s="31">
        <v>0</v>
      </c>
      <c r="J124" s="31">
        <v>0</v>
      </c>
      <c r="K124" s="31" t="s">
        <v>882</v>
      </c>
      <c r="L124" s="2" t="str">
        <f t="shared" si="8"/>
        <v>Рихтовка</v>
      </c>
      <c r="M124" s="12">
        <f t="shared" si="9"/>
        <v>0</v>
      </c>
      <c r="N124" s="12">
        <f t="shared" si="10"/>
        <v>0</v>
      </c>
      <c r="O124" s="12">
        <f t="shared" si="11"/>
        <v>0</v>
      </c>
      <c r="P124" s="12">
        <f t="shared" si="12"/>
        <v>0</v>
      </c>
      <c r="Q124" s="12">
        <f t="shared" si="13"/>
        <v>0</v>
      </c>
      <c r="R124" s="12">
        <f t="shared" si="14"/>
        <v>0</v>
      </c>
      <c r="S124" s="12">
        <f t="shared" si="15"/>
        <v>0</v>
      </c>
      <c r="T124" s="31">
        <v>0</v>
      </c>
      <c r="U124" s="31">
        <v>0</v>
      </c>
      <c r="V124" s="31">
        <v>0</v>
      </c>
      <c r="W124" s="31">
        <v>0</v>
      </c>
      <c r="X124" s="31">
        <v>0</v>
      </c>
      <c r="Y124" s="31">
        <v>0</v>
      </c>
      <c r="Z124" s="31">
        <v>0</v>
      </c>
      <c r="AA124" s="31">
        <v>0</v>
      </c>
      <c r="AB124" s="31">
        <v>0</v>
      </c>
      <c r="AC124" s="31">
        <v>0</v>
      </c>
      <c r="AD124" s="31">
        <v>0</v>
      </c>
      <c r="AE124" s="31">
        <v>0</v>
      </c>
      <c r="AF124" s="31">
        <v>0</v>
      </c>
      <c r="AG124" s="31">
        <v>0</v>
      </c>
      <c r="AH124" s="31">
        <v>0</v>
      </c>
      <c r="AI124" s="31">
        <v>0</v>
      </c>
      <c r="AJ124" s="31">
        <v>0</v>
      </c>
      <c r="AK124" s="31">
        <v>0</v>
      </c>
      <c r="AL124" s="31">
        <v>0</v>
      </c>
      <c r="AM124" s="31">
        <v>0</v>
      </c>
      <c r="AN124" s="31">
        <v>0</v>
      </c>
      <c r="AO124" s="31">
        <v>0</v>
      </c>
      <c r="AP124" s="31">
        <v>0</v>
      </c>
    </row>
    <row r="125" spans="1:42" x14ac:dyDescent="0.25">
      <c r="A125" s="31">
        <v>22</v>
      </c>
      <c r="B125" s="31">
        <v>24701</v>
      </c>
      <c r="C125" s="31">
        <v>1</v>
      </c>
      <c r="D125" s="31" t="s">
        <v>560</v>
      </c>
      <c r="E125" s="31"/>
      <c r="F125" s="31">
        <v>0</v>
      </c>
      <c r="G125" s="31">
        <v>0</v>
      </c>
      <c r="H125" s="31">
        <v>0</v>
      </c>
      <c r="I125" s="31">
        <v>0</v>
      </c>
      <c r="J125" s="31">
        <v>0</v>
      </c>
      <c r="K125" s="31" t="s">
        <v>882</v>
      </c>
      <c r="L125" s="2" t="str">
        <f t="shared" si="8"/>
        <v>Рихтовка</v>
      </c>
      <c r="M125" s="12">
        <f t="shared" si="9"/>
        <v>0</v>
      </c>
      <c r="N125" s="12">
        <f t="shared" si="10"/>
        <v>0</v>
      </c>
      <c r="O125" s="12">
        <f t="shared" si="11"/>
        <v>0</v>
      </c>
      <c r="P125" s="12">
        <f t="shared" si="12"/>
        <v>0</v>
      </c>
      <c r="Q125" s="12">
        <f t="shared" si="13"/>
        <v>0</v>
      </c>
      <c r="R125" s="12">
        <f t="shared" si="14"/>
        <v>0</v>
      </c>
      <c r="S125" s="12">
        <f t="shared" si="15"/>
        <v>0</v>
      </c>
      <c r="T125" s="31">
        <v>0</v>
      </c>
      <c r="U125" s="31">
        <v>0</v>
      </c>
      <c r="V125" s="31">
        <v>0</v>
      </c>
      <c r="W125" s="31">
        <v>0</v>
      </c>
      <c r="X125" s="31">
        <v>0</v>
      </c>
      <c r="Y125" s="31">
        <v>0</v>
      </c>
      <c r="Z125" s="31">
        <v>0</v>
      </c>
      <c r="AA125" s="31">
        <v>0</v>
      </c>
      <c r="AB125" s="31">
        <v>0</v>
      </c>
      <c r="AC125" s="31">
        <v>0</v>
      </c>
      <c r="AD125" s="31">
        <v>0</v>
      </c>
      <c r="AE125" s="31">
        <v>0</v>
      </c>
      <c r="AF125" s="31">
        <v>0</v>
      </c>
      <c r="AG125" s="31">
        <v>0</v>
      </c>
      <c r="AH125" s="31">
        <v>0</v>
      </c>
      <c r="AI125" s="31">
        <v>0</v>
      </c>
      <c r="AJ125" s="31">
        <v>0</v>
      </c>
      <c r="AK125" s="31">
        <v>0</v>
      </c>
      <c r="AL125" s="31">
        <v>0</v>
      </c>
      <c r="AM125" s="31">
        <v>0</v>
      </c>
      <c r="AN125" s="31">
        <v>0</v>
      </c>
      <c r="AO125" s="31">
        <v>0</v>
      </c>
      <c r="AP125" s="31">
        <v>0</v>
      </c>
    </row>
    <row r="126" spans="1:42" x14ac:dyDescent="0.25">
      <c r="A126" s="31">
        <v>22</v>
      </c>
      <c r="B126" s="31">
        <v>24701</v>
      </c>
      <c r="C126" s="31">
        <v>1</v>
      </c>
      <c r="D126" s="31" t="s">
        <v>561</v>
      </c>
      <c r="E126" s="31"/>
      <c r="F126" s="31">
        <v>0</v>
      </c>
      <c r="G126" s="31">
        <v>0</v>
      </c>
      <c r="H126" s="31">
        <v>0</v>
      </c>
      <c r="I126" s="31">
        <v>0</v>
      </c>
      <c r="J126" s="31">
        <v>0</v>
      </c>
      <c r="K126" s="31" t="s">
        <v>882</v>
      </c>
      <c r="L126" s="2" t="str">
        <f t="shared" si="8"/>
        <v>Рихтовка</v>
      </c>
      <c r="M126" s="12">
        <f t="shared" si="9"/>
        <v>0</v>
      </c>
      <c r="N126" s="12">
        <f t="shared" si="10"/>
        <v>0</v>
      </c>
      <c r="O126" s="12">
        <f t="shared" si="11"/>
        <v>0</v>
      </c>
      <c r="P126" s="12">
        <f t="shared" si="12"/>
        <v>0</v>
      </c>
      <c r="Q126" s="12">
        <f t="shared" si="13"/>
        <v>0</v>
      </c>
      <c r="R126" s="12">
        <f t="shared" si="14"/>
        <v>0</v>
      </c>
      <c r="S126" s="12">
        <f t="shared" si="15"/>
        <v>0</v>
      </c>
      <c r="T126" s="31">
        <v>0</v>
      </c>
      <c r="U126" s="31">
        <v>0</v>
      </c>
      <c r="V126" s="31">
        <v>0</v>
      </c>
      <c r="W126" s="31">
        <v>0</v>
      </c>
      <c r="X126" s="31">
        <v>0</v>
      </c>
      <c r="Y126" s="31">
        <v>0</v>
      </c>
      <c r="Z126" s="31">
        <v>0</v>
      </c>
      <c r="AA126" s="31">
        <v>0</v>
      </c>
      <c r="AB126" s="31">
        <v>0</v>
      </c>
      <c r="AC126" s="31">
        <v>0</v>
      </c>
      <c r="AD126" s="31">
        <v>0</v>
      </c>
      <c r="AE126" s="31">
        <v>0</v>
      </c>
      <c r="AF126" s="31">
        <v>0</v>
      </c>
      <c r="AG126" s="31">
        <v>0</v>
      </c>
      <c r="AH126" s="31">
        <v>0</v>
      </c>
      <c r="AI126" s="31">
        <v>0</v>
      </c>
      <c r="AJ126" s="31">
        <v>0</v>
      </c>
      <c r="AK126" s="31">
        <v>0</v>
      </c>
      <c r="AL126" s="31">
        <v>0</v>
      </c>
      <c r="AM126" s="31">
        <v>0</v>
      </c>
      <c r="AN126" s="31">
        <v>0</v>
      </c>
      <c r="AO126" s="31">
        <v>0</v>
      </c>
      <c r="AP126" s="31">
        <v>0</v>
      </c>
    </row>
    <row r="127" spans="1:42" x14ac:dyDescent="0.25">
      <c r="A127" s="31">
        <v>22</v>
      </c>
      <c r="B127" s="31">
        <v>24701</v>
      </c>
      <c r="C127" s="31">
        <v>1</v>
      </c>
      <c r="D127" s="31" t="s">
        <v>548</v>
      </c>
      <c r="E127" s="31"/>
      <c r="F127" s="31">
        <v>0</v>
      </c>
      <c r="G127" s="31">
        <v>0</v>
      </c>
      <c r="H127" s="31">
        <v>0</v>
      </c>
      <c r="I127" s="31">
        <v>0</v>
      </c>
      <c r="J127" s="31">
        <v>0</v>
      </c>
      <c r="K127" s="31" t="s">
        <v>882</v>
      </c>
      <c r="L127" s="2" t="str">
        <f t="shared" si="8"/>
        <v>Рихтовка</v>
      </c>
      <c r="M127" s="12">
        <f t="shared" si="9"/>
        <v>0</v>
      </c>
      <c r="N127" s="12">
        <f t="shared" si="10"/>
        <v>0</v>
      </c>
      <c r="O127" s="12">
        <f t="shared" si="11"/>
        <v>0</v>
      </c>
      <c r="P127" s="12">
        <f t="shared" si="12"/>
        <v>0</v>
      </c>
      <c r="Q127" s="12">
        <f t="shared" si="13"/>
        <v>0</v>
      </c>
      <c r="R127" s="12">
        <f t="shared" si="14"/>
        <v>0</v>
      </c>
      <c r="S127" s="12">
        <f t="shared" si="15"/>
        <v>0</v>
      </c>
      <c r="T127" s="31">
        <v>0</v>
      </c>
      <c r="U127" s="31">
        <v>0</v>
      </c>
      <c r="V127" s="31">
        <v>0</v>
      </c>
      <c r="W127" s="31">
        <v>0</v>
      </c>
      <c r="X127" s="31">
        <v>0</v>
      </c>
      <c r="Y127" s="31">
        <v>0</v>
      </c>
      <c r="Z127" s="31">
        <v>0</v>
      </c>
      <c r="AA127" s="31">
        <v>0</v>
      </c>
      <c r="AB127" s="31">
        <v>0</v>
      </c>
      <c r="AC127" s="31">
        <v>0</v>
      </c>
      <c r="AD127" s="31">
        <v>0</v>
      </c>
      <c r="AE127" s="31">
        <v>0</v>
      </c>
      <c r="AF127" s="31">
        <v>0</v>
      </c>
      <c r="AG127" s="31">
        <v>0</v>
      </c>
      <c r="AH127" s="31">
        <v>0</v>
      </c>
      <c r="AI127" s="31">
        <v>0</v>
      </c>
      <c r="AJ127" s="31">
        <v>0</v>
      </c>
      <c r="AK127" s="31">
        <v>0</v>
      </c>
      <c r="AL127" s="31">
        <v>0</v>
      </c>
      <c r="AM127" s="31">
        <v>0</v>
      </c>
      <c r="AN127" s="31">
        <v>0</v>
      </c>
      <c r="AO127" s="31">
        <v>0</v>
      </c>
      <c r="AP127" s="31">
        <v>0</v>
      </c>
    </row>
    <row r="128" spans="1:42" x14ac:dyDescent="0.25">
      <c r="A128" s="31">
        <v>22</v>
      </c>
      <c r="B128" s="31">
        <v>24701</v>
      </c>
      <c r="C128" s="31">
        <v>1</v>
      </c>
      <c r="D128" s="31" t="s">
        <v>549</v>
      </c>
      <c r="E128" s="31"/>
      <c r="F128" s="31">
        <v>0</v>
      </c>
      <c r="G128" s="31">
        <v>0</v>
      </c>
      <c r="H128" s="31">
        <v>0</v>
      </c>
      <c r="I128" s="31">
        <v>0</v>
      </c>
      <c r="J128" s="31">
        <v>0</v>
      </c>
      <c r="K128" s="31" t="s">
        <v>882</v>
      </c>
      <c r="L128" s="2" t="str">
        <f t="shared" si="8"/>
        <v>Рихтовка</v>
      </c>
      <c r="M128" s="12">
        <f t="shared" si="9"/>
        <v>0</v>
      </c>
      <c r="N128" s="12">
        <f t="shared" si="10"/>
        <v>0</v>
      </c>
      <c r="O128" s="12">
        <f t="shared" si="11"/>
        <v>0</v>
      </c>
      <c r="P128" s="12">
        <f t="shared" si="12"/>
        <v>0</v>
      </c>
      <c r="Q128" s="12">
        <f t="shared" si="13"/>
        <v>0</v>
      </c>
      <c r="R128" s="12">
        <f t="shared" si="14"/>
        <v>0</v>
      </c>
      <c r="S128" s="12">
        <f t="shared" si="15"/>
        <v>0</v>
      </c>
      <c r="T128" s="31">
        <v>0</v>
      </c>
      <c r="U128" s="31">
        <v>0</v>
      </c>
      <c r="V128" s="31">
        <v>0</v>
      </c>
      <c r="W128" s="31">
        <v>0</v>
      </c>
      <c r="X128" s="31">
        <v>0</v>
      </c>
      <c r="Y128" s="31">
        <v>0</v>
      </c>
      <c r="Z128" s="31">
        <v>0</v>
      </c>
      <c r="AA128" s="31">
        <v>0</v>
      </c>
      <c r="AB128" s="31">
        <v>0</v>
      </c>
      <c r="AC128" s="31">
        <v>0</v>
      </c>
      <c r="AD128" s="31">
        <v>0</v>
      </c>
      <c r="AE128" s="31">
        <v>0</v>
      </c>
      <c r="AF128" s="31">
        <v>0</v>
      </c>
      <c r="AG128" s="31">
        <v>0</v>
      </c>
      <c r="AH128" s="31">
        <v>0</v>
      </c>
      <c r="AI128" s="31">
        <v>0</v>
      </c>
      <c r="AJ128" s="31">
        <v>0</v>
      </c>
      <c r="AK128" s="31">
        <v>0</v>
      </c>
      <c r="AL128" s="31">
        <v>0</v>
      </c>
      <c r="AM128" s="31">
        <v>0</v>
      </c>
      <c r="AN128" s="31">
        <v>0</v>
      </c>
      <c r="AO128" s="31">
        <v>0</v>
      </c>
      <c r="AP128" s="31">
        <v>0</v>
      </c>
    </row>
    <row r="129" spans="1:42" x14ac:dyDescent="0.25">
      <c r="A129" s="31">
        <v>22</v>
      </c>
      <c r="B129" s="31">
        <v>24701</v>
      </c>
      <c r="C129" s="31">
        <v>1</v>
      </c>
      <c r="D129" s="31" t="s">
        <v>896</v>
      </c>
      <c r="E129" s="31"/>
      <c r="F129" s="31">
        <v>0</v>
      </c>
      <c r="G129" s="31">
        <v>0</v>
      </c>
      <c r="H129" s="31">
        <v>0</v>
      </c>
      <c r="I129" s="31">
        <v>0</v>
      </c>
      <c r="J129" s="31">
        <v>0</v>
      </c>
      <c r="K129" s="31" t="s">
        <v>882</v>
      </c>
      <c r="L129" s="2" t="str">
        <f t="shared" si="8"/>
        <v>Рихтовка</v>
      </c>
      <c r="M129" s="12">
        <f t="shared" si="9"/>
        <v>0</v>
      </c>
      <c r="N129" s="12">
        <f t="shared" si="10"/>
        <v>0</v>
      </c>
      <c r="O129" s="12">
        <f t="shared" si="11"/>
        <v>0</v>
      </c>
      <c r="P129" s="12">
        <f t="shared" si="12"/>
        <v>0</v>
      </c>
      <c r="Q129" s="12">
        <f t="shared" si="13"/>
        <v>0</v>
      </c>
      <c r="R129" s="12">
        <f t="shared" si="14"/>
        <v>0</v>
      </c>
      <c r="S129" s="12">
        <f t="shared" si="15"/>
        <v>0</v>
      </c>
      <c r="T129" s="31">
        <v>0</v>
      </c>
      <c r="U129" s="31">
        <v>0</v>
      </c>
      <c r="V129" s="31">
        <v>0</v>
      </c>
      <c r="W129" s="31">
        <v>0</v>
      </c>
      <c r="X129" s="31">
        <v>0</v>
      </c>
      <c r="Y129" s="31">
        <v>0</v>
      </c>
      <c r="Z129" s="31">
        <v>0</v>
      </c>
      <c r="AA129" s="31">
        <v>0</v>
      </c>
      <c r="AB129" s="31">
        <v>0</v>
      </c>
      <c r="AC129" s="31">
        <v>0</v>
      </c>
      <c r="AD129" s="31">
        <v>0</v>
      </c>
      <c r="AE129" s="31">
        <v>0</v>
      </c>
      <c r="AF129" s="31">
        <v>0</v>
      </c>
      <c r="AG129" s="31">
        <v>0</v>
      </c>
      <c r="AH129" s="31">
        <v>0</v>
      </c>
      <c r="AI129" s="31">
        <v>0</v>
      </c>
      <c r="AJ129" s="31">
        <v>0</v>
      </c>
      <c r="AK129" s="31">
        <v>0</v>
      </c>
      <c r="AL129" s="31">
        <v>0</v>
      </c>
      <c r="AM129" s="31">
        <v>0</v>
      </c>
      <c r="AN129" s="31">
        <v>0</v>
      </c>
      <c r="AO129" s="31">
        <v>0</v>
      </c>
      <c r="AP129" s="31">
        <v>0</v>
      </c>
    </row>
    <row r="130" spans="1:42" x14ac:dyDescent="0.25">
      <c r="A130" s="31">
        <v>23</v>
      </c>
      <c r="B130" s="31">
        <v>24701</v>
      </c>
      <c r="C130" s="31">
        <v>1</v>
      </c>
      <c r="D130" s="31" t="s">
        <v>896</v>
      </c>
      <c r="E130" s="31"/>
      <c r="F130" s="31">
        <v>0</v>
      </c>
      <c r="G130" s="31">
        <v>0</v>
      </c>
      <c r="H130" s="31">
        <v>0</v>
      </c>
      <c r="I130" s="31">
        <v>0</v>
      </c>
      <c r="J130" s="31">
        <v>0</v>
      </c>
      <c r="K130" s="31" t="s">
        <v>882</v>
      </c>
      <c r="L130" s="2" t="str">
        <f t="shared" ref="L130:L193" si="16">IF($M130=N130,$N$1,IF($M130=O130,$O$1,IF($M130=P130,$P$1,IF($M130=Q130,$Q$1,IF($M130=R130,$R$1,$S$1)))))</f>
        <v>Рихтовка</v>
      </c>
      <c r="M130" s="12">
        <f t="shared" ref="M130:M193" si="17">MAX(N130,O130,P130,Q130,R130,S130)</f>
        <v>0</v>
      </c>
      <c r="N130" s="12">
        <f t="shared" ref="N130:N193" si="18">T130+U130+V130</f>
        <v>0</v>
      </c>
      <c r="O130" s="12">
        <f t="shared" ref="O130:O193" si="19">W130+X130+Y130</f>
        <v>0</v>
      </c>
      <c r="P130" s="12">
        <f t="shared" ref="P130:P193" si="20">Z130+AA130+AB130</f>
        <v>0</v>
      </c>
      <c r="Q130" s="12">
        <f t="shared" ref="Q130:Q193" si="21">AC130+AD130+AE130</f>
        <v>0</v>
      </c>
      <c r="R130" s="12">
        <f t="shared" ref="R130:R193" si="22">AF130+AG130+AH130</f>
        <v>0</v>
      </c>
      <c r="S130" s="12">
        <f t="shared" ref="S130:S193" si="23">AI130+AJ130+AK130</f>
        <v>0</v>
      </c>
      <c r="T130" s="31">
        <v>0</v>
      </c>
      <c r="U130" s="31">
        <v>0</v>
      </c>
      <c r="V130" s="31">
        <v>0</v>
      </c>
      <c r="W130" s="31">
        <v>0</v>
      </c>
      <c r="X130" s="31">
        <v>0</v>
      </c>
      <c r="Y130" s="31">
        <v>0</v>
      </c>
      <c r="Z130" s="31">
        <v>0</v>
      </c>
      <c r="AA130" s="31">
        <v>0</v>
      </c>
      <c r="AB130" s="31">
        <v>0</v>
      </c>
      <c r="AC130" s="31">
        <v>0</v>
      </c>
      <c r="AD130" s="31">
        <v>0</v>
      </c>
      <c r="AE130" s="31">
        <v>0</v>
      </c>
      <c r="AF130" s="31">
        <v>0</v>
      </c>
      <c r="AG130" s="31">
        <v>0</v>
      </c>
      <c r="AH130" s="31">
        <v>0</v>
      </c>
      <c r="AI130" s="31">
        <v>0</v>
      </c>
      <c r="AJ130" s="31">
        <v>0</v>
      </c>
      <c r="AK130" s="31">
        <v>0</v>
      </c>
      <c r="AL130" s="31">
        <v>0</v>
      </c>
      <c r="AM130" s="31">
        <v>0</v>
      </c>
      <c r="AN130" s="31">
        <v>0</v>
      </c>
      <c r="AO130" s="31">
        <v>0</v>
      </c>
      <c r="AP130" s="31">
        <v>0</v>
      </c>
    </row>
    <row r="131" spans="1:42" x14ac:dyDescent="0.25">
      <c r="A131" s="31">
        <v>23</v>
      </c>
      <c r="B131" s="31">
        <v>24701</v>
      </c>
      <c r="C131" s="31">
        <v>1</v>
      </c>
      <c r="D131" s="31" t="s">
        <v>897</v>
      </c>
      <c r="E131" s="31"/>
      <c r="F131" s="31">
        <v>0</v>
      </c>
      <c r="G131" s="31">
        <v>0</v>
      </c>
      <c r="H131" s="31">
        <v>0</v>
      </c>
      <c r="I131" s="31">
        <v>0</v>
      </c>
      <c r="J131" s="31">
        <v>0</v>
      </c>
      <c r="K131" s="31" t="s">
        <v>882</v>
      </c>
      <c r="L131" s="2" t="str">
        <f t="shared" si="16"/>
        <v>Рихтовка</v>
      </c>
      <c r="M131" s="12">
        <f t="shared" si="17"/>
        <v>0</v>
      </c>
      <c r="N131" s="12">
        <f t="shared" si="18"/>
        <v>0</v>
      </c>
      <c r="O131" s="12">
        <f t="shared" si="19"/>
        <v>0</v>
      </c>
      <c r="P131" s="12">
        <f t="shared" si="20"/>
        <v>0</v>
      </c>
      <c r="Q131" s="12">
        <f t="shared" si="21"/>
        <v>0</v>
      </c>
      <c r="R131" s="12">
        <f t="shared" si="22"/>
        <v>0</v>
      </c>
      <c r="S131" s="12">
        <f t="shared" si="23"/>
        <v>0</v>
      </c>
      <c r="T131" s="31">
        <v>0</v>
      </c>
      <c r="U131" s="31">
        <v>0</v>
      </c>
      <c r="V131" s="31">
        <v>0</v>
      </c>
      <c r="W131" s="31">
        <v>0</v>
      </c>
      <c r="X131" s="31">
        <v>0</v>
      </c>
      <c r="Y131" s="31">
        <v>0</v>
      </c>
      <c r="Z131" s="31">
        <v>0</v>
      </c>
      <c r="AA131" s="31">
        <v>0</v>
      </c>
      <c r="AB131" s="31">
        <v>0</v>
      </c>
      <c r="AC131" s="31">
        <v>0</v>
      </c>
      <c r="AD131" s="31">
        <v>0</v>
      </c>
      <c r="AE131" s="31">
        <v>0</v>
      </c>
      <c r="AF131" s="31">
        <v>0</v>
      </c>
      <c r="AG131" s="31">
        <v>0</v>
      </c>
      <c r="AH131" s="31">
        <v>0</v>
      </c>
      <c r="AI131" s="31">
        <v>0</v>
      </c>
      <c r="AJ131" s="31">
        <v>0</v>
      </c>
      <c r="AK131" s="31">
        <v>0</v>
      </c>
      <c r="AL131" s="31">
        <v>0</v>
      </c>
      <c r="AM131" s="31">
        <v>0</v>
      </c>
      <c r="AN131" s="31">
        <v>0</v>
      </c>
      <c r="AO131" s="31">
        <v>0</v>
      </c>
      <c r="AP131" s="31">
        <v>0</v>
      </c>
    </row>
    <row r="132" spans="1:42" x14ac:dyDescent="0.25">
      <c r="A132" s="31">
        <v>23</v>
      </c>
      <c r="B132" s="31">
        <v>24701</v>
      </c>
      <c r="C132" s="31">
        <v>1</v>
      </c>
      <c r="D132" s="31" t="s">
        <v>898</v>
      </c>
      <c r="E132" s="31"/>
      <c r="F132" s="31">
        <v>0</v>
      </c>
      <c r="G132" s="31">
        <v>0</v>
      </c>
      <c r="H132" s="31">
        <v>0</v>
      </c>
      <c r="I132" s="31">
        <v>0</v>
      </c>
      <c r="J132" s="31">
        <v>0</v>
      </c>
      <c r="K132" s="31" t="s">
        <v>882</v>
      </c>
      <c r="L132" s="2" t="str">
        <f t="shared" si="16"/>
        <v>Рихтовка</v>
      </c>
      <c r="M132" s="12">
        <f t="shared" si="17"/>
        <v>0</v>
      </c>
      <c r="N132" s="12">
        <f t="shared" si="18"/>
        <v>0</v>
      </c>
      <c r="O132" s="12">
        <f t="shared" si="19"/>
        <v>0</v>
      </c>
      <c r="P132" s="12">
        <f t="shared" si="20"/>
        <v>0</v>
      </c>
      <c r="Q132" s="12">
        <f t="shared" si="21"/>
        <v>0</v>
      </c>
      <c r="R132" s="12">
        <f t="shared" si="22"/>
        <v>0</v>
      </c>
      <c r="S132" s="12">
        <f t="shared" si="23"/>
        <v>0</v>
      </c>
      <c r="T132" s="31">
        <v>0</v>
      </c>
      <c r="U132" s="31">
        <v>0</v>
      </c>
      <c r="V132" s="31">
        <v>0</v>
      </c>
      <c r="W132" s="31">
        <v>0</v>
      </c>
      <c r="X132" s="31">
        <v>0</v>
      </c>
      <c r="Y132" s="31">
        <v>0</v>
      </c>
      <c r="Z132" s="31">
        <v>0</v>
      </c>
      <c r="AA132" s="31">
        <v>0</v>
      </c>
      <c r="AB132" s="31">
        <v>0</v>
      </c>
      <c r="AC132" s="31">
        <v>0</v>
      </c>
      <c r="AD132" s="31">
        <v>0</v>
      </c>
      <c r="AE132" s="31">
        <v>0</v>
      </c>
      <c r="AF132" s="31">
        <v>0</v>
      </c>
      <c r="AG132" s="31">
        <v>0</v>
      </c>
      <c r="AH132" s="31">
        <v>0</v>
      </c>
      <c r="AI132" s="31">
        <v>0</v>
      </c>
      <c r="AJ132" s="31">
        <v>0</v>
      </c>
      <c r="AK132" s="31">
        <v>0</v>
      </c>
      <c r="AL132" s="31">
        <v>0</v>
      </c>
      <c r="AM132" s="31">
        <v>0</v>
      </c>
      <c r="AN132" s="31">
        <v>0</v>
      </c>
      <c r="AO132" s="31">
        <v>0</v>
      </c>
      <c r="AP132" s="31">
        <v>0</v>
      </c>
    </row>
    <row r="133" spans="1:42" x14ac:dyDescent="0.25">
      <c r="A133" s="31">
        <v>23</v>
      </c>
      <c r="B133" s="31">
        <v>24701</v>
      </c>
      <c r="C133" s="31">
        <v>1</v>
      </c>
      <c r="D133" s="31" t="s">
        <v>899</v>
      </c>
      <c r="E133" s="31"/>
      <c r="F133" s="31">
        <v>0</v>
      </c>
      <c r="G133" s="31">
        <v>0</v>
      </c>
      <c r="H133" s="31">
        <v>0</v>
      </c>
      <c r="I133" s="31">
        <v>0</v>
      </c>
      <c r="J133" s="31">
        <v>0</v>
      </c>
      <c r="K133" s="31" t="s">
        <v>882</v>
      </c>
      <c r="L133" s="2" t="str">
        <f t="shared" si="16"/>
        <v>Рихтовка</v>
      </c>
      <c r="M133" s="12">
        <f t="shared" si="17"/>
        <v>0</v>
      </c>
      <c r="N133" s="12">
        <f t="shared" si="18"/>
        <v>0</v>
      </c>
      <c r="O133" s="12">
        <f t="shared" si="19"/>
        <v>0</v>
      </c>
      <c r="P133" s="12">
        <f t="shared" si="20"/>
        <v>0</v>
      </c>
      <c r="Q133" s="12">
        <f t="shared" si="21"/>
        <v>0</v>
      </c>
      <c r="R133" s="12">
        <f t="shared" si="22"/>
        <v>0</v>
      </c>
      <c r="S133" s="12">
        <f t="shared" si="23"/>
        <v>0</v>
      </c>
      <c r="T133" s="31">
        <v>0</v>
      </c>
      <c r="U133" s="31">
        <v>0</v>
      </c>
      <c r="V133" s="31">
        <v>0</v>
      </c>
      <c r="W133" s="31">
        <v>0</v>
      </c>
      <c r="X133" s="31">
        <v>0</v>
      </c>
      <c r="Y133" s="31">
        <v>0</v>
      </c>
      <c r="Z133" s="31">
        <v>0</v>
      </c>
      <c r="AA133" s="31">
        <v>0</v>
      </c>
      <c r="AB133" s="31">
        <v>0</v>
      </c>
      <c r="AC133" s="31">
        <v>0</v>
      </c>
      <c r="AD133" s="31">
        <v>0</v>
      </c>
      <c r="AE133" s="31">
        <v>0</v>
      </c>
      <c r="AF133" s="31">
        <v>0</v>
      </c>
      <c r="AG133" s="31">
        <v>0</v>
      </c>
      <c r="AH133" s="31">
        <v>0</v>
      </c>
      <c r="AI133" s="31">
        <v>0</v>
      </c>
      <c r="AJ133" s="31">
        <v>0</v>
      </c>
      <c r="AK133" s="31">
        <v>0</v>
      </c>
      <c r="AL133" s="31">
        <v>0</v>
      </c>
      <c r="AM133" s="31">
        <v>0</v>
      </c>
      <c r="AN133" s="31">
        <v>0</v>
      </c>
      <c r="AO133" s="31">
        <v>0</v>
      </c>
      <c r="AP133" s="31">
        <v>0</v>
      </c>
    </row>
    <row r="134" spans="1:42" x14ac:dyDescent="0.25">
      <c r="A134" s="31">
        <v>23</v>
      </c>
      <c r="B134" s="31">
        <v>24701</v>
      </c>
      <c r="C134" s="31">
        <v>1</v>
      </c>
      <c r="D134" s="31" t="s">
        <v>900</v>
      </c>
      <c r="E134" s="31"/>
      <c r="F134" s="31">
        <v>0</v>
      </c>
      <c r="G134" s="31">
        <v>0</v>
      </c>
      <c r="H134" s="31">
        <v>0</v>
      </c>
      <c r="I134" s="31">
        <v>0</v>
      </c>
      <c r="J134" s="31">
        <v>0</v>
      </c>
      <c r="K134" s="31" t="s">
        <v>882</v>
      </c>
      <c r="L134" s="2" t="str">
        <f t="shared" si="16"/>
        <v>Рихтовка</v>
      </c>
      <c r="M134" s="12">
        <f t="shared" si="17"/>
        <v>0</v>
      </c>
      <c r="N134" s="12">
        <f t="shared" si="18"/>
        <v>0</v>
      </c>
      <c r="O134" s="12">
        <f t="shared" si="19"/>
        <v>0</v>
      </c>
      <c r="P134" s="12">
        <f t="shared" si="20"/>
        <v>0</v>
      </c>
      <c r="Q134" s="12">
        <f t="shared" si="21"/>
        <v>0</v>
      </c>
      <c r="R134" s="12">
        <f t="shared" si="22"/>
        <v>0</v>
      </c>
      <c r="S134" s="12">
        <f t="shared" si="23"/>
        <v>0</v>
      </c>
      <c r="T134" s="31">
        <v>0</v>
      </c>
      <c r="U134" s="31">
        <v>0</v>
      </c>
      <c r="V134" s="31">
        <v>0</v>
      </c>
      <c r="W134" s="31">
        <v>0</v>
      </c>
      <c r="X134" s="31">
        <v>0</v>
      </c>
      <c r="Y134" s="31">
        <v>0</v>
      </c>
      <c r="Z134" s="31">
        <v>0</v>
      </c>
      <c r="AA134" s="31">
        <v>0</v>
      </c>
      <c r="AB134" s="31">
        <v>0</v>
      </c>
      <c r="AC134" s="31">
        <v>0</v>
      </c>
      <c r="AD134" s="31">
        <v>0</v>
      </c>
      <c r="AE134" s="31">
        <v>0</v>
      </c>
      <c r="AF134" s="31">
        <v>0</v>
      </c>
      <c r="AG134" s="31">
        <v>0</v>
      </c>
      <c r="AH134" s="31">
        <v>0</v>
      </c>
      <c r="AI134" s="31">
        <v>0</v>
      </c>
      <c r="AJ134" s="31">
        <v>0</v>
      </c>
      <c r="AK134" s="31">
        <v>0</v>
      </c>
      <c r="AL134" s="31">
        <v>0</v>
      </c>
      <c r="AM134" s="31">
        <v>0</v>
      </c>
      <c r="AN134" s="31">
        <v>0</v>
      </c>
      <c r="AO134" s="31">
        <v>0</v>
      </c>
      <c r="AP134" s="31">
        <v>0</v>
      </c>
    </row>
    <row r="135" spans="1:42" x14ac:dyDescent="0.25">
      <c r="A135" s="31">
        <v>23</v>
      </c>
      <c r="B135" s="31">
        <v>24701</v>
      </c>
      <c r="C135" s="31">
        <v>1</v>
      </c>
      <c r="D135" s="31" t="s">
        <v>901</v>
      </c>
      <c r="E135" s="31"/>
      <c r="F135" s="31">
        <v>0</v>
      </c>
      <c r="G135" s="31">
        <v>0</v>
      </c>
      <c r="H135" s="31">
        <v>0</v>
      </c>
      <c r="I135" s="31">
        <v>0</v>
      </c>
      <c r="J135" s="31">
        <v>0</v>
      </c>
      <c r="K135" s="31" t="s">
        <v>882</v>
      </c>
      <c r="L135" s="2" t="str">
        <f t="shared" si="16"/>
        <v>Рихтовка</v>
      </c>
      <c r="M135" s="12">
        <f t="shared" si="17"/>
        <v>0</v>
      </c>
      <c r="N135" s="12">
        <f t="shared" si="18"/>
        <v>0</v>
      </c>
      <c r="O135" s="12">
        <f t="shared" si="19"/>
        <v>0</v>
      </c>
      <c r="P135" s="12">
        <f t="shared" si="20"/>
        <v>0</v>
      </c>
      <c r="Q135" s="12">
        <f t="shared" si="21"/>
        <v>0</v>
      </c>
      <c r="R135" s="12">
        <f t="shared" si="22"/>
        <v>0</v>
      </c>
      <c r="S135" s="12">
        <f t="shared" si="23"/>
        <v>0</v>
      </c>
      <c r="T135" s="31">
        <v>0</v>
      </c>
      <c r="U135" s="31">
        <v>0</v>
      </c>
      <c r="V135" s="31">
        <v>0</v>
      </c>
      <c r="W135" s="31">
        <v>0</v>
      </c>
      <c r="X135" s="31">
        <v>0</v>
      </c>
      <c r="Y135" s="31">
        <v>0</v>
      </c>
      <c r="Z135" s="31">
        <v>0</v>
      </c>
      <c r="AA135" s="31">
        <v>0</v>
      </c>
      <c r="AB135" s="31">
        <v>0</v>
      </c>
      <c r="AC135" s="31">
        <v>0</v>
      </c>
      <c r="AD135" s="31">
        <v>0</v>
      </c>
      <c r="AE135" s="31">
        <v>0</v>
      </c>
      <c r="AF135" s="31">
        <v>0</v>
      </c>
      <c r="AG135" s="31">
        <v>0</v>
      </c>
      <c r="AH135" s="31">
        <v>0</v>
      </c>
      <c r="AI135" s="31">
        <v>0</v>
      </c>
      <c r="AJ135" s="31">
        <v>0</v>
      </c>
      <c r="AK135" s="31">
        <v>0</v>
      </c>
      <c r="AL135" s="31">
        <v>0</v>
      </c>
      <c r="AM135" s="31">
        <v>0</v>
      </c>
      <c r="AN135" s="31">
        <v>0</v>
      </c>
      <c r="AO135" s="31">
        <v>0</v>
      </c>
      <c r="AP135" s="31">
        <v>0</v>
      </c>
    </row>
    <row r="136" spans="1:42" x14ac:dyDescent="0.25">
      <c r="A136" s="31">
        <v>23</v>
      </c>
      <c r="B136" s="31">
        <v>24701</v>
      </c>
      <c r="C136" s="31">
        <v>1</v>
      </c>
      <c r="D136" s="31" t="s">
        <v>902</v>
      </c>
      <c r="E136" s="31"/>
      <c r="F136" s="31">
        <v>0</v>
      </c>
      <c r="G136" s="31">
        <v>0</v>
      </c>
      <c r="H136" s="31">
        <v>0</v>
      </c>
      <c r="I136" s="31">
        <v>0</v>
      </c>
      <c r="J136" s="31">
        <v>0</v>
      </c>
      <c r="K136" s="31" t="s">
        <v>882</v>
      </c>
      <c r="L136" s="2" t="str">
        <f t="shared" si="16"/>
        <v>Рихтовка</v>
      </c>
      <c r="M136" s="12">
        <f t="shared" si="17"/>
        <v>0</v>
      </c>
      <c r="N136" s="12">
        <f t="shared" si="18"/>
        <v>0</v>
      </c>
      <c r="O136" s="12">
        <f t="shared" si="19"/>
        <v>0</v>
      </c>
      <c r="P136" s="12">
        <f t="shared" si="20"/>
        <v>0</v>
      </c>
      <c r="Q136" s="12">
        <f t="shared" si="21"/>
        <v>0</v>
      </c>
      <c r="R136" s="12">
        <f t="shared" si="22"/>
        <v>0</v>
      </c>
      <c r="S136" s="12">
        <f t="shared" si="23"/>
        <v>0</v>
      </c>
      <c r="T136" s="31">
        <v>0</v>
      </c>
      <c r="U136" s="31">
        <v>0</v>
      </c>
      <c r="V136" s="31">
        <v>0</v>
      </c>
      <c r="W136" s="31">
        <v>0</v>
      </c>
      <c r="X136" s="31">
        <v>0</v>
      </c>
      <c r="Y136" s="31">
        <v>0</v>
      </c>
      <c r="Z136" s="31">
        <v>0</v>
      </c>
      <c r="AA136" s="31">
        <v>0</v>
      </c>
      <c r="AB136" s="31">
        <v>0</v>
      </c>
      <c r="AC136" s="31">
        <v>0</v>
      </c>
      <c r="AD136" s="31">
        <v>0</v>
      </c>
      <c r="AE136" s="31">
        <v>0</v>
      </c>
      <c r="AF136" s="31">
        <v>0</v>
      </c>
      <c r="AG136" s="31">
        <v>0</v>
      </c>
      <c r="AH136" s="31">
        <v>0</v>
      </c>
      <c r="AI136" s="31">
        <v>0</v>
      </c>
      <c r="AJ136" s="31">
        <v>0</v>
      </c>
      <c r="AK136" s="31">
        <v>0</v>
      </c>
      <c r="AL136" s="31">
        <v>0</v>
      </c>
      <c r="AM136" s="31">
        <v>0</v>
      </c>
      <c r="AN136" s="31">
        <v>0</v>
      </c>
      <c r="AO136" s="31">
        <v>0</v>
      </c>
      <c r="AP136" s="31">
        <v>0</v>
      </c>
    </row>
    <row r="137" spans="1:42" x14ac:dyDescent="0.25">
      <c r="A137" s="31">
        <v>23</v>
      </c>
      <c r="B137" s="31">
        <v>24701</v>
      </c>
      <c r="C137" s="31">
        <v>1</v>
      </c>
      <c r="D137" s="31" t="s">
        <v>903</v>
      </c>
      <c r="E137" s="31"/>
      <c r="F137" s="31">
        <v>0</v>
      </c>
      <c r="G137" s="31">
        <v>0</v>
      </c>
      <c r="H137" s="31">
        <v>0</v>
      </c>
      <c r="I137" s="31">
        <v>0</v>
      </c>
      <c r="J137" s="31">
        <v>0</v>
      </c>
      <c r="K137" s="31" t="s">
        <v>882</v>
      </c>
      <c r="L137" s="2" t="str">
        <f t="shared" si="16"/>
        <v>Рихтовка</v>
      </c>
      <c r="M137" s="12">
        <f t="shared" si="17"/>
        <v>0</v>
      </c>
      <c r="N137" s="12">
        <f t="shared" si="18"/>
        <v>0</v>
      </c>
      <c r="O137" s="12">
        <f t="shared" si="19"/>
        <v>0</v>
      </c>
      <c r="P137" s="12">
        <f t="shared" si="20"/>
        <v>0</v>
      </c>
      <c r="Q137" s="12">
        <f t="shared" si="21"/>
        <v>0</v>
      </c>
      <c r="R137" s="12">
        <f t="shared" si="22"/>
        <v>0</v>
      </c>
      <c r="S137" s="12">
        <f t="shared" si="23"/>
        <v>0</v>
      </c>
      <c r="T137" s="31">
        <v>0</v>
      </c>
      <c r="U137" s="31">
        <v>0</v>
      </c>
      <c r="V137" s="31">
        <v>0</v>
      </c>
      <c r="W137" s="31">
        <v>0</v>
      </c>
      <c r="X137" s="31">
        <v>0</v>
      </c>
      <c r="Y137" s="31">
        <v>0</v>
      </c>
      <c r="Z137" s="31">
        <v>0</v>
      </c>
      <c r="AA137" s="31">
        <v>0</v>
      </c>
      <c r="AB137" s="31">
        <v>0</v>
      </c>
      <c r="AC137" s="31">
        <v>0</v>
      </c>
      <c r="AD137" s="31">
        <v>0</v>
      </c>
      <c r="AE137" s="31">
        <v>0</v>
      </c>
      <c r="AF137" s="31">
        <v>0</v>
      </c>
      <c r="AG137" s="31">
        <v>0</v>
      </c>
      <c r="AH137" s="31">
        <v>0</v>
      </c>
      <c r="AI137" s="31">
        <v>0</v>
      </c>
      <c r="AJ137" s="31">
        <v>0</v>
      </c>
      <c r="AK137" s="31">
        <v>0</v>
      </c>
      <c r="AL137" s="31">
        <v>0</v>
      </c>
      <c r="AM137" s="31">
        <v>0</v>
      </c>
      <c r="AN137" s="31">
        <v>0</v>
      </c>
      <c r="AO137" s="31">
        <v>0</v>
      </c>
      <c r="AP137" s="31">
        <v>0</v>
      </c>
    </row>
    <row r="138" spans="1:42" x14ac:dyDescent="0.25">
      <c r="A138" s="31">
        <v>23</v>
      </c>
      <c r="B138" s="31">
        <v>24701</v>
      </c>
      <c r="C138" s="31">
        <v>1</v>
      </c>
      <c r="D138" s="31" t="s">
        <v>949</v>
      </c>
      <c r="E138" s="31"/>
      <c r="F138" s="31">
        <v>0</v>
      </c>
      <c r="G138" s="31">
        <v>0</v>
      </c>
      <c r="H138" s="31">
        <v>0</v>
      </c>
      <c r="I138" s="31">
        <v>0</v>
      </c>
      <c r="J138" s="31">
        <v>0</v>
      </c>
      <c r="K138" s="31" t="s">
        <v>882</v>
      </c>
      <c r="L138" s="2" t="str">
        <f t="shared" si="16"/>
        <v>Рихтовка</v>
      </c>
      <c r="M138" s="12">
        <f t="shared" si="17"/>
        <v>0</v>
      </c>
      <c r="N138" s="12">
        <f t="shared" si="18"/>
        <v>0</v>
      </c>
      <c r="O138" s="12">
        <f t="shared" si="19"/>
        <v>0</v>
      </c>
      <c r="P138" s="12">
        <f t="shared" si="20"/>
        <v>0</v>
      </c>
      <c r="Q138" s="12">
        <f t="shared" si="21"/>
        <v>0</v>
      </c>
      <c r="R138" s="12">
        <f t="shared" si="22"/>
        <v>0</v>
      </c>
      <c r="S138" s="12">
        <f t="shared" si="23"/>
        <v>0</v>
      </c>
      <c r="T138" s="31">
        <v>0</v>
      </c>
      <c r="U138" s="31">
        <v>0</v>
      </c>
      <c r="V138" s="31">
        <v>0</v>
      </c>
      <c r="W138" s="31">
        <v>0</v>
      </c>
      <c r="X138" s="31">
        <v>0</v>
      </c>
      <c r="Y138" s="31">
        <v>0</v>
      </c>
      <c r="Z138" s="31">
        <v>0</v>
      </c>
      <c r="AA138" s="31">
        <v>0</v>
      </c>
      <c r="AB138" s="31">
        <v>0</v>
      </c>
      <c r="AC138" s="31">
        <v>0</v>
      </c>
      <c r="AD138" s="31">
        <v>0</v>
      </c>
      <c r="AE138" s="31">
        <v>0</v>
      </c>
      <c r="AF138" s="31">
        <v>0</v>
      </c>
      <c r="AG138" s="31">
        <v>0</v>
      </c>
      <c r="AH138" s="31">
        <v>0</v>
      </c>
      <c r="AI138" s="31">
        <v>0</v>
      </c>
      <c r="AJ138" s="31">
        <v>0</v>
      </c>
      <c r="AK138" s="31">
        <v>0</v>
      </c>
      <c r="AL138" s="31">
        <v>0</v>
      </c>
      <c r="AM138" s="31">
        <v>0</v>
      </c>
      <c r="AN138" s="31">
        <v>0</v>
      </c>
      <c r="AO138" s="31">
        <v>0</v>
      </c>
      <c r="AP138" s="31">
        <v>0</v>
      </c>
    </row>
    <row r="139" spans="1:42" x14ac:dyDescent="0.25">
      <c r="A139" s="31">
        <v>23</v>
      </c>
      <c r="B139" s="31">
        <v>24701</v>
      </c>
      <c r="C139" s="31">
        <v>1</v>
      </c>
      <c r="D139" s="31" t="s">
        <v>950</v>
      </c>
      <c r="E139" s="31"/>
      <c r="F139" s="31">
        <v>0</v>
      </c>
      <c r="G139" s="31">
        <v>0</v>
      </c>
      <c r="H139" s="31">
        <v>0</v>
      </c>
      <c r="I139" s="31">
        <v>0</v>
      </c>
      <c r="J139" s="31">
        <v>0</v>
      </c>
      <c r="K139" s="31" t="s">
        <v>882</v>
      </c>
      <c r="L139" s="2" t="str">
        <f t="shared" si="16"/>
        <v>Рихтовка</v>
      </c>
      <c r="M139" s="12">
        <f t="shared" si="17"/>
        <v>0</v>
      </c>
      <c r="N139" s="12">
        <f t="shared" si="18"/>
        <v>0</v>
      </c>
      <c r="O139" s="12">
        <f t="shared" si="19"/>
        <v>0</v>
      </c>
      <c r="P139" s="12">
        <f t="shared" si="20"/>
        <v>0</v>
      </c>
      <c r="Q139" s="12">
        <f t="shared" si="21"/>
        <v>0</v>
      </c>
      <c r="R139" s="12">
        <f t="shared" si="22"/>
        <v>0</v>
      </c>
      <c r="S139" s="12">
        <f t="shared" si="23"/>
        <v>0</v>
      </c>
      <c r="T139" s="31">
        <v>0</v>
      </c>
      <c r="U139" s="31">
        <v>0</v>
      </c>
      <c r="V139" s="31">
        <v>0</v>
      </c>
      <c r="W139" s="31">
        <v>0</v>
      </c>
      <c r="X139" s="31">
        <v>0</v>
      </c>
      <c r="Y139" s="31">
        <v>0</v>
      </c>
      <c r="Z139" s="31">
        <v>0</v>
      </c>
      <c r="AA139" s="31">
        <v>0</v>
      </c>
      <c r="AB139" s="31">
        <v>0</v>
      </c>
      <c r="AC139" s="31">
        <v>0</v>
      </c>
      <c r="AD139" s="31">
        <v>0</v>
      </c>
      <c r="AE139" s="31">
        <v>0</v>
      </c>
      <c r="AF139" s="31">
        <v>0</v>
      </c>
      <c r="AG139" s="31">
        <v>0</v>
      </c>
      <c r="AH139" s="31">
        <v>0</v>
      </c>
      <c r="AI139" s="31">
        <v>0</v>
      </c>
      <c r="AJ139" s="31">
        <v>0</v>
      </c>
      <c r="AK139" s="31">
        <v>0</v>
      </c>
      <c r="AL139" s="31">
        <v>0</v>
      </c>
      <c r="AM139" s="31">
        <v>0</v>
      </c>
      <c r="AN139" s="31">
        <v>0</v>
      </c>
      <c r="AO139" s="31">
        <v>0</v>
      </c>
      <c r="AP139" s="31">
        <v>0</v>
      </c>
    </row>
    <row r="140" spans="1:42" x14ac:dyDescent="0.25">
      <c r="A140" s="31">
        <v>23</v>
      </c>
      <c r="B140" s="31">
        <v>24701</v>
      </c>
      <c r="C140" s="31">
        <v>1</v>
      </c>
      <c r="D140" s="31" t="s">
        <v>904</v>
      </c>
      <c r="E140" s="31"/>
      <c r="F140" s="31">
        <v>0</v>
      </c>
      <c r="G140" s="31">
        <v>0</v>
      </c>
      <c r="H140" s="31">
        <v>0</v>
      </c>
      <c r="I140" s="31">
        <v>0</v>
      </c>
      <c r="J140" s="31">
        <v>0</v>
      </c>
      <c r="K140" s="31" t="s">
        <v>882</v>
      </c>
      <c r="L140" s="2" t="str">
        <f t="shared" si="16"/>
        <v>Рихтовка</v>
      </c>
      <c r="M140" s="12">
        <f t="shared" si="17"/>
        <v>0</v>
      </c>
      <c r="N140" s="12">
        <f t="shared" si="18"/>
        <v>0</v>
      </c>
      <c r="O140" s="12">
        <f t="shared" si="19"/>
        <v>0</v>
      </c>
      <c r="P140" s="12">
        <f t="shared" si="20"/>
        <v>0</v>
      </c>
      <c r="Q140" s="12">
        <f t="shared" si="21"/>
        <v>0</v>
      </c>
      <c r="R140" s="12">
        <f t="shared" si="22"/>
        <v>0</v>
      </c>
      <c r="S140" s="12">
        <f t="shared" si="23"/>
        <v>0</v>
      </c>
      <c r="T140" s="31">
        <v>0</v>
      </c>
      <c r="U140" s="31">
        <v>0</v>
      </c>
      <c r="V140" s="31">
        <v>0</v>
      </c>
      <c r="W140" s="31">
        <v>0</v>
      </c>
      <c r="X140" s="31">
        <v>0</v>
      </c>
      <c r="Y140" s="31">
        <v>0</v>
      </c>
      <c r="Z140" s="31">
        <v>0</v>
      </c>
      <c r="AA140" s="31">
        <v>0</v>
      </c>
      <c r="AB140" s="31">
        <v>0</v>
      </c>
      <c r="AC140" s="31">
        <v>0</v>
      </c>
      <c r="AD140" s="31">
        <v>0</v>
      </c>
      <c r="AE140" s="31">
        <v>0</v>
      </c>
      <c r="AF140" s="31">
        <v>0</v>
      </c>
      <c r="AG140" s="31">
        <v>0</v>
      </c>
      <c r="AH140" s="31">
        <v>0</v>
      </c>
      <c r="AI140" s="31">
        <v>0</v>
      </c>
      <c r="AJ140" s="31">
        <v>0</v>
      </c>
      <c r="AK140" s="31">
        <v>0</v>
      </c>
      <c r="AL140" s="31">
        <v>0</v>
      </c>
      <c r="AM140" s="31">
        <v>0</v>
      </c>
      <c r="AN140" s="31">
        <v>0</v>
      </c>
      <c r="AO140" s="31">
        <v>0</v>
      </c>
      <c r="AP140" s="31">
        <v>0</v>
      </c>
    </row>
    <row r="141" spans="1:42" x14ac:dyDescent="0.25">
      <c r="A141" s="31">
        <v>23</v>
      </c>
      <c r="B141" s="31">
        <v>24701</v>
      </c>
      <c r="C141" s="31">
        <v>1</v>
      </c>
      <c r="D141" s="31" t="s">
        <v>905</v>
      </c>
      <c r="E141" s="31"/>
      <c r="F141" s="31">
        <v>0</v>
      </c>
      <c r="G141" s="31">
        <v>0</v>
      </c>
      <c r="H141" s="31">
        <v>0</v>
      </c>
      <c r="I141" s="31">
        <v>0</v>
      </c>
      <c r="J141" s="31">
        <v>0</v>
      </c>
      <c r="K141" s="31" t="s">
        <v>882</v>
      </c>
      <c r="L141" s="2" t="str">
        <f t="shared" si="16"/>
        <v>Рихтовка</v>
      </c>
      <c r="M141" s="12">
        <f t="shared" si="17"/>
        <v>0</v>
      </c>
      <c r="N141" s="12">
        <f t="shared" si="18"/>
        <v>0</v>
      </c>
      <c r="O141" s="12">
        <f t="shared" si="19"/>
        <v>0</v>
      </c>
      <c r="P141" s="12">
        <f t="shared" si="20"/>
        <v>0</v>
      </c>
      <c r="Q141" s="12">
        <f t="shared" si="21"/>
        <v>0</v>
      </c>
      <c r="R141" s="12">
        <f t="shared" si="22"/>
        <v>0</v>
      </c>
      <c r="S141" s="12">
        <f t="shared" si="23"/>
        <v>0</v>
      </c>
      <c r="T141" s="31">
        <v>0</v>
      </c>
      <c r="U141" s="31">
        <v>0</v>
      </c>
      <c r="V141" s="31">
        <v>0</v>
      </c>
      <c r="W141" s="31">
        <v>0</v>
      </c>
      <c r="X141" s="31">
        <v>0</v>
      </c>
      <c r="Y141" s="31">
        <v>0</v>
      </c>
      <c r="Z141" s="31">
        <v>0</v>
      </c>
      <c r="AA141" s="31">
        <v>0</v>
      </c>
      <c r="AB141" s="31">
        <v>0</v>
      </c>
      <c r="AC141" s="31">
        <v>0</v>
      </c>
      <c r="AD141" s="31">
        <v>0</v>
      </c>
      <c r="AE141" s="31">
        <v>0</v>
      </c>
      <c r="AF141" s="31">
        <v>0</v>
      </c>
      <c r="AG141" s="31">
        <v>0</v>
      </c>
      <c r="AH141" s="31">
        <v>0</v>
      </c>
      <c r="AI141" s="31">
        <v>0</v>
      </c>
      <c r="AJ141" s="31">
        <v>0</v>
      </c>
      <c r="AK141" s="31">
        <v>0</v>
      </c>
      <c r="AL141" s="31">
        <v>0</v>
      </c>
      <c r="AM141" s="31">
        <v>0</v>
      </c>
      <c r="AN141" s="31">
        <v>0</v>
      </c>
      <c r="AO141" s="31">
        <v>0</v>
      </c>
      <c r="AP141" s="31">
        <v>0</v>
      </c>
    </row>
    <row r="142" spans="1:42" x14ac:dyDescent="0.25">
      <c r="A142" s="31">
        <v>23</v>
      </c>
      <c r="B142" s="31">
        <v>24794</v>
      </c>
      <c r="C142" s="31">
        <v>1</v>
      </c>
      <c r="D142" s="31" t="s">
        <v>906</v>
      </c>
      <c r="E142" s="31"/>
      <c r="F142" s="31">
        <v>0</v>
      </c>
      <c r="G142" s="31">
        <v>0</v>
      </c>
      <c r="H142" s="31">
        <v>0</v>
      </c>
      <c r="I142" s="31">
        <v>0</v>
      </c>
      <c r="J142" s="31">
        <v>0</v>
      </c>
      <c r="K142" s="31" t="s">
        <v>882</v>
      </c>
      <c r="L142" s="2" t="str">
        <f t="shared" si="16"/>
        <v>Рихтовка</v>
      </c>
      <c r="M142" s="12">
        <f t="shared" si="17"/>
        <v>0</v>
      </c>
      <c r="N142" s="12">
        <f t="shared" si="18"/>
        <v>0</v>
      </c>
      <c r="O142" s="12">
        <f t="shared" si="19"/>
        <v>0</v>
      </c>
      <c r="P142" s="12">
        <f t="shared" si="20"/>
        <v>0</v>
      </c>
      <c r="Q142" s="12">
        <f t="shared" si="21"/>
        <v>0</v>
      </c>
      <c r="R142" s="12">
        <f t="shared" si="22"/>
        <v>0</v>
      </c>
      <c r="S142" s="12">
        <f t="shared" si="23"/>
        <v>0</v>
      </c>
      <c r="T142" s="31">
        <v>0</v>
      </c>
      <c r="U142" s="31">
        <v>0</v>
      </c>
      <c r="V142" s="31">
        <v>0</v>
      </c>
      <c r="W142" s="31">
        <v>0</v>
      </c>
      <c r="X142" s="31">
        <v>0</v>
      </c>
      <c r="Y142" s="31">
        <v>0</v>
      </c>
      <c r="Z142" s="31">
        <v>0</v>
      </c>
      <c r="AA142" s="31">
        <v>0</v>
      </c>
      <c r="AB142" s="31">
        <v>0</v>
      </c>
      <c r="AC142" s="31">
        <v>0</v>
      </c>
      <c r="AD142" s="31">
        <v>0</v>
      </c>
      <c r="AE142" s="31">
        <v>0</v>
      </c>
      <c r="AF142" s="31">
        <v>0</v>
      </c>
      <c r="AG142" s="31">
        <v>0</v>
      </c>
      <c r="AH142" s="31">
        <v>0</v>
      </c>
      <c r="AI142" s="31">
        <v>0</v>
      </c>
      <c r="AJ142" s="31">
        <v>0</v>
      </c>
      <c r="AK142" s="31">
        <v>0</v>
      </c>
      <c r="AL142" s="31">
        <v>0</v>
      </c>
      <c r="AM142" s="31">
        <v>0</v>
      </c>
      <c r="AN142" s="31">
        <v>0</v>
      </c>
      <c r="AO142" s="31">
        <v>0</v>
      </c>
      <c r="AP142" s="31">
        <v>0</v>
      </c>
    </row>
    <row r="143" spans="1:42" x14ac:dyDescent="0.25">
      <c r="A143" s="31">
        <v>24</v>
      </c>
      <c r="B143" s="31">
        <v>24603</v>
      </c>
      <c r="C143" s="31">
        <v>1</v>
      </c>
      <c r="D143" s="31" t="s">
        <v>562</v>
      </c>
      <c r="E143" s="31"/>
      <c r="F143" s="31">
        <v>0</v>
      </c>
      <c r="G143" s="31">
        <v>0</v>
      </c>
      <c r="H143" s="31">
        <v>0</v>
      </c>
      <c r="I143" s="31">
        <v>0</v>
      </c>
      <c r="J143" s="31">
        <v>0</v>
      </c>
      <c r="K143" s="31" t="s">
        <v>882</v>
      </c>
      <c r="L143" s="2" t="str">
        <f t="shared" si="16"/>
        <v>Рихтовка</v>
      </c>
      <c r="M143" s="12">
        <f t="shared" si="17"/>
        <v>0</v>
      </c>
      <c r="N143" s="12">
        <f t="shared" si="18"/>
        <v>0</v>
      </c>
      <c r="O143" s="12">
        <f t="shared" si="19"/>
        <v>0</v>
      </c>
      <c r="P143" s="12">
        <f t="shared" si="20"/>
        <v>0</v>
      </c>
      <c r="Q143" s="12">
        <f t="shared" si="21"/>
        <v>0</v>
      </c>
      <c r="R143" s="12">
        <f t="shared" si="22"/>
        <v>0</v>
      </c>
      <c r="S143" s="12">
        <f t="shared" si="23"/>
        <v>0</v>
      </c>
      <c r="T143" s="31">
        <v>0</v>
      </c>
      <c r="U143" s="31">
        <v>0</v>
      </c>
      <c r="V143" s="31">
        <v>0</v>
      </c>
      <c r="W143" s="31">
        <v>0</v>
      </c>
      <c r="X143" s="31">
        <v>0</v>
      </c>
      <c r="Y143" s="31">
        <v>0</v>
      </c>
      <c r="Z143" s="31">
        <v>0</v>
      </c>
      <c r="AA143" s="31">
        <v>0</v>
      </c>
      <c r="AB143" s="31">
        <v>0</v>
      </c>
      <c r="AC143" s="31">
        <v>0</v>
      </c>
      <c r="AD143" s="31">
        <v>0</v>
      </c>
      <c r="AE143" s="31">
        <v>0</v>
      </c>
      <c r="AF143" s="31">
        <v>0</v>
      </c>
      <c r="AG143" s="31">
        <v>0</v>
      </c>
      <c r="AH143" s="31">
        <v>0</v>
      </c>
      <c r="AI143" s="31">
        <v>0</v>
      </c>
      <c r="AJ143" s="31">
        <v>0</v>
      </c>
      <c r="AK143" s="31">
        <v>0</v>
      </c>
      <c r="AL143" s="31">
        <v>0</v>
      </c>
      <c r="AM143" s="31">
        <v>0</v>
      </c>
      <c r="AN143" s="31">
        <v>0</v>
      </c>
      <c r="AO143" s="31">
        <v>0</v>
      </c>
      <c r="AP143" s="31">
        <v>0</v>
      </c>
    </row>
    <row r="144" spans="1:42" x14ac:dyDescent="0.25">
      <c r="A144" s="31">
        <v>24</v>
      </c>
      <c r="B144" s="31">
        <v>24603</v>
      </c>
      <c r="C144" s="31">
        <v>1</v>
      </c>
      <c r="D144" s="31" t="s">
        <v>563</v>
      </c>
      <c r="E144" s="31"/>
      <c r="F144" s="31">
        <v>0</v>
      </c>
      <c r="G144" s="31">
        <v>0</v>
      </c>
      <c r="H144" s="31">
        <v>0</v>
      </c>
      <c r="I144" s="31">
        <v>0</v>
      </c>
      <c r="J144" s="31">
        <v>0</v>
      </c>
      <c r="K144" s="31" t="s">
        <v>882</v>
      </c>
      <c r="L144" s="2" t="str">
        <f t="shared" si="16"/>
        <v>Рихтовка</v>
      </c>
      <c r="M144" s="12">
        <f t="shared" si="17"/>
        <v>0</v>
      </c>
      <c r="N144" s="12">
        <f t="shared" si="18"/>
        <v>0</v>
      </c>
      <c r="O144" s="12">
        <f t="shared" si="19"/>
        <v>0</v>
      </c>
      <c r="P144" s="12">
        <f t="shared" si="20"/>
        <v>0</v>
      </c>
      <c r="Q144" s="12">
        <f t="shared" si="21"/>
        <v>0</v>
      </c>
      <c r="R144" s="12">
        <f t="shared" si="22"/>
        <v>0</v>
      </c>
      <c r="S144" s="12">
        <f t="shared" si="23"/>
        <v>0</v>
      </c>
      <c r="T144" s="31">
        <v>0</v>
      </c>
      <c r="U144" s="31">
        <v>0</v>
      </c>
      <c r="V144" s="31">
        <v>0</v>
      </c>
      <c r="W144" s="31">
        <v>0</v>
      </c>
      <c r="X144" s="31">
        <v>0</v>
      </c>
      <c r="Y144" s="31">
        <v>0</v>
      </c>
      <c r="Z144" s="31">
        <v>0</v>
      </c>
      <c r="AA144" s="31">
        <v>0</v>
      </c>
      <c r="AB144" s="31">
        <v>0</v>
      </c>
      <c r="AC144" s="31">
        <v>0</v>
      </c>
      <c r="AD144" s="31">
        <v>0</v>
      </c>
      <c r="AE144" s="31">
        <v>0</v>
      </c>
      <c r="AF144" s="31">
        <v>0</v>
      </c>
      <c r="AG144" s="31">
        <v>0</v>
      </c>
      <c r="AH144" s="31">
        <v>0</v>
      </c>
      <c r="AI144" s="31">
        <v>0</v>
      </c>
      <c r="AJ144" s="31">
        <v>0</v>
      </c>
      <c r="AK144" s="31">
        <v>0</v>
      </c>
      <c r="AL144" s="31">
        <v>0</v>
      </c>
      <c r="AM144" s="31">
        <v>0</v>
      </c>
      <c r="AN144" s="31">
        <v>0</v>
      </c>
      <c r="AO144" s="31">
        <v>0</v>
      </c>
      <c r="AP144" s="31">
        <v>0</v>
      </c>
    </row>
    <row r="145" spans="1:42" x14ac:dyDescent="0.25">
      <c r="A145" s="31">
        <v>24</v>
      </c>
      <c r="B145" s="31">
        <v>24603</v>
      </c>
      <c r="C145" s="31">
        <v>1</v>
      </c>
      <c r="D145" s="31" t="s">
        <v>564</v>
      </c>
      <c r="E145" s="31"/>
      <c r="F145" s="31">
        <v>0</v>
      </c>
      <c r="G145" s="31">
        <v>0</v>
      </c>
      <c r="H145" s="31">
        <v>0</v>
      </c>
      <c r="I145" s="31">
        <v>0</v>
      </c>
      <c r="J145" s="31">
        <v>0</v>
      </c>
      <c r="K145" s="31" t="s">
        <v>882</v>
      </c>
      <c r="L145" s="2" t="str">
        <f t="shared" si="16"/>
        <v>Рихтовка</v>
      </c>
      <c r="M145" s="12">
        <f t="shared" si="17"/>
        <v>0</v>
      </c>
      <c r="N145" s="12">
        <f t="shared" si="18"/>
        <v>0</v>
      </c>
      <c r="O145" s="12">
        <f t="shared" si="19"/>
        <v>0</v>
      </c>
      <c r="P145" s="12">
        <f t="shared" si="20"/>
        <v>0</v>
      </c>
      <c r="Q145" s="12">
        <f t="shared" si="21"/>
        <v>0</v>
      </c>
      <c r="R145" s="12">
        <f t="shared" si="22"/>
        <v>0</v>
      </c>
      <c r="S145" s="12">
        <f t="shared" si="23"/>
        <v>0</v>
      </c>
      <c r="T145" s="31">
        <v>0</v>
      </c>
      <c r="U145" s="31">
        <v>0</v>
      </c>
      <c r="V145" s="31">
        <v>0</v>
      </c>
      <c r="W145" s="31">
        <v>0</v>
      </c>
      <c r="X145" s="31">
        <v>0</v>
      </c>
      <c r="Y145" s="31">
        <v>0</v>
      </c>
      <c r="Z145" s="31">
        <v>0</v>
      </c>
      <c r="AA145" s="31">
        <v>0</v>
      </c>
      <c r="AB145" s="31">
        <v>0</v>
      </c>
      <c r="AC145" s="31">
        <v>0</v>
      </c>
      <c r="AD145" s="31">
        <v>0</v>
      </c>
      <c r="AE145" s="31">
        <v>0</v>
      </c>
      <c r="AF145" s="31">
        <v>0</v>
      </c>
      <c r="AG145" s="31">
        <v>0</v>
      </c>
      <c r="AH145" s="31">
        <v>0</v>
      </c>
      <c r="AI145" s="31">
        <v>0</v>
      </c>
      <c r="AJ145" s="31">
        <v>0</v>
      </c>
      <c r="AK145" s="31">
        <v>0</v>
      </c>
      <c r="AL145" s="31">
        <v>0</v>
      </c>
      <c r="AM145" s="31">
        <v>0</v>
      </c>
      <c r="AN145" s="31">
        <v>0</v>
      </c>
      <c r="AO145" s="31">
        <v>0</v>
      </c>
      <c r="AP145" s="31">
        <v>0</v>
      </c>
    </row>
    <row r="146" spans="1:42" x14ac:dyDescent="0.25">
      <c r="A146" s="31">
        <v>24</v>
      </c>
      <c r="B146" s="31">
        <v>24603</v>
      </c>
      <c r="C146" s="31">
        <v>1</v>
      </c>
      <c r="D146" s="31" t="s">
        <v>565</v>
      </c>
      <c r="E146" s="31"/>
      <c r="F146" s="31">
        <v>0</v>
      </c>
      <c r="G146" s="31">
        <v>0</v>
      </c>
      <c r="H146" s="31">
        <v>0</v>
      </c>
      <c r="I146" s="31">
        <v>0</v>
      </c>
      <c r="J146" s="31">
        <v>0</v>
      </c>
      <c r="K146" s="31" t="s">
        <v>882</v>
      </c>
      <c r="L146" s="2" t="str">
        <f t="shared" si="16"/>
        <v>Рихтовка</v>
      </c>
      <c r="M146" s="12">
        <f t="shared" si="17"/>
        <v>0</v>
      </c>
      <c r="N146" s="12">
        <f t="shared" si="18"/>
        <v>0</v>
      </c>
      <c r="O146" s="12">
        <f t="shared" si="19"/>
        <v>0</v>
      </c>
      <c r="P146" s="12">
        <f t="shared" si="20"/>
        <v>0</v>
      </c>
      <c r="Q146" s="12">
        <f t="shared" si="21"/>
        <v>0</v>
      </c>
      <c r="R146" s="12">
        <f t="shared" si="22"/>
        <v>0</v>
      </c>
      <c r="S146" s="12">
        <f t="shared" si="23"/>
        <v>0</v>
      </c>
      <c r="T146" s="31">
        <v>0</v>
      </c>
      <c r="U146" s="31">
        <v>0</v>
      </c>
      <c r="V146" s="31">
        <v>0</v>
      </c>
      <c r="W146" s="31">
        <v>0</v>
      </c>
      <c r="X146" s="31">
        <v>0</v>
      </c>
      <c r="Y146" s="31">
        <v>0</v>
      </c>
      <c r="Z146" s="31">
        <v>0</v>
      </c>
      <c r="AA146" s="31">
        <v>0</v>
      </c>
      <c r="AB146" s="31">
        <v>0</v>
      </c>
      <c r="AC146" s="31">
        <v>0</v>
      </c>
      <c r="AD146" s="31">
        <v>0</v>
      </c>
      <c r="AE146" s="31">
        <v>0</v>
      </c>
      <c r="AF146" s="31">
        <v>0</v>
      </c>
      <c r="AG146" s="31">
        <v>0</v>
      </c>
      <c r="AH146" s="31">
        <v>0</v>
      </c>
      <c r="AI146" s="31">
        <v>0</v>
      </c>
      <c r="AJ146" s="31">
        <v>0</v>
      </c>
      <c r="AK146" s="31">
        <v>0</v>
      </c>
      <c r="AL146" s="31">
        <v>0</v>
      </c>
      <c r="AM146" s="31">
        <v>0</v>
      </c>
      <c r="AN146" s="31">
        <v>0</v>
      </c>
      <c r="AO146" s="31">
        <v>0</v>
      </c>
      <c r="AP146" s="31">
        <v>0</v>
      </c>
    </row>
    <row r="147" spans="1:42" x14ac:dyDescent="0.25">
      <c r="A147" s="31">
        <v>24</v>
      </c>
      <c r="B147" s="31">
        <v>24603</v>
      </c>
      <c r="C147" s="31">
        <v>1</v>
      </c>
      <c r="D147" s="31" t="s">
        <v>566</v>
      </c>
      <c r="E147" s="31"/>
      <c r="F147" s="31">
        <v>0</v>
      </c>
      <c r="G147" s="31">
        <v>0</v>
      </c>
      <c r="H147" s="31">
        <v>0</v>
      </c>
      <c r="I147" s="31">
        <v>0</v>
      </c>
      <c r="J147" s="31">
        <v>0</v>
      </c>
      <c r="K147" s="31" t="s">
        <v>882</v>
      </c>
      <c r="L147" s="2" t="str">
        <f t="shared" si="16"/>
        <v>Рихтовка</v>
      </c>
      <c r="M147" s="12">
        <f t="shared" si="17"/>
        <v>0</v>
      </c>
      <c r="N147" s="12">
        <f t="shared" si="18"/>
        <v>0</v>
      </c>
      <c r="O147" s="12">
        <f t="shared" si="19"/>
        <v>0</v>
      </c>
      <c r="P147" s="12">
        <f t="shared" si="20"/>
        <v>0</v>
      </c>
      <c r="Q147" s="12">
        <f t="shared" si="21"/>
        <v>0</v>
      </c>
      <c r="R147" s="12">
        <f t="shared" si="22"/>
        <v>0</v>
      </c>
      <c r="S147" s="12">
        <f t="shared" si="23"/>
        <v>0</v>
      </c>
      <c r="T147" s="31">
        <v>0</v>
      </c>
      <c r="U147" s="31">
        <v>0</v>
      </c>
      <c r="V147" s="31">
        <v>0</v>
      </c>
      <c r="W147" s="31">
        <v>0</v>
      </c>
      <c r="X147" s="31">
        <v>0</v>
      </c>
      <c r="Y147" s="31">
        <v>0</v>
      </c>
      <c r="Z147" s="31">
        <v>0</v>
      </c>
      <c r="AA147" s="31">
        <v>0</v>
      </c>
      <c r="AB147" s="31">
        <v>0</v>
      </c>
      <c r="AC147" s="31">
        <v>0</v>
      </c>
      <c r="AD147" s="31">
        <v>0</v>
      </c>
      <c r="AE147" s="31">
        <v>0</v>
      </c>
      <c r="AF147" s="31">
        <v>0</v>
      </c>
      <c r="AG147" s="31">
        <v>0</v>
      </c>
      <c r="AH147" s="31">
        <v>0</v>
      </c>
      <c r="AI147" s="31">
        <v>0</v>
      </c>
      <c r="AJ147" s="31">
        <v>0</v>
      </c>
      <c r="AK147" s="31">
        <v>0</v>
      </c>
      <c r="AL147" s="31">
        <v>0</v>
      </c>
      <c r="AM147" s="31">
        <v>0</v>
      </c>
      <c r="AN147" s="31">
        <v>0</v>
      </c>
      <c r="AO147" s="31">
        <v>0</v>
      </c>
      <c r="AP147" s="31">
        <v>0</v>
      </c>
    </row>
    <row r="148" spans="1:42" x14ac:dyDescent="0.25">
      <c r="A148" s="31">
        <v>24</v>
      </c>
      <c r="B148" s="31">
        <v>24603</v>
      </c>
      <c r="C148" s="31">
        <v>1</v>
      </c>
      <c r="D148" s="31" t="s">
        <v>567</v>
      </c>
      <c r="E148" s="31"/>
      <c r="F148" s="31">
        <v>0</v>
      </c>
      <c r="G148" s="31">
        <v>0</v>
      </c>
      <c r="H148" s="31">
        <v>0</v>
      </c>
      <c r="I148" s="31">
        <v>0</v>
      </c>
      <c r="J148" s="31">
        <v>0</v>
      </c>
      <c r="K148" s="31" t="s">
        <v>882</v>
      </c>
      <c r="L148" s="2" t="str">
        <f t="shared" si="16"/>
        <v>Рихтовка</v>
      </c>
      <c r="M148" s="12">
        <f t="shared" si="17"/>
        <v>0</v>
      </c>
      <c r="N148" s="12">
        <f t="shared" si="18"/>
        <v>0</v>
      </c>
      <c r="O148" s="12">
        <f t="shared" si="19"/>
        <v>0</v>
      </c>
      <c r="P148" s="12">
        <f t="shared" si="20"/>
        <v>0</v>
      </c>
      <c r="Q148" s="12">
        <f t="shared" si="21"/>
        <v>0</v>
      </c>
      <c r="R148" s="12">
        <f t="shared" si="22"/>
        <v>0</v>
      </c>
      <c r="S148" s="12">
        <f t="shared" si="23"/>
        <v>0</v>
      </c>
      <c r="T148" s="31">
        <v>0</v>
      </c>
      <c r="U148" s="31">
        <v>0</v>
      </c>
      <c r="V148" s="31">
        <v>0</v>
      </c>
      <c r="W148" s="31">
        <v>0</v>
      </c>
      <c r="X148" s="31">
        <v>0</v>
      </c>
      <c r="Y148" s="31">
        <v>0</v>
      </c>
      <c r="Z148" s="31">
        <v>0</v>
      </c>
      <c r="AA148" s="31">
        <v>0</v>
      </c>
      <c r="AB148" s="31">
        <v>0</v>
      </c>
      <c r="AC148" s="31">
        <v>0</v>
      </c>
      <c r="AD148" s="31">
        <v>0</v>
      </c>
      <c r="AE148" s="31">
        <v>0</v>
      </c>
      <c r="AF148" s="31">
        <v>0</v>
      </c>
      <c r="AG148" s="31">
        <v>0</v>
      </c>
      <c r="AH148" s="31">
        <v>0</v>
      </c>
      <c r="AI148" s="31">
        <v>0</v>
      </c>
      <c r="AJ148" s="31">
        <v>0</v>
      </c>
      <c r="AK148" s="31">
        <v>0</v>
      </c>
      <c r="AL148" s="31">
        <v>0</v>
      </c>
      <c r="AM148" s="31">
        <v>0</v>
      </c>
      <c r="AN148" s="31">
        <v>0</v>
      </c>
      <c r="AO148" s="31">
        <v>0</v>
      </c>
      <c r="AP148" s="31">
        <v>0</v>
      </c>
    </row>
    <row r="149" spans="1:42" x14ac:dyDescent="0.25">
      <c r="A149" s="31">
        <v>24</v>
      </c>
      <c r="B149" s="31">
        <v>24603</v>
      </c>
      <c r="C149" s="31">
        <v>1</v>
      </c>
      <c r="D149" s="31" t="s">
        <v>568</v>
      </c>
      <c r="E149" s="31"/>
      <c r="F149" s="31">
        <v>0</v>
      </c>
      <c r="G149" s="31">
        <v>0</v>
      </c>
      <c r="H149" s="31">
        <v>0</v>
      </c>
      <c r="I149" s="31">
        <v>0</v>
      </c>
      <c r="J149" s="31">
        <v>0</v>
      </c>
      <c r="K149" s="31" t="s">
        <v>882</v>
      </c>
      <c r="L149" s="2" t="str">
        <f t="shared" si="16"/>
        <v>Рихтовка</v>
      </c>
      <c r="M149" s="12">
        <f t="shared" si="17"/>
        <v>0</v>
      </c>
      <c r="N149" s="12">
        <f t="shared" si="18"/>
        <v>0</v>
      </c>
      <c r="O149" s="12">
        <f t="shared" si="19"/>
        <v>0</v>
      </c>
      <c r="P149" s="12">
        <f t="shared" si="20"/>
        <v>0</v>
      </c>
      <c r="Q149" s="12">
        <f t="shared" si="21"/>
        <v>0</v>
      </c>
      <c r="R149" s="12">
        <f t="shared" si="22"/>
        <v>0</v>
      </c>
      <c r="S149" s="12">
        <f t="shared" si="23"/>
        <v>0</v>
      </c>
      <c r="T149" s="31">
        <v>0</v>
      </c>
      <c r="U149" s="31">
        <v>0</v>
      </c>
      <c r="V149" s="31">
        <v>0</v>
      </c>
      <c r="W149" s="31">
        <v>0</v>
      </c>
      <c r="X149" s="31">
        <v>0</v>
      </c>
      <c r="Y149" s="31">
        <v>0</v>
      </c>
      <c r="Z149" s="31">
        <v>0</v>
      </c>
      <c r="AA149" s="31">
        <v>0</v>
      </c>
      <c r="AB149" s="31">
        <v>0</v>
      </c>
      <c r="AC149" s="31">
        <v>0</v>
      </c>
      <c r="AD149" s="31">
        <v>0</v>
      </c>
      <c r="AE149" s="31">
        <v>0</v>
      </c>
      <c r="AF149" s="31">
        <v>0</v>
      </c>
      <c r="AG149" s="31">
        <v>0</v>
      </c>
      <c r="AH149" s="31">
        <v>0</v>
      </c>
      <c r="AI149" s="31">
        <v>0</v>
      </c>
      <c r="AJ149" s="31">
        <v>0</v>
      </c>
      <c r="AK149" s="31">
        <v>0</v>
      </c>
      <c r="AL149" s="31">
        <v>0</v>
      </c>
      <c r="AM149" s="31">
        <v>0</v>
      </c>
      <c r="AN149" s="31">
        <v>0</v>
      </c>
      <c r="AO149" s="31">
        <v>0</v>
      </c>
      <c r="AP149" s="31">
        <v>0</v>
      </c>
    </row>
    <row r="150" spans="1:42" x14ac:dyDescent="0.25">
      <c r="A150" s="31">
        <v>24</v>
      </c>
      <c r="B150" s="31">
        <v>24603</v>
      </c>
      <c r="C150" s="31">
        <v>1</v>
      </c>
      <c r="D150" s="31" t="s">
        <v>569</v>
      </c>
      <c r="E150" s="31"/>
      <c r="F150" s="31">
        <v>0</v>
      </c>
      <c r="G150" s="31">
        <v>0</v>
      </c>
      <c r="H150" s="31">
        <v>0</v>
      </c>
      <c r="I150" s="31">
        <v>0</v>
      </c>
      <c r="J150" s="31">
        <v>0</v>
      </c>
      <c r="K150" s="31" t="s">
        <v>882</v>
      </c>
      <c r="L150" s="2" t="str">
        <f t="shared" si="16"/>
        <v>Рихтовка</v>
      </c>
      <c r="M150" s="12">
        <f t="shared" si="17"/>
        <v>0</v>
      </c>
      <c r="N150" s="12">
        <f t="shared" si="18"/>
        <v>0</v>
      </c>
      <c r="O150" s="12">
        <f t="shared" si="19"/>
        <v>0</v>
      </c>
      <c r="P150" s="12">
        <f t="shared" si="20"/>
        <v>0</v>
      </c>
      <c r="Q150" s="12">
        <f t="shared" si="21"/>
        <v>0</v>
      </c>
      <c r="R150" s="12">
        <f t="shared" si="22"/>
        <v>0</v>
      </c>
      <c r="S150" s="12">
        <f t="shared" si="23"/>
        <v>0</v>
      </c>
      <c r="T150" s="31">
        <v>0</v>
      </c>
      <c r="U150" s="31">
        <v>0</v>
      </c>
      <c r="V150" s="31">
        <v>0</v>
      </c>
      <c r="W150" s="31">
        <v>0</v>
      </c>
      <c r="X150" s="31">
        <v>0</v>
      </c>
      <c r="Y150" s="31">
        <v>0</v>
      </c>
      <c r="Z150" s="31">
        <v>0</v>
      </c>
      <c r="AA150" s="31">
        <v>0</v>
      </c>
      <c r="AB150" s="31">
        <v>0</v>
      </c>
      <c r="AC150" s="31">
        <v>0</v>
      </c>
      <c r="AD150" s="31">
        <v>0</v>
      </c>
      <c r="AE150" s="31">
        <v>0</v>
      </c>
      <c r="AF150" s="31">
        <v>0</v>
      </c>
      <c r="AG150" s="31">
        <v>0</v>
      </c>
      <c r="AH150" s="31">
        <v>0</v>
      </c>
      <c r="AI150" s="31">
        <v>0</v>
      </c>
      <c r="AJ150" s="31">
        <v>0</v>
      </c>
      <c r="AK150" s="31">
        <v>0</v>
      </c>
      <c r="AL150" s="31">
        <v>0</v>
      </c>
      <c r="AM150" s="31">
        <v>0</v>
      </c>
      <c r="AN150" s="31">
        <v>0</v>
      </c>
      <c r="AO150" s="31">
        <v>0</v>
      </c>
      <c r="AP150" s="31">
        <v>0</v>
      </c>
    </row>
    <row r="151" spans="1:42" x14ac:dyDescent="0.25">
      <c r="A151" s="31">
        <v>24</v>
      </c>
      <c r="B151" s="31">
        <v>24603</v>
      </c>
      <c r="C151" s="31">
        <v>1</v>
      </c>
      <c r="D151" s="31" t="s">
        <v>570</v>
      </c>
      <c r="E151" s="31"/>
      <c r="F151" s="31">
        <v>0</v>
      </c>
      <c r="G151" s="31">
        <v>0</v>
      </c>
      <c r="H151" s="31">
        <v>0</v>
      </c>
      <c r="I151" s="31">
        <v>0</v>
      </c>
      <c r="J151" s="31">
        <v>0</v>
      </c>
      <c r="K151" s="31" t="s">
        <v>882</v>
      </c>
      <c r="L151" s="2" t="str">
        <f t="shared" si="16"/>
        <v>Рихтовка</v>
      </c>
      <c r="M151" s="12">
        <f t="shared" si="17"/>
        <v>0</v>
      </c>
      <c r="N151" s="12">
        <f t="shared" si="18"/>
        <v>0</v>
      </c>
      <c r="O151" s="12">
        <f t="shared" si="19"/>
        <v>0</v>
      </c>
      <c r="P151" s="12">
        <f t="shared" si="20"/>
        <v>0</v>
      </c>
      <c r="Q151" s="12">
        <f t="shared" si="21"/>
        <v>0</v>
      </c>
      <c r="R151" s="12">
        <f t="shared" si="22"/>
        <v>0</v>
      </c>
      <c r="S151" s="12">
        <f t="shared" si="23"/>
        <v>0</v>
      </c>
      <c r="T151" s="31">
        <v>0</v>
      </c>
      <c r="U151" s="31">
        <v>0</v>
      </c>
      <c r="V151" s="31">
        <v>0</v>
      </c>
      <c r="W151" s="31">
        <v>0</v>
      </c>
      <c r="X151" s="31">
        <v>0</v>
      </c>
      <c r="Y151" s="31">
        <v>0</v>
      </c>
      <c r="Z151" s="31">
        <v>0</v>
      </c>
      <c r="AA151" s="31">
        <v>0</v>
      </c>
      <c r="AB151" s="31">
        <v>0</v>
      </c>
      <c r="AC151" s="31">
        <v>0</v>
      </c>
      <c r="AD151" s="31">
        <v>0</v>
      </c>
      <c r="AE151" s="31">
        <v>0</v>
      </c>
      <c r="AF151" s="31">
        <v>0</v>
      </c>
      <c r="AG151" s="31">
        <v>0</v>
      </c>
      <c r="AH151" s="31">
        <v>0</v>
      </c>
      <c r="AI151" s="31">
        <v>0</v>
      </c>
      <c r="AJ151" s="31">
        <v>0</v>
      </c>
      <c r="AK151" s="31">
        <v>0</v>
      </c>
      <c r="AL151" s="31">
        <v>0</v>
      </c>
      <c r="AM151" s="31">
        <v>0</v>
      </c>
      <c r="AN151" s="31">
        <v>0</v>
      </c>
      <c r="AO151" s="31">
        <v>0</v>
      </c>
      <c r="AP151" s="31">
        <v>0</v>
      </c>
    </row>
    <row r="152" spans="1:42" x14ac:dyDescent="0.25">
      <c r="A152" s="31">
        <v>24</v>
      </c>
      <c r="B152" s="31">
        <v>24603</v>
      </c>
      <c r="C152" s="31">
        <v>1</v>
      </c>
      <c r="D152" s="31" t="s">
        <v>571</v>
      </c>
      <c r="E152" s="31"/>
      <c r="F152" s="31">
        <v>0</v>
      </c>
      <c r="G152" s="31">
        <v>0</v>
      </c>
      <c r="H152" s="31">
        <v>0</v>
      </c>
      <c r="I152" s="31">
        <v>0</v>
      </c>
      <c r="J152" s="31">
        <v>0</v>
      </c>
      <c r="K152" s="31" t="s">
        <v>882</v>
      </c>
      <c r="L152" s="2" t="str">
        <f t="shared" si="16"/>
        <v>Рихтовка</v>
      </c>
      <c r="M152" s="12">
        <f t="shared" si="17"/>
        <v>0</v>
      </c>
      <c r="N152" s="12">
        <f t="shared" si="18"/>
        <v>0</v>
      </c>
      <c r="O152" s="12">
        <f t="shared" si="19"/>
        <v>0</v>
      </c>
      <c r="P152" s="12">
        <f t="shared" si="20"/>
        <v>0</v>
      </c>
      <c r="Q152" s="12">
        <f t="shared" si="21"/>
        <v>0</v>
      </c>
      <c r="R152" s="12">
        <f t="shared" si="22"/>
        <v>0</v>
      </c>
      <c r="S152" s="12">
        <f t="shared" si="23"/>
        <v>0</v>
      </c>
      <c r="T152" s="31">
        <v>0</v>
      </c>
      <c r="U152" s="31">
        <v>0</v>
      </c>
      <c r="V152" s="31">
        <v>0</v>
      </c>
      <c r="W152" s="31">
        <v>0</v>
      </c>
      <c r="X152" s="31">
        <v>0</v>
      </c>
      <c r="Y152" s="31">
        <v>0</v>
      </c>
      <c r="Z152" s="31">
        <v>0</v>
      </c>
      <c r="AA152" s="31">
        <v>0</v>
      </c>
      <c r="AB152" s="31">
        <v>0</v>
      </c>
      <c r="AC152" s="31">
        <v>0</v>
      </c>
      <c r="AD152" s="31">
        <v>0</v>
      </c>
      <c r="AE152" s="31">
        <v>0</v>
      </c>
      <c r="AF152" s="31">
        <v>0</v>
      </c>
      <c r="AG152" s="31">
        <v>0</v>
      </c>
      <c r="AH152" s="31">
        <v>0</v>
      </c>
      <c r="AI152" s="31">
        <v>0</v>
      </c>
      <c r="AJ152" s="31">
        <v>0</v>
      </c>
      <c r="AK152" s="31">
        <v>0</v>
      </c>
      <c r="AL152" s="31">
        <v>0</v>
      </c>
      <c r="AM152" s="31">
        <v>0</v>
      </c>
      <c r="AN152" s="31">
        <v>0</v>
      </c>
      <c r="AO152" s="31">
        <v>0</v>
      </c>
      <c r="AP152" s="31">
        <v>0</v>
      </c>
    </row>
    <row r="153" spans="1:42" x14ac:dyDescent="0.25">
      <c r="A153" s="31">
        <v>24</v>
      </c>
      <c r="B153" s="31">
        <v>24603</v>
      </c>
      <c r="C153" s="31">
        <v>1</v>
      </c>
      <c r="D153" s="31" t="s">
        <v>572</v>
      </c>
      <c r="E153" s="31"/>
      <c r="F153" s="31">
        <v>0</v>
      </c>
      <c r="G153" s="31">
        <v>0</v>
      </c>
      <c r="H153" s="31">
        <v>0</v>
      </c>
      <c r="I153" s="31">
        <v>0</v>
      </c>
      <c r="J153" s="31">
        <v>0</v>
      </c>
      <c r="K153" s="31" t="s">
        <v>882</v>
      </c>
      <c r="L153" s="2" t="str">
        <f t="shared" si="16"/>
        <v>Рихтовка</v>
      </c>
      <c r="M153" s="12">
        <f t="shared" si="17"/>
        <v>0</v>
      </c>
      <c r="N153" s="12">
        <f t="shared" si="18"/>
        <v>0</v>
      </c>
      <c r="O153" s="12">
        <f t="shared" si="19"/>
        <v>0</v>
      </c>
      <c r="P153" s="12">
        <f t="shared" si="20"/>
        <v>0</v>
      </c>
      <c r="Q153" s="12">
        <f t="shared" si="21"/>
        <v>0</v>
      </c>
      <c r="R153" s="12">
        <f t="shared" si="22"/>
        <v>0</v>
      </c>
      <c r="S153" s="12">
        <f t="shared" si="23"/>
        <v>0</v>
      </c>
      <c r="T153" s="31">
        <v>0</v>
      </c>
      <c r="U153" s="31">
        <v>0</v>
      </c>
      <c r="V153" s="31">
        <v>0</v>
      </c>
      <c r="W153" s="31">
        <v>0</v>
      </c>
      <c r="X153" s="31">
        <v>0</v>
      </c>
      <c r="Y153" s="31">
        <v>0</v>
      </c>
      <c r="Z153" s="31">
        <v>0</v>
      </c>
      <c r="AA153" s="31">
        <v>0</v>
      </c>
      <c r="AB153" s="31">
        <v>0</v>
      </c>
      <c r="AC153" s="31">
        <v>0</v>
      </c>
      <c r="AD153" s="31">
        <v>0</v>
      </c>
      <c r="AE153" s="31">
        <v>0</v>
      </c>
      <c r="AF153" s="31">
        <v>0</v>
      </c>
      <c r="AG153" s="31">
        <v>0</v>
      </c>
      <c r="AH153" s="31">
        <v>0</v>
      </c>
      <c r="AI153" s="31">
        <v>0</v>
      </c>
      <c r="AJ153" s="31">
        <v>0</v>
      </c>
      <c r="AK153" s="31">
        <v>0</v>
      </c>
      <c r="AL153" s="31">
        <v>0</v>
      </c>
      <c r="AM153" s="31">
        <v>0</v>
      </c>
      <c r="AN153" s="31">
        <v>0</v>
      </c>
      <c r="AO153" s="31">
        <v>0</v>
      </c>
      <c r="AP153" s="31">
        <v>0</v>
      </c>
    </row>
    <row r="154" spans="1:42" x14ac:dyDescent="0.25">
      <c r="A154" s="31">
        <v>24</v>
      </c>
      <c r="B154" s="31">
        <v>24603</v>
      </c>
      <c r="C154" s="31">
        <v>1</v>
      </c>
      <c r="D154" s="31" t="s">
        <v>573</v>
      </c>
      <c r="E154" s="31"/>
      <c r="F154" s="31">
        <v>0</v>
      </c>
      <c r="G154" s="31">
        <v>0</v>
      </c>
      <c r="H154" s="31">
        <v>0</v>
      </c>
      <c r="I154" s="31">
        <v>0</v>
      </c>
      <c r="J154" s="31">
        <v>0</v>
      </c>
      <c r="K154" s="31" t="s">
        <v>882</v>
      </c>
      <c r="L154" s="2" t="str">
        <f t="shared" si="16"/>
        <v>Рихтовка</v>
      </c>
      <c r="M154" s="12">
        <f t="shared" si="17"/>
        <v>0</v>
      </c>
      <c r="N154" s="12">
        <f t="shared" si="18"/>
        <v>0</v>
      </c>
      <c r="O154" s="12">
        <f t="shared" si="19"/>
        <v>0</v>
      </c>
      <c r="P154" s="12">
        <f t="shared" si="20"/>
        <v>0</v>
      </c>
      <c r="Q154" s="12">
        <f t="shared" si="21"/>
        <v>0</v>
      </c>
      <c r="R154" s="12">
        <f t="shared" si="22"/>
        <v>0</v>
      </c>
      <c r="S154" s="12">
        <f t="shared" si="23"/>
        <v>0</v>
      </c>
      <c r="T154" s="31">
        <v>0</v>
      </c>
      <c r="U154" s="31">
        <v>0</v>
      </c>
      <c r="V154" s="31">
        <v>0</v>
      </c>
      <c r="W154" s="31">
        <v>0</v>
      </c>
      <c r="X154" s="31">
        <v>0</v>
      </c>
      <c r="Y154" s="31">
        <v>0</v>
      </c>
      <c r="Z154" s="31">
        <v>0</v>
      </c>
      <c r="AA154" s="31">
        <v>0</v>
      </c>
      <c r="AB154" s="31">
        <v>0</v>
      </c>
      <c r="AC154" s="31">
        <v>0</v>
      </c>
      <c r="AD154" s="31">
        <v>0</v>
      </c>
      <c r="AE154" s="31">
        <v>0</v>
      </c>
      <c r="AF154" s="31">
        <v>0</v>
      </c>
      <c r="AG154" s="31">
        <v>0</v>
      </c>
      <c r="AH154" s="31">
        <v>0</v>
      </c>
      <c r="AI154" s="31">
        <v>0</v>
      </c>
      <c r="AJ154" s="31">
        <v>0</v>
      </c>
      <c r="AK154" s="31">
        <v>0</v>
      </c>
      <c r="AL154" s="31">
        <v>0</v>
      </c>
      <c r="AM154" s="31">
        <v>0</v>
      </c>
      <c r="AN154" s="31">
        <v>0</v>
      </c>
      <c r="AO154" s="31">
        <v>0</v>
      </c>
      <c r="AP154" s="31">
        <v>0</v>
      </c>
    </row>
    <row r="155" spans="1:42" x14ac:dyDescent="0.25">
      <c r="A155" s="31">
        <v>24</v>
      </c>
      <c r="B155" s="31">
        <v>24603</v>
      </c>
      <c r="C155" s="31">
        <v>1</v>
      </c>
      <c r="D155" s="31" t="s">
        <v>574</v>
      </c>
      <c r="E155" s="31"/>
      <c r="F155" s="31">
        <v>0</v>
      </c>
      <c r="G155" s="31">
        <v>0</v>
      </c>
      <c r="H155" s="31">
        <v>0</v>
      </c>
      <c r="I155" s="31">
        <v>0</v>
      </c>
      <c r="J155" s="31">
        <v>0</v>
      </c>
      <c r="K155" s="31" t="s">
        <v>882</v>
      </c>
      <c r="L155" s="2" t="str">
        <f t="shared" si="16"/>
        <v>Рихтовка</v>
      </c>
      <c r="M155" s="12">
        <f t="shared" si="17"/>
        <v>0</v>
      </c>
      <c r="N155" s="12">
        <f t="shared" si="18"/>
        <v>0</v>
      </c>
      <c r="O155" s="12">
        <f t="shared" si="19"/>
        <v>0</v>
      </c>
      <c r="P155" s="12">
        <f t="shared" si="20"/>
        <v>0</v>
      </c>
      <c r="Q155" s="12">
        <f t="shared" si="21"/>
        <v>0</v>
      </c>
      <c r="R155" s="12">
        <f t="shared" si="22"/>
        <v>0</v>
      </c>
      <c r="S155" s="12">
        <f t="shared" si="23"/>
        <v>0</v>
      </c>
      <c r="T155" s="31">
        <v>0</v>
      </c>
      <c r="U155" s="31">
        <v>0</v>
      </c>
      <c r="V155" s="31">
        <v>0</v>
      </c>
      <c r="W155" s="31">
        <v>0</v>
      </c>
      <c r="X155" s="31">
        <v>0</v>
      </c>
      <c r="Y155" s="31">
        <v>0</v>
      </c>
      <c r="Z155" s="31">
        <v>0</v>
      </c>
      <c r="AA155" s="31">
        <v>0</v>
      </c>
      <c r="AB155" s="31">
        <v>0</v>
      </c>
      <c r="AC155" s="31">
        <v>0</v>
      </c>
      <c r="AD155" s="31">
        <v>0</v>
      </c>
      <c r="AE155" s="31">
        <v>0</v>
      </c>
      <c r="AF155" s="31">
        <v>0</v>
      </c>
      <c r="AG155" s="31">
        <v>0</v>
      </c>
      <c r="AH155" s="31">
        <v>0</v>
      </c>
      <c r="AI155" s="31">
        <v>0</v>
      </c>
      <c r="AJ155" s="31">
        <v>0</v>
      </c>
      <c r="AK155" s="31">
        <v>0</v>
      </c>
      <c r="AL155" s="31">
        <v>0</v>
      </c>
      <c r="AM155" s="31">
        <v>0</v>
      </c>
      <c r="AN155" s="31">
        <v>0</v>
      </c>
      <c r="AO155" s="31">
        <v>0</v>
      </c>
      <c r="AP155" s="31">
        <v>0</v>
      </c>
    </row>
    <row r="156" spans="1:42" x14ac:dyDescent="0.25">
      <c r="A156" s="31">
        <v>24</v>
      </c>
      <c r="B156" s="31">
        <v>24603</v>
      </c>
      <c r="C156" s="31">
        <v>1</v>
      </c>
      <c r="D156" s="31" t="s">
        <v>575</v>
      </c>
      <c r="E156" s="31"/>
      <c r="F156" s="31">
        <v>0</v>
      </c>
      <c r="G156" s="31">
        <v>0</v>
      </c>
      <c r="H156" s="31">
        <v>0</v>
      </c>
      <c r="I156" s="31">
        <v>0</v>
      </c>
      <c r="J156" s="31">
        <v>0</v>
      </c>
      <c r="K156" s="31" t="s">
        <v>882</v>
      </c>
      <c r="L156" s="2" t="str">
        <f t="shared" si="16"/>
        <v>Рихтовка</v>
      </c>
      <c r="M156" s="12">
        <f t="shared" si="17"/>
        <v>0</v>
      </c>
      <c r="N156" s="12">
        <f t="shared" si="18"/>
        <v>0</v>
      </c>
      <c r="O156" s="12">
        <f t="shared" si="19"/>
        <v>0</v>
      </c>
      <c r="P156" s="12">
        <f t="shared" si="20"/>
        <v>0</v>
      </c>
      <c r="Q156" s="12">
        <f t="shared" si="21"/>
        <v>0</v>
      </c>
      <c r="R156" s="12">
        <f t="shared" si="22"/>
        <v>0</v>
      </c>
      <c r="S156" s="12">
        <f t="shared" si="23"/>
        <v>0</v>
      </c>
      <c r="T156" s="31">
        <v>0</v>
      </c>
      <c r="U156" s="31">
        <v>0</v>
      </c>
      <c r="V156" s="31">
        <v>0</v>
      </c>
      <c r="W156" s="31">
        <v>0</v>
      </c>
      <c r="X156" s="31">
        <v>0</v>
      </c>
      <c r="Y156" s="31">
        <v>0</v>
      </c>
      <c r="Z156" s="31">
        <v>0</v>
      </c>
      <c r="AA156" s="31">
        <v>0</v>
      </c>
      <c r="AB156" s="31">
        <v>0</v>
      </c>
      <c r="AC156" s="31">
        <v>0</v>
      </c>
      <c r="AD156" s="31">
        <v>0</v>
      </c>
      <c r="AE156" s="31">
        <v>0</v>
      </c>
      <c r="AF156" s="31">
        <v>0</v>
      </c>
      <c r="AG156" s="31">
        <v>0</v>
      </c>
      <c r="AH156" s="31">
        <v>0</v>
      </c>
      <c r="AI156" s="31">
        <v>0</v>
      </c>
      <c r="AJ156" s="31">
        <v>0</v>
      </c>
      <c r="AK156" s="31">
        <v>0</v>
      </c>
      <c r="AL156" s="31">
        <v>0</v>
      </c>
      <c r="AM156" s="31">
        <v>0</v>
      </c>
      <c r="AN156" s="31">
        <v>0</v>
      </c>
      <c r="AO156" s="31">
        <v>0</v>
      </c>
      <c r="AP156" s="31">
        <v>0</v>
      </c>
    </row>
    <row r="157" spans="1:42" x14ac:dyDescent="0.25">
      <c r="A157" s="31">
        <v>25</v>
      </c>
      <c r="B157" s="31">
        <v>24603</v>
      </c>
      <c r="C157" s="31">
        <v>1</v>
      </c>
      <c r="D157" s="31" t="s">
        <v>575</v>
      </c>
      <c r="E157" s="31"/>
      <c r="F157" s="31">
        <v>0</v>
      </c>
      <c r="G157" s="31">
        <v>0</v>
      </c>
      <c r="H157" s="31">
        <v>0</v>
      </c>
      <c r="I157" s="31">
        <v>0</v>
      </c>
      <c r="J157" s="31">
        <v>0</v>
      </c>
      <c r="K157" s="31" t="s">
        <v>882</v>
      </c>
      <c r="L157" s="2" t="str">
        <f t="shared" si="16"/>
        <v>Рихтовка</v>
      </c>
      <c r="M157" s="12">
        <f t="shared" si="17"/>
        <v>0</v>
      </c>
      <c r="N157" s="12">
        <f t="shared" si="18"/>
        <v>0</v>
      </c>
      <c r="O157" s="12">
        <f t="shared" si="19"/>
        <v>0</v>
      </c>
      <c r="P157" s="12">
        <f t="shared" si="20"/>
        <v>0</v>
      </c>
      <c r="Q157" s="12">
        <f t="shared" si="21"/>
        <v>0</v>
      </c>
      <c r="R157" s="12">
        <f t="shared" si="22"/>
        <v>0</v>
      </c>
      <c r="S157" s="12">
        <f t="shared" si="23"/>
        <v>0</v>
      </c>
      <c r="T157" s="31">
        <v>0</v>
      </c>
      <c r="U157" s="31">
        <v>0</v>
      </c>
      <c r="V157" s="31">
        <v>0</v>
      </c>
      <c r="W157" s="31">
        <v>0</v>
      </c>
      <c r="X157" s="31">
        <v>0</v>
      </c>
      <c r="Y157" s="31">
        <v>0</v>
      </c>
      <c r="Z157" s="31">
        <v>0</v>
      </c>
      <c r="AA157" s="31">
        <v>0</v>
      </c>
      <c r="AB157" s="31">
        <v>0</v>
      </c>
      <c r="AC157" s="31">
        <v>0</v>
      </c>
      <c r="AD157" s="31">
        <v>0</v>
      </c>
      <c r="AE157" s="31">
        <v>0</v>
      </c>
      <c r="AF157" s="31">
        <v>0</v>
      </c>
      <c r="AG157" s="31">
        <v>0</v>
      </c>
      <c r="AH157" s="31">
        <v>0</v>
      </c>
      <c r="AI157" s="31">
        <v>0</v>
      </c>
      <c r="AJ157" s="31">
        <v>0</v>
      </c>
      <c r="AK157" s="31">
        <v>0</v>
      </c>
      <c r="AL157" s="31">
        <v>0</v>
      </c>
      <c r="AM157" s="31">
        <v>0</v>
      </c>
      <c r="AN157" s="31">
        <v>0</v>
      </c>
      <c r="AO157" s="31">
        <v>0</v>
      </c>
      <c r="AP157" s="31">
        <v>0</v>
      </c>
    </row>
    <row r="158" spans="1:42" x14ac:dyDescent="0.25">
      <c r="A158" s="31">
        <v>25</v>
      </c>
      <c r="B158" s="31">
        <v>24603</v>
      </c>
      <c r="C158" s="31">
        <v>1</v>
      </c>
      <c r="D158" s="31" t="s">
        <v>576</v>
      </c>
      <c r="E158" s="31"/>
      <c r="F158" s="31">
        <v>0</v>
      </c>
      <c r="G158" s="31">
        <v>0</v>
      </c>
      <c r="H158" s="31">
        <v>0</v>
      </c>
      <c r="I158" s="31">
        <v>0</v>
      </c>
      <c r="J158" s="31">
        <v>0</v>
      </c>
      <c r="K158" s="31" t="s">
        <v>882</v>
      </c>
      <c r="L158" s="2" t="str">
        <f t="shared" si="16"/>
        <v>Рихтовка</v>
      </c>
      <c r="M158" s="12">
        <f t="shared" si="17"/>
        <v>0</v>
      </c>
      <c r="N158" s="12">
        <f t="shared" si="18"/>
        <v>0</v>
      </c>
      <c r="O158" s="12">
        <f t="shared" si="19"/>
        <v>0</v>
      </c>
      <c r="P158" s="12">
        <f t="shared" si="20"/>
        <v>0</v>
      </c>
      <c r="Q158" s="12">
        <f t="shared" si="21"/>
        <v>0</v>
      </c>
      <c r="R158" s="12">
        <f t="shared" si="22"/>
        <v>0</v>
      </c>
      <c r="S158" s="12">
        <f t="shared" si="23"/>
        <v>0</v>
      </c>
      <c r="T158" s="31">
        <v>0</v>
      </c>
      <c r="U158" s="31">
        <v>0</v>
      </c>
      <c r="V158" s="31">
        <v>0</v>
      </c>
      <c r="W158" s="31">
        <v>0</v>
      </c>
      <c r="X158" s="31">
        <v>0</v>
      </c>
      <c r="Y158" s="31">
        <v>0</v>
      </c>
      <c r="Z158" s="31">
        <v>0</v>
      </c>
      <c r="AA158" s="31">
        <v>0</v>
      </c>
      <c r="AB158" s="31">
        <v>0</v>
      </c>
      <c r="AC158" s="31">
        <v>0</v>
      </c>
      <c r="AD158" s="31">
        <v>0</v>
      </c>
      <c r="AE158" s="31">
        <v>0</v>
      </c>
      <c r="AF158" s="31">
        <v>0</v>
      </c>
      <c r="AG158" s="31">
        <v>0</v>
      </c>
      <c r="AH158" s="31">
        <v>0</v>
      </c>
      <c r="AI158" s="31">
        <v>0</v>
      </c>
      <c r="AJ158" s="31">
        <v>0</v>
      </c>
      <c r="AK158" s="31">
        <v>0</v>
      </c>
      <c r="AL158" s="31">
        <v>0</v>
      </c>
      <c r="AM158" s="31">
        <v>0</v>
      </c>
      <c r="AN158" s="31">
        <v>0</v>
      </c>
      <c r="AO158" s="31">
        <v>0</v>
      </c>
      <c r="AP158" s="31">
        <v>0</v>
      </c>
    </row>
    <row r="159" spans="1:42" x14ac:dyDescent="0.25">
      <c r="A159" s="31">
        <v>25</v>
      </c>
      <c r="B159" s="31">
        <v>24603</v>
      </c>
      <c r="C159" s="31">
        <v>1</v>
      </c>
      <c r="D159" s="31" t="s">
        <v>577</v>
      </c>
      <c r="E159" s="31"/>
      <c r="F159" s="31">
        <v>0</v>
      </c>
      <c r="G159" s="31">
        <v>0</v>
      </c>
      <c r="H159" s="31">
        <v>0</v>
      </c>
      <c r="I159" s="31">
        <v>0</v>
      </c>
      <c r="J159" s="31">
        <v>0</v>
      </c>
      <c r="K159" s="31" t="s">
        <v>882</v>
      </c>
      <c r="L159" s="2" t="str">
        <f t="shared" si="16"/>
        <v>Рихтовка</v>
      </c>
      <c r="M159" s="12">
        <f t="shared" si="17"/>
        <v>0</v>
      </c>
      <c r="N159" s="12">
        <f t="shared" si="18"/>
        <v>0</v>
      </c>
      <c r="O159" s="12">
        <f t="shared" si="19"/>
        <v>0</v>
      </c>
      <c r="P159" s="12">
        <f t="shared" si="20"/>
        <v>0</v>
      </c>
      <c r="Q159" s="12">
        <f t="shared" si="21"/>
        <v>0</v>
      </c>
      <c r="R159" s="12">
        <f t="shared" si="22"/>
        <v>0</v>
      </c>
      <c r="S159" s="12">
        <f t="shared" si="23"/>
        <v>0</v>
      </c>
      <c r="T159" s="31">
        <v>0</v>
      </c>
      <c r="U159" s="31">
        <v>0</v>
      </c>
      <c r="V159" s="31">
        <v>0</v>
      </c>
      <c r="W159" s="31">
        <v>0</v>
      </c>
      <c r="X159" s="31">
        <v>0</v>
      </c>
      <c r="Y159" s="31">
        <v>0</v>
      </c>
      <c r="Z159" s="31">
        <v>0</v>
      </c>
      <c r="AA159" s="31">
        <v>0</v>
      </c>
      <c r="AB159" s="31">
        <v>0</v>
      </c>
      <c r="AC159" s="31">
        <v>0</v>
      </c>
      <c r="AD159" s="31">
        <v>0</v>
      </c>
      <c r="AE159" s="31">
        <v>0</v>
      </c>
      <c r="AF159" s="31">
        <v>0</v>
      </c>
      <c r="AG159" s="31">
        <v>0</v>
      </c>
      <c r="AH159" s="31">
        <v>0</v>
      </c>
      <c r="AI159" s="31">
        <v>0</v>
      </c>
      <c r="AJ159" s="31">
        <v>0</v>
      </c>
      <c r="AK159" s="31">
        <v>0</v>
      </c>
      <c r="AL159" s="31">
        <v>0</v>
      </c>
      <c r="AM159" s="31">
        <v>0</v>
      </c>
      <c r="AN159" s="31">
        <v>0</v>
      </c>
      <c r="AO159" s="31">
        <v>0</v>
      </c>
      <c r="AP159" s="31">
        <v>0</v>
      </c>
    </row>
    <row r="160" spans="1:42" x14ac:dyDescent="0.25">
      <c r="A160" s="31">
        <v>25</v>
      </c>
      <c r="B160" s="31">
        <v>24603</v>
      </c>
      <c r="C160" s="31">
        <v>1</v>
      </c>
      <c r="D160" s="31" t="s">
        <v>578</v>
      </c>
      <c r="E160" s="31"/>
      <c r="F160" s="31">
        <v>0</v>
      </c>
      <c r="G160" s="31">
        <v>0</v>
      </c>
      <c r="H160" s="31">
        <v>0</v>
      </c>
      <c r="I160" s="31">
        <v>0</v>
      </c>
      <c r="J160" s="31">
        <v>0</v>
      </c>
      <c r="K160" s="31" t="s">
        <v>882</v>
      </c>
      <c r="L160" s="2" t="str">
        <f t="shared" si="16"/>
        <v>Рихтовка</v>
      </c>
      <c r="M160" s="12">
        <f t="shared" si="17"/>
        <v>0</v>
      </c>
      <c r="N160" s="12">
        <f t="shared" si="18"/>
        <v>0</v>
      </c>
      <c r="O160" s="12">
        <f t="shared" si="19"/>
        <v>0</v>
      </c>
      <c r="P160" s="12">
        <f t="shared" si="20"/>
        <v>0</v>
      </c>
      <c r="Q160" s="12">
        <f t="shared" si="21"/>
        <v>0</v>
      </c>
      <c r="R160" s="12">
        <f t="shared" si="22"/>
        <v>0</v>
      </c>
      <c r="S160" s="12">
        <f t="shared" si="23"/>
        <v>0</v>
      </c>
      <c r="T160" s="31">
        <v>0</v>
      </c>
      <c r="U160" s="31">
        <v>0</v>
      </c>
      <c r="V160" s="31">
        <v>0</v>
      </c>
      <c r="W160" s="31">
        <v>0</v>
      </c>
      <c r="X160" s="31">
        <v>0</v>
      </c>
      <c r="Y160" s="31">
        <v>0</v>
      </c>
      <c r="Z160" s="31">
        <v>0</v>
      </c>
      <c r="AA160" s="31">
        <v>0</v>
      </c>
      <c r="AB160" s="31">
        <v>0</v>
      </c>
      <c r="AC160" s="31">
        <v>0</v>
      </c>
      <c r="AD160" s="31">
        <v>0</v>
      </c>
      <c r="AE160" s="31">
        <v>0</v>
      </c>
      <c r="AF160" s="31">
        <v>0</v>
      </c>
      <c r="AG160" s="31">
        <v>0</v>
      </c>
      <c r="AH160" s="31">
        <v>0</v>
      </c>
      <c r="AI160" s="31">
        <v>0</v>
      </c>
      <c r="AJ160" s="31">
        <v>0</v>
      </c>
      <c r="AK160" s="31">
        <v>0</v>
      </c>
      <c r="AL160" s="31">
        <v>0</v>
      </c>
      <c r="AM160" s="31">
        <v>0</v>
      </c>
      <c r="AN160" s="31">
        <v>0</v>
      </c>
      <c r="AO160" s="31">
        <v>0</v>
      </c>
      <c r="AP160" s="31">
        <v>0</v>
      </c>
    </row>
    <row r="161" spans="1:42" x14ac:dyDescent="0.25">
      <c r="A161" s="31">
        <v>25</v>
      </c>
      <c r="B161" s="31">
        <v>24603</v>
      </c>
      <c r="C161" s="31">
        <v>1</v>
      </c>
      <c r="D161" s="31" t="s">
        <v>579</v>
      </c>
      <c r="E161" s="31"/>
      <c r="F161" s="31">
        <v>0</v>
      </c>
      <c r="G161" s="31">
        <v>0</v>
      </c>
      <c r="H161" s="31">
        <v>0</v>
      </c>
      <c r="I161" s="31">
        <v>0</v>
      </c>
      <c r="J161" s="31">
        <v>0</v>
      </c>
      <c r="K161" s="31" t="s">
        <v>882</v>
      </c>
      <c r="L161" s="2" t="str">
        <f t="shared" si="16"/>
        <v>Рихтовка</v>
      </c>
      <c r="M161" s="12">
        <f t="shared" si="17"/>
        <v>0</v>
      </c>
      <c r="N161" s="12">
        <f t="shared" si="18"/>
        <v>0</v>
      </c>
      <c r="O161" s="12">
        <f t="shared" si="19"/>
        <v>0</v>
      </c>
      <c r="P161" s="12">
        <f t="shared" si="20"/>
        <v>0</v>
      </c>
      <c r="Q161" s="12">
        <f t="shared" si="21"/>
        <v>0</v>
      </c>
      <c r="R161" s="12">
        <f t="shared" si="22"/>
        <v>0</v>
      </c>
      <c r="S161" s="12">
        <f t="shared" si="23"/>
        <v>0</v>
      </c>
      <c r="T161" s="31">
        <v>0</v>
      </c>
      <c r="U161" s="31">
        <v>0</v>
      </c>
      <c r="V161" s="31">
        <v>0</v>
      </c>
      <c r="W161" s="31">
        <v>0</v>
      </c>
      <c r="X161" s="31">
        <v>0</v>
      </c>
      <c r="Y161" s="31">
        <v>0</v>
      </c>
      <c r="Z161" s="31">
        <v>0</v>
      </c>
      <c r="AA161" s="31">
        <v>0</v>
      </c>
      <c r="AB161" s="31">
        <v>0</v>
      </c>
      <c r="AC161" s="31">
        <v>0</v>
      </c>
      <c r="AD161" s="31">
        <v>0</v>
      </c>
      <c r="AE161" s="31">
        <v>0</v>
      </c>
      <c r="AF161" s="31">
        <v>0</v>
      </c>
      <c r="AG161" s="31">
        <v>0</v>
      </c>
      <c r="AH161" s="31">
        <v>0</v>
      </c>
      <c r="AI161" s="31">
        <v>0</v>
      </c>
      <c r="AJ161" s="31">
        <v>0</v>
      </c>
      <c r="AK161" s="31">
        <v>0</v>
      </c>
      <c r="AL161" s="31">
        <v>0</v>
      </c>
      <c r="AM161" s="31">
        <v>0</v>
      </c>
      <c r="AN161" s="31">
        <v>0</v>
      </c>
      <c r="AO161" s="31">
        <v>0</v>
      </c>
      <c r="AP161" s="31">
        <v>0</v>
      </c>
    </row>
    <row r="162" spans="1:42" x14ac:dyDescent="0.25">
      <c r="A162" s="31">
        <v>25</v>
      </c>
      <c r="B162" s="31">
        <v>24603</v>
      </c>
      <c r="C162" s="31">
        <v>1</v>
      </c>
      <c r="D162" s="31" t="s">
        <v>580</v>
      </c>
      <c r="E162" s="31"/>
      <c r="F162" s="31">
        <v>0</v>
      </c>
      <c r="G162" s="31">
        <v>0</v>
      </c>
      <c r="H162" s="31">
        <v>0</v>
      </c>
      <c r="I162" s="31">
        <v>0</v>
      </c>
      <c r="J162" s="31">
        <v>0</v>
      </c>
      <c r="K162" s="31" t="s">
        <v>882</v>
      </c>
      <c r="L162" s="2" t="str">
        <f t="shared" si="16"/>
        <v>Рихтовка</v>
      </c>
      <c r="M162" s="12">
        <f t="shared" si="17"/>
        <v>0</v>
      </c>
      <c r="N162" s="12">
        <f t="shared" si="18"/>
        <v>0</v>
      </c>
      <c r="O162" s="12">
        <f t="shared" si="19"/>
        <v>0</v>
      </c>
      <c r="P162" s="12">
        <f t="shared" si="20"/>
        <v>0</v>
      </c>
      <c r="Q162" s="12">
        <f t="shared" si="21"/>
        <v>0</v>
      </c>
      <c r="R162" s="12">
        <f t="shared" si="22"/>
        <v>0</v>
      </c>
      <c r="S162" s="12">
        <f t="shared" si="23"/>
        <v>0</v>
      </c>
      <c r="T162" s="31">
        <v>0</v>
      </c>
      <c r="U162" s="31">
        <v>0</v>
      </c>
      <c r="V162" s="31">
        <v>0</v>
      </c>
      <c r="W162" s="31">
        <v>0</v>
      </c>
      <c r="X162" s="31">
        <v>0</v>
      </c>
      <c r="Y162" s="31">
        <v>0</v>
      </c>
      <c r="Z162" s="31">
        <v>0</v>
      </c>
      <c r="AA162" s="31">
        <v>0</v>
      </c>
      <c r="AB162" s="31">
        <v>0</v>
      </c>
      <c r="AC162" s="31">
        <v>0</v>
      </c>
      <c r="AD162" s="31">
        <v>0</v>
      </c>
      <c r="AE162" s="31">
        <v>0</v>
      </c>
      <c r="AF162" s="31">
        <v>0</v>
      </c>
      <c r="AG162" s="31">
        <v>0</v>
      </c>
      <c r="AH162" s="31">
        <v>0</v>
      </c>
      <c r="AI162" s="31">
        <v>0</v>
      </c>
      <c r="AJ162" s="31">
        <v>0</v>
      </c>
      <c r="AK162" s="31">
        <v>0</v>
      </c>
      <c r="AL162" s="31">
        <v>0</v>
      </c>
      <c r="AM162" s="31">
        <v>0</v>
      </c>
      <c r="AN162" s="31">
        <v>0</v>
      </c>
      <c r="AO162" s="31">
        <v>0</v>
      </c>
      <c r="AP162" s="31">
        <v>0</v>
      </c>
    </row>
    <row r="163" spans="1:42" x14ac:dyDescent="0.25">
      <c r="A163" s="31">
        <v>25</v>
      </c>
      <c r="B163" s="31">
        <v>24603</v>
      </c>
      <c r="C163" s="31">
        <v>1</v>
      </c>
      <c r="D163" s="31" t="s">
        <v>581</v>
      </c>
      <c r="E163" s="31"/>
      <c r="F163" s="31">
        <v>0</v>
      </c>
      <c r="G163" s="31">
        <v>0</v>
      </c>
      <c r="H163" s="31">
        <v>0</v>
      </c>
      <c r="I163" s="31">
        <v>0</v>
      </c>
      <c r="J163" s="31">
        <v>0</v>
      </c>
      <c r="K163" s="31" t="s">
        <v>882</v>
      </c>
      <c r="L163" s="2" t="str">
        <f t="shared" si="16"/>
        <v>Рихтовка</v>
      </c>
      <c r="M163" s="12">
        <f t="shared" si="17"/>
        <v>0</v>
      </c>
      <c r="N163" s="12">
        <f t="shared" si="18"/>
        <v>0</v>
      </c>
      <c r="O163" s="12">
        <f t="shared" si="19"/>
        <v>0</v>
      </c>
      <c r="P163" s="12">
        <f t="shared" si="20"/>
        <v>0</v>
      </c>
      <c r="Q163" s="12">
        <f t="shared" si="21"/>
        <v>0</v>
      </c>
      <c r="R163" s="12">
        <f t="shared" si="22"/>
        <v>0</v>
      </c>
      <c r="S163" s="12">
        <f t="shared" si="23"/>
        <v>0</v>
      </c>
      <c r="T163" s="31">
        <v>0</v>
      </c>
      <c r="U163" s="31">
        <v>0</v>
      </c>
      <c r="V163" s="31">
        <v>0</v>
      </c>
      <c r="W163" s="31">
        <v>0</v>
      </c>
      <c r="X163" s="31">
        <v>0</v>
      </c>
      <c r="Y163" s="31">
        <v>0</v>
      </c>
      <c r="Z163" s="31">
        <v>0</v>
      </c>
      <c r="AA163" s="31">
        <v>0</v>
      </c>
      <c r="AB163" s="31">
        <v>0</v>
      </c>
      <c r="AC163" s="31">
        <v>0</v>
      </c>
      <c r="AD163" s="31">
        <v>0</v>
      </c>
      <c r="AE163" s="31">
        <v>0</v>
      </c>
      <c r="AF163" s="31">
        <v>0</v>
      </c>
      <c r="AG163" s="31">
        <v>0</v>
      </c>
      <c r="AH163" s="31">
        <v>0</v>
      </c>
      <c r="AI163" s="31">
        <v>0</v>
      </c>
      <c r="AJ163" s="31">
        <v>0</v>
      </c>
      <c r="AK163" s="31">
        <v>0</v>
      </c>
      <c r="AL163" s="31">
        <v>0</v>
      </c>
      <c r="AM163" s="31">
        <v>0</v>
      </c>
      <c r="AN163" s="31">
        <v>0</v>
      </c>
      <c r="AO163" s="31">
        <v>0</v>
      </c>
      <c r="AP163" s="31">
        <v>0</v>
      </c>
    </row>
    <row r="164" spans="1:42" x14ac:dyDescent="0.25">
      <c r="A164" s="31">
        <v>25</v>
      </c>
      <c r="B164" s="31">
        <v>24603</v>
      </c>
      <c r="C164" s="31">
        <v>1</v>
      </c>
      <c r="D164" s="31" t="s">
        <v>582</v>
      </c>
      <c r="E164" s="31"/>
      <c r="F164" s="31">
        <v>0</v>
      </c>
      <c r="G164" s="31">
        <v>0</v>
      </c>
      <c r="H164" s="31">
        <v>0</v>
      </c>
      <c r="I164" s="31">
        <v>0</v>
      </c>
      <c r="J164" s="31">
        <v>0</v>
      </c>
      <c r="K164" s="31" t="s">
        <v>882</v>
      </c>
      <c r="L164" s="2" t="str">
        <f t="shared" si="16"/>
        <v>Рихтовка</v>
      </c>
      <c r="M164" s="12">
        <f t="shared" si="17"/>
        <v>0</v>
      </c>
      <c r="N164" s="12">
        <f t="shared" si="18"/>
        <v>0</v>
      </c>
      <c r="O164" s="12">
        <f t="shared" si="19"/>
        <v>0</v>
      </c>
      <c r="P164" s="12">
        <f t="shared" si="20"/>
        <v>0</v>
      </c>
      <c r="Q164" s="12">
        <f t="shared" si="21"/>
        <v>0</v>
      </c>
      <c r="R164" s="12">
        <f t="shared" si="22"/>
        <v>0</v>
      </c>
      <c r="S164" s="12">
        <f t="shared" si="23"/>
        <v>0</v>
      </c>
      <c r="T164" s="31">
        <v>0</v>
      </c>
      <c r="U164" s="31">
        <v>0</v>
      </c>
      <c r="V164" s="31">
        <v>0</v>
      </c>
      <c r="W164" s="31">
        <v>0</v>
      </c>
      <c r="X164" s="31">
        <v>0</v>
      </c>
      <c r="Y164" s="31">
        <v>0</v>
      </c>
      <c r="Z164" s="31">
        <v>0</v>
      </c>
      <c r="AA164" s="31">
        <v>0</v>
      </c>
      <c r="AB164" s="31">
        <v>0</v>
      </c>
      <c r="AC164" s="31">
        <v>0</v>
      </c>
      <c r="AD164" s="31">
        <v>0</v>
      </c>
      <c r="AE164" s="31">
        <v>0</v>
      </c>
      <c r="AF164" s="31">
        <v>0</v>
      </c>
      <c r="AG164" s="31">
        <v>0</v>
      </c>
      <c r="AH164" s="31">
        <v>0</v>
      </c>
      <c r="AI164" s="31">
        <v>0</v>
      </c>
      <c r="AJ164" s="31">
        <v>0</v>
      </c>
      <c r="AK164" s="31">
        <v>0</v>
      </c>
      <c r="AL164" s="31">
        <v>0</v>
      </c>
      <c r="AM164" s="31">
        <v>0</v>
      </c>
      <c r="AN164" s="31">
        <v>0</v>
      </c>
      <c r="AO164" s="31">
        <v>0</v>
      </c>
      <c r="AP164" s="31">
        <v>0</v>
      </c>
    </row>
    <row r="165" spans="1:42" x14ac:dyDescent="0.25">
      <c r="A165" s="31">
        <v>25</v>
      </c>
      <c r="B165" s="31">
        <v>24603</v>
      </c>
      <c r="C165" s="31">
        <v>1</v>
      </c>
      <c r="D165" s="31" t="s">
        <v>583</v>
      </c>
      <c r="E165" s="31"/>
      <c r="F165" s="31">
        <v>0</v>
      </c>
      <c r="G165" s="31">
        <v>0</v>
      </c>
      <c r="H165" s="31">
        <v>0</v>
      </c>
      <c r="I165" s="31">
        <v>0</v>
      </c>
      <c r="J165" s="31">
        <v>0</v>
      </c>
      <c r="K165" s="31" t="s">
        <v>882</v>
      </c>
      <c r="L165" s="2" t="str">
        <f t="shared" si="16"/>
        <v>Рихтовка</v>
      </c>
      <c r="M165" s="12">
        <f t="shared" si="17"/>
        <v>0</v>
      </c>
      <c r="N165" s="12">
        <f t="shared" si="18"/>
        <v>0</v>
      </c>
      <c r="O165" s="12">
        <f t="shared" si="19"/>
        <v>0</v>
      </c>
      <c r="P165" s="12">
        <f t="shared" si="20"/>
        <v>0</v>
      </c>
      <c r="Q165" s="12">
        <f t="shared" si="21"/>
        <v>0</v>
      </c>
      <c r="R165" s="12">
        <f t="shared" si="22"/>
        <v>0</v>
      </c>
      <c r="S165" s="12">
        <f t="shared" si="23"/>
        <v>0</v>
      </c>
      <c r="T165" s="31">
        <v>0</v>
      </c>
      <c r="U165" s="31">
        <v>0</v>
      </c>
      <c r="V165" s="31">
        <v>0</v>
      </c>
      <c r="W165" s="31">
        <v>0</v>
      </c>
      <c r="X165" s="31">
        <v>0</v>
      </c>
      <c r="Y165" s="31">
        <v>0</v>
      </c>
      <c r="Z165" s="31">
        <v>0</v>
      </c>
      <c r="AA165" s="31">
        <v>0</v>
      </c>
      <c r="AB165" s="31">
        <v>0</v>
      </c>
      <c r="AC165" s="31">
        <v>0</v>
      </c>
      <c r="AD165" s="31">
        <v>0</v>
      </c>
      <c r="AE165" s="31">
        <v>0</v>
      </c>
      <c r="AF165" s="31">
        <v>0</v>
      </c>
      <c r="AG165" s="31">
        <v>0</v>
      </c>
      <c r="AH165" s="31">
        <v>0</v>
      </c>
      <c r="AI165" s="31">
        <v>0</v>
      </c>
      <c r="AJ165" s="31">
        <v>0</v>
      </c>
      <c r="AK165" s="31">
        <v>0</v>
      </c>
      <c r="AL165" s="31">
        <v>0</v>
      </c>
      <c r="AM165" s="31">
        <v>0</v>
      </c>
      <c r="AN165" s="31">
        <v>0</v>
      </c>
      <c r="AO165" s="31">
        <v>0</v>
      </c>
      <c r="AP165" s="31">
        <v>0</v>
      </c>
    </row>
    <row r="166" spans="1:42" x14ac:dyDescent="0.25">
      <c r="A166" s="31">
        <v>25</v>
      </c>
      <c r="B166" s="31">
        <v>24603</v>
      </c>
      <c r="C166" s="31">
        <v>1</v>
      </c>
      <c r="D166" s="31" t="s">
        <v>584</v>
      </c>
      <c r="E166" s="31"/>
      <c r="F166" s="31">
        <v>0</v>
      </c>
      <c r="G166" s="31">
        <v>0</v>
      </c>
      <c r="H166" s="31">
        <v>0</v>
      </c>
      <c r="I166" s="31">
        <v>0</v>
      </c>
      <c r="J166" s="31">
        <v>0</v>
      </c>
      <c r="K166" s="31" t="s">
        <v>882</v>
      </c>
      <c r="L166" s="2" t="str">
        <f t="shared" si="16"/>
        <v>Рихтовка</v>
      </c>
      <c r="M166" s="12">
        <f t="shared" si="17"/>
        <v>0</v>
      </c>
      <c r="N166" s="12">
        <f t="shared" si="18"/>
        <v>0</v>
      </c>
      <c r="O166" s="12">
        <f t="shared" si="19"/>
        <v>0</v>
      </c>
      <c r="P166" s="12">
        <f t="shared" si="20"/>
        <v>0</v>
      </c>
      <c r="Q166" s="12">
        <f t="shared" si="21"/>
        <v>0</v>
      </c>
      <c r="R166" s="12">
        <f t="shared" si="22"/>
        <v>0</v>
      </c>
      <c r="S166" s="12">
        <f t="shared" si="23"/>
        <v>0</v>
      </c>
      <c r="T166" s="31">
        <v>0</v>
      </c>
      <c r="U166" s="31">
        <v>0</v>
      </c>
      <c r="V166" s="31">
        <v>0</v>
      </c>
      <c r="W166" s="31">
        <v>0</v>
      </c>
      <c r="X166" s="31">
        <v>0</v>
      </c>
      <c r="Y166" s="31">
        <v>0</v>
      </c>
      <c r="Z166" s="31">
        <v>0</v>
      </c>
      <c r="AA166" s="31">
        <v>0</v>
      </c>
      <c r="AB166" s="31">
        <v>0</v>
      </c>
      <c r="AC166" s="31">
        <v>0</v>
      </c>
      <c r="AD166" s="31">
        <v>0</v>
      </c>
      <c r="AE166" s="31">
        <v>0</v>
      </c>
      <c r="AF166" s="31">
        <v>0</v>
      </c>
      <c r="AG166" s="31">
        <v>0</v>
      </c>
      <c r="AH166" s="31">
        <v>0</v>
      </c>
      <c r="AI166" s="31">
        <v>0</v>
      </c>
      <c r="AJ166" s="31">
        <v>0</v>
      </c>
      <c r="AK166" s="31">
        <v>0</v>
      </c>
      <c r="AL166" s="31">
        <v>0</v>
      </c>
      <c r="AM166" s="31">
        <v>0</v>
      </c>
      <c r="AN166" s="31">
        <v>0</v>
      </c>
      <c r="AO166" s="31">
        <v>0</v>
      </c>
      <c r="AP166" s="31">
        <v>0</v>
      </c>
    </row>
    <row r="167" spans="1:42" x14ac:dyDescent="0.25">
      <c r="A167" s="31">
        <v>25</v>
      </c>
      <c r="B167" s="31">
        <v>24603</v>
      </c>
      <c r="C167" s="31">
        <v>1</v>
      </c>
      <c r="D167" s="31" t="s">
        <v>585</v>
      </c>
      <c r="E167" s="31"/>
      <c r="F167" s="31">
        <v>0</v>
      </c>
      <c r="G167" s="31">
        <v>0</v>
      </c>
      <c r="H167" s="31">
        <v>0</v>
      </c>
      <c r="I167" s="31">
        <v>0</v>
      </c>
      <c r="J167" s="31">
        <v>0</v>
      </c>
      <c r="K167" s="31" t="s">
        <v>882</v>
      </c>
      <c r="L167" s="2" t="str">
        <f t="shared" si="16"/>
        <v>Рихтовка</v>
      </c>
      <c r="M167" s="12">
        <f t="shared" si="17"/>
        <v>0</v>
      </c>
      <c r="N167" s="12">
        <f t="shared" si="18"/>
        <v>0</v>
      </c>
      <c r="O167" s="12">
        <f t="shared" si="19"/>
        <v>0</v>
      </c>
      <c r="P167" s="12">
        <f t="shared" si="20"/>
        <v>0</v>
      </c>
      <c r="Q167" s="12">
        <f t="shared" si="21"/>
        <v>0</v>
      </c>
      <c r="R167" s="12">
        <f t="shared" si="22"/>
        <v>0</v>
      </c>
      <c r="S167" s="12">
        <f t="shared" si="23"/>
        <v>0</v>
      </c>
      <c r="T167" s="31">
        <v>0</v>
      </c>
      <c r="U167" s="31">
        <v>0</v>
      </c>
      <c r="V167" s="31">
        <v>0</v>
      </c>
      <c r="W167" s="31">
        <v>0</v>
      </c>
      <c r="X167" s="31">
        <v>0</v>
      </c>
      <c r="Y167" s="31">
        <v>0</v>
      </c>
      <c r="Z167" s="31">
        <v>0</v>
      </c>
      <c r="AA167" s="31">
        <v>0</v>
      </c>
      <c r="AB167" s="31">
        <v>0</v>
      </c>
      <c r="AC167" s="31">
        <v>0</v>
      </c>
      <c r="AD167" s="31">
        <v>0</v>
      </c>
      <c r="AE167" s="31">
        <v>0</v>
      </c>
      <c r="AF167" s="31">
        <v>0</v>
      </c>
      <c r="AG167" s="31">
        <v>0</v>
      </c>
      <c r="AH167" s="31">
        <v>0</v>
      </c>
      <c r="AI167" s="31">
        <v>0</v>
      </c>
      <c r="AJ167" s="31">
        <v>0</v>
      </c>
      <c r="AK167" s="31">
        <v>0</v>
      </c>
      <c r="AL167" s="31">
        <v>0</v>
      </c>
      <c r="AM167" s="31">
        <v>0</v>
      </c>
      <c r="AN167" s="31">
        <v>0</v>
      </c>
      <c r="AO167" s="31">
        <v>0</v>
      </c>
      <c r="AP167" s="31">
        <v>0</v>
      </c>
    </row>
    <row r="168" spans="1:42" x14ac:dyDescent="0.25">
      <c r="A168" s="31">
        <v>25</v>
      </c>
      <c r="B168" s="31">
        <v>24603</v>
      </c>
      <c r="C168" s="31">
        <v>1</v>
      </c>
      <c r="D168" s="31" t="s">
        <v>586</v>
      </c>
      <c r="E168" s="31"/>
      <c r="F168" s="31">
        <v>0</v>
      </c>
      <c r="G168" s="31">
        <v>0</v>
      </c>
      <c r="H168" s="31">
        <v>0</v>
      </c>
      <c r="I168" s="31">
        <v>0</v>
      </c>
      <c r="J168" s="31">
        <v>0</v>
      </c>
      <c r="K168" s="31" t="s">
        <v>882</v>
      </c>
      <c r="L168" s="2" t="str">
        <f t="shared" si="16"/>
        <v>Рихтовка</v>
      </c>
      <c r="M168" s="12">
        <f t="shared" si="17"/>
        <v>0</v>
      </c>
      <c r="N168" s="12">
        <f t="shared" si="18"/>
        <v>0</v>
      </c>
      <c r="O168" s="12">
        <f t="shared" si="19"/>
        <v>0</v>
      </c>
      <c r="P168" s="12">
        <f t="shared" si="20"/>
        <v>0</v>
      </c>
      <c r="Q168" s="12">
        <f t="shared" si="21"/>
        <v>0</v>
      </c>
      <c r="R168" s="12">
        <f t="shared" si="22"/>
        <v>0</v>
      </c>
      <c r="S168" s="12">
        <f t="shared" si="23"/>
        <v>0</v>
      </c>
      <c r="T168" s="31">
        <v>0</v>
      </c>
      <c r="U168" s="31">
        <v>0</v>
      </c>
      <c r="V168" s="31">
        <v>0</v>
      </c>
      <c r="W168" s="31">
        <v>0</v>
      </c>
      <c r="X168" s="31">
        <v>0</v>
      </c>
      <c r="Y168" s="31">
        <v>0</v>
      </c>
      <c r="Z168" s="31">
        <v>0</v>
      </c>
      <c r="AA168" s="31">
        <v>0</v>
      </c>
      <c r="AB168" s="31">
        <v>0</v>
      </c>
      <c r="AC168" s="31">
        <v>0</v>
      </c>
      <c r="AD168" s="31">
        <v>0</v>
      </c>
      <c r="AE168" s="31">
        <v>0</v>
      </c>
      <c r="AF168" s="31">
        <v>0</v>
      </c>
      <c r="AG168" s="31">
        <v>0</v>
      </c>
      <c r="AH168" s="31">
        <v>0</v>
      </c>
      <c r="AI168" s="31">
        <v>0</v>
      </c>
      <c r="AJ168" s="31">
        <v>0</v>
      </c>
      <c r="AK168" s="31">
        <v>0</v>
      </c>
      <c r="AL168" s="31">
        <v>0</v>
      </c>
      <c r="AM168" s="31">
        <v>0</v>
      </c>
      <c r="AN168" s="31">
        <v>0</v>
      </c>
      <c r="AO168" s="31">
        <v>0</v>
      </c>
      <c r="AP168" s="31">
        <v>0</v>
      </c>
    </row>
    <row r="169" spans="1:42" x14ac:dyDescent="0.25">
      <c r="A169" s="31">
        <v>25</v>
      </c>
      <c r="B169" s="31">
        <v>24603</v>
      </c>
      <c r="C169" s="31">
        <v>1</v>
      </c>
      <c r="D169" s="31" t="s">
        <v>587</v>
      </c>
      <c r="E169" s="31"/>
      <c r="F169" s="31">
        <v>0</v>
      </c>
      <c r="G169" s="31">
        <v>0</v>
      </c>
      <c r="H169" s="31">
        <v>0</v>
      </c>
      <c r="I169" s="31">
        <v>0</v>
      </c>
      <c r="J169" s="31">
        <v>0</v>
      </c>
      <c r="K169" s="31" t="s">
        <v>882</v>
      </c>
      <c r="L169" s="2" t="str">
        <f t="shared" si="16"/>
        <v>Рихтовка</v>
      </c>
      <c r="M169" s="12">
        <f t="shared" si="17"/>
        <v>0</v>
      </c>
      <c r="N169" s="12">
        <f t="shared" si="18"/>
        <v>0</v>
      </c>
      <c r="O169" s="12">
        <f t="shared" si="19"/>
        <v>0</v>
      </c>
      <c r="P169" s="12">
        <f t="shared" si="20"/>
        <v>0</v>
      </c>
      <c r="Q169" s="12">
        <f t="shared" si="21"/>
        <v>0</v>
      </c>
      <c r="R169" s="12">
        <f t="shared" si="22"/>
        <v>0</v>
      </c>
      <c r="S169" s="12">
        <f t="shared" si="23"/>
        <v>0</v>
      </c>
      <c r="T169" s="31">
        <v>0</v>
      </c>
      <c r="U169" s="31">
        <v>0</v>
      </c>
      <c r="V169" s="31">
        <v>0</v>
      </c>
      <c r="W169" s="31">
        <v>0</v>
      </c>
      <c r="X169" s="31">
        <v>0</v>
      </c>
      <c r="Y169" s="31">
        <v>0</v>
      </c>
      <c r="Z169" s="31">
        <v>0</v>
      </c>
      <c r="AA169" s="31">
        <v>0</v>
      </c>
      <c r="AB169" s="31">
        <v>0</v>
      </c>
      <c r="AC169" s="31">
        <v>0</v>
      </c>
      <c r="AD169" s="31">
        <v>0</v>
      </c>
      <c r="AE169" s="31">
        <v>0</v>
      </c>
      <c r="AF169" s="31">
        <v>0</v>
      </c>
      <c r="AG169" s="31">
        <v>0</v>
      </c>
      <c r="AH169" s="31">
        <v>0</v>
      </c>
      <c r="AI169" s="31">
        <v>0</v>
      </c>
      <c r="AJ169" s="31">
        <v>0</v>
      </c>
      <c r="AK169" s="31">
        <v>0</v>
      </c>
      <c r="AL169" s="31">
        <v>0</v>
      </c>
      <c r="AM169" s="31">
        <v>0</v>
      </c>
      <c r="AN169" s="31">
        <v>0</v>
      </c>
      <c r="AO169" s="31">
        <v>0</v>
      </c>
      <c r="AP169" s="31">
        <v>0</v>
      </c>
    </row>
    <row r="170" spans="1:42" x14ac:dyDescent="0.25">
      <c r="A170" s="31">
        <v>26</v>
      </c>
      <c r="B170" s="31">
        <v>24603</v>
      </c>
      <c r="C170" s="31">
        <v>1</v>
      </c>
      <c r="D170" s="31" t="s">
        <v>588</v>
      </c>
      <c r="E170" s="31"/>
      <c r="F170" s="31">
        <v>0</v>
      </c>
      <c r="G170" s="31">
        <v>0</v>
      </c>
      <c r="H170" s="31">
        <v>0</v>
      </c>
      <c r="I170" s="31">
        <v>0</v>
      </c>
      <c r="J170" s="31">
        <v>0</v>
      </c>
      <c r="K170" s="31" t="s">
        <v>882</v>
      </c>
      <c r="L170" s="2" t="str">
        <f t="shared" si="16"/>
        <v>Рихтовка</v>
      </c>
      <c r="M170" s="12">
        <f t="shared" si="17"/>
        <v>0</v>
      </c>
      <c r="N170" s="12">
        <f t="shared" si="18"/>
        <v>0</v>
      </c>
      <c r="O170" s="12">
        <f t="shared" si="19"/>
        <v>0</v>
      </c>
      <c r="P170" s="12">
        <f t="shared" si="20"/>
        <v>0</v>
      </c>
      <c r="Q170" s="12">
        <f t="shared" si="21"/>
        <v>0</v>
      </c>
      <c r="R170" s="12">
        <f t="shared" si="22"/>
        <v>0</v>
      </c>
      <c r="S170" s="12">
        <f t="shared" si="23"/>
        <v>0</v>
      </c>
      <c r="T170" s="31">
        <v>0</v>
      </c>
      <c r="U170" s="31">
        <v>0</v>
      </c>
      <c r="V170" s="31">
        <v>0</v>
      </c>
      <c r="W170" s="31">
        <v>0</v>
      </c>
      <c r="X170" s="31">
        <v>0</v>
      </c>
      <c r="Y170" s="31">
        <v>0</v>
      </c>
      <c r="Z170" s="31">
        <v>0</v>
      </c>
      <c r="AA170" s="31">
        <v>0</v>
      </c>
      <c r="AB170" s="31">
        <v>0</v>
      </c>
      <c r="AC170" s="31">
        <v>0</v>
      </c>
      <c r="AD170" s="31">
        <v>0</v>
      </c>
      <c r="AE170" s="31">
        <v>0</v>
      </c>
      <c r="AF170" s="31">
        <v>0</v>
      </c>
      <c r="AG170" s="31">
        <v>0</v>
      </c>
      <c r="AH170" s="31">
        <v>0</v>
      </c>
      <c r="AI170" s="31">
        <v>0</v>
      </c>
      <c r="AJ170" s="31">
        <v>0</v>
      </c>
      <c r="AK170" s="31">
        <v>0</v>
      </c>
      <c r="AL170" s="31">
        <v>0</v>
      </c>
      <c r="AM170" s="31">
        <v>0</v>
      </c>
      <c r="AN170" s="31">
        <v>0</v>
      </c>
      <c r="AO170" s="31">
        <v>0</v>
      </c>
      <c r="AP170" s="31">
        <v>0</v>
      </c>
    </row>
    <row r="171" spans="1:42" x14ac:dyDescent="0.25">
      <c r="A171" s="31">
        <v>26</v>
      </c>
      <c r="B171" s="31">
        <v>24603</v>
      </c>
      <c r="C171" s="31">
        <v>1</v>
      </c>
      <c r="D171" s="31" t="s">
        <v>589</v>
      </c>
      <c r="E171" s="31"/>
      <c r="F171" s="31">
        <v>0</v>
      </c>
      <c r="G171" s="31">
        <v>0</v>
      </c>
      <c r="H171" s="31">
        <v>0</v>
      </c>
      <c r="I171" s="31">
        <v>0</v>
      </c>
      <c r="J171" s="31">
        <v>0</v>
      </c>
      <c r="K171" s="31" t="s">
        <v>882</v>
      </c>
      <c r="L171" s="2" t="str">
        <f t="shared" si="16"/>
        <v>Рихтовка</v>
      </c>
      <c r="M171" s="12">
        <f t="shared" si="17"/>
        <v>0</v>
      </c>
      <c r="N171" s="12">
        <f t="shared" si="18"/>
        <v>0</v>
      </c>
      <c r="O171" s="12">
        <f t="shared" si="19"/>
        <v>0</v>
      </c>
      <c r="P171" s="12">
        <f t="shared" si="20"/>
        <v>0</v>
      </c>
      <c r="Q171" s="12">
        <f t="shared" si="21"/>
        <v>0</v>
      </c>
      <c r="R171" s="12">
        <f t="shared" si="22"/>
        <v>0</v>
      </c>
      <c r="S171" s="12">
        <f t="shared" si="23"/>
        <v>0</v>
      </c>
      <c r="T171" s="31">
        <v>0</v>
      </c>
      <c r="U171" s="31">
        <v>0</v>
      </c>
      <c r="V171" s="31">
        <v>0</v>
      </c>
      <c r="W171" s="31">
        <v>0</v>
      </c>
      <c r="X171" s="31">
        <v>0</v>
      </c>
      <c r="Y171" s="31">
        <v>0</v>
      </c>
      <c r="Z171" s="31">
        <v>0</v>
      </c>
      <c r="AA171" s="31">
        <v>0</v>
      </c>
      <c r="AB171" s="31">
        <v>0</v>
      </c>
      <c r="AC171" s="31">
        <v>0</v>
      </c>
      <c r="AD171" s="31">
        <v>0</v>
      </c>
      <c r="AE171" s="31">
        <v>0</v>
      </c>
      <c r="AF171" s="31">
        <v>0</v>
      </c>
      <c r="AG171" s="31">
        <v>0</v>
      </c>
      <c r="AH171" s="31">
        <v>0</v>
      </c>
      <c r="AI171" s="31">
        <v>0</v>
      </c>
      <c r="AJ171" s="31">
        <v>0</v>
      </c>
      <c r="AK171" s="31">
        <v>0</v>
      </c>
      <c r="AL171" s="31">
        <v>0</v>
      </c>
      <c r="AM171" s="31">
        <v>0</v>
      </c>
      <c r="AN171" s="31">
        <v>0</v>
      </c>
      <c r="AO171" s="31">
        <v>0</v>
      </c>
      <c r="AP171" s="31">
        <v>0</v>
      </c>
    </row>
    <row r="172" spans="1:42" x14ac:dyDescent="0.25">
      <c r="A172" s="31">
        <v>26</v>
      </c>
      <c r="B172" s="31">
        <v>24603</v>
      </c>
      <c r="C172" s="31">
        <v>1</v>
      </c>
      <c r="D172" s="31" t="s">
        <v>590</v>
      </c>
      <c r="E172" s="31"/>
      <c r="F172" s="31">
        <v>0</v>
      </c>
      <c r="G172" s="31">
        <v>0</v>
      </c>
      <c r="H172" s="31">
        <v>0</v>
      </c>
      <c r="I172" s="31">
        <v>0</v>
      </c>
      <c r="J172" s="31">
        <v>0</v>
      </c>
      <c r="K172" s="31" t="s">
        <v>882</v>
      </c>
      <c r="L172" s="2" t="str">
        <f t="shared" si="16"/>
        <v>Рихтовка</v>
      </c>
      <c r="M172" s="12">
        <f t="shared" si="17"/>
        <v>0</v>
      </c>
      <c r="N172" s="12">
        <f t="shared" si="18"/>
        <v>0</v>
      </c>
      <c r="O172" s="12">
        <f t="shared" si="19"/>
        <v>0</v>
      </c>
      <c r="P172" s="12">
        <f t="shared" si="20"/>
        <v>0</v>
      </c>
      <c r="Q172" s="12">
        <f t="shared" si="21"/>
        <v>0</v>
      </c>
      <c r="R172" s="12">
        <f t="shared" si="22"/>
        <v>0</v>
      </c>
      <c r="S172" s="12">
        <f t="shared" si="23"/>
        <v>0</v>
      </c>
      <c r="T172" s="31">
        <v>0</v>
      </c>
      <c r="U172" s="31">
        <v>0</v>
      </c>
      <c r="V172" s="31">
        <v>0</v>
      </c>
      <c r="W172" s="31">
        <v>0</v>
      </c>
      <c r="X172" s="31">
        <v>0</v>
      </c>
      <c r="Y172" s="31">
        <v>0</v>
      </c>
      <c r="Z172" s="31">
        <v>0</v>
      </c>
      <c r="AA172" s="31">
        <v>0</v>
      </c>
      <c r="AB172" s="31">
        <v>0</v>
      </c>
      <c r="AC172" s="31">
        <v>0</v>
      </c>
      <c r="AD172" s="31">
        <v>0</v>
      </c>
      <c r="AE172" s="31">
        <v>0</v>
      </c>
      <c r="AF172" s="31">
        <v>0</v>
      </c>
      <c r="AG172" s="31">
        <v>0</v>
      </c>
      <c r="AH172" s="31">
        <v>0</v>
      </c>
      <c r="AI172" s="31">
        <v>0</v>
      </c>
      <c r="AJ172" s="31">
        <v>0</v>
      </c>
      <c r="AK172" s="31">
        <v>0</v>
      </c>
      <c r="AL172" s="31">
        <v>0</v>
      </c>
      <c r="AM172" s="31">
        <v>0</v>
      </c>
      <c r="AN172" s="31">
        <v>0</v>
      </c>
      <c r="AO172" s="31">
        <v>0</v>
      </c>
      <c r="AP172" s="31">
        <v>0</v>
      </c>
    </row>
    <row r="173" spans="1:42" x14ac:dyDescent="0.25">
      <c r="A173" s="31">
        <v>26</v>
      </c>
      <c r="B173" s="31">
        <v>24603</v>
      </c>
      <c r="C173" s="31">
        <v>1</v>
      </c>
      <c r="D173" s="31" t="s">
        <v>591</v>
      </c>
      <c r="E173" s="31"/>
      <c r="F173" s="31">
        <v>0</v>
      </c>
      <c r="G173" s="31">
        <v>0</v>
      </c>
      <c r="H173" s="31">
        <v>0</v>
      </c>
      <c r="I173" s="31">
        <v>0</v>
      </c>
      <c r="J173" s="31">
        <v>0</v>
      </c>
      <c r="K173" s="31" t="s">
        <v>882</v>
      </c>
      <c r="L173" s="2" t="str">
        <f t="shared" si="16"/>
        <v>Рихтовка</v>
      </c>
      <c r="M173" s="12">
        <f t="shared" si="17"/>
        <v>0</v>
      </c>
      <c r="N173" s="12">
        <f t="shared" si="18"/>
        <v>0</v>
      </c>
      <c r="O173" s="12">
        <f t="shared" si="19"/>
        <v>0</v>
      </c>
      <c r="P173" s="12">
        <f t="shared" si="20"/>
        <v>0</v>
      </c>
      <c r="Q173" s="12">
        <f t="shared" si="21"/>
        <v>0</v>
      </c>
      <c r="R173" s="12">
        <f t="shared" si="22"/>
        <v>0</v>
      </c>
      <c r="S173" s="12">
        <f t="shared" si="23"/>
        <v>0</v>
      </c>
      <c r="T173" s="31">
        <v>0</v>
      </c>
      <c r="U173" s="31">
        <v>0</v>
      </c>
      <c r="V173" s="31">
        <v>0</v>
      </c>
      <c r="W173" s="31">
        <v>0</v>
      </c>
      <c r="X173" s="31">
        <v>0</v>
      </c>
      <c r="Y173" s="31">
        <v>0</v>
      </c>
      <c r="Z173" s="31">
        <v>0</v>
      </c>
      <c r="AA173" s="31">
        <v>0</v>
      </c>
      <c r="AB173" s="31">
        <v>0</v>
      </c>
      <c r="AC173" s="31">
        <v>0</v>
      </c>
      <c r="AD173" s="31">
        <v>0</v>
      </c>
      <c r="AE173" s="31">
        <v>0</v>
      </c>
      <c r="AF173" s="31">
        <v>0</v>
      </c>
      <c r="AG173" s="31">
        <v>0</v>
      </c>
      <c r="AH173" s="31">
        <v>0</v>
      </c>
      <c r="AI173" s="31">
        <v>0</v>
      </c>
      <c r="AJ173" s="31">
        <v>0</v>
      </c>
      <c r="AK173" s="31">
        <v>0</v>
      </c>
      <c r="AL173" s="31">
        <v>0</v>
      </c>
      <c r="AM173" s="31">
        <v>0</v>
      </c>
      <c r="AN173" s="31">
        <v>0</v>
      </c>
      <c r="AO173" s="31">
        <v>0</v>
      </c>
      <c r="AP173" s="31">
        <v>0</v>
      </c>
    </row>
    <row r="174" spans="1:42" x14ac:dyDescent="0.25">
      <c r="A174" s="31">
        <v>26</v>
      </c>
      <c r="B174" s="31">
        <v>24603</v>
      </c>
      <c r="C174" s="31">
        <v>1</v>
      </c>
      <c r="D174" s="31" t="s">
        <v>592</v>
      </c>
      <c r="E174" s="31"/>
      <c r="F174" s="31">
        <v>0</v>
      </c>
      <c r="G174" s="31">
        <v>0</v>
      </c>
      <c r="H174" s="31">
        <v>0</v>
      </c>
      <c r="I174" s="31">
        <v>0</v>
      </c>
      <c r="J174" s="31">
        <v>0</v>
      </c>
      <c r="K174" s="31" t="s">
        <v>882</v>
      </c>
      <c r="L174" s="2" t="str">
        <f t="shared" si="16"/>
        <v>Рихтовка</v>
      </c>
      <c r="M174" s="12">
        <f t="shared" si="17"/>
        <v>0</v>
      </c>
      <c r="N174" s="12">
        <f t="shared" si="18"/>
        <v>0</v>
      </c>
      <c r="O174" s="12">
        <f t="shared" si="19"/>
        <v>0</v>
      </c>
      <c r="P174" s="12">
        <f t="shared" si="20"/>
        <v>0</v>
      </c>
      <c r="Q174" s="12">
        <f t="shared" si="21"/>
        <v>0</v>
      </c>
      <c r="R174" s="12">
        <f t="shared" si="22"/>
        <v>0</v>
      </c>
      <c r="S174" s="12">
        <f t="shared" si="23"/>
        <v>0</v>
      </c>
      <c r="T174" s="31">
        <v>0</v>
      </c>
      <c r="U174" s="31">
        <v>0</v>
      </c>
      <c r="V174" s="31">
        <v>0</v>
      </c>
      <c r="W174" s="31">
        <v>0</v>
      </c>
      <c r="X174" s="31">
        <v>0</v>
      </c>
      <c r="Y174" s="31">
        <v>0</v>
      </c>
      <c r="Z174" s="31">
        <v>0</v>
      </c>
      <c r="AA174" s="31">
        <v>0</v>
      </c>
      <c r="AB174" s="31">
        <v>0</v>
      </c>
      <c r="AC174" s="31">
        <v>0</v>
      </c>
      <c r="AD174" s="31">
        <v>0</v>
      </c>
      <c r="AE174" s="31">
        <v>0</v>
      </c>
      <c r="AF174" s="31">
        <v>0</v>
      </c>
      <c r="AG174" s="31">
        <v>0</v>
      </c>
      <c r="AH174" s="31">
        <v>0</v>
      </c>
      <c r="AI174" s="31">
        <v>0</v>
      </c>
      <c r="AJ174" s="31">
        <v>0</v>
      </c>
      <c r="AK174" s="31">
        <v>0</v>
      </c>
      <c r="AL174" s="31">
        <v>0</v>
      </c>
      <c r="AM174" s="31">
        <v>0</v>
      </c>
      <c r="AN174" s="31">
        <v>0</v>
      </c>
      <c r="AO174" s="31">
        <v>0</v>
      </c>
      <c r="AP174" s="31">
        <v>0</v>
      </c>
    </row>
    <row r="175" spans="1:42" x14ac:dyDescent="0.25">
      <c r="A175" s="31">
        <v>26</v>
      </c>
      <c r="B175" s="31">
        <v>24603</v>
      </c>
      <c r="C175" s="31">
        <v>1</v>
      </c>
      <c r="D175" s="31" t="s">
        <v>593</v>
      </c>
      <c r="E175" s="31"/>
      <c r="F175" s="31">
        <v>0</v>
      </c>
      <c r="G175" s="31">
        <v>0</v>
      </c>
      <c r="H175" s="31">
        <v>0</v>
      </c>
      <c r="I175" s="31">
        <v>0</v>
      </c>
      <c r="J175" s="31">
        <v>0</v>
      </c>
      <c r="K175" s="31" t="s">
        <v>882</v>
      </c>
      <c r="L175" s="2" t="str">
        <f t="shared" si="16"/>
        <v>Рихтовка</v>
      </c>
      <c r="M175" s="12">
        <f t="shared" si="17"/>
        <v>0</v>
      </c>
      <c r="N175" s="12">
        <f t="shared" si="18"/>
        <v>0</v>
      </c>
      <c r="O175" s="12">
        <f t="shared" si="19"/>
        <v>0</v>
      </c>
      <c r="P175" s="12">
        <f t="shared" si="20"/>
        <v>0</v>
      </c>
      <c r="Q175" s="12">
        <f t="shared" si="21"/>
        <v>0</v>
      </c>
      <c r="R175" s="12">
        <f t="shared" si="22"/>
        <v>0</v>
      </c>
      <c r="S175" s="12">
        <f t="shared" si="23"/>
        <v>0</v>
      </c>
      <c r="T175" s="31">
        <v>0</v>
      </c>
      <c r="U175" s="31">
        <v>0</v>
      </c>
      <c r="V175" s="31">
        <v>0</v>
      </c>
      <c r="W175" s="31">
        <v>0</v>
      </c>
      <c r="X175" s="31">
        <v>0</v>
      </c>
      <c r="Y175" s="31">
        <v>0</v>
      </c>
      <c r="Z175" s="31">
        <v>0</v>
      </c>
      <c r="AA175" s="31">
        <v>0</v>
      </c>
      <c r="AB175" s="31">
        <v>0</v>
      </c>
      <c r="AC175" s="31">
        <v>0</v>
      </c>
      <c r="AD175" s="31">
        <v>0</v>
      </c>
      <c r="AE175" s="31">
        <v>0</v>
      </c>
      <c r="AF175" s="31">
        <v>0</v>
      </c>
      <c r="AG175" s="31">
        <v>0</v>
      </c>
      <c r="AH175" s="31">
        <v>0</v>
      </c>
      <c r="AI175" s="31">
        <v>0</v>
      </c>
      <c r="AJ175" s="31">
        <v>0</v>
      </c>
      <c r="AK175" s="31">
        <v>0</v>
      </c>
      <c r="AL175" s="31">
        <v>0</v>
      </c>
      <c r="AM175" s="31">
        <v>0</v>
      </c>
      <c r="AN175" s="31">
        <v>0</v>
      </c>
      <c r="AO175" s="31">
        <v>0</v>
      </c>
      <c r="AP175" s="31">
        <v>0</v>
      </c>
    </row>
    <row r="176" spans="1:42" x14ac:dyDescent="0.25">
      <c r="A176" s="31">
        <v>26</v>
      </c>
      <c r="B176" s="31">
        <v>24603</v>
      </c>
      <c r="C176" s="31">
        <v>1</v>
      </c>
      <c r="D176" s="31" t="s">
        <v>594</v>
      </c>
      <c r="E176" s="31"/>
      <c r="F176" s="31">
        <v>0</v>
      </c>
      <c r="G176" s="31">
        <v>0</v>
      </c>
      <c r="H176" s="31">
        <v>0</v>
      </c>
      <c r="I176" s="31">
        <v>0</v>
      </c>
      <c r="J176" s="31">
        <v>0</v>
      </c>
      <c r="K176" s="31" t="s">
        <v>882</v>
      </c>
      <c r="L176" s="2" t="str">
        <f t="shared" si="16"/>
        <v>Рихтовка</v>
      </c>
      <c r="M176" s="12">
        <f t="shared" si="17"/>
        <v>0</v>
      </c>
      <c r="N176" s="12">
        <f t="shared" si="18"/>
        <v>0</v>
      </c>
      <c r="O176" s="12">
        <f t="shared" si="19"/>
        <v>0</v>
      </c>
      <c r="P176" s="12">
        <f t="shared" si="20"/>
        <v>0</v>
      </c>
      <c r="Q176" s="12">
        <f t="shared" si="21"/>
        <v>0</v>
      </c>
      <c r="R176" s="12">
        <f t="shared" si="22"/>
        <v>0</v>
      </c>
      <c r="S176" s="12">
        <f t="shared" si="23"/>
        <v>0</v>
      </c>
      <c r="T176" s="31">
        <v>0</v>
      </c>
      <c r="U176" s="31">
        <v>0</v>
      </c>
      <c r="V176" s="31">
        <v>0</v>
      </c>
      <c r="W176" s="31">
        <v>0</v>
      </c>
      <c r="X176" s="31">
        <v>0</v>
      </c>
      <c r="Y176" s="31">
        <v>0</v>
      </c>
      <c r="Z176" s="31">
        <v>0</v>
      </c>
      <c r="AA176" s="31">
        <v>0</v>
      </c>
      <c r="AB176" s="31">
        <v>0</v>
      </c>
      <c r="AC176" s="31">
        <v>0</v>
      </c>
      <c r="AD176" s="31">
        <v>0</v>
      </c>
      <c r="AE176" s="31">
        <v>0</v>
      </c>
      <c r="AF176" s="31">
        <v>0</v>
      </c>
      <c r="AG176" s="31">
        <v>0</v>
      </c>
      <c r="AH176" s="31">
        <v>0</v>
      </c>
      <c r="AI176" s="31">
        <v>0</v>
      </c>
      <c r="AJ176" s="31">
        <v>0</v>
      </c>
      <c r="AK176" s="31">
        <v>0</v>
      </c>
      <c r="AL176" s="31">
        <v>0</v>
      </c>
      <c r="AM176" s="31">
        <v>0</v>
      </c>
      <c r="AN176" s="31">
        <v>0</v>
      </c>
      <c r="AO176" s="31">
        <v>0</v>
      </c>
      <c r="AP176" s="31">
        <v>0</v>
      </c>
    </row>
    <row r="177" spans="1:42" x14ac:dyDescent="0.25">
      <c r="A177" s="31">
        <v>26</v>
      </c>
      <c r="B177" s="31">
        <v>24603</v>
      </c>
      <c r="C177" s="31">
        <v>1</v>
      </c>
      <c r="D177" s="31" t="s">
        <v>595</v>
      </c>
      <c r="E177" s="31"/>
      <c r="F177" s="31">
        <v>0</v>
      </c>
      <c r="G177" s="31">
        <v>0</v>
      </c>
      <c r="H177" s="31">
        <v>0</v>
      </c>
      <c r="I177" s="31">
        <v>0</v>
      </c>
      <c r="J177" s="31">
        <v>0</v>
      </c>
      <c r="K177" s="31" t="s">
        <v>882</v>
      </c>
      <c r="L177" s="2" t="str">
        <f t="shared" si="16"/>
        <v>Рихтовка</v>
      </c>
      <c r="M177" s="12">
        <f t="shared" si="17"/>
        <v>0</v>
      </c>
      <c r="N177" s="12">
        <f t="shared" si="18"/>
        <v>0</v>
      </c>
      <c r="O177" s="12">
        <f t="shared" si="19"/>
        <v>0</v>
      </c>
      <c r="P177" s="12">
        <f t="shared" si="20"/>
        <v>0</v>
      </c>
      <c r="Q177" s="12">
        <f t="shared" si="21"/>
        <v>0</v>
      </c>
      <c r="R177" s="12">
        <f t="shared" si="22"/>
        <v>0</v>
      </c>
      <c r="S177" s="12">
        <f t="shared" si="23"/>
        <v>0</v>
      </c>
      <c r="T177" s="31">
        <v>0</v>
      </c>
      <c r="U177" s="31">
        <v>0</v>
      </c>
      <c r="V177" s="31">
        <v>0</v>
      </c>
      <c r="W177" s="31">
        <v>0</v>
      </c>
      <c r="X177" s="31">
        <v>0</v>
      </c>
      <c r="Y177" s="31">
        <v>0</v>
      </c>
      <c r="Z177" s="31">
        <v>0</v>
      </c>
      <c r="AA177" s="31">
        <v>0</v>
      </c>
      <c r="AB177" s="31">
        <v>0</v>
      </c>
      <c r="AC177" s="31">
        <v>0</v>
      </c>
      <c r="AD177" s="31">
        <v>0</v>
      </c>
      <c r="AE177" s="31">
        <v>0</v>
      </c>
      <c r="AF177" s="31">
        <v>0</v>
      </c>
      <c r="AG177" s="31">
        <v>0</v>
      </c>
      <c r="AH177" s="31">
        <v>0</v>
      </c>
      <c r="AI177" s="31">
        <v>0</v>
      </c>
      <c r="AJ177" s="31">
        <v>0</v>
      </c>
      <c r="AK177" s="31">
        <v>0</v>
      </c>
      <c r="AL177" s="31">
        <v>0</v>
      </c>
      <c r="AM177" s="31">
        <v>0</v>
      </c>
      <c r="AN177" s="31">
        <v>0</v>
      </c>
      <c r="AO177" s="31">
        <v>0</v>
      </c>
      <c r="AP177" s="31">
        <v>0</v>
      </c>
    </row>
    <row r="178" spans="1:42" x14ac:dyDescent="0.25">
      <c r="A178" s="31">
        <v>26</v>
      </c>
      <c r="B178" s="31">
        <v>24603</v>
      </c>
      <c r="C178" s="31">
        <v>1</v>
      </c>
      <c r="D178" s="31" t="s">
        <v>596</v>
      </c>
      <c r="E178" s="31"/>
      <c r="F178" s="31">
        <v>0</v>
      </c>
      <c r="G178" s="31">
        <v>0</v>
      </c>
      <c r="H178" s="31">
        <v>0</v>
      </c>
      <c r="I178" s="31">
        <v>0</v>
      </c>
      <c r="J178" s="31">
        <v>0</v>
      </c>
      <c r="K178" s="31" t="s">
        <v>882</v>
      </c>
      <c r="L178" s="2" t="str">
        <f t="shared" si="16"/>
        <v>Рихтовка</v>
      </c>
      <c r="M178" s="12">
        <f t="shared" si="17"/>
        <v>0</v>
      </c>
      <c r="N178" s="12">
        <f t="shared" si="18"/>
        <v>0</v>
      </c>
      <c r="O178" s="12">
        <f t="shared" si="19"/>
        <v>0</v>
      </c>
      <c r="P178" s="12">
        <f t="shared" si="20"/>
        <v>0</v>
      </c>
      <c r="Q178" s="12">
        <f t="shared" si="21"/>
        <v>0</v>
      </c>
      <c r="R178" s="12">
        <f t="shared" si="22"/>
        <v>0</v>
      </c>
      <c r="S178" s="12">
        <f t="shared" si="23"/>
        <v>0</v>
      </c>
      <c r="T178" s="31">
        <v>0</v>
      </c>
      <c r="U178" s="31">
        <v>0</v>
      </c>
      <c r="V178" s="31">
        <v>0</v>
      </c>
      <c r="W178" s="31">
        <v>0</v>
      </c>
      <c r="X178" s="31">
        <v>0</v>
      </c>
      <c r="Y178" s="31">
        <v>0</v>
      </c>
      <c r="Z178" s="31">
        <v>0</v>
      </c>
      <c r="AA178" s="31">
        <v>0</v>
      </c>
      <c r="AB178" s="31">
        <v>0</v>
      </c>
      <c r="AC178" s="31">
        <v>0</v>
      </c>
      <c r="AD178" s="31">
        <v>0</v>
      </c>
      <c r="AE178" s="31">
        <v>0</v>
      </c>
      <c r="AF178" s="31">
        <v>0</v>
      </c>
      <c r="AG178" s="31">
        <v>0</v>
      </c>
      <c r="AH178" s="31">
        <v>0</v>
      </c>
      <c r="AI178" s="31">
        <v>0</v>
      </c>
      <c r="AJ178" s="31">
        <v>0</v>
      </c>
      <c r="AK178" s="31">
        <v>0</v>
      </c>
      <c r="AL178" s="31">
        <v>0</v>
      </c>
      <c r="AM178" s="31">
        <v>0</v>
      </c>
      <c r="AN178" s="31">
        <v>0</v>
      </c>
      <c r="AO178" s="31">
        <v>0</v>
      </c>
      <c r="AP178" s="31">
        <v>0</v>
      </c>
    </row>
    <row r="179" spans="1:42" x14ac:dyDescent="0.25">
      <c r="A179" s="31">
        <v>26</v>
      </c>
      <c r="B179" s="31">
        <v>24603</v>
      </c>
      <c r="C179" s="31">
        <v>1</v>
      </c>
      <c r="D179" s="31" t="s">
        <v>597</v>
      </c>
      <c r="E179" s="31"/>
      <c r="F179" s="31">
        <v>0</v>
      </c>
      <c r="G179" s="31">
        <v>0</v>
      </c>
      <c r="H179" s="31">
        <v>0</v>
      </c>
      <c r="I179" s="31">
        <v>0</v>
      </c>
      <c r="J179" s="31">
        <v>0</v>
      </c>
      <c r="K179" s="31" t="s">
        <v>882</v>
      </c>
      <c r="L179" s="2" t="str">
        <f t="shared" si="16"/>
        <v>Рихтовка</v>
      </c>
      <c r="M179" s="12">
        <f t="shared" si="17"/>
        <v>0</v>
      </c>
      <c r="N179" s="12">
        <f t="shared" si="18"/>
        <v>0</v>
      </c>
      <c r="O179" s="12">
        <f t="shared" si="19"/>
        <v>0</v>
      </c>
      <c r="P179" s="12">
        <f t="shared" si="20"/>
        <v>0</v>
      </c>
      <c r="Q179" s="12">
        <f t="shared" si="21"/>
        <v>0</v>
      </c>
      <c r="R179" s="12">
        <f t="shared" si="22"/>
        <v>0</v>
      </c>
      <c r="S179" s="12">
        <f t="shared" si="23"/>
        <v>0</v>
      </c>
      <c r="T179" s="31">
        <v>0</v>
      </c>
      <c r="U179" s="31">
        <v>0</v>
      </c>
      <c r="V179" s="31">
        <v>0</v>
      </c>
      <c r="W179" s="31">
        <v>0</v>
      </c>
      <c r="X179" s="31">
        <v>0</v>
      </c>
      <c r="Y179" s="31">
        <v>0</v>
      </c>
      <c r="Z179" s="31">
        <v>0</v>
      </c>
      <c r="AA179" s="31">
        <v>0</v>
      </c>
      <c r="AB179" s="31">
        <v>0</v>
      </c>
      <c r="AC179" s="31">
        <v>0</v>
      </c>
      <c r="AD179" s="31">
        <v>0</v>
      </c>
      <c r="AE179" s="31">
        <v>0</v>
      </c>
      <c r="AF179" s="31">
        <v>0</v>
      </c>
      <c r="AG179" s="31">
        <v>0</v>
      </c>
      <c r="AH179" s="31">
        <v>0</v>
      </c>
      <c r="AI179" s="31">
        <v>0</v>
      </c>
      <c r="AJ179" s="31">
        <v>0</v>
      </c>
      <c r="AK179" s="31">
        <v>0</v>
      </c>
      <c r="AL179" s="31">
        <v>0</v>
      </c>
      <c r="AM179" s="31">
        <v>0</v>
      </c>
      <c r="AN179" s="31">
        <v>0</v>
      </c>
      <c r="AO179" s="31">
        <v>0</v>
      </c>
      <c r="AP179" s="31">
        <v>0</v>
      </c>
    </row>
    <row r="180" spans="1:42" x14ac:dyDescent="0.25">
      <c r="A180" s="31">
        <v>26</v>
      </c>
      <c r="B180" s="31">
        <v>24603</v>
      </c>
      <c r="C180" s="31">
        <v>1</v>
      </c>
      <c r="D180" s="31" t="s">
        <v>598</v>
      </c>
      <c r="E180" s="31"/>
      <c r="F180" s="31">
        <v>0</v>
      </c>
      <c r="G180" s="31">
        <v>0</v>
      </c>
      <c r="H180" s="31">
        <v>0</v>
      </c>
      <c r="I180" s="31">
        <v>0</v>
      </c>
      <c r="J180" s="31">
        <v>0</v>
      </c>
      <c r="K180" s="31" t="s">
        <v>882</v>
      </c>
      <c r="L180" s="2" t="str">
        <f t="shared" si="16"/>
        <v>Рихтовка</v>
      </c>
      <c r="M180" s="12">
        <f t="shared" si="17"/>
        <v>0</v>
      </c>
      <c r="N180" s="12">
        <f t="shared" si="18"/>
        <v>0</v>
      </c>
      <c r="O180" s="12">
        <f t="shared" si="19"/>
        <v>0</v>
      </c>
      <c r="P180" s="12">
        <f t="shared" si="20"/>
        <v>0</v>
      </c>
      <c r="Q180" s="12">
        <f t="shared" si="21"/>
        <v>0</v>
      </c>
      <c r="R180" s="12">
        <f t="shared" si="22"/>
        <v>0</v>
      </c>
      <c r="S180" s="12">
        <f t="shared" si="23"/>
        <v>0</v>
      </c>
      <c r="T180" s="31">
        <v>0</v>
      </c>
      <c r="U180" s="31">
        <v>0</v>
      </c>
      <c r="V180" s="31">
        <v>0</v>
      </c>
      <c r="W180" s="31">
        <v>0</v>
      </c>
      <c r="X180" s="31">
        <v>0</v>
      </c>
      <c r="Y180" s="31">
        <v>0</v>
      </c>
      <c r="Z180" s="31">
        <v>0</v>
      </c>
      <c r="AA180" s="31">
        <v>0</v>
      </c>
      <c r="AB180" s="31">
        <v>0</v>
      </c>
      <c r="AC180" s="31">
        <v>0</v>
      </c>
      <c r="AD180" s="31">
        <v>0</v>
      </c>
      <c r="AE180" s="31">
        <v>0</v>
      </c>
      <c r="AF180" s="31">
        <v>0</v>
      </c>
      <c r="AG180" s="31">
        <v>0</v>
      </c>
      <c r="AH180" s="31">
        <v>0</v>
      </c>
      <c r="AI180" s="31">
        <v>0</v>
      </c>
      <c r="AJ180" s="31">
        <v>0</v>
      </c>
      <c r="AK180" s="31">
        <v>0</v>
      </c>
      <c r="AL180" s="31">
        <v>0</v>
      </c>
      <c r="AM180" s="31">
        <v>0</v>
      </c>
      <c r="AN180" s="31">
        <v>0</v>
      </c>
      <c r="AO180" s="31">
        <v>0</v>
      </c>
      <c r="AP180" s="31">
        <v>0</v>
      </c>
    </row>
    <row r="181" spans="1:42" x14ac:dyDescent="0.25">
      <c r="A181" s="31">
        <v>26</v>
      </c>
      <c r="B181" s="31">
        <v>24603</v>
      </c>
      <c r="C181" s="31">
        <v>1</v>
      </c>
      <c r="D181" s="31" t="s">
        <v>599</v>
      </c>
      <c r="E181" s="31"/>
      <c r="F181" s="31">
        <v>0</v>
      </c>
      <c r="G181" s="31">
        <v>0</v>
      </c>
      <c r="H181" s="31">
        <v>0</v>
      </c>
      <c r="I181" s="31">
        <v>0</v>
      </c>
      <c r="J181" s="31">
        <v>0</v>
      </c>
      <c r="K181" s="31" t="s">
        <v>882</v>
      </c>
      <c r="L181" s="2" t="str">
        <f t="shared" si="16"/>
        <v>Рихтовка</v>
      </c>
      <c r="M181" s="12">
        <f t="shared" si="17"/>
        <v>0</v>
      </c>
      <c r="N181" s="12">
        <f t="shared" si="18"/>
        <v>0</v>
      </c>
      <c r="O181" s="12">
        <f t="shared" si="19"/>
        <v>0</v>
      </c>
      <c r="P181" s="12">
        <f t="shared" si="20"/>
        <v>0</v>
      </c>
      <c r="Q181" s="12">
        <f t="shared" si="21"/>
        <v>0</v>
      </c>
      <c r="R181" s="12">
        <f t="shared" si="22"/>
        <v>0</v>
      </c>
      <c r="S181" s="12">
        <f t="shared" si="23"/>
        <v>0</v>
      </c>
      <c r="T181" s="31">
        <v>0</v>
      </c>
      <c r="U181" s="31">
        <v>0</v>
      </c>
      <c r="V181" s="31">
        <v>0</v>
      </c>
      <c r="W181" s="31">
        <v>0</v>
      </c>
      <c r="X181" s="31">
        <v>0</v>
      </c>
      <c r="Y181" s="31">
        <v>0</v>
      </c>
      <c r="Z181" s="31">
        <v>0</v>
      </c>
      <c r="AA181" s="31">
        <v>0</v>
      </c>
      <c r="AB181" s="31">
        <v>0</v>
      </c>
      <c r="AC181" s="31">
        <v>0</v>
      </c>
      <c r="AD181" s="31">
        <v>0</v>
      </c>
      <c r="AE181" s="31">
        <v>0</v>
      </c>
      <c r="AF181" s="31">
        <v>0</v>
      </c>
      <c r="AG181" s="31">
        <v>0</v>
      </c>
      <c r="AH181" s="31">
        <v>0</v>
      </c>
      <c r="AI181" s="31">
        <v>0</v>
      </c>
      <c r="AJ181" s="31">
        <v>0</v>
      </c>
      <c r="AK181" s="31">
        <v>0</v>
      </c>
      <c r="AL181" s="31">
        <v>0</v>
      </c>
      <c r="AM181" s="31">
        <v>0</v>
      </c>
      <c r="AN181" s="31">
        <v>0</v>
      </c>
      <c r="AO181" s="31">
        <v>0</v>
      </c>
      <c r="AP181" s="31">
        <v>0</v>
      </c>
    </row>
    <row r="182" spans="1:42" x14ac:dyDescent="0.25">
      <c r="A182" s="31">
        <v>26</v>
      </c>
      <c r="B182" s="31">
        <v>24603</v>
      </c>
      <c r="C182" s="31">
        <v>1</v>
      </c>
      <c r="D182" s="31" t="s">
        <v>600</v>
      </c>
      <c r="E182" s="31"/>
      <c r="F182" s="31">
        <v>0</v>
      </c>
      <c r="G182" s="31">
        <v>0</v>
      </c>
      <c r="H182" s="31">
        <v>0</v>
      </c>
      <c r="I182" s="31">
        <v>0</v>
      </c>
      <c r="J182" s="31">
        <v>0</v>
      </c>
      <c r="K182" s="31" t="s">
        <v>882</v>
      </c>
      <c r="L182" s="2" t="str">
        <f t="shared" si="16"/>
        <v>Рихтовка</v>
      </c>
      <c r="M182" s="12">
        <f t="shared" si="17"/>
        <v>0</v>
      </c>
      <c r="N182" s="12">
        <f t="shared" si="18"/>
        <v>0</v>
      </c>
      <c r="O182" s="12">
        <f t="shared" si="19"/>
        <v>0</v>
      </c>
      <c r="P182" s="12">
        <f t="shared" si="20"/>
        <v>0</v>
      </c>
      <c r="Q182" s="12">
        <f t="shared" si="21"/>
        <v>0</v>
      </c>
      <c r="R182" s="12">
        <f t="shared" si="22"/>
        <v>0</v>
      </c>
      <c r="S182" s="12">
        <f t="shared" si="23"/>
        <v>0</v>
      </c>
      <c r="T182" s="31">
        <v>0</v>
      </c>
      <c r="U182" s="31">
        <v>0</v>
      </c>
      <c r="V182" s="31">
        <v>0</v>
      </c>
      <c r="W182" s="31">
        <v>0</v>
      </c>
      <c r="X182" s="31">
        <v>0</v>
      </c>
      <c r="Y182" s="31">
        <v>0</v>
      </c>
      <c r="Z182" s="31">
        <v>0</v>
      </c>
      <c r="AA182" s="31">
        <v>0</v>
      </c>
      <c r="AB182" s="31">
        <v>0</v>
      </c>
      <c r="AC182" s="31">
        <v>0</v>
      </c>
      <c r="AD182" s="31">
        <v>0</v>
      </c>
      <c r="AE182" s="31">
        <v>0</v>
      </c>
      <c r="AF182" s="31">
        <v>0</v>
      </c>
      <c r="AG182" s="31">
        <v>0</v>
      </c>
      <c r="AH182" s="31">
        <v>0</v>
      </c>
      <c r="AI182" s="31">
        <v>0</v>
      </c>
      <c r="AJ182" s="31">
        <v>0</v>
      </c>
      <c r="AK182" s="31">
        <v>0</v>
      </c>
      <c r="AL182" s="31">
        <v>0</v>
      </c>
      <c r="AM182" s="31">
        <v>0</v>
      </c>
      <c r="AN182" s="31">
        <v>0</v>
      </c>
      <c r="AO182" s="31">
        <v>0</v>
      </c>
      <c r="AP182" s="31">
        <v>0</v>
      </c>
    </row>
    <row r="183" spans="1:42" x14ac:dyDescent="0.25">
      <c r="A183" s="31">
        <v>27</v>
      </c>
      <c r="B183" s="31">
        <v>24603</v>
      </c>
      <c r="C183" s="31">
        <v>1</v>
      </c>
      <c r="D183" s="31" t="s">
        <v>600</v>
      </c>
      <c r="E183" s="31"/>
      <c r="F183" s="31">
        <v>0</v>
      </c>
      <c r="G183" s="31">
        <v>0</v>
      </c>
      <c r="H183" s="31">
        <v>0</v>
      </c>
      <c r="I183" s="31">
        <v>0</v>
      </c>
      <c r="J183" s="31">
        <v>0</v>
      </c>
      <c r="K183" s="31" t="s">
        <v>882</v>
      </c>
      <c r="L183" s="2" t="str">
        <f t="shared" si="16"/>
        <v>Рихтовка</v>
      </c>
      <c r="M183" s="12">
        <f t="shared" si="17"/>
        <v>0</v>
      </c>
      <c r="N183" s="12">
        <f t="shared" si="18"/>
        <v>0</v>
      </c>
      <c r="O183" s="12">
        <f t="shared" si="19"/>
        <v>0</v>
      </c>
      <c r="P183" s="12">
        <f t="shared" si="20"/>
        <v>0</v>
      </c>
      <c r="Q183" s="12">
        <f t="shared" si="21"/>
        <v>0</v>
      </c>
      <c r="R183" s="12">
        <f t="shared" si="22"/>
        <v>0</v>
      </c>
      <c r="S183" s="12">
        <f t="shared" si="23"/>
        <v>0</v>
      </c>
      <c r="T183" s="31">
        <v>0</v>
      </c>
      <c r="U183" s="31">
        <v>0</v>
      </c>
      <c r="V183" s="31">
        <v>0</v>
      </c>
      <c r="W183" s="31">
        <v>0</v>
      </c>
      <c r="X183" s="31">
        <v>0</v>
      </c>
      <c r="Y183" s="31">
        <v>0</v>
      </c>
      <c r="Z183" s="31">
        <v>0</v>
      </c>
      <c r="AA183" s="31">
        <v>0</v>
      </c>
      <c r="AB183" s="31">
        <v>0</v>
      </c>
      <c r="AC183" s="31">
        <v>0</v>
      </c>
      <c r="AD183" s="31">
        <v>0</v>
      </c>
      <c r="AE183" s="31">
        <v>0</v>
      </c>
      <c r="AF183" s="31">
        <v>0</v>
      </c>
      <c r="AG183" s="31">
        <v>0</v>
      </c>
      <c r="AH183" s="31">
        <v>0</v>
      </c>
      <c r="AI183" s="31">
        <v>0</v>
      </c>
      <c r="AJ183" s="31">
        <v>0</v>
      </c>
      <c r="AK183" s="31">
        <v>0</v>
      </c>
      <c r="AL183" s="31">
        <v>0</v>
      </c>
      <c r="AM183" s="31">
        <v>0</v>
      </c>
      <c r="AN183" s="31">
        <v>0</v>
      </c>
      <c r="AO183" s="31">
        <v>0</v>
      </c>
      <c r="AP183" s="31">
        <v>0</v>
      </c>
    </row>
    <row r="184" spans="1:42" x14ac:dyDescent="0.25">
      <c r="A184" s="31">
        <v>27</v>
      </c>
      <c r="B184" s="31">
        <v>24603</v>
      </c>
      <c r="C184" s="31">
        <v>1</v>
      </c>
      <c r="D184" s="31" t="s">
        <v>601</v>
      </c>
      <c r="E184" s="31"/>
      <c r="F184" s="31">
        <v>0</v>
      </c>
      <c r="G184" s="31">
        <v>0</v>
      </c>
      <c r="H184" s="31">
        <v>0</v>
      </c>
      <c r="I184" s="31">
        <v>0</v>
      </c>
      <c r="J184" s="31">
        <v>0</v>
      </c>
      <c r="K184" s="31" t="s">
        <v>882</v>
      </c>
      <c r="L184" s="2" t="str">
        <f t="shared" si="16"/>
        <v>Рихтовка</v>
      </c>
      <c r="M184" s="12">
        <f t="shared" si="17"/>
        <v>0</v>
      </c>
      <c r="N184" s="12">
        <f t="shared" si="18"/>
        <v>0</v>
      </c>
      <c r="O184" s="12">
        <f t="shared" si="19"/>
        <v>0</v>
      </c>
      <c r="P184" s="12">
        <f t="shared" si="20"/>
        <v>0</v>
      </c>
      <c r="Q184" s="12">
        <f t="shared" si="21"/>
        <v>0</v>
      </c>
      <c r="R184" s="12">
        <f t="shared" si="22"/>
        <v>0</v>
      </c>
      <c r="S184" s="12">
        <f t="shared" si="23"/>
        <v>0</v>
      </c>
      <c r="T184" s="31">
        <v>0</v>
      </c>
      <c r="U184" s="31">
        <v>0</v>
      </c>
      <c r="V184" s="31">
        <v>0</v>
      </c>
      <c r="W184" s="31">
        <v>0</v>
      </c>
      <c r="X184" s="31">
        <v>0</v>
      </c>
      <c r="Y184" s="31">
        <v>0</v>
      </c>
      <c r="Z184" s="31">
        <v>0</v>
      </c>
      <c r="AA184" s="31">
        <v>0</v>
      </c>
      <c r="AB184" s="31">
        <v>0</v>
      </c>
      <c r="AC184" s="31">
        <v>0</v>
      </c>
      <c r="AD184" s="31">
        <v>0</v>
      </c>
      <c r="AE184" s="31">
        <v>0</v>
      </c>
      <c r="AF184" s="31">
        <v>0</v>
      </c>
      <c r="AG184" s="31">
        <v>0</v>
      </c>
      <c r="AH184" s="31">
        <v>0</v>
      </c>
      <c r="AI184" s="31">
        <v>0</v>
      </c>
      <c r="AJ184" s="31">
        <v>0</v>
      </c>
      <c r="AK184" s="31">
        <v>0</v>
      </c>
      <c r="AL184" s="31">
        <v>0</v>
      </c>
      <c r="AM184" s="31">
        <v>0</v>
      </c>
      <c r="AN184" s="31">
        <v>0</v>
      </c>
      <c r="AO184" s="31">
        <v>0</v>
      </c>
      <c r="AP184" s="31">
        <v>0</v>
      </c>
    </row>
    <row r="185" spans="1:42" x14ac:dyDescent="0.25">
      <c r="A185" s="31">
        <v>27</v>
      </c>
      <c r="B185" s="31">
        <v>24603</v>
      </c>
      <c r="C185" s="31">
        <v>1</v>
      </c>
      <c r="D185" s="31" t="s">
        <v>602</v>
      </c>
      <c r="E185" s="31"/>
      <c r="F185" s="31">
        <v>0</v>
      </c>
      <c r="G185" s="31">
        <v>0</v>
      </c>
      <c r="H185" s="31">
        <v>0</v>
      </c>
      <c r="I185" s="31">
        <v>0</v>
      </c>
      <c r="J185" s="31">
        <v>0</v>
      </c>
      <c r="K185" s="31" t="s">
        <v>882</v>
      </c>
      <c r="L185" s="2" t="str">
        <f t="shared" si="16"/>
        <v>Рихтовка</v>
      </c>
      <c r="M185" s="12">
        <f t="shared" si="17"/>
        <v>0</v>
      </c>
      <c r="N185" s="12">
        <f t="shared" si="18"/>
        <v>0</v>
      </c>
      <c r="O185" s="12">
        <f t="shared" si="19"/>
        <v>0</v>
      </c>
      <c r="P185" s="12">
        <f t="shared" si="20"/>
        <v>0</v>
      </c>
      <c r="Q185" s="12">
        <f t="shared" si="21"/>
        <v>0</v>
      </c>
      <c r="R185" s="12">
        <f t="shared" si="22"/>
        <v>0</v>
      </c>
      <c r="S185" s="12">
        <f t="shared" si="23"/>
        <v>0</v>
      </c>
      <c r="T185" s="31">
        <v>0</v>
      </c>
      <c r="U185" s="31">
        <v>0</v>
      </c>
      <c r="V185" s="31">
        <v>0</v>
      </c>
      <c r="W185" s="31">
        <v>0</v>
      </c>
      <c r="X185" s="31">
        <v>0</v>
      </c>
      <c r="Y185" s="31">
        <v>0</v>
      </c>
      <c r="Z185" s="31">
        <v>0</v>
      </c>
      <c r="AA185" s="31">
        <v>0</v>
      </c>
      <c r="AB185" s="31">
        <v>0</v>
      </c>
      <c r="AC185" s="31">
        <v>0</v>
      </c>
      <c r="AD185" s="31">
        <v>0</v>
      </c>
      <c r="AE185" s="31">
        <v>0</v>
      </c>
      <c r="AF185" s="31">
        <v>0</v>
      </c>
      <c r="AG185" s="31">
        <v>0</v>
      </c>
      <c r="AH185" s="31">
        <v>0</v>
      </c>
      <c r="AI185" s="31">
        <v>0</v>
      </c>
      <c r="AJ185" s="31">
        <v>0</v>
      </c>
      <c r="AK185" s="31">
        <v>0</v>
      </c>
      <c r="AL185" s="31">
        <v>0</v>
      </c>
      <c r="AM185" s="31">
        <v>0</v>
      </c>
      <c r="AN185" s="31">
        <v>0</v>
      </c>
      <c r="AO185" s="31">
        <v>0</v>
      </c>
      <c r="AP185" s="31">
        <v>0</v>
      </c>
    </row>
    <row r="186" spans="1:42" x14ac:dyDescent="0.25">
      <c r="A186" s="31">
        <v>27</v>
      </c>
      <c r="B186" s="31">
        <v>24603</v>
      </c>
      <c r="C186" s="31">
        <v>1</v>
      </c>
      <c r="D186" s="31" t="s">
        <v>603</v>
      </c>
      <c r="E186" s="31"/>
      <c r="F186" s="31">
        <v>0</v>
      </c>
      <c r="G186" s="31">
        <v>0</v>
      </c>
      <c r="H186" s="31">
        <v>0</v>
      </c>
      <c r="I186" s="31">
        <v>0</v>
      </c>
      <c r="J186" s="31">
        <v>0</v>
      </c>
      <c r="K186" s="31" t="s">
        <v>882</v>
      </c>
      <c r="L186" s="2" t="str">
        <f t="shared" si="16"/>
        <v>Рихтовка</v>
      </c>
      <c r="M186" s="12">
        <f t="shared" si="17"/>
        <v>0</v>
      </c>
      <c r="N186" s="12">
        <f t="shared" si="18"/>
        <v>0</v>
      </c>
      <c r="O186" s="12">
        <f t="shared" si="19"/>
        <v>0</v>
      </c>
      <c r="P186" s="12">
        <f t="shared" si="20"/>
        <v>0</v>
      </c>
      <c r="Q186" s="12">
        <f t="shared" si="21"/>
        <v>0</v>
      </c>
      <c r="R186" s="12">
        <f t="shared" si="22"/>
        <v>0</v>
      </c>
      <c r="S186" s="12">
        <f t="shared" si="23"/>
        <v>0</v>
      </c>
      <c r="T186" s="31">
        <v>0</v>
      </c>
      <c r="U186" s="31">
        <v>0</v>
      </c>
      <c r="V186" s="31">
        <v>0</v>
      </c>
      <c r="W186" s="31">
        <v>0</v>
      </c>
      <c r="X186" s="31">
        <v>0</v>
      </c>
      <c r="Y186" s="31">
        <v>0</v>
      </c>
      <c r="Z186" s="31">
        <v>0</v>
      </c>
      <c r="AA186" s="31">
        <v>0</v>
      </c>
      <c r="AB186" s="31">
        <v>0</v>
      </c>
      <c r="AC186" s="31">
        <v>0</v>
      </c>
      <c r="AD186" s="31">
        <v>0</v>
      </c>
      <c r="AE186" s="31">
        <v>0</v>
      </c>
      <c r="AF186" s="31">
        <v>0</v>
      </c>
      <c r="AG186" s="31">
        <v>0</v>
      </c>
      <c r="AH186" s="31">
        <v>0</v>
      </c>
      <c r="AI186" s="31">
        <v>0</v>
      </c>
      <c r="AJ186" s="31">
        <v>0</v>
      </c>
      <c r="AK186" s="31">
        <v>0</v>
      </c>
      <c r="AL186" s="31">
        <v>0</v>
      </c>
      <c r="AM186" s="31">
        <v>0</v>
      </c>
      <c r="AN186" s="31">
        <v>0</v>
      </c>
      <c r="AO186" s="31">
        <v>0</v>
      </c>
      <c r="AP186" s="31">
        <v>0</v>
      </c>
    </row>
    <row r="187" spans="1:42" x14ac:dyDescent="0.25">
      <c r="A187" s="31">
        <v>27</v>
      </c>
      <c r="B187" s="31">
        <v>24603</v>
      </c>
      <c r="C187" s="31">
        <v>1</v>
      </c>
      <c r="D187" s="31" t="s">
        <v>604</v>
      </c>
      <c r="E187" s="31"/>
      <c r="F187" s="31">
        <v>0</v>
      </c>
      <c r="G187" s="31">
        <v>0</v>
      </c>
      <c r="H187" s="31">
        <v>0</v>
      </c>
      <c r="I187" s="31">
        <v>0</v>
      </c>
      <c r="J187" s="31">
        <v>0</v>
      </c>
      <c r="K187" s="31" t="s">
        <v>882</v>
      </c>
      <c r="L187" s="2" t="str">
        <f t="shared" si="16"/>
        <v>Рихтовка</v>
      </c>
      <c r="M187" s="12">
        <f t="shared" si="17"/>
        <v>0</v>
      </c>
      <c r="N187" s="12">
        <f t="shared" si="18"/>
        <v>0</v>
      </c>
      <c r="O187" s="12">
        <f t="shared" si="19"/>
        <v>0</v>
      </c>
      <c r="P187" s="12">
        <f t="shared" si="20"/>
        <v>0</v>
      </c>
      <c r="Q187" s="12">
        <f t="shared" si="21"/>
        <v>0</v>
      </c>
      <c r="R187" s="12">
        <f t="shared" si="22"/>
        <v>0</v>
      </c>
      <c r="S187" s="12">
        <f t="shared" si="23"/>
        <v>0</v>
      </c>
      <c r="T187" s="31">
        <v>0</v>
      </c>
      <c r="U187" s="31">
        <v>0</v>
      </c>
      <c r="V187" s="31">
        <v>0</v>
      </c>
      <c r="W187" s="31">
        <v>0</v>
      </c>
      <c r="X187" s="31">
        <v>0</v>
      </c>
      <c r="Y187" s="31">
        <v>0</v>
      </c>
      <c r="Z187" s="31">
        <v>0</v>
      </c>
      <c r="AA187" s="31">
        <v>0</v>
      </c>
      <c r="AB187" s="31">
        <v>0</v>
      </c>
      <c r="AC187" s="31">
        <v>0</v>
      </c>
      <c r="AD187" s="31">
        <v>0</v>
      </c>
      <c r="AE187" s="31">
        <v>0</v>
      </c>
      <c r="AF187" s="31">
        <v>0</v>
      </c>
      <c r="AG187" s="31">
        <v>0</v>
      </c>
      <c r="AH187" s="31">
        <v>0</v>
      </c>
      <c r="AI187" s="31">
        <v>0</v>
      </c>
      <c r="AJ187" s="31">
        <v>0</v>
      </c>
      <c r="AK187" s="31">
        <v>0</v>
      </c>
      <c r="AL187" s="31">
        <v>0</v>
      </c>
      <c r="AM187" s="31">
        <v>0</v>
      </c>
      <c r="AN187" s="31">
        <v>0</v>
      </c>
      <c r="AO187" s="31">
        <v>0</v>
      </c>
      <c r="AP187" s="31">
        <v>0</v>
      </c>
    </row>
    <row r="188" spans="1:42" x14ac:dyDescent="0.25">
      <c r="A188" s="31">
        <v>27</v>
      </c>
      <c r="B188" s="31">
        <v>24603</v>
      </c>
      <c r="C188" s="31">
        <v>1</v>
      </c>
      <c r="D188" s="31" t="s">
        <v>605</v>
      </c>
      <c r="E188" s="31"/>
      <c r="F188" s="31">
        <v>0</v>
      </c>
      <c r="G188" s="31">
        <v>0</v>
      </c>
      <c r="H188" s="31">
        <v>0</v>
      </c>
      <c r="I188" s="31">
        <v>0</v>
      </c>
      <c r="J188" s="31">
        <v>0</v>
      </c>
      <c r="K188" s="31" t="s">
        <v>882</v>
      </c>
      <c r="L188" s="2" t="str">
        <f t="shared" si="16"/>
        <v>Рихтовка</v>
      </c>
      <c r="M188" s="12">
        <f t="shared" si="17"/>
        <v>0</v>
      </c>
      <c r="N188" s="12">
        <f t="shared" si="18"/>
        <v>0</v>
      </c>
      <c r="O188" s="12">
        <f t="shared" si="19"/>
        <v>0</v>
      </c>
      <c r="P188" s="12">
        <f t="shared" si="20"/>
        <v>0</v>
      </c>
      <c r="Q188" s="12">
        <f t="shared" si="21"/>
        <v>0</v>
      </c>
      <c r="R188" s="12">
        <f t="shared" si="22"/>
        <v>0</v>
      </c>
      <c r="S188" s="12">
        <f t="shared" si="23"/>
        <v>0</v>
      </c>
      <c r="T188" s="31">
        <v>0</v>
      </c>
      <c r="U188" s="31">
        <v>0</v>
      </c>
      <c r="V188" s="31">
        <v>0</v>
      </c>
      <c r="W188" s="31">
        <v>0</v>
      </c>
      <c r="X188" s="31">
        <v>0</v>
      </c>
      <c r="Y188" s="31">
        <v>0</v>
      </c>
      <c r="Z188" s="31">
        <v>0</v>
      </c>
      <c r="AA188" s="31">
        <v>0</v>
      </c>
      <c r="AB188" s="31">
        <v>0</v>
      </c>
      <c r="AC188" s="31">
        <v>0</v>
      </c>
      <c r="AD188" s="31">
        <v>0</v>
      </c>
      <c r="AE188" s="31">
        <v>0</v>
      </c>
      <c r="AF188" s="31">
        <v>0</v>
      </c>
      <c r="AG188" s="31">
        <v>0</v>
      </c>
      <c r="AH188" s="31">
        <v>0</v>
      </c>
      <c r="AI188" s="31">
        <v>0</v>
      </c>
      <c r="AJ188" s="31">
        <v>0</v>
      </c>
      <c r="AK188" s="31">
        <v>0</v>
      </c>
      <c r="AL188" s="31">
        <v>0</v>
      </c>
      <c r="AM188" s="31">
        <v>0</v>
      </c>
      <c r="AN188" s="31">
        <v>0</v>
      </c>
      <c r="AO188" s="31">
        <v>0</v>
      </c>
      <c r="AP188" s="31">
        <v>0</v>
      </c>
    </row>
    <row r="189" spans="1:42" x14ac:dyDescent="0.25">
      <c r="A189" s="31">
        <v>27</v>
      </c>
      <c r="B189" s="31">
        <v>24603</v>
      </c>
      <c r="C189" s="31">
        <v>1</v>
      </c>
      <c r="D189" s="31" t="s">
        <v>606</v>
      </c>
      <c r="E189" s="31"/>
      <c r="F189" s="31">
        <v>0</v>
      </c>
      <c r="G189" s="31">
        <v>0</v>
      </c>
      <c r="H189" s="31">
        <v>0</v>
      </c>
      <c r="I189" s="31">
        <v>0</v>
      </c>
      <c r="J189" s="31">
        <v>0</v>
      </c>
      <c r="K189" s="31" t="s">
        <v>882</v>
      </c>
      <c r="L189" s="2" t="str">
        <f t="shared" si="16"/>
        <v>Рихтовка</v>
      </c>
      <c r="M189" s="12">
        <f t="shared" si="17"/>
        <v>0</v>
      </c>
      <c r="N189" s="12">
        <f t="shared" si="18"/>
        <v>0</v>
      </c>
      <c r="O189" s="12">
        <f t="shared" si="19"/>
        <v>0</v>
      </c>
      <c r="P189" s="12">
        <f t="shared" si="20"/>
        <v>0</v>
      </c>
      <c r="Q189" s="12">
        <f t="shared" si="21"/>
        <v>0</v>
      </c>
      <c r="R189" s="12">
        <f t="shared" si="22"/>
        <v>0</v>
      </c>
      <c r="S189" s="12">
        <f t="shared" si="23"/>
        <v>0</v>
      </c>
      <c r="T189" s="31">
        <v>0</v>
      </c>
      <c r="U189" s="31">
        <v>0</v>
      </c>
      <c r="V189" s="31">
        <v>0</v>
      </c>
      <c r="W189" s="31">
        <v>0</v>
      </c>
      <c r="X189" s="31">
        <v>0</v>
      </c>
      <c r="Y189" s="31">
        <v>0</v>
      </c>
      <c r="Z189" s="31">
        <v>0</v>
      </c>
      <c r="AA189" s="31">
        <v>0</v>
      </c>
      <c r="AB189" s="31">
        <v>0</v>
      </c>
      <c r="AC189" s="31">
        <v>0</v>
      </c>
      <c r="AD189" s="31">
        <v>0</v>
      </c>
      <c r="AE189" s="31">
        <v>0</v>
      </c>
      <c r="AF189" s="31">
        <v>0</v>
      </c>
      <c r="AG189" s="31">
        <v>0</v>
      </c>
      <c r="AH189" s="31">
        <v>0</v>
      </c>
      <c r="AI189" s="31">
        <v>0</v>
      </c>
      <c r="AJ189" s="31">
        <v>0</v>
      </c>
      <c r="AK189" s="31">
        <v>0</v>
      </c>
      <c r="AL189" s="31">
        <v>0</v>
      </c>
      <c r="AM189" s="31">
        <v>0</v>
      </c>
      <c r="AN189" s="31">
        <v>0</v>
      </c>
      <c r="AO189" s="31">
        <v>0</v>
      </c>
      <c r="AP189" s="31">
        <v>0</v>
      </c>
    </row>
    <row r="190" spans="1:42" x14ac:dyDescent="0.25">
      <c r="A190" s="31">
        <v>27</v>
      </c>
      <c r="B190" s="31">
        <v>24603</v>
      </c>
      <c r="C190" s="31">
        <v>1</v>
      </c>
      <c r="D190" s="31" t="s">
        <v>607</v>
      </c>
      <c r="E190" s="31"/>
      <c r="F190" s="31">
        <v>0</v>
      </c>
      <c r="G190" s="31">
        <v>0</v>
      </c>
      <c r="H190" s="31">
        <v>0</v>
      </c>
      <c r="I190" s="31">
        <v>0</v>
      </c>
      <c r="J190" s="31">
        <v>0</v>
      </c>
      <c r="K190" s="31" t="s">
        <v>882</v>
      </c>
      <c r="L190" s="2" t="str">
        <f t="shared" si="16"/>
        <v>Рихтовка</v>
      </c>
      <c r="M190" s="12">
        <f t="shared" si="17"/>
        <v>0</v>
      </c>
      <c r="N190" s="12">
        <f t="shared" si="18"/>
        <v>0</v>
      </c>
      <c r="O190" s="12">
        <f t="shared" si="19"/>
        <v>0</v>
      </c>
      <c r="P190" s="12">
        <f t="shared" si="20"/>
        <v>0</v>
      </c>
      <c r="Q190" s="12">
        <f t="shared" si="21"/>
        <v>0</v>
      </c>
      <c r="R190" s="12">
        <f t="shared" si="22"/>
        <v>0</v>
      </c>
      <c r="S190" s="12">
        <f t="shared" si="23"/>
        <v>0</v>
      </c>
      <c r="T190" s="31">
        <v>0</v>
      </c>
      <c r="U190" s="31">
        <v>0</v>
      </c>
      <c r="V190" s="31">
        <v>0</v>
      </c>
      <c r="W190" s="31">
        <v>0</v>
      </c>
      <c r="X190" s="31">
        <v>0</v>
      </c>
      <c r="Y190" s="31">
        <v>0</v>
      </c>
      <c r="Z190" s="31">
        <v>0</v>
      </c>
      <c r="AA190" s="31">
        <v>0</v>
      </c>
      <c r="AB190" s="31">
        <v>0</v>
      </c>
      <c r="AC190" s="31">
        <v>0</v>
      </c>
      <c r="AD190" s="31">
        <v>0</v>
      </c>
      <c r="AE190" s="31">
        <v>0</v>
      </c>
      <c r="AF190" s="31">
        <v>0</v>
      </c>
      <c r="AG190" s="31">
        <v>0</v>
      </c>
      <c r="AH190" s="31">
        <v>0</v>
      </c>
      <c r="AI190" s="31">
        <v>0</v>
      </c>
      <c r="AJ190" s="31">
        <v>0</v>
      </c>
      <c r="AK190" s="31">
        <v>0</v>
      </c>
      <c r="AL190" s="31">
        <v>0</v>
      </c>
      <c r="AM190" s="31">
        <v>0</v>
      </c>
      <c r="AN190" s="31">
        <v>0</v>
      </c>
      <c r="AO190" s="31">
        <v>0</v>
      </c>
      <c r="AP190" s="31">
        <v>0</v>
      </c>
    </row>
    <row r="191" spans="1:42" x14ac:dyDescent="0.25">
      <c r="A191" s="31">
        <v>27</v>
      </c>
      <c r="B191" s="31">
        <v>24603</v>
      </c>
      <c r="C191" s="31">
        <v>1</v>
      </c>
      <c r="D191" s="31" t="s">
        <v>608</v>
      </c>
      <c r="E191" s="31"/>
      <c r="F191" s="31">
        <v>0</v>
      </c>
      <c r="G191" s="31">
        <v>0</v>
      </c>
      <c r="H191" s="31">
        <v>0</v>
      </c>
      <c r="I191" s="31">
        <v>0</v>
      </c>
      <c r="J191" s="31">
        <v>0</v>
      </c>
      <c r="K191" s="31" t="s">
        <v>882</v>
      </c>
      <c r="L191" s="2" t="str">
        <f t="shared" si="16"/>
        <v>Рихтовка</v>
      </c>
      <c r="M191" s="12">
        <f t="shared" si="17"/>
        <v>0</v>
      </c>
      <c r="N191" s="12">
        <f t="shared" si="18"/>
        <v>0</v>
      </c>
      <c r="O191" s="12">
        <f t="shared" si="19"/>
        <v>0</v>
      </c>
      <c r="P191" s="12">
        <f t="shared" si="20"/>
        <v>0</v>
      </c>
      <c r="Q191" s="12">
        <f t="shared" si="21"/>
        <v>0</v>
      </c>
      <c r="R191" s="12">
        <f t="shared" si="22"/>
        <v>0</v>
      </c>
      <c r="S191" s="12">
        <f t="shared" si="23"/>
        <v>0</v>
      </c>
      <c r="T191" s="31">
        <v>0</v>
      </c>
      <c r="U191" s="31">
        <v>0</v>
      </c>
      <c r="V191" s="31">
        <v>0</v>
      </c>
      <c r="W191" s="31">
        <v>0</v>
      </c>
      <c r="X191" s="31">
        <v>0</v>
      </c>
      <c r="Y191" s="31">
        <v>0</v>
      </c>
      <c r="Z191" s="31">
        <v>0</v>
      </c>
      <c r="AA191" s="31">
        <v>0</v>
      </c>
      <c r="AB191" s="31">
        <v>0</v>
      </c>
      <c r="AC191" s="31">
        <v>0</v>
      </c>
      <c r="AD191" s="31">
        <v>0</v>
      </c>
      <c r="AE191" s="31">
        <v>0</v>
      </c>
      <c r="AF191" s="31">
        <v>0</v>
      </c>
      <c r="AG191" s="31">
        <v>0</v>
      </c>
      <c r="AH191" s="31">
        <v>0</v>
      </c>
      <c r="AI191" s="31">
        <v>0</v>
      </c>
      <c r="AJ191" s="31">
        <v>0</v>
      </c>
      <c r="AK191" s="31">
        <v>0</v>
      </c>
      <c r="AL191" s="31">
        <v>0</v>
      </c>
      <c r="AM191" s="31">
        <v>0</v>
      </c>
      <c r="AN191" s="31">
        <v>0</v>
      </c>
      <c r="AO191" s="31">
        <v>0</v>
      </c>
      <c r="AP191" s="31">
        <v>0</v>
      </c>
    </row>
    <row r="192" spans="1:42" x14ac:dyDescent="0.25">
      <c r="A192" s="31">
        <v>27</v>
      </c>
      <c r="B192" s="31">
        <v>24603</v>
      </c>
      <c r="C192" s="31">
        <v>1</v>
      </c>
      <c r="D192" s="31" t="s">
        <v>609</v>
      </c>
      <c r="E192" s="31"/>
      <c r="F192" s="31">
        <v>0</v>
      </c>
      <c r="G192" s="31">
        <v>0</v>
      </c>
      <c r="H192" s="31">
        <v>0</v>
      </c>
      <c r="I192" s="31">
        <v>0</v>
      </c>
      <c r="J192" s="31">
        <v>0</v>
      </c>
      <c r="K192" s="31" t="s">
        <v>882</v>
      </c>
      <c r="L192" s="2" t="str">
        <f t="shared" si="16"/>
        <v>Рихтовка</v>
      </c>
      <c r="M192" s="12">
        <f t="shared" si="17"/>
        <v>0</v>
      </c>
      <c r="N192" s="12">
        <f t="shared" si="18"/>
        <v>0</v>
      </c>
      <c r="O192" s="12">
        <f t="shared" si="19"/>
        <v>0</v>
      </c>
      <c r="P192" s="12">
        <f t="shared" si="20"/>
        <v>0</v>
      </c>
      <c r="Q192" s="12">
        <f t="shared" si="21"/>
        <v>0</v>
      </c>
      <c r="R192" s="12">
        <f t="shared" si="22"/>
        <v>0</v>
      </c>
      <c r="S192" s="12">
        <f t="shared" si="23"/>
        <v>0</v>
      </c>
      <c r="T192" s="31">
        <v>0</v>
      </c>
      <c r="U192" s="31">
        <v>0</v>
      </c>
      <c r="V192" s="31">
        <v>0</v>
      </c>
      <c r="W192" s="31">
        <v>0</v>
      </c>
      <c r="X192" s="31">
        <v>0</v>
      </c>
      <c r="Y192" s="31">
        <v>0</v>
      </c>
      <c r="Z192" s="31">
        <v>0</v>
      </c>
      <c r="AA192" s="31">
        <v>0</v>
      </c>
      <c r="AB192" s="31">
        <v>0</v>
      </c>
      <c r="AC192" s="31">
        <v>0</v>
      </c>
      <c r="AD192" s="31">
        <v>0</v>
      </c>
      <c r="AE192" s="31">
        <v>0</v>
      </c>
      <c r="AF192" s="31">
        <v>0</v>
      </c>
      <c r="AG192" s="31">
        <v>0</v>
      </c>
      <c r="AH192" s="31">
        <v>0</v>
      </c>
      <c r="AI192" s="31">
        <v>0</v>
      </c>
      <c r="AJ192" s="31">
        <v>0</v>
      </c>
      <c r="AK192" s="31">
        <v>0</v>
      </c>
      <c r="AL192" s="31">
        <v>0</v>
      </c>
      <c r="AM192" s="31">
        <v>0</v>
      </c>
      <c r="AN192" s="31">
        <v>0</v>
      </c>
      <c r="AO192" s="31">
        <v>0</v>
      </c>
      <c r="AP192" s="31">
        <v>0</v>
      </c>
    </row>
    <row r="193" spans="1:42" x14ac:dyDescent="0.25">
      <c r="A193" s="31">
        <v>27</v>
      </c>
      <c r="B193" s="31">
        <v>24603</v>
      </c>
      <c r="C193" s="31">
        <v>1</v>
      </c>
      <c r="D193" s="31" t="s">
        <v>610</v>
      </c>
      <c r="E193" s="31"/>
      <c r="F193" s="31">
        <v>0</v>
      </c>
      <c r="G193" s="31">
        <v>0</v>
      </c>
      <c r="H193" s="31">
        <v>0</v>
      </c>
      <c r="I193" s="31">
        <v>0</v>
      </c>
      <c r="J193" s="31">
        <v>0</v>
      </c>
      <c r="K193" s="31" t="s">
        <v>882</v>
      </c>
      <c r="L193" s="2" t="str">
        <f t="shared" si="16"/>
        <v>Рихтовка</v>
      </c>
      <c r="M193" s="12">
        <f t="shared" si="17"/>
        <v>0</v>
      </c>
      <c r="N193" s="12">
        <f t="shared" si="18"/>
        <v>0</v>
      </c>
      <c r="O193" s="12">
        <f t="shared" si="19"/>
        <v>0</v>
      </c>
      <c r="P193" s="12">
        <f t="shared" si="20"/>
        <v>0</v>
      </c>
      <c r="Q193" s="12">
        <f t="shared" si="21"/>
        <v>0</v>
      </c>
      <c r="R193" s="12">
        <f t="shared" si="22"/>
        <v>0</v>
      </c>
      <c r="S193" s="12">
        <f t="shared" si="23"/>
        <v>0</v>
      </c>
      <c r="T193" s="31">
        <v>0</v>
      </c>
      <c r="U193" s="31">
        <v>0</v>
      </c>
      <c r="V193" s="31">
        <v>0</v>
      </c>
      <c r="W193" s="31">
        <v>0</v>
      </c>
      <c r="X193" s="31">
        <v>0</v>
      </c>
      <c r="Y193" s="31">
        <v>0</v>
      </c>
      <c r="Z193" s="31">
        <v>0</v>
      </c>
      <c r="AA193" s="31">
        <v>0</v>
      </c>
      <c r="AB193" s="31">
        <v>0</v>
      </c>
      <c r="AC193" s="31">
        <v>0</v>
      </c>
      <c r="AD193" s="31">
        <v>0</v>
      </c>
      <c r="AE193" s="31">
        <v>0</v>
      </c>
      <c r="AF193" s="31">
        <v>0</v>
      </c>
      <c r="AG193" s="31">
        <v>0</v>
      </c>
      <c r="AH193" s="31">
        <v>0</v>
      </c>
      <c r="AI193" s="31">
        <v>0</v>
      </c>
      <c r="AJ193" s="31">
        <v>0</v>
      </c>
      <c r="AK193" s="31">
        <v>0</v>
      </c>
      <c r="AL193" s="31">
        <v>0</v>
      </c>
      <c r="AM193" s="31">
        <v>0</v>
      </c>
      <c r="AN193" s="31">
        <v>0</v>
      </c>
      <c r="AO193" s="31">
        <v>0</v>
      </c>
      <c r="AP193" s="31">
        <v>0</v>
      </c>
    </row>
    <row r="194" spans="1:42" x14ac:dyDescent="0.25">
      <c r="A194" s="31">
        <v>27</v>
      </c>
      <c r="B194" s="31">
        <v>24603</v>
      </c>
      <c r="C194" s="31">
        <v>1</v>
      </c>
      <c r="D194" s="31" t="s">
        <v>611</v>
      </c>
      <c r="E194" s="31"/>
      <c r="F194" s="31">
        <v>0</v>
      </c>
      <c r="G194" s="31">
        <v>0</v>
      </c>
      <c r="H194" s="31">
        <v>0</v>
      </c>
      <c r="I194" s="31">
        <v>0</v>
      </c>
      <c r="J194" s="31">
        <v>0</v>
      </c>
      <c r="K194" s="31" t="s">
        <v>882</v>
      </c>
      <c r="L194" s="2" t="str">
        <f t="shared" ref="L194:L257" si="24">IF($M194=N194,$N$1,IF($M194=O194,$O$1,IF($M194=P194,$P$1,IF($M194=Q194,$Q$1,IF($M194=R194,$R$1,$S$1)))))</f>
        <v>Рихтовка</v>
      </c>
      <c r="M194" s="12">
        <f t="shared" ref="M194:M257" si="25">MAX(N194,O194,P194,Q194,R194,S194)</f>
        <v>0</v>
      </c>
      <c r="N194" s="12">
        <f t="shared" ref="N194:N257" si="26">T194+U194+V194</f>
        <v>0</v>
      </c>
      <c r="O194" s="12">
        <f t="shared" ref="O194:O257" si="27">W194+X194+Y194</f>
        <v>0</v>
      </c>
      <c r="P194" s="12">
        <f t="shared" ref="P194:P257" si="28">Z194+AA194+AB194</f>
        <v>0</v>
      </c>
      <c r="Q194" s="12">
        <f t="shared" ref="Q194:Q257" si="29">AC194+AD194+AE194</f>
        <v>0</v>
      </c>
      <c r="R194" s="12">
        <f t="shared" ref="R194:R257" si="30">AF194+AG194+AH194</f>
        <v>0</v>
      </c>
      <c r="S194" s="12">
        <f t="shared" ref="S194:S257" si="31">AI194+AJ194+AK194</f>
        <v>0</v>
      </c>
      <c r="T194" s="31">
        <v>0</v>
      </c>
      <c r="U194" s="31">
        <v>0</v>
      </c>
      <c r="V194" s="31">
        <v>0</v>
      </c>
      <c r="W194" s="31">
        <v>0</v>
      </c>
      <c r="X194" s="31">
        <v>0</v>
      </c>
      <c r="Y194" s="31">
        <v>0</v>
      </c>
      <c r="Z194" s="31">
        <v>0</v>
      </c>
      <c r="AA194" s="31">
        <v>0</v>
      </c>
      <c r="AB194" s="31">
        <v>0</v>
      </c>
      <c r="AC194" s="31">
        <v>0</v>
      </c>
      <c r="AD194" s="31">
        <v>0</v>
      </c>
      <c r="AE194" s="31">
        <v>0</v>
      </c>
      <c r="AF194" s="31">
        <v>0</v>
      </c>
      <c r="AG194" s="31">
        <v>0</v>
      </c>
      <c r="AH194" s="31">
        <v>0</v>
      </c>
      <c r="AI194" s="31">
        <v>0</v>
      </c>
      <c r="AJ194" s="31">
        <v>0</v>
      </c>
      <c r="AK194" s="31">
        <v>0</v>
      </c>
      <c r="AL194" s="31">
        <v>0</v>
      </c>
      <c r="AM194" s="31">
        <v>0</v>
      </c>
      <c r="AN194" s="31">
        <v>0</v>
      </c>
      <c r="AO194" s="31">
        <v>0</v>
      </c>
      <c r="AP194" s="31">
        <v>0</v>
      </c>
    </row>
    <row r="195" spans="1:42" x14ac:dyDescent="0.25">
      <c r="A195" s="31">
        <v>27</v>
      </c>
      <c r="B195" s="31">
        <v>24603</v>
      </c>
      <c r="C195" s="31">
        <v>1</v>
      </c>
      <c r="D195" s="31" t="s">
        <v>612</v>
      </c>
      <c r="E195" s="31"/>
      <c r="F195" s="31">
        <v>0</v>
      </c>
      <c r="G195" s="31">
        <v>0</v>
      </c>
      <c r="H195" s="31">
        <v>0</v>
      </c>
      <c r="I195" s="31">
        <v>0</v>
      </c>
      <c r="J195" s="31">
        <v>0</v>
      </c>
      <c r="K195" s="31" t="s">
        <v>882</v>
      </c>
      <c r="L195" s="2" t="str">
        <f t="shared" si="24"/>
        <v>Рихтовка</v>
      </c>
      <c r="M195" s="12">
        <f t="shared" si="25"/>
        <v>0</v>
      </c>
      <c r="N195" s="12">
        <f t="shared" si="26"/>
        <v>0</v>
      </c>
      <c r="O195" s="12">
        <f t="shared" si="27"/>
        <v>0</v>
      </c>
      <c r="P195" s="12">
        <f t="shared" si="28"/>
        <v>0</v>
      </c>
      <c r="Q195" s="12">
        <f t="shared" si="29"/>
        <v>0</v>
      </c>
      <c r="R195" s="12">
        <f t="shared" si="30"/>
        <v>0</v>
      </c>
      <c r="S195" s="12">
        <f t="shared" si="31"/>
        <v>0</v>
      </c>
      <c r="T195" s="31">
        <v>0</v>
      </c>
      <c r="U195" s="31">
        <v>0</v>
      </c>
      <c r="V195" s="31">
        <v>0</v>
      </c>
      <c r="W195" s="31">
        <v>0</v>
      </c>
      <c r="X195" s="31">
        <v>0</v>
      </c>
      <c r="Y195" s="31">
        <v>0</v>
      </c>
      <c r="Z195" s="31">
        <v>0</v>
      </c>
      <c r="AA195" s="31">
        <v>0</v>
      </c>
      <c r="AB195" s="31">
        <v>0</v>
      </c>
      <c r="AC195" s="31">
        <v>0</v>
      </c>
      <c r="AD195" s="31">
        <v>0</v>
      </c>
      <c r="AE195" s="31">
        <v>0</v>
      </c>
      <c r="AF195" s="31">
        <v>0</v>
      </c>
      <c r="AG195" s="31">
        <v>0</v>
      </c>
      <c r="AH195" s="31">
        <v>0</v>
      </c>
      <c r="AI195" s="31">
        <v>0</v>
      </c>
      <c r="AJ195" s="31">
        <v>0</v>
      </c>
      <c r="AK195" s="31">
        <v>0</v>
      </c>
      <c r="AL195" s="31">
        <v>0</v>
      </c>
      <c r="AM195" s="31">
        <v>0</v>
      </c>
      <c r="AN195" s="31">
        <v>0</v>
      </c>
      <c r="AO195" s="31">
        <v>0</v>
      </c>
      <c r="AP195" s="31">
        <v>0</v>
      </c>
    </row>
    <row r="196" spans="1:42" x14ac:dyDescent="0.25">
      <c r="A196" s="31">
        <v>29</v>
      </c>
      <c r="B196" s="31">
        <v>24603</v>
      </c>
      <c r="C196" s="31">
        <v>1</v>
      </c>
      <c r="D196" s="31" t="s">
        <v>612</v>
      </c>
      <c r="E196" s="31"/>
      <c r="F196" s="31">
        <v>0</v>
      </c>
      <c r="G196" s="31">
        <v>0</v>
      </c>
      <c r="H196" s="31">
        <v>0</v>
      </c>
      <c r="I196" s="31">
        <v>0</v>
      </c>
      <c r="J196" s="31">
        <v>0</v>
      </c>
      <c r="K196" s="31" t="s">
        <v>882</v>
      </c>
      <c r="L196" s="2" t="str">
        <f t="shared" si="24"/>
        <v>Рихтовка</v>
      </c>
      <c r="M196" s="12">
        <f t="shared" si="25"/>
        <v>0</v>
      </c>
      <c r="N196" s="12">
        <f t="shared" si="26"/>
        <v>0</v>
      </c>
      <c r="O196" s="12">
        <f t="shared" si="27"/>
        <v>0</v>
      </c>
      <c r="P196" s="12">
        <f t="shared" si="28"/>
        <v>0</v>
      </c>
      <c r="Q196" s="12">
        <f t="shared" si="29"/>
        <v>0</v>
      </c>
      <c r="R196" s="12">
        <f t="shared" si="30"/>
        <v>0</v>
      </c>
      <c r="S196" s="12">
        <f t="shared" si="31"/>
        <v>0</v>
      </c>
      <c r="T196" s="31">
        <v>0</v>
      </c>
      <c r="U196" s="31">
        <v>0</v>
      </c>
      <c r="V196" s="31">
        <v>0</v>
      </c>
      <c r="W196" s="31">
        <v>0</v>
      </c>
      <c r="X196" s="31">
        <v>0</v>
      </c>
      <c r="Y196" s="31">
        <v>0</v>
      </c>
      <c r="Z196" s="31">
        <v>0</v>
      </c>
      <c r="AA196" s="31">
        <v>0</v>
      </c>
      <c r="AB196" s="31">
        <v>0</v>
      </c>
      <c r="AC196" s="31">
        <v>0</v>
      </c>
      <c r="AD196" s="31">
        <v>0</v>
      </c>
      <c r="AE196" s="31">
        <v>0</v>
      </c>
      <c r="AF196" s="31">
        <v>0</v>
      </c>
      <c r="AG196" s="31">
        <v>0</v>
      </c>
      <c r="AH196" s="31">
        <v>0</v>
      </c>
      <c r="AI196" s="31">
        <v>0</v>
      </c>
      <c r="AJ196" s="31">
        <v>0</v>
      </c>
      <c r="AK196" s="31">
        <v>0</v>
      </c>
      <c r="AL196" s="31">
        <v>0</v>
      </c>
      <c r="AM196" s="31">
        <v>0</v>
      </c>
      <c r="AN196" s="31">
        <v>0</v>
      </c>
      <c r="AO196" s="31">
        <v>0</v>
      </c>
      <c r="AP196" s="31">
        <v>0</v>
      </c>
    </row>
    <row r="197" spans="1:42" x14ac:dyDescent="0.25">
      <c r="A197" s="31">
        <v>29</v>
      </c>
      <c r="B197" s="31">
        <v>24603</v>
      </c>
      <c r="C197" s="31">
        <v>1</v>
      </c>
      <c r="D197" s="31" t="s">
        <v>613</v>
      </c>
      <c r="E197" s="31"/>
      <c r="F197" s="31">
        <v>0</v>
      </c>
      <c r="G197" s="31">
        <v>0</v>
      </c>
      <c r="H197" s="31">
        <v>0</v>
      </c>
      <c r="I197" s="31">
        <v>0</v>
      </c>
      <c r="J197" s="31">
        <v>0</v>
      </c>
      <c r="K197" s="31" t="s">
        <v>882</v>
      </c>
      <c r="L197" s="2" t="str">
        <f t="shared" si="24"/>
        <v>Рихтовка</v>
      </c>
      <c r="M197" s="12">
        <f t="shared" si="25"/>
        <v>0</v>
      </c>
      <c r="N197" s="12">
        <f t="shared" si="26"/>
        <v>0</v>
      </c>
      <c r="O197" s="12">
        <f t="shared" si="27"/>
        <v>0</v>
      </c>
      <c r="P197" s="12">
        <f t="shared" si="28"/>
        <v>0</v>
      </c>
      <c r="Q197" s="12">
        <f t="shared" si="29"/>
        <v>0</v>
      </c>
      <c r="R197" s="12">
        <f t="shared" si="30"/>
        <v>0</v>
      </c>
      <c r="S197" s="12">
        <f t="shared" si="31"/>
        <v>0</v>
      </c>
      <c r="T197" s="31">
        <v>0</v>
      </c>
      <c r="U197" s="31">
        <v>0</v>
      </c>
      <c r="V197" s="31">
        <v>0</v>
      </c>
      <c r="W197" s="31">
        <v>0</v>
      </c>
      <c r="X197" s="31">
        <v>0</v>
      </c>
      <c r="Y197" s="31">
        <v>0</v>
      </c>
      <c r="Z197" s="31">
        <v>0</v>
      </c>
      <c r="AA197" s="31">
        <v>0</v>
      </c>
      <c r="AB197" s="31">
        <v>0</v>
      </c>
      <c r="AC197" s="31">
        <v>0</v>
      </c>
      <c r="AD197" s="31">
        <v>0</v>
      </c>
      <c r="AE197" s="31">
        <v>0</v>
      </c>
      <c r="AF197" s="31">
        <v>0</v>
      </c>
      <c r="AG197" s="31">
        <v>0</v>
      </c>
      <c r="AH197" s="31">
        <v>0</v>
      </c>
      <c r="AI197" s="31">
        <v>0</v>
      </c>
      <c r="AJ197" s="31">
        <v>0</v>
      </c>
      <c r="AK197" s="31">
        <v>0</v>
      </c>
      <c r="AL197" s="31">
        <v>0</v>
      </c>
      <c r="AM197" s="31">
        <v>0</v>
      </c>
      <c r="AN197" s="31">
        <v>0</v>
      </c>
      <c r="AO197" s="31">
        <v>0</v>
      </c>
      <c r="AP197" s="31">
        <v>0</v>
      </c>
    </row>
    <row r="198" spans="1:42" x14ac:dyDescent="0.25">
      <c r="A198" s="31">
        <v>29</v>
      </c>
      <c r="B198" s="31">
        <v>24603</v>
      </c>
      <c r="C198" s="31">
        <v>1</v>
      </c>
      <c r="D198" s="31" t="s">
        <v>614</v>
      </c>
      <c r="E198" s="31"/>
      <c r="F198" s="31">
        <v>0</v>
      </c>
      <c r="G198" s="31">
        <v>0</v>
      </c>
      <c r="H198" s="31">
        <v>0</v>
      </c>
      <c r="I198" s="31">
        <v>0</v>
      </c>
      <c r="J198" s="31">
        <v>0</v>
      </c>
      <c r="K198" s="31" t="s">
        <v>882</v>
      </c>
      <c r="L198" s="2" t="str">
        <f t="shared" si="24"/>
        <v>Рихтовка</v>
      </c>
      <c r="M198" s="12">
        <f t="shared" si="25"/>
        <v>0</v>
      </c>
      <c r="N198" s="12">
        <f t="shared" si="26"/>
        <v>0</v>
      </c>
      <c r="O198" s="12">
        <f t="shared" si="27"/>
        <v>0</v>
      </c>
      <c r="P198" s="12">
        <f t="shared" si="28"/>
        <v>0</v>
      </c>
      <c r="Q198" s="12">
        <f t="shared" si="29"/>
        <v>0</v>
      </c>
      <c r="R198" s="12">
        <f t="shared" si="30"/>
        <v>0</v>
      </c>
      <c r="S198" s="12">
        <f t="shared" si="31"/>
        <v>0</v>
      </c>
      <c r="T198" s="31">
        <v>0</v>
      </c>
      <c r="U198" s="31">
        <v>0</v>
      </c>
      <c r="V198" s="31">
        <v>0</v>
      </c>
      <c r="W198" s="31">
        <v>0</v>
      </c>
      <c r="X198" s="31">
        <v>0</v>
      </c>
      <c r="Y198" s="31">
        <v>0</v>
      </c>
      <c r="Z198" s="31">
        <v>0</v>
      </c>
      <c r="AA198" s="31">
        <v>0</v>
      </c>
      <c r="AB198" s="31">
        <v>0</v>
      </c>
      <c r="AC198" s="31">
        <v>0</v>
      </c>
      <c r="AD198" s="31">
        <v>0</v>
      </c>
      <c r="AE198" s="31">
        <v>0</v>
      </c>
      <c r="AF198" s="31">
        <v>0</v>
      </c>
      <c r="AG198" s="31">
        <v>0</v>
      </c>
      <c r="AH198" s="31">
        <v>0</v>
      </c>
      <c r="AI198" s="31">
        <v>0</v>
      </c>
      <c r="AJ198" s="31">
        <v>0</v>
      </c>
      <c r="AK198" s="31">
        <v>0</v>
      </c>
      <c r="AL198" s="31">
        <v>0</v>
      </c>
      <c r="AM198" s="31">
        <v>0</v>
      </c>
      <c r="AN198" s="31">
        <v>0</v>
      </c>
      <c r="AO198" s="31">
        <v>0</v>
      </c>
      <c r="AP198" s="31">
        <v>0</v>
      </c>
    </row>
    <row r="199" spans="1:42" x14ac:dyDescent="0.25">
      <c r="A199" s="31">
        <v>29</v>
      </c>
      <c r="B199" s="31">
        <v>24604</v>
      </c>
      <c r="C199" s="31">
        <v>1</v>
      </c>
      <c r="D199" s="31" t="s">
        <v>615</v>
      </c>
      <c r="E199" s="31"/>
      <c r="F199" s="31">
        <v>0</v>
      </c>
      <c r="G199" s="31">
        <v>0</v>
      </c>
      <c r="H199" s="31">
        <v>0</v>
      </c>
      <c r="I199" s="31">
        <v>0</v>
      </c>
      <c r="J199" s="31">
        <v>0</v>
      </c>
      <c r="K199" s="31" t="s">
        <v>882</v>
      </c>
      <c r="L199" s="2" t="str">
        <f t="shared" si="24"/>
        <v>Рихтовка</v>
      </c>
      <c r="M199" s="12">
        <f t="shared" si="25"/>
        <v>0</v>
      </c>
      <c r="N199" s="12">
        <f t="shared" si="26"/>
        <v>0</v>
      </c>
      <c r="O199" s="12">
        <f t="shared" si="27"/>
        <v>0</v>
      </c>
      <c r="P199" s="12">
        <f t="shared" si="28"/>
        <v>0</v>
      </c>
      <c r="Q199" s="12">
        <f t="shared" si="29"/>
        <v>0</v>
      </c>
      <c r="R199" s="12">
        <f t="shared" si="30"/>
        <v>0</v>
      </c>
      <c r="S199" s="12">
        <f t="shared" si="31"/>
        <v>0</v>
      </c>
      <c r="T199" s="31">
        <v>0</v>
      </c>
      <c r="U199" s="31">
        <v>0</v>
      </c>
      <c r="V199" s="31">
        <v>0</v>
      </c>
      <c r="W199" s="31">
        <v>0</v>
      </c>
      <c r="X199" s="31">
        <v>0</v>
      </c>
      <c r="Y199" s="31">
        <v>0</v>
      </c>
      <c r="Z199" s="31">
        <v>0</v>
      </c>
      <c r="AA199" s="31">
        <v>0</v>
      </c>
      <c r="AB199" s="31">
        <v>0</v>
      </c>
      <c r="AC199" s="31">
        <v>0</v>
      </c>
      <c r="AD199" s="31">
        <v>0</v>
      </c>
      <c r="AE199" s="31">
        <v>0</v>
      </c>
      <c r="AF199" s="31">
        <v>0</v>
      </c>
      <c r="AG199" s="31">
        <v>0</v>
      </c>
      <c r="AH199" s="31">
        <v>0</v>
      </c>
      <c r="AI199" s="31">
        <v>0</v>
      </c>
      <c r="AJ199" s="31">
        <v>0</v>
      </c>
      <c r="AK199" s="31">
        <v>0</v>
      </c>
      <c r="AL199" s="31">
        <v>0</v>
      </c>
      <c r="AM199" s="31">
        <v>0</v>
      </c>
      <c r="AN199" s="31">
        <v>0</v>
      </c>
      <c r="AO199" s="31">
        <v>0</v>
      </c>
      <c r="AP199" s="31">
        <v>0</v>
      </c>
    </row>
    <row r="200" spans="1:42" x14ac:dyDescent="0.25">
      <c r="A200" s="31">
        <v>29</v>
      </c>
      <c r="B200" s="31">
        <v>24604</v>
      </c>
      <c r="C200" s="31">
        <v>1</v>
      </c>
      <c r="D200" s="31" t="s">
        <v>616</v>
      </c>
      <c r="E200" s="31"/>
      <c r="F200" s="31">
        <v>0</v>
      </c>
      <c r="G200" s="31">
        <v>0</v>
      </c>
      <c r="H200" s="31">
        <v>0</v>
      </c>
      <c r="I200" s="31">
        <v>0</v>
      </c>
      <c r="J200" s="31">
        <v>0</v>
      </c>
      <c r="K200" s="31" t="s">
        <v>882</v>
      </c>
      <c r="L200" s="2" t="str">
        <f t="shared" si="24"/>
        <v>Рихтовка</v>
      </c>
      <c r="M200" s="12">
        <f t="shared" si="25"/>
        <v>0</v>
      </c>
      <c r="N200" s="12">
        <f t="shared" si="26"/>
        <v>0</v>
      </c>
      <c r="O200" s="12">
        <f t="shared" si="27"/>
        <v>0</v>
      </c>
      <c r="P200" s="12">
        <f t="shared" si="28"/>
        <v>0</v>
      </c>
      <c r="Q200" s="12">
        <f t="shared" si="29"/>
        <v>0</v>
      </c>
      <c r="R200" s="12">
        <f t="shared" si="30"/>
        <v>0</v>
      </c>
      <c r="S200" s="12">
        <f t="shared" si="31"/>
        <v>0</v>
      </c>
      <c r="T200" s="31">
        <v>0</v>
      </c>
      <c r="U200" s="31">
        <v>0</v>
      </c>
      <c r="V200" s="31">
        <v>0</v>
      </c>
      <c r="W200" s="31">
        <v>0</v>
      </c>
      <c r="X200" s="31">
        <v>0</v>
      </c>
      <c r="Y200" s="31">
        <v>0</v>
      </c>
      <c r="Z200" s="31">
        <v>0</v>
      </c>
      <c r="AA200" s="31">
        <v>0</v>
      </c>
      <c r="AB200" s="31">
        <v>0</v>
      </c>
      <c r="AC200" s="31">
        <v>0</v>
      </c>
      <c r="AD200" s="31">
        <v>0</v>
      </c>
      <c r="AE200" s="31">
        <v>0</v>
      </c>
      <c r="AF200" s="31">
        <v>0</v>
      </c>
      <c r="AG200" s="31">
        <v>0</v>
      </c>
      <c r="AH200" s="31">
        <v>0</v>
      </c>
      <c r="AI200" s="31">
        <v>0</v>
      </c>
      <c r="AJ200" s="31">
        <v>0</v>
      </c>
      <c r="AK200" s="31">
        <v>0</v>
      </c>
      <c r="AL200" s="31">
        <v>0</v>
      </c>
      <c r="AM200" s="31">
        <v>0</v>
      </c>
      <c r="AN200" s="31">
        <v>0</v>
      </c>
      <c r="AO200" s="31">
        <v>0</v>
      </c>
      <c r="AP200" s="31">
        <v>0</v>
      </c>
    </row>
    <row r="201" spans="1:42" x14ac:dyDescent="0.25">
      <c r="A201" s="31">
        <v>29</v>
      </c>
      <c r="B201" s="31">
        <v>24604</v>
      </c>
      <c r="C201" s="31">
        <v>1</v>
      </c>
      <c r="D201" s="31" t="s">
        <v>617</v>
      </c>
      <c r="E201" s="31"/>
      <c r="F201" s="31">
        <v>0</v>
      </c>
      <c r="G201" s="31">
        <v>0</v>
      </c>
      <c r="H201" s="31">
        <v>0</v>
      </c>
      <c r="I201" s="31">
        <v>0</v>
      </c>
      <c r="J201" s="31">
        <v>0</v>
      </c>
      <c r="K201" s="31" t="s">
        <v>882</v>
      </c>
      <c r="L201" s="2" t="str">
        <f t="shared" si="24"/>
        <v>Рихтовка</v>
      </c>
      <c r="M201" s="12">
        <f t="shared" si="25"/>
        <v>0</v>
      </c>
      <c r="N201" s="12">
        <f t="shared" si="26"/>
        <v>0</v>
      </c>
      <c r="O201" s="12">
        <f t="shared" si="27"/>
        <v>0</v>
      </c>
      <c r="P201" s="12">
        <f t="shared" si="28"/>
        <v>0</v>
      </c>
      <c r="Q201" s="12">
        <f t="shared" si="29"/>
        <v>0</v>
      </c>
      <c r="R201" s="12">
        <f t="shared" si="30"/>
        <v>0</v>
      </c>
      <c r="S201" s="12">
        <f t="shared" si="31"/>
        <v>0</v>
      </c>
      <c r="T201" s="31">
        <v>0</v>
      </c>
      <c r="U201" s="31">
        <v>0</v>
      </c>
      <c r="V201" s="31">
        <v>0</v>
      </c>
      <c r="W201" s="31">
        <v>0</v>
      </c>
      <c r="X201" s="31">
        <v>0</v>
      </c>
      <c r="Y201" s="31">
        <v>0</v>
      </c>
      <c r="Z201" s="31">
        <v>0</v>
      </c>
      <c r="AA201" s="31">
        <v>0</v>
      </c>
      <c r="AB201" s="31">
        <v>0</v>
      </c>
      <c r="AC201" s="31">
        <v>0</v>
      </c>
      <c r="AD201" s="31">
        <v>0</v>
      </c>
      <c r="AE201" s="31">
        <v>0</v>
      </c>
      <c r="AF201" s="31">
        <v>0</v>
      </c>
      <c r="AG201" s="31">
        <v>0</v>
      </c>
      <c r="AH201" s="31">
        <v>0</v>
      </c>
      <c r="AI201" s="31">
        <v>0</v>
      </c>
      <c r="AJ201" s="31">
        <v>0</v>
      </c>
      <c r="AK201" s="31">
        <v>0</v>
      </c>
      <c r="AL201" s="31">
        <v>0</v>
      </c>
      <c r="AM201" s="31">
        <v>0</v>
      </c>
      <c r="AN201" s="31">
        <v>0</v>
      </c>
      <c r="AO201" s="31">
        <v>0</v>
      </c>
      <c r="AP201" s="31">
        <v>0</v>
      </c>
    </row>
    <row r="202" spans="1:42" x14ac:dyDescent="0.25">
      <c r="A202" s="31">
        <v>29</v>
      </c>
      <c r="B202" s="31">
        <v>24604</v>
      </c>
      <c r="C202" s="31">
        <v>1</v>
      </c>
      <c r="D202" s="31" t="s">
        <v>618</v>
      </c>
      <c r="E202" s="31"/>
      <c r="F202" s="31">
        <v>0</v>
      </c>
      <c r="G202" s="31">
        <v>0</v>
      </c>
      <c r="H202" s="31">
        <v>0</v>
      </c>
      <c r="I202" s="31">
        <v>0</v>
      </c>
      <c r="J202" s="31">
        <v>0</v>
      </c>
      <c r="K202" s="31" t="s">
        <v>882</v>
      </c>
      <c r="L202" s="2" t="str">
        <f t="shared" si="24"/>
        <v>Рихтовка</v>
      </c>
      <c r="M202" s="12">
        <f t="shared" si="25"/>
        <v>0</v>
      </c>
      <c r="N202" s="12">
        <f t="shared" si="26"/>
        <v>0</v>
      </c>
      <c r="O202" s="12">
        <f t="shared" si="27"/>
        <v>0</v>
      </c>
      <c r="P202" s="12">
        <f t="shared" si="28"/>
        <v>0</v>
      </c>
      <c r="Q202" s="12">
        <f t="shared" si="29"/>
        <v>0</v>
      </c>
      <c r="R202" s="12">
        <f t="shared" si="30"/>
        <v>0</v>
      </c>
      <c r="S202" s="12">
        <f t="shared" si="31"/>
        <v>0</v>
      </c>
      <c r="T202" s="31">
        <v>0</v>
      </c>
      <c r="U202" s="31">
        <v>0</v>
      </c>
      <c r="V202" s="31">
        <v>0</v>
      </c>
      <c r="W202" s="31">
        <v>0</v>
      </c>
      <c r="X202" s="31">
        <v>0</v>
      </c>
      <c r="Y202" s="31">
        <v>0</v>
      </c>
      <c r="Z202" s="31">
        <v>0</v>
      </c>
      <c r="AA202" s="31">
        <v>0</v>
      </c>
      <c r="AB202" s="31">
        <v>0</v>
      </c>
      <c r="AC202" s="31">
        <v>0</v>
      </c>
      <c r="AD202" s="31">
        <v>0</v>
      </c>
      <c r="AE202" s="31">
        <v>0</v>
      </c>
      <c r="AF202" s="31">
        <v>0</v>
      </c>
      <c r="AG202" s="31">
        <v>0</v>
      </c>
      <c r="AH202" s="31">
        <v>0</v>
      </c>
      <c r="AI202" s="31">
        <v>0</v>
      </c>
      <c r="AJ202" s="31">
        <v>0</v>
      </c>
      <c r="AK202" s="31">
        <v>0</v>
      </c>
      <c r="AL202" s="31">
        <v>0</v>
      </c>
      <c r="AM202" s="31">
        <v>0</v>
      </c>
      <c r="AN202" s="31">
        <v>0</v>
      </c>
      <c r="AO202" s="31">
        <v>0</v>
      </c>
      <c r="AP202" s="31">
        <v>0</v>
      </c>
    </row>
    <row r="203" spans="1:42" x14ac:dyDescent="0.25">
      <c r="A203" s="31">
        <v>29</v>
      </c>
      <c r="B203" s="31">
        <v>24604</v>
      </c>
      <c r="C203" s="31">
        <v>1</v>
      </c>
      <c r="D203" s="31" t="s">
        <v>619</v>
      </c>
      <c r="E203" s="31"/>
      <c r="F203" s="31">
        <v>0</v>
      </c>
      <c r="G203" s="31">
        <v>0</v>
      </c>
      <c r="H203" s="31">
        <v>0</v>
      </c>
      <c r="I203" s="31">
        <v>0</v>
      </c>
      <c r="J203" s="31">
        <v>0</v>
      </c>
      <c r="K203" s="31" t="s">
        <v>882</v>
      </c>
      <c r="L203" s="2" t="str">
        <f t="shared" si="24"/>
        <v>Рихтовка</v>
      </c>
      <c r="M203" s="12">
        <f t="shared" si="25"/>
        <v>0</v>
      </c>
      <c r="N203" s="12">
        <f t="shared" si="26"/>
        <v>0</v>
      </c>
      <c r="O203" s="12">
        <f t="shared" si="27"/>
        <v>0</v>
      </c>
      <c r="P203" s="12">
        <f t="shared" si="28"/>
        <v>0</v>
      </c>
      <c r="Q203" s="12">
        <f t="shared" si="29"/>
        <v>0</v>
      </c>
      <c r="R203" s="12">
        <f t="shared" si="30"/>
        <v>0</v>
      </c>
      <c r="S203" s="12">
        <f t="shared" si="31"/>
        <v>0</v>
      </c>
      <c r="T203" s="31">
        <v>0</v>
      </c>
      <c r="U203" s="31">
        <v>0</v>
      </c>
      <c r="V203" s="31">
        <v>0</v>
      </c>
      <c r="W203" s="31">
        <v>0</v>
      </c>
      <c r="X203" s="31">
        <v>0</v>
      </c>
      <c r="Y203" s="31">
        <v>0</v>
      </c>
      <c r="Z203" s="31">
        <v>0</v>
      </c>
      <c r="AA203" s="31">
        <v>0</v>
      </c>
      <c r="AB203" s="31">
        <v>0</v>
      </c>
      <c r="AC203" s="31">
        <v>0</v>
      </c>
      <c r="AD203" s="31">
        <v>0</v>
      </c>
      <c r="AE203" s="31">
        <v>0</v>
      </c>
      <c r="AF203" s="31">
        <v>0</v>
      </c>
      <c r="AG203" s="31">
        <v>0</v>
      </c>
      <c r="AH203" s="31">
        <v>0</v>
      </c>
      <c r="AI203" s="31">
        <v>0</v>
      </c>
      <c r="AJ203" s="31">
        <v>0</v>
      </c>
      <c r="AK203" s="31">
        <v>0</v>
      </c>
      <c r="AL203" s="31">
        <v>0</v>
      </c>
      <c r="AM203" s="31">
        <v>0</v>
      </c>
      <c r="AN203" s="31">
        <v>0</v>
      </c>
      <c r="AO203" s="31">
        <v>0</v>
      </c>
      <c r="AP203" s="31">
        <v>0</v>
      </c>
    </row>
    <row r="204" spans="1:42" x14ac:dyDescent="0.25">
      <c r="A204" s="31">
        <v>29</v>
      </c>
      <c r="B204" s="31">
        <v>24604</v>
      </c>
      <c r="C204" s="31">
        <v>1</v>
      </c>
      <c r="D204" s="31" t="s">
        <v>620</v>
      </c>
      <c r="E204" s="31"/>
      <c r="F204" s="31">
        <v>0</v>
      </c>
      <c r="G204" s="31">
        <v>0</v>
      </c>
      <c r="H204" s="31">
        <v>0</v>
      </c>
      <c r="I204" s="31">
        <v>0</v>
      </c>
      <c r="J204" s="31">
        <v>0</v>
      </c>
      <c r="K204" s="31" t="s">
        <v>882</v>
      </c>
      <c r="L204" s="2" t="str">
        <f t="shared" si="24"/>
        <v>Рихтовка</v>
      </c>
      <c r="M204" s="12">
        <f t="shared" si="25"/>
        <v>0</v>
      </c>
      <c r="N204" s="12">
        <f t="shared" si="26"/>
        <v>0</v>
      </c>
      <c r="O204" s="12">
        <f t="shared" si="27"/>
        <v>0</v>
      </c>
      <c r="P204" s="12">
        <f t="shared" si="28"/>
        <v>0</v>
      </c>
      <c r="Q204" s="12">
        <f t="shared" si="29"/>
        <v>0</v>
      </c>
      <c r="R204" s="12">
        <f t="shared" si="30"/>
        <v>0</v>
      </c>
      <c r="S204" s="12">
        <f t="shared" si="31"/>
        <v>0</v>
      </c>
      <c r="T204" s="31">
        <v>0</v>
      </c>
      <c r="U204" s="31">
        <v>0</v>
      </c>
      <c r="V204" s="31">
        <v>0</v>
      </c>
      <c r="W204" s="31">
        <v>0</v>
      </c>
      <c r="X204" s="31">
        <v>0</v>
      </c>
      <c r="Y204" s="31">
        <v>0</v>
      </c>
      <c r="Z204" s="31">
        <v>0</v>
      </c>
      <c r="AA204" s="31">
        <v>0</v>
      </c>
      <c r="AB204" s="31">
        <v>0</v>
      </c>
      <c r="AC204" s="31">
        <v>0</v>
      </c>
      <c r="AD204" s="31">
        <v>0</v>
      </c>
      <c r="AE204" s="31">
        <v>0</v>
      </c>
      <c r="AF204" s="31">
        <v>0</v>
      </c>
      <c r="AG204" s="31">
        <v>0</v>
      </c>
      <c r="AH204" s="31">
        <v>0</v>
      </c>
      <c r="AI204" s="31">
        <v>0</v>
      </c>
      <c r="AJ204" s="31">
        <v>0</v>
      </c>
      <c r="AK204" s="31">
        <v>0</v>
      </c>
      <c r="AL204" s="31">
        <v>0</v>
      </c>
      <c r="AM204" s="31">
        <v>0</v>
      </c>
      <c r="AN204" s="31">
        <v>0</v>
      </c>
      <c r="AO204" s="31">
        <v>0</v>
      </c>
      <c r="AP204" s="31">
        <v>0</v>
      </c>
    </row>
    <row r="205" spans="1:42" x14ac:dyDescent="0.25">
      <c r="A205" s="31">
        <v>30</v>
      </c>
      <c r="B205" s="31">
        <v>24604</v>
      </c>
      <c r="C205" s="31">
        <v>1</v>
      </c>
      <c r="D205" s="31" t="s">
        <v>620</v>
      </c>
      <c r="E205" s="31"/>
      <c r="F205" s="31">
        <v>0</v>
      </c>
      <c r="G205" s="31">
        <v>0</v>
      </c>
      <c r="H205" s="31">
        <v>0</v>
      </c>
      <c r="I205" s="31">
        <v>0</v>
      </c>
      <c r="J205" s="31">
        <v>0</v>
      </c>
      <c r="K205" s="31" t="s">
        <v>882</v>
      </c>
      <c r="L205" s="2" t="str">
        <f t="shared" si="24"/>
        <v>Рихтовка</v>
      </c>
      <c r="M205" s="12">
        <f t="shared" si="25"/>
        <v>0</v>
      </c>
      <c r="N205" s="12">
        <f t="shared" si="26"/>
        <v>0</v>
      </c>
      <c r="O205" s="12">
        <f t="shared" si="27"/>
        <v>0</v>
      </c>
      <c r="P205" s="12">
        <f t="shared" si="28"/>
        <v>0</v>
      </c>
      <c r="Q205" s="12">
        <f t="shared" si="29"/>
        <v>0</v>
      </c>
      <c r="R205" s="12">
        <f t="shared" si="30"/>
        <v>0</v>
      </c>
      <c r="S205" s="12">
        <f t="shared" si="31"/>
        <v>0</v>
      </c>
      <c r="T205" s="31">
        <v>0</v>
      </c>
      <c r="U205" s="31">
        <v>0</v>
      </c>
      <c r="V205" s="31">
        <v>0</v>
      </c>
      <c r="W205" s="31">
        <v>0</v>
      </c>
      <c r="X205" s="31">
        <v>0</v>
      </c>
      <c r="Y205" s="31">
        <v>0</v>
      </c>
      <c r="Z205" s="31">
        <v>0</v>
      </c>
      <c r="AA205" s="31">
        <v>0</v>
      </c>
      <c r="AB205" s="31">
        <v>0</v>
      </c>
      <c r="AC205" s="31">
        <v>0</v>
      </c>
      <c r="AD205" s="31">
        <v>0</v>
      </c>
      <c r="AE205" s="31">
        <v>0</v>
      </c>
      <c r="AF205" s="31">
        <v>0</v>
      </c>
      <c r="AG205" s="31">
        <v>0</v>
      </c>
      <c r="AH205" s="31">
        <v>0</v>
      </c>
      <c r="AI205" s="31">
        <v>0</v>
      </c>
      <c r="AJ205" s="31">
        <v>0</v>
      </c>
      <c r="AK205" s="31">
        <v>0</v>
      </c>
      <c r="AL205" s="31">
        <v>0</v>
      </c>
      <c r="AM205" s="31">
        <v>0</v>
      </c>
      <c r="AN205" s="31">
        <v>0</v>
      </c>
      <c r="AO205" s="31">
        <v>0</v>
      </c>
      <c r="AP205" s="31">
        <v>0</v>
      </c>
    </row>
    <row r="206" spans="1:42" x14ac:dyDescent="0.25">
      <c r="A206" s="31">
        <v>30</v>
      </c>
      <c r="B206" s="31">
        <v>24604</v>
      </c>
      <c r="C206" s="31">
        <v>1</v>
      </c>
      <c r="D206" s="31" t="s">
        <v>621</v>
      </c>
      <c r="E206" s="31"/>
      <c r="F206" s="31">
        <v>0</v>
      </c>
      <c r="G206" s="31">
        <v>0</v>
      </c>
      <c r="H206" s="31">
        <v>0</v>
      </c>
      <c r="I206" s="31">
        <v>0</v>
      </c>
      <c r="J206" s="31">
        <v>0</v>
      </c>
      <c r="K206" s="31" t="s">
        <v>882</v>
      </c>
      <c r="L206" s="2" t="str">
        <f t="shared" si="24"/>
        <v>Рихтовка</v>
      </c>
      <c r="M206" s="12">
        <f t="shared" si="25"/>
        <v>0</v>
      </c>
      <c r="N206" s="12">
        <f t="shared" si="26"/>
        <v>0</v>
      </c>
      <c r="O206" s="12">
        <f t="shared" si="27"/>
        <v>0</v>
      </c>
      <c r="P206" s="12">
        <f t="shared" si="28"/>
        <v>0</v>
      </c>
      <c r="Q206" s="12">
        <f t="shared" si="29"/>
        <v>0</v>
      </c>
      <c r="R206" s="12">
        <f t="shared" si="30"/>
        <v>0</v>
      </c>
      <c r="S206" s="12">
        <f t="shared" si="31"/>
        <v>0</v>
      </c>
      <c r="T206" s="31">
        <v>0</v>
      </c>
      <c r="U206" s="31">
        <v>0</v>
      </c>
      <c r="V206" s="31">
        <v>0</v>
      </c>
      <c r="W206" s="31">
        <v>0</v>
      </c>
      <c r="X206" s="31">
        <v>0</v>
      </c>
      <c r="Y206" s="31">
        <v>0</v>
      </c>
      <c r="Z206" s="31">
        <v>0</v>
      </c>
      <c r="AA206" s="31">
        <v>0</v>
      </c>
      <c r="AB206" s="31">
        <v>0</v>
      </c>
      <c r="AC206" s="31">
        <v>0</v>
      </c>
      <c r="AD206" s="31">
        <v>0</v>
      </c>
      <c r="AE206" s="31">
        <v>0</v>
      </c>
      <c r="AF206" s="31">
        <v>0</v>
      </c>
      <c r="AG206" s="31">
        <v>0</v>
      </c>
      <c r="AH206" s="31">
        <v>0</v>
      </c>
      <c r="AI206" s="31">
        <v>0</v>
      </c>
      <c r="AJ206" s="31">
        <v>0</v>
      </c>
      <c r="AK206" s="31">
        <v>0</v>
      </c>
      <c r="AL206" s="31">
        <v>0</v>
      </c>
      <c r="AM206" s="31">
        <v>0</v>
      </c>
      <c r="AN206" s="31">
        <v>0</v>
      </c>
      <c r="AO206" s="31">
        <v>0</v>
      </c>
      <c r="AP206" s="31">
        <v>0</v>
      </c>
    </row>
    <row r="207" spans="1:42" x14ac:dyDescent="0.25">
      <c r="A207" s="31">
        <v>30</v>
      </c>
      <c r="B207" s="31">
        <v>24604</v>
      </c>
      <c r="C207" s="31">
        <v>1</v>
      </c>
      <c r="D207" s="31" t="s">
        <v>622</v>
      </c>
      <c r="E207" s="31"/>
      <c r="F207" s="31">
        <v>0</v>
      </c>
      <c r="G207" s="31">
        <v>0</v>
      </c>
      <c r="H207" s="31">
        <v>0</v>
      </c>
      <c r="I207" s="31">
        <v>0</v>
      </c>
      <c r="J207" s="31">
        <v>0</v>
      </c>
      <c r="K207" s="31" t="s">
        <v>882</v>
      </c>
      <c r="L207" s="2" t="str">
        <f t="shared" si="24"/>
        <v>Рихтовка</v>
      </c>
      <c r="M207" s="12">
        <f t="shared" si="25"/>
        <v>0</v>
      </c>
      <c r="N207" s="12">
        <f t="shared" si="26"/>
        <v>0</v>
      </c>
      <c r="O207" s="12">
        <f t="shared" si="27"/>
        <v>0</v>
      </c>
      <c r="P207" s="12">
        <f t="shared" si="28"/>
        <v>0</v>
      </c>
      <c r="Q207" s="12">
        <f t="shared" si="29"/>
        <v>0</v>
      </c>
      <c r="R207" s="12">
        <f t="shared" si="30"/>
        <v>0</v>
      </c>
      <c r="S207" s="12">
        <f t="shared" si="31"/>
        <v>0</v>
      </c>
      <c r="T207" s="31">
        <v>0</v>
      </c>
      <c r="U207" s="31">
        <v>0</v>
      </c>
      <c r="V207" s="31">
        <v>0</v>
      </c>
      <c r="W207" s="31">
        <v>0</v>
      </c>
      <c r="X207" s="31">
        <v>0</v>
      </c>
      <c r="Y207" s="31">
        <v>0</v>
      </c>
      <c r="Z207" s="31">
        <v>0</v>
      </c>
      <c r="AA207" s="31">
        <v>0</v>
      </c>
      <c r="AB207" s="31">
        <v>0</v>
      </c>
      <c r="AC207" s="31">
        <v>0</v>
      </c>
      <c r="AD207" s="31">
        <v>0</v>
      </c>
      <c r="AE207" s="31">
        <v>0</v>
      </c>
      <c r="AF207" s="31">
        <v>0</v>
      </c>
      <c r="AG207" s="31">
        <v>0</v>
      </c>
      <c r="AH207" s="31">
        <v>0</v>
      </c>
      <c r="AI207" s="31">
        <v>0</v>
      </c>
      <c r="AJ207" s="31">
        <v>0</v>
      </c>
      <c r="AK207" s="31">
        <v>0</v>
      </c>
      <c r="AL207" s="31">
        <v>0</v>
      </c>
      <c r="AM207" s="31">
        <v>0</v>
      </c>
      <c r="AN207" s="31">
        <v>0</v>
      </c>
      <c r="AO207" s="31">
        <v>0</v>
      </c>
      <c r="AP207" s="31">
        <v>0</v>
      </c>
    </row>
    <row r="208" spans="1:42" x14ac:dyDescent="0.25">
      <c r="A208" s="31">
        <v>30</v>
      </c>
      <c r="B208" s="31">
        <v>24604</v>
      </c>
      <c r="C208" s="31">
        <v>1</v>
      </c>
      <c r="D208" s="31" t="s">
        <v>623</v>
      </c>
      <c r="E208" s="31"/>
      <c r="F208" s="31">
        <v>0</v>
      </c>
      <c r="G208" s="31">
        <v>0</v>
      </c>
      <c r="H208" s="31">
        <v>0</v>
      </c>
      <c r="I208" s="31">
        <v>0</v>
      </c>
      <c r="J208" s="31">
        <v>0</v>
      </c>
      <c r="K208" s="31" t="s">
        <v>882</v>
      </c>
      <c r="L208" s="2" t="str">
        <f t="shared" si="24"/>
        <v>Рихтовка</v>
      </c>
      <c r="M208" s="12">
        <f t="shared" si="25"/>
        <v>0</v>
      </c>
      <c r="N208" s="12">
        <f t="shared" si="26"/>
        <v>0</v>
      </c>
      <c r="O208" s="12">
        <f t="shared" si="27"/>
        <v>0</v>
      </c>
      <c r="P208" s="12">
        <f t="shared" si="28"/>
        <v>0</v>
      </c>
      <c r="Q208" s="12">
        <f t="shared" si="29"/>
        <v>0</v>
      </c>
      <c r="R208" s="12">
        <f t="shared" si="30"/>
        <v>0</v>
      </c>
      <c r="S208" s="12">
        <f t="shared" si="31"/>
        <v>0</v>
      </c>
      <c r="T208" s="31">
        <v>0</v>
      </c>
      <c r="U208" s="31">
        <v>0</v>
      </c>
      <c r="V208" s="31">
        <v>0</v>
      </c>
      <c r="W208" s="31">
        <v>0</v>
      </c>
      <c r="X208" s="31">
        <v>0</v>
      </c>
      <c r="Y208" s="31">
        <v>0</v>
      </c>
      <c r="Z208" s="31">
        <v>0</v>
      </c>
      <c r="AA208" s="31">
        <v>0</v>
      </c>
      <c r="AB208" s="31">
        <v>0</v>
      </c>
      <c r="AC208" s="31">
        <v>0</v>
      </c>
      <c r="AD208" s="31">
        <v>0</v>
      </c>
      <c r="AE208" s="31">
        <v>0</v>
      </c>
      <c r="AF208" s="31">
        <v>0</v>
      </c>
      <c r="AG208" s="31">
        <v>0</v>
      </c>
      <c r="AH208" s="31">
        <v>0</v>
      </c>
      <c r="AI208" s="31">
        <v>0</v>
      </c>
      <c r="AJ208" s="31">
        <v>0</v>
      </c>
      <c r="AK208" s="31">
        <v>0</v>
      </c>
      <c r="AL208" s="31">
        <v>0</v>
      </c>
      <c r="AM208" s="31">
        <v>0</v>
      </c>
      <c r="AN208" s="31">
        <v>0</v>
      </c>
      <c r="AO208" s="31">
        <v>0</v>
      </c>
      <c r="AP208" s="31">
        <v>0</v>
      </c>
    </row>
    <row r="209" spans="1:42" x14ac:dyDescent="0.25">
      <c r="A209" s="31">
        <v>30</v>
      </c>
      <c r="B209" s="31">
        <v>24604</v>
      </c>
      <c r="C209" s="31">
        <v>1</v>
      </c>
      <c r="D209" s="31" t="s">
        <v>624</v>
      </c>
      <c r="E209" s="31"/>
      <c r="F209" s="31">
        <v>0</v>
      </c>
      <c r="G209" s="31">
        <v>0</v>
      </c>
      <c r="H209" s="31">
        <v>0</v>
      </c>
      <c r="I209" s="31">
        <v>0</v>
      </c>
      <c r="J209" s="31">
        <v>0</v>
      </c>
      <c r="K209" s="31" t="s">
        <v>882</v>
      </c>
      <c r="L209" s="2" t="str">
        <f t="shared" si="24"/>
        <v>Рихтовка</v>
      </c>
      <c r="M209" s="12">
        <f t="shared" si="25"/>
        <v>0</v>
      </c>
      <c r="N209" s="12">
        <f t="shared" si="26"/>
        <v>0</v>
      </c>
      <c r="O209" s="12">
        <f t="shared" si="27"/>
        <v>0</v>
      </c>
      <c r="P209" s="12">
        <f t="shared" si="28"/>
        <v>0</v>
      </c>
      <c r="Q209" s="12">
        <f t="shared" si="29"/>
        <v>0</v>
      </c>
      <c r="R209" s="12">
        <f t="shared" si="30"/>
        <v>0</v>
      </c>
      <c r="S209" s="12">
        <f t="shared" si="31"/>
        <v>0</v>
      </c>
      <c r="T209" s="31">
        <v>0</v>
      </c>
      <c r="U209" s="31">
        <v>0</v>
      </c>
      <c r="V209" s="31">
        <v>0</v>
      </c>
      <c r="W209" s="31">
        <v>0</v>
      </c>
      <c r="X209" s="31">
        <v>0</v>
      </c>
      <c r="Y209" s="31">
        <v>0</v>
      </c>
      <c r="Z209" s="31">
        <v>0</v>
      </c>
      <c r="AA209" s="31">
        <v>0</v>
      </c>
      <c r="AB209" s="31">
        <v>0</v>
      </c>
      <c r="AC209" s="31">
        <v>0</v>
      </c>
      <c r="AD209" s="31">
        <v>0</v>
      </c>
      <c r="AE209" s="31">
        <v>0</v>
      </c>
      <c r="AF209" s="31">
        <v>0</v>
      </c>
      <c r="AG209" s="31">
        <v>0</v>
      </c>
      <c r="AH209" s="31">
        <v>0</v>
      </c>
      <c r="AI209" s="31">
        <v>0</v>
      </c>
      <c r="AJ209" s="31">
        <v>0</v>
      </c>
      <c r="AK209" s="31">
        <v>0</v>
      </c>
      <c r="AL209" s="31">
        <v>0</v>
      </c>
      <c r="AM209" s="31">
        <v>0</v>
      </c>
      <c r="AN209" s="31">
        <v>0</v>
      </c>
      <c r="AO209" s="31">
        <v>0</v>
      </c>
      <c r="AP209" s="31">
        <v>0</v>
      </c>
    </row>
    <row r="210" spans="1:42" x14ac:dyDescent="0.25">
      <c r="A210" s="31">
        <v>30</v>
      </c>
      <c r="B210" s="31">
        <v>24604</v>
      </c>
      <c r="C210" s="31">
        <v>1</v>
      </c>
      <c r="D210" s="31" t="s">
        <v>625</v>
      </c>
      <c r="E210" s="31"/>
      <c r="F210" s="31">
        <v>0</v>
      </c>
      <c r="G210" s="31">
        <v>0</v>
      </c>
      <c r="H210" s="31">
        <v>0</v>
      </c>
      <c r="I210" s="31">
        <v>0</v>
      </c>
      <c r="J210" s="31">
        <v>0</v>
      </c>
      <c r="K210" s="31" t="s">
        <v>882</v>
      </c>
      <c r="L210" s="2" t="str">
        <f t="shared" si="24"/>
        <v>Рихтовка</v>
      </c>
      <c r="M210" s="12">
        <f t="shared" si="25"/>
        <v>0</v>
      </c>
      <c r="N210" s="12">
        <f t="shared" si="26"/>
        <v>0</v>
      </c>
      <c r="O210" s="12">
        <f t="shared" si="27"/>
        <v>0</v>
      </c>
      <c r="P210" s="12">
        <f t="shared" si="28"/>
        <v>0</v>
      </c>
      <c r="Q210" s="12">
        <f t="shared" si="29"/>
        <v>0</v>
      </c>
      <c r="R210" s="12">
        <f t="shared" si="30"/>
        <v>0</v>
      </c>
      <c r="S210" s="12">
        <f t="shared" si="31"/>
        <v>0</v>
      </c>
      <c r="T210" s="31">
        <v>0</v>
      </c>
      <c r="U210" s="31">
        <v>0</v>
      </c>
      <c r="V210" s="31">
        <v>0</v>
      </c>
      <c r="W210" s="31">
        <v>0</v>
      </c>
      <c r="X210" s="31">
        <v>0</v>
      </c>
      <c r="Y210" s="31">
        <v>0</v>
      </c>
      <c r="Z210" s="31">
        <v>0</v>
      </c>
      <c r="AA210" s="31">
        <v>0</v>
      </c>
      <c r="AB210" s="31">
        <v>0</v>
      </c>
      <c r="AC210" s="31">
        <v>0</v>
      </c>
      <c r="AD210" s="31">
        <v>0</v>
      </c>
      <c r="AE210" s="31">
        <v>0</v>
      </c>
      <c r="AF210" s="31">
        <v>0</v>
      </c>
      <c r="AG210" s="31">
        <v>0</v>
      </c>
      <c r="AH210" s="31">
        <v>0</v>
      </c>
      <c r="AI210" s="31">
        <v>0</v>
      </c>
      <c r="AJ210" s="31">
        <v>0</v>
      </c>
      <c r="AK210" s="31">
        <v>0</v>
      </c>
      <c r="AL210" s="31">
        <v>0</v>
      </c>
      <c r="AM210" s="31">
        <v>0</v>
      </c>
      <c r="AN210" s="31">
        <v>0</v>
      </c>
      <c r="AO210" s="31">
        <v>0</v>
      </c>
      <c r="AP210" s="31">
        <v>0</v>
      </c>
    </row>
    <row r="211" spans="1:42" x14ac:dyDescent="0.25">
      <c r="A211" s="31">
        <v>30</v>
      </c>
      <c r="B211" s="31">
        <v>24604</v>
      </c>
      <c r="C211" s="31">
        <v>1</v>
      </c>
      <c r="D211" s="31" t="s">
        <v>626</v>
      </c>
      <c r="E211" s="31"/>
      <c r="F211" s="31">
        <v>0</v>
      </c>
      <c r="G211" s="31">
        <v>0</v>
      </c>
      <c r="H211" s="31">
        <v>0</v>
      </c>
      <c r="I211" s="31">
        <v>0</v>
      </c>
      <c r="J211" s="31">
        <v>0</v>
      </c>
      <c r="K211" s="31" t="s">
        <v>882</v>
      </c>
      <c r="L211" s="2" t="str">
        <f t="shared" si="24"/>
        <v>Рихтовка</v>
      </c>
      <c r="M211" s="12">
        <f t="shared" si="25"/>
        <v>0</v>
      </c>
      <c r="N211" s="12">
        <f t="shared" si="26"/>
        <v>0</v>
      </c>
      <c r="O211" s="12">
        <f t="shared" si="27"/>
        <v>0</v>
      </c>
      <c r="P211" s="12">
        <f t="shared" si="28"/>
        <v>0</v>
      </c>
      <c r="Q211" s="12">
        <f t="shared" si="29"/>
        <v>0</v>
      </c>
      <c r="R211" s="12">
        <f t="shared" si="30"/>
        <v>0</v>
      </c>
      <c r="S211" s="12">
        <f t="shared" si="31"/>
        <v>0</v>
      </c>
      <c r="T211" s="31">
        <v>0</v>
      </c>
      <c r="U211" s="31">
        <v>0</v>
      </c>
      <c r="V211" s="31">
        <v>0</v>
      </c>
      <c r="W211" s="31">
        <v>0</v>
      </c>
      <c r="X211" s="31">
        <v>0</v>
      </c>
      <c r="Y211" s="31">
        <v>0</v>
      </c>
      <c r="Z211" s="31">
        <v>0</v>
      </c>
      <c r="AA211" s="31">
        <v>0</v>
      </c>
      <c r="AB211" s="31">
        <v>0</v>
      </c>
      <c r="AC211" s="31">
        <v>0</v>
      </c>
      <c r="AD211" s="31">
        <v>0</v>
      </c>
      <c r="AE211" s="31">
        <v>0</v>
      </c>
      <c r="AF211" s="31">
        <v>0</v>
      </c>
      <c r="AG211" s="31">
        <v>0</v>
      </c>
      <c r="AH211" s="31">
        <v>0</v>
      </c>
      <c r="AI211" s="31">
        <v>0</v>
      </c>
      <c r="AJ211" s="31">
        <v>0</v>
      </c>
      <c r="AK211" s="31">
        <v>0</v>
      </c>
      <c r="AL211" s="31">
        <v>0</v>
      </c>
      <c r="AM211" s="31">
        <v>0</v>
      </c>
      <c r="AN211" s="31">
        <v>0</v>
      </c>
      <c r="AO211" s="31">
        <v>0</v>
      </c>
      <c r="AP211" s="31">
        <v>0</v>
      </c>
    </row>
    <row r="212" spans="1:42" x14ac:dyDescent="0.25">
      <c r="A212" s="31">
        <v>30</v>
      </c>
      <c r="B212" s="31">
        <v>24604</v>
      </c>
      <c r="C212" s="31">
        <v>1</v>
      </c>
      <c r="D212" s="31" t="s">
        <v>627</v>
      </c>
      <c r="E212" s="31"/>
      <c r="F212" s="31">
        <v>0</v>
      </c>
      <c r="G212" s="31">
        <v>0</v>
      </c>
      <c r="H212" s="31">
        <v>0</v>
      </c>
      <c r="I212" s="31">
        <v>0</v>
      </c>
      <c r="J212" s="31">
        <v>0</v>
      </c>
      <c r="K212" s="31" t="s">
        <v>882</v>
      </c>
      <c r="L212" s="2" t="str">
        <f t="shared" si="24"/>
        <v>Рихтовка</v>
      </c>
      <c r="M212" s="12">
        <f t="shared" si="25"/>
        <v>0</v>
      </c>
      <c r="N212" s="12">
        <f t="shared" si="26"/>
        <v>0</v>
      </c>
      <c r="O212" s="12">
        <f t="shared" si="27"/>
        <v>0</v>
      </c>
      <c r="P212" s="12">
        <f t="shared" si="28"/>
        <v>0</v>
      </c>
      <c r="Q212" s="12">
        <f t="shared" si="29"/>
        <v>0</v>
      </c>
      <c r="R212" s="12">
        <f t="shared" si="30"/>
        <v>0</v>
      </c>
      <c r="S212" s="12">
        <f t="shared" si="31"/>
        <v>0</v>
      </c>
      <c r="T212" s="31">
        <v>0</v>
      </c>
      <c r="U212" s="31">
        <v>0</v>
      </c>
      <c r="V212" s="31">
        <v>0</v>
      </c>
      <c r="W212" s="31">
        <v>0</v>
      </c>
      <c r="X212" s="31">
        <v>0</v>
      </c>
      <c r="Y212" s="31">
        <v>0</v>
      </c>
      <c r="Z212" s="31">
        <v>0</v>
      </c>
      <c r="AA212" s="31">
        <v>0</v>
      </c>
      <c r="AB212" s="31">
        <v>0</v>
      </c>
      <c r="AC212" s="31">
        <v>0</v>
      </c>
      <c r="AD212" s="31">
        <v>0</v>
      </c>
      <c r="AE212" s="31">
        <v>0</v>
      </c>
      <c r="AF212" s="31">
        <v>0</v>
      </c>
      <c r="AG212" s="31">
        <v>0</v>
      </c>
      <c r="AH212" s="31">
        <v>0</v>
      </c>
      <c r="AI212" s="31">
        <v>0</v>
      </c>
      <c r="AJ212" s="31">
        <v>0</v>
      </c>
      <c r="AK212" s="31">
        <v>0</v>
      </c>
      <c r="AL212" s="31">
        <v>0</v>
      </c>
      <c r="AM212" s="31">
        <v>0</v>
      </c>
      <c r="AN212" s="31">
        <v>0</v>
      </c>
      <c r="AO212" s="31">
        <v>0</v>
      </c>
      <c r="AP212" s="31">
        <v>0</v>
      </c>
    </row>
    <row r="213" spans="1:42" x14ac:dyDescent="0.25">
      <c r="A213" s="31">
        <v>30</v>
      </c>
      <c r="B213" s="31">
        <v>24604</v>
      </c>
      <c r="C213" s="31">
        <v>1</v>
      </c>
      <c r="D213" s="31" t="s">
        <v>628</v>
      </c>
      <c r="E213" s="31"/>
      <c r="F213" s="31">
        <v>0</v>
      </c>
      <c r="G213" s="31">
        <v>0</v>
      </c>
      <c r="H213" s="31">
        <v>0</v>
      </c>
      <c r="I213" s="31">
        <v>0</v>
      </c>
      <c r="J213" s="31">
        <v>0</v>
      </c>
      <c r="K213" s="31" t="s">
        <v>882</v>
      </c>
      <c r="L213" s="2" t="str">
        <f t="shared" si="24"/>
        <v>Рихтовка</v>
      </c>
      <c r="M213" s="12">
        <f t="shared" si="25"/>
        <v>0</v>
      </c>
      <c r="N213" s="12">
        <f t="shared" si="26"/>
        <v>0</v>
      </c>
      <c r="O213" s="12">
        <f t="shared" si="27"/>
        <v>0</v>
      </c>
      <c r="P213" s="12">
        <f t="shared" si="28"/>
        <v>0</v>
      </c>
      <c r="Q213" s="12">
        <f t="shared" si="29"/>
        <v>0</v>
      </c>
      <c r="R213" s="12">
        <f t="shared" si="30"/>
        <v>0</v>
      </c>
      <c r="S213" s="12">
        <f t="shared" si="31"/>
        <v>0</v>
      </c>
      <c r="T213" s="31">
        <v>0</v>
      </c>
      <c r="U213" s="31">
        <v>0</v>
      </c>
      <c r="V213" s="31">
        <v>0</v>
      </c>
      <c r="W213" s="31">
        <v>0</v>
      </c>
      <c r="X213" s="31">
        <v>0</v>
      </c>
      <c r="Y213" s="31">
        <v>0</v>
      </c>
      <c r="Z213" s="31">
        <v>0</v>
      </c>
      <c r="AA213" s="31">
        <v>0</v>
      </c>
      <c r="AB213" s="31">
        <v>0</v>
      </c>
      <c r="AC213" s="31">
        <v>0</v>
      </c>
      <c r="AD213" s="31">
        <v>0</v>
      </c>
      <c r="AE213" s="31">
        <v>0</v>
      </c>
      <c r="AF213" s="31">
        <v>0</v>
      </c>
      <c r="AG213" s="31">
        <v>0</v>
      </c>
      <c r="AH213" s="31">
        <v>0</v>
      </c>
      <c r="AI213" s="31">
        <v>0</v>
      </c>
      <c r="AJ213" s="31">
        <v>0</v>
      </c>
      <c r="AK213" s="31">
        <v>0</v>
      </c>
      <c r="AL213" s="31">
        <v>0</v>
      </c>
      <c r="AM213" s="31">
        <v>0</v>
      </c>
      <c r="AN213" s="31">
        <v>0</v>
      </c>
      <c r="AO213" s="31">
        <v>0</v>
      </c>
      <c r="AP213" s="31">
        <v>0</v>
      </c>
    </row>
    <row r="214" spans="1:42" x14ac:dyDescent="0.25">
      <c r="A214" s="31">
        <v>30</v>
      </c>
      <c r="B214" s="31">
        <v>24604</v>
      </c>
      <c r="C214" s="31">
        <v>1</v>
      </c>
      <c r="D214" s="31" t="s">
        <v>629</v>
      </c>
      <c r="E214" s="31"/>
      <c r="F214" s="31">
        <v>0</v>
      </c>
      <c r="G214" s="31">
        <v>0</v>
      </c>
      <c r="H214" s="31">
        <v>0</v>
      </c>
      <c r="I214" s="31">
        <v>0</v>
      </c>
      <c r="J214" s="31">
        <v>0</v>
      </c>
      <c r="K214" s="31" t="s">
        <v>882</v>
      </c>
      <c r="L214" s="2" t="str">
        <f t="shared" si="24"/>
        <v>Рихтовка</v>
      </c>
      <c r="M214" s="12">
        <f t="shared" si="25"/>
        <v>0</v>
      </c>
      <c r="N214" s="12">
        <f t="shared" si="26"/>
        <v>0</v>
      </c>
      <c r="O214" s="12">
        <f t="shared" si="27"/>
        <v>0</v>
      </c>
      <c r="P214" s="12">
        <f t="shared" si="28"/>
        <v>0</v>
      </c>
      <c r="Q214" s="12">
        <f t="shared" si="29"/>
        <v>0</v>
      </c>
      <c r="R214" s="12">
        <f t="shared" si="30"/>
        <v>0</v>
      </c>
      <c r="S214" s="12">
        <f t="shared" si="31"/>
        <v>0</v>
      </c>
      <c r="T214" s="31">
        <v>0</v>
      </c>
      <c r="U214" s="31">
        <v>0</v>
      </c>
      <c r="V214" s="31">
        <v>0</v>
      </c>
      <c r="W214" s="31">
        <v>0</v>
      </c>
      <c r="X214" s="31">
        <v>0</v>
      </c>
      <c r="Y214" s="31">
        <v>0</v>
      </c>
      <c r="Z214" s="31">
        <v>0</v>
      </c>
      <c r="AA214" s="31">
        <v>0</v>
      </c>
      <c r="AB214" s="31">
        <v>0</v>
      </c>
      <c r="AC214" s="31">
        <v>0</v>
      </c>
      <c r="AD214" s="31">
        <v>0</v>
      </c>
      <c r="AE214" s="31">
        <v>0</v>
      </c>
      <c r="AF214" s="31">
        <v>0</v>
      </c>
      <c r="AG214" s="31">
        <v>0</v>
      </c>
      <c r="AH214" s="31">
        <v>0</v>
      </c>
      <c r="AI214" s="31">
        <v>0</v>
      </c>
      <c r="AJ214" s="31">
        <v>0</v>
      </c>
      <c r="AK214" s="31">
        <v>0</v>
      </c>
      <c r="AL214" s="31">
        <v>0</v>
      </c>
      <c r="AM214" s="31">
        <v>0</v>
      </c>
      <c r="AN214" s="31">
        <v>0</v>
      </c>
      <c r="AO214" s="31">
        <v>0</v>
      </c>
      <c r="AP214" s="31">
        <v>0</v>
      </c>
    </row>
    <row r="215" spans="1:42" x14ac:dyDescent="0.25">
      <c r="A215" s="31">
        <v>30</v>
      </c>
      <c r="B215" s="31">
        <v>24604</v>
      </c>
      <c r="C215" s="31">
        <v>1</v>
      </c>
      <c r="D215" s="31" t="s">
        <v>630</v>
      </c>
      <c r="E215" s="31"/>
      <c r="F215" s="31">
        <v>0</v>
      </c>
      <c r="G215" s="31">
        <v>0</v>
      </c>
      <c r="H215" s="31">
        <v>0</v>
      </c>
      <c r="I215" s="31">
        <v>0</v>
      </c>
      <c r="J215" s="31">
        <v>0</v>
      </c>
      <c r="K215" s="31" t="s">
        <v>882</v>
      </c>
      <c r="L215" s="2" t="str">
        <f t="shared" si="24"/>
        <v>Рихтовка</v>
      </c>
      <c r="M215" s="12">
        <f t="shared" si="25"/>
        <v>0</v>
      </c>
      <c r="N215" s="12">
        <f t="shared" si="26"/>
        <v>0</v>
      </c>
      <c r="O215" s="12">
        <f t="shared" si="27"/>
        <v>0</v>
      </c>
      <c r="P215" s="12">
        <f t="shared" si="28"/>
        <v>0</v>
      </c>
      <c r="Q215" s="12">
        <f t="shared" si="29"/>
        <v>0</v>
      </c>
      <c r="R215" s="12">
        <f t="shared" si="30"/>
        <v>0</v>
      </c>
      <c r="S215" s="12">
        <f t="shared" si="31"/>
        <v>0</v>
      </c>
      <c r="T215" s="31">
        <v>0</v>
      </c>
      <c r="U215" s="31">
        <v>0</v>
      </c>
      <c r="V215" s="31">
        <v>0</v>
      </c>
      <c r="W215" s="31">
        <v>0</v>
      </c>
      <c r="X215" s="31">
        <v>0</v>
      </c>
      <c r="Y215" s="31">
        <v>0</v>
      </c>
      <c r="Z215" s="31">
        <v>0</v>
      </c>
      <c r="AA215" s="31">
        <v>0</v>
      </c>
      <c r="AB215" s="31">
        <v>0</v>
      </c>
      <c r="AC215" s="31">
        <v>0</v>
      </c>
      <c r="AD215" s="31">
        <v>0</v>
      </c>
      <c r="AE215" s="31">
        <v>0</v>
      </c>
      <c r="AF215" s="31">
        <v>0</v>
      </c>
      <c r="AG215" s="31">
        <v>0</v>
      </c>
      <c r="AH215" s="31">
        <v>0</v>
      </c>
      <c r="AI215" s="31">
        <v>0</v>
      </c>
      <c r="AJ215" s="31">
        <v>0</v>
      </c>
      <c r="AK215" s="31">
        <v>0</v>
      </c>
      <c r="AL215" s="31">
        <v>0</v>
      </c>
      <c r="AM215" s="31">
        <v>0</v>
      </c>
      <c r="AN215" s="31">
        <v>0</v>
      </c>
      <c r="AO215" s="31">
        <v>0</v>
      </c>
      <c r="AP215" s="31">
        <v>0</v>
      </c>
    </row>
    <row r="216" spans="1:42" x14ac:dyDescent="0.25">
      <c r="A216" s="31">
        <v>30</v>
      </c>
      <c r="B216" s="31">
        <v>24604</v>
      </c>
      <c r="C216" s="31">
        <v>1</v>
      </c>
      <c r="D216" s="31" t="s">
        <v>631</v>
      </c>
      <c r="E216" s="31"/>
      <c r="F216" s="31">
        <v>0</v>
      </c>
      <c r="G216" s="31">
        <v>0</v>
      </c>
      <c r="H216" s="31">
        <v>0</v>
      </c>
      <c r="I216" s="31">
        <v>0</v>
      </c>
      <c r="J216" s="31">
        <v>0</v>
      </c>
      <c r="K216" s="31" t="s">
        <v>882</v>
      </c>
      <c r="L216" s="2" t="str">
        <f t="shared" si="24"/>
        <v>Рихтовка</v>
      </c>
      <c r="M216" s="12">
        <f t="shared" si="25"/>
        <v>0</v>
      </c>
      <c r="N216" s="12">
        <f t="shared" si="26"/>
        <v>0</v>
      </c>
      <c r="O216" s="12">
        <f t="shared" si="27"/>
        <v>0</v>
      </c>
      <c r="P216" s="12">
        <f t="shared" si="28"/>
        <v>0</v>
      </c>
      <c r="Q216" s="12">
        <f t="shared" si="29"/>
        <v>0</v>
      </c>
      <c r="R216" s="12">
        <f t="shared" si="30"/>
        <v>0</v>
      </c>
      <c r="S216" s="12">
        <f t="shared" si="31"/>
        <v>0</v>
      </c>
      <c r="T216" s="31">
        <v>0</v>
      </c>
      <c r="U216" s="31">
        <v>0</v>
      </c>
      <c r="V216" s="31">
        <v>0</v>
      </c>
      <c r="W216" s="31">
        <v>0</v>
      </c>
      <c r="X216" s="31">
        <v>0</v>
      </c>
      <c r="Y216" s="31">
        <v>0</v>
      </c>
      <c r="Z216" s="31">
        <v>0</v>
      </c>
      <c r="AA216" s="31">
        <v>0</v>
      </c>
      <c r="AB216" s="31">
        <v>0</v>
      </c>
      <c r="AC216" s="31">
        <v>0</v>
      </c>
      <c r="AD216" s="31">
        <v>0</v>
      </c>
      <c r="AE216" s="31">
        <v>0</v>
      </c>
      <c r="AF216" s="31">
        <v>0</v>
      </c>
      <c r="AG216" s="31">
        <v>0</v>
      </c>
      <c r="AH216" s="31">
        <v>0</v>
      </c>
      <c r="AI216" s="31">
        <v>0</v>
      </c>
      <c r="AJ216" s="31">
        <v>0</v>
      </c>
      <c r="AK216" s="31">
        <v>0</v>
      </c>
      <c r="AL216" s="31">
        <v>0</v>
      </c>
      <c r="AM216" s="31">
        <v>0</v>
      </c>
      <c r="AN216" s="31">
        <v>0</v>
      </c>
      <c r="AO216" s="31">
        <v>0</v>
      </c>
      <c r="AP216" s="31">
        <v>0</v>
      </c>
    </row>
    <row r="217" spans="1:42" x14ac:dyDescent="0.25">
      <c r="A217" s="31">
        <v>30</v>
      </c>
      <c r="B217" s="31">
        <v>24604</v>
      </c>
      <c r="C217" s="31">
        <v>1</v>
      </c>
      <c r="D217" s="31" t="s">
        <v>632</v>
      </c>
      <c r="E217" s="31"/>
      <c r="F217" s="31">
        <v>0</v>
      </c>
      <c r="G217" s="31">
        <v>0</v>
      </c>
      <c r="H217" s="31">
        <v>0</v>
      </c>
      <c r="I217" s="31">
        <v>0</v>
      </c>
      <c r="J217" s="31">
        <v>0</v>
      </c>
      <c r="K217" s="31" t="s">
        <v>882</v>
      </c>
      <c r="L217" s="2" t="str">
        <f t="shared" si="24"/>
        <v>Рихтовка</v>
      </c>
      <c r="M217" s="12">
        <f t="shared" si="25"/>
        <v>0</v>
      </c>
      <c r="N217" s="12">
        <f t="shared" si="26"/>
        <v>0</v>
      </c>
      <c r="O217" s="12">
        <f t="shared" si="27"/>
        <v>0</v>
      </c>
      <c r="P217" s="12">
        <f t="shared" si="28"/>
        <v>0</v>
      </c>
      <c r="Q217" s="12">
        <f t="shared" si="29"/>
        <v>0</v>
      </c>
      <c r="R217" s="12">
        <f t="shared" si="30"/>
        <v>0</v>
      </c>
      <c r="S217" s="12">
        <f t="shared" si="31"/>
        <v>0</v>
      </c>
      <c r="T217" s="31">
        <v>0</v>
      </c>
      <c r="U217" s="31">
        <v>0</v>
      </c>
      <c r="V217" s="31">
        <v>0</v>
      </c>
      <c r="W217" s="31">
        <v>0</v>
      </c>
      <c r="X217" s="31">
        <v>0</v>
      </c>
      <c r="Y217" s="31">
        <v>0</v>
      </c>
      <c r="Z217" s="31">
        <v>0</v>
      </c>
      <c r="AA217" s="31">
        <v>0</v>
      </c>
      <c r="AB217" s="31">
        <v>0</v>
      </c>
      <c r="AC217" s="31">
        <v>0</v>
      </c>
      <c r="AD217" s="31">
        <v>0</v>
      </c>
      <c r="AE217" s="31">
        <v>0</v>
      </c>
      <c r="AF217" s="31">
        <v>0</v>
      </c>
      <c r="AG217" s="31">
        <v>0</v>
      </c>
      <c r="AH217" s="31">
        <v>0</v>
      </c>
      <c r="AI217" s="31">
        <v>0</v>
      </c>
      <c r="AJ217" s="31">
        <v>0</v>
      </c>
      <c r="AK217" s="31">
        <v>0</v>
      </c>
      <c r="AL217" s="31">
        <v>0</v>
      </c>
      <c r="AM217" s="31">
        <v>0</v>
      </c>
      <c r="AN217" s="31">
        <v>0</v>
      </c>
      <c r="AO217" s="31">
        <v>0</v>
      </c>
      <c r="AP217" s="31">
        <v>0</v>
      </c>
    </row>
    <row r="218" spans="1:42" x14ac:dyDescent="0.25">
      <c r="A218" s="31">
        <v>30</v>
      </c>
      <c r="B218" s="31">
        <v>24604</v>
      </c>
      <c r="C218" s="31">
        <v>1</v>
      </c>
      <c r="D218" s="31" t="s">
        <v>633</v>
      </c>
      <c r="E218" s="31"/>
      <c r="F218" s="31">
        <v>0</v>
      </c>
      <c r="G218" s="31">
        <v>0</v>
      </c>
      <c r="H218" s="31">
        <v>0</v>
      </c>
      <c r="I218" s="31">
        <v>0</v>
      </c>
      <c r="J218" s="31">
        <v>0</v>
      </c>
      <c r="K218" s="31" t="s">
        <v>882</v>
      </c>
      <c r="L218" s="2" t="str">
        <f t="shared" si="24"/>
        <v>Рихтовка</v>
      </c>
      <c r="M218" s="12">
        <f t="shared" si="25"/>
        <v>0</v>
      </c>
      <c r="N218" s="12">
        <f t="shared" si="26"/>
        <v>0</v>
      </c>
      <c r="O218" s="12">
        <f t="shared" si="27"/>
        <v>0</v>
      </c>
      <c r="P218" s="12">
        <f t="shared" si="28"/>
        <v>0</v>
      </c>
      <c r="Q218" s="12">
        <f t="shared" si="29"/>
        <v>0</v>
      </c>
      <c r="R218" s="12">
        <f t="shared" si="30"/>
        <v>0</v>
      </c>
      <c r="S218" s="12">
        <f t="shared" si="31"/>
        <v>0</v>
      </c>
      <c r="T218" s="31">
        <v>0</v>
      </c>
      <c r="U218" s="31">
        <v>0</v>
      </c>
      <c r="V218" s="31">
        <v>0</v>
      </c>
      <c r="W218" s="31">
        <v>0</v>
      </c>
      <c r="X218" s="31">
        <v>0</v>
      </c>
      <c r="Y218" s="31">
        <v>0</v>
      </c>
      <c r="Z218" s="31">
        <v>0</v>
      </c>
      <c r="AA218" s="31">
        <v>0</v>
      </c>
      <c r="AB218" s="31">
        <v>0</v>
      </c>
      <c r="AC218" s="31">
        <v>0</v>
      </c>
      <c r="AD218" s="31">
        <v>0</v>
      </c>
      <c r="AE218" s="31">
        <v>0</v>
      </c>
      <c r="AF218" s="31">
        <v>0</v>
      </c>
      <c r="AG218" s="31">
        <v>0</v>
      </c>
      <c r="AH218" s="31">
        <v>0</v>
      </c>
      <c r="AI218" s="31">
        <v>0</v>
      </c>
      <c r="AJ218" s="31">
        <v>0</v>
      </c>
      <c r="AK218" s="31">
        <v>0</v>
      </c>
      <c r="AL218" s="31">
        <v>0</v>
      </c>
      <c r="AM218" s="31">
        <v>0</v>
      </c>
      <c r="AN218" s="31">
        <v>0</v>
      </c>
      <c r="AO218" s="31">
        <v>0</v>
      </c>
      <c r="AP218" s="31">
        <v>0</v>
      </c>
    </row>
    <row r="219" spans="1:42" x14ac:dyDescent="0.25">
      <c r="A219" s="31">
        <v>30</v>
      </c>
      <c r="B219" s="31">
        <v>24604</v>
      </c>
      <c r="C219" s="31">
        <v>1</v>
      </c>
      <c r="D219" s="31" t="s">
        <v>634</v>
      </c>
      <c r="E219" s="31"/>
      <c r="F219" s="31">
        <v>0</v>
      </c>
      <c r="G219" s="31">
        <v>0</v>
      </c>
      <c r="H219" s="31">
        <v>0</v>
      </c>
      <c r="I219" s="31">
        <v>0</v>
      </c>
      <c r="J219" s="31">
        <v>0</v>
      </c>
      <c r="K219" s="31" t="s">
        <v>882</v>
      </c>
      <c r="L219" s="2" t="str">
        <f t="shared" si="24"/>
        <v>Рихтовка</v>
      </c>
      <c r="M219" s="12">
        <f t="shared" si="25"/>
        <v>0</v>
      </c>
      <c r="N219" s="12">
        <f t="shared" si="26"/>
        <v>0</v>
      </c>
      <c r="O219" s="12">
        <f t="shared" si="27"/>
        <v>0</v>
      </c>
      <c r="P219" s="12">
        <f t="shared" si="28"/>
        <v>0</v>
      </c>
      <c r="Q219" s="12">
        <f t="shared" si="29"/>
        <v>0</v>
      </c>
      <c r="R219" s="12">
        <f t="shared" si="30"/>
        <v>0</v>
      </c>
      <c r="S219" s="12">
        <f t="shared" si="31"/>
        <v>0</v>
      </c>
      <c r="T219" s="31">
        <v>0</v>
      </c>
      <c r="U219" s="31">
        <v>0</v>
      </c>
      <c r="V219" s="31">
        <v>0</v>
      </c>
      <c r="W219" s="31">
        <v>0</v>
      </c>
      <c r="X219" s="31">
        <v>0</v>
      </c>
      <c r="Y219" s="31">
        <v>0</v>
      </c>
      <c r="Z219" s="31">
        <v>0</v>
      </c>
      <c r="AA219" s="31">
        <v>0</v>
      </c>
      <c r="AB219" s="31">
        <v>0</v>
      </c>
      <c r="AC219" s="31">
        <v>0</v>
      </c>
      <c r="AD219" s="31">
        <v>0</v>
      </c>
      <c r="AE219" s="31">
        <v>0</v>
      </c>
      <c r="AF219" s="31">
        <v>0</v>
      </c>
      <c r="AG219" s="31">
        <v>0</v>
      </c>
      <c r="AH219" s="31">
        <v>0</v>
      </c>
      <c r="AI219" s="31">
        <v>0</v>
      </c>
      <c r="AJ219" s="31">
        <v>0</v>
      </c>
      <c r="AK219" s="31">
        <v>0</v>
      </c>
      <c r="AL219" s="31">
        <v>0</v>
      </c>
      <c r="AM219" s="31">
        <v>0</v>
      </c>
      <c r="AN219" s="31">
        <v>0</v>
      </c>
      <c r="AO219" s="31">
        <v>0</v>
      </c>
      <c r="AP219" s="31">
        <v>0</v>
      </c>
    </row>
    <row r="220" spans="1:42" x14ac:dyDescent="0.25">
      <c r="A220" s="31">
        <v>31</v>
      </c>
      <c r="B220" s="31">
        <v>24604</v>
      </c>
      <c r="C220" s="31">
        <v>1</v>
      </c>
      <c r="D220" s="31" t="s">
        <v>635</v>
      </c>
      <c r="E220" s="31"/>
      <c r="F220" s="31">
        <v>0</v>
      </c>
      <c r="G220" s="31">
        <v>0</v>
      </c>
      <c r="H220" s="31">
        <v>0</v>
      </c>
      <c r="I220" s="31">
        <v>0</v>
      </c>
      <c r="J220" s="31">
        <v>0</v>
      </c>
      <c r="K220" s="31" t="s">
        <v>882</v>
      </c>
      <c r="L220" s="2" t="str">
        <f t="shared" si="24"/>
        <v>Рихтовка</v>
      </c>
      <c r="M220" s="12">
        <f t="shared" si="25"/>
        <v>0</v>
      </c>
      <c r="N220" s="12">
        <f t="shared" si="26"/>
        <v>0</v>
      </c>
      <c r="O220" s="12">
        <f t="shared" si="27"/>
        <v>0</v>
      </c>
      <c r="P220" s="12">
        <f t="shared" si="28"/>
        <v>0</v>
      </c>
      <c r="Q220" s="12">
        <f t="shared" si="29"/>
        <v>0</v>
      </c>
      <c r="R220" s="12">
        <f t="shared" si="30"/>
        <v>0</v>
      </c>
      <c r="S220" s="12">
        <f t="shared" si="31"/>
        <v>0</v>
      </c>
      <c r="T220" s="31">
        <v>0</v>
      </c>
      <c r="U220" s="31">
        <v>0</v>
      </c>
      <c r="V220" s="31">
        <v>0</v>
      </c>
      <c r="W220" s="31">
        <v>0</v>
      </c>
      <c r="X220" s="31">
        <v>0</v>
      </c>
      <c r="Y220" s="31">
        <v>0</v>
      </c>
      <c r="Z220" s="31">
        <v>0</v>
      </c>
      <c r="AA220" s="31">
        <v>0</v>
      </c>
      <c r="AB220" s="31">
        <v>0</v>
      </c>
      <c r="AC220" s="31">
        <v>0</v>
      </c>
      <c r="AD220" s="31">
        <v>0</v>
      </c>
      <c r="AE220" s="31">
        <v>0</v>
      </c>
      <c r="AF220" s="31">
        <v>0</v>
      </c>
      <c r="AG220" s="31">
        <v>0</v>
      </c>
      <c r="AH220" s="31">
        <v>0</v>
      </c>
      <c r="AI220" s="31">
        <v>0</v>
      </c>
      <c r="AJ220" s="31">
        <v>0</v>
      </c>
      <c r="AK220" s="31">
        <v>0</v>
      </c>
      <c r="AL220" s="31">
        <v>0</v>
      </c>
      <c r="AM220" s="31">
        <v>0</v>
      </c>
      <c r="AN220" s="31">
        <v>0</v>
      </c>
      <c r="AO220" s="31">
        <v>0</v>
      </c>
      <c r="AP220" s="31">
        <v>0</v>
      </c>
    </row>
    <row r="221" spans="1:42" x14ac:dyDescent="0.25">
      <c r="A221" s="31">
        <v>31</v>
      </c>
      <c r="B221" s="31">
        <v>24604</v>
      </c>
      <c r="C221" s="31">
        <v>1</v>
      </c>
      <c r="D221" s="31" t="s">
        <v>636</v>
      </c>
      <c r="E221" s="31"/>
      <c r="F221" s="31">
        <v>0</v>
      </c>
      <c r="G221" s="31">
        <v>0</v>
      </c>
      <c r="H221" s="31">
        <v>0</v>
      </c>
      <c r="I221" s="31">
        <v>0</v>
      </c>
      <c r="J221" s="31">
        <v>0</v>
      </c>
      <c r="K221" s="31" t="s">
        <v>882</v>
      </c>
      <c r="L221" s="2" t="str">
        <f t="shared" si="24"/>
        <v>Рихтовка</v>
      </c>
      <c r="M221" s="12">
        <f t="shared" si="25"/>
        <v>0</v>
      </c>
      <c r="N221" s="12">
        <f t="shared" si="26"/>
        <v>0</v>
      </c>
      <c r="O221" s="12">
        <f t="shared" si="27"/>
        <v>0</v>
      </c>
      <c r="P221" s="12">
        <f t="shared" si="28"/>
        <v>0</v>
      </c>
      <c r="Q221" s="12">
        <f t="shared" si="29"/>
        <v>0</v>
      </c>
      <c r="R221" s="12">
        <f t="shared" si="30"/>
        <v>0</v>
      </c>
      <c r="S221" s="12">
        <f t="shared" si="31"/>
        <v>0</v>
      </c>
      <c r="T221" s="31">
        <v>0</v>
      </c>
      <c r="U221" s="31">
        <v>0</v>
      </c>
      <c r="V221" s="31">
        <v>0</v>
      </c>
      <c r="W221" s="31">
        <v>0</v>
      </c>
      <c r="X221" s="31">
        <v>0</v>
      </c>
      <c r="Y221" s="31">
        <v>0</v>
      </c>
      <c r="Z221" s="31">
        <v>0</v>
      </c>
      <c r="AA221" s="31">
        <v>0</v>
      </c>
      <c r="AB221" s="31">
        <v>0</v>
      </c>
      <c r="AC221" s="31">
        <v>0</v>
      </c>
      <c r="AD221" s="31">
        <v>0</v>
      </c>
      <c r="AE221" s="31">
        <v>0</v>
      </c>
      <c r="AF221" s="31">
        <v>0</v>
      </c>
      <c r="AG221" s="31">
        <v>0</v>
      </c>
      <c r="AH221" s="31">
        <v>0</v>
      </c>
      <c r="AI221" s="31">
        <v>0</v>
      </c>
      <c r="AJ221" s="31">
        <v>0</v>
      </c>
      <c r="AK221" s="31">
        <v>0</v>
      </c>
      <c r="AL221" s="31">
        <v>0</v>
      </c>
      <c r="AM221" s="31">
        <v>0</v>
      </c>
      <c r="AN221" s="31">
        <v>0</v>
      </c>
      <c r="AO221" s="31">
        <v>0</v>
      </c>
      <c r="AP221" s="31">
        <v>0</v>
      </c>
    </row>
    <row r="222" spans="1:42" x14ac:dyDescent="0.25">
      <c r="A222" s="31">
        <v>31</v>
      </c>
      <c r="B222" s="31">
        <v>24604</v>
      </c>
      <c r="C222" s="31">
        <v>1</v>
      </c>
      <c r="D222" s="31" t="s">
        <v>637</v>
      </c>
      <c r="E222" s="31"/>
      <c r="F222" s="31">
        <v>0</v>
      </c>
      <c r="G222" s="31">
        <v>0</v>
      </c>
      <c r="H222" s="31">
        <v>0</v>
      </c>
      <c r="I222" s="31">
        <v>0</v>
      </c>
      <c r="J222" s="31">
        <v>0</v>
      </c>
      <c r="K222" s="31" t="s">
        <v>882</v>
      </c>
      <c r="L222" s="2" t="str">
        <f t="shared" si="24"/>
        <v>Рихтовка</v>
      </c>
      <c r="M222" s="12">
        <f t="shared" si="25"/>
        <v>0</v>
      </c>
      <c r="N222" s="12">
        <f t="shared" si="26"/>
        <v>0</v>
      </c>
      <c r="O222" s="12">
        <f t="shared" si="27"/>
        <v>0</v>
      </c>
      <c r="P222" s="12">
        <f t="shared" si="28"/>
        <v>0</v>
      </c>
      <c r="Q222" s="12">
        <f t="shared" si="29"/>
        <v>0</v>
      </c>
      <c r="R222" s="12">
        <f t="shared" si="30"/>
        <v>0</v>
      </c>
      <c r="S222" s="12">
        <f t="shared" si="31"/>
        <v>0</v>
      </c>
      <c r="T222" s="31">
        <v>0</v>
      </c>
      <c r="U222" s="31">
        <v>0</v>
      </c>
      <c r="V222" s="31">
        <v>0</v>
      </c>
      <c r="W222" s="31">
        <v>0</v>
      </c>
      <c r="X222" s="31">
        <v>0</v>
      </c>
      <c r="Y222" s="31">
        <v>0</v>
      </c>
      <c r="Z222" s="31">
        <v>0</v>
      </c>
      <c r="AA222" s="31">
        <v>0</v>
      </c>
      <c r="AB222" s="31">
        <v>0</v>
      </c>
      <c r="AC222" s="31">
        <v>0</v>
      </c>
      <c r="AD222" s="31">
        <v>0</v>
      </c>
      <c r="AE222" s="31">
        <v>0</v>
      </c>
      <c r="AF222" s="31">
        <v>0</v>
      </c>
      <c r="AG222" s="31">
        <v>0</v>
      </c>
      <c r="AH222" s="31">
        <v>0</v>
      </c>
      <c r="AI222" s="31">
        <v>0</v>
      </c>
      <c r="AJ222" s="31">
        <v>0</v>
      </c>
      <c r="AK222" s="31">
        <v>0</v>
      </c>
      <c r="AL222" s="31">
        <v>0</v>
      </c>
      <c r="AM222" s="31">
        <v>0</v>
      </c>
      <c r="AN222" s="31">
        <v>0</v>
      </c>
      <c r="AO222" s="31">
        <v>0</v>
      </c>
      <c r="AP222" s="31">
        <v>0</v>
      </c>
    </row>
    <row r="223" spans="1:42" x14ac:dyDescent="0.25">
      <c r="A223" s="31">
        <v>31</v>
      </c>
      <c r="B223" s="31">
        <v>24604</v>
      </c>
      <c r="C223" s="31">
        <v>1</v>
      </c>
      <c r="D223" s="31" t="s">
        <v>638</v>
      </c>
      <c r="E223" s="31"/>
      <c r="F223" s="31">
        <v>0</v>
      </c>
      <c r="G223" s="31">
        <v>0</v>
      </c>
      <c r="H223" s="31">
        <v>0</v>
      </c>
      <c r="I223" s="31">
        <v>0</v>
      </c>
      <c r="J223" s="31">
        <v>0</v>
      </c>
      <c r="K223" s="31" t="s">
        <v>882</v>
      </c>
      <c r="L223" s="2" t="str">
        <f t="shared" si="24"/>
        <v>Рихтовка</v>
      </c>
      <c r="M223" s="12">
        <f t="shared" si="25"/>
        <v>0</v>
      </c>
      <c r="N223" s="12">
        <f t="shared" si="26"/>
        <v>0</v>
      </c>
      <c r="O223" s="12">
        <f t="shared" si="27"/>
        <v>0</v>
      </c>
      <c r="P223" s="12">
        <f t="shared" si="28"/>
        <v>0</v>
      </c>
      <c r="Q223" s="12">
        <f t="shared" si="29"/>
        <v>0</v>
      </c>
      <c r="R223" s="12">
        <f t="shared" si="30"/>
        <v>0</v>
      </c>
      <c r="S223" s="12">
        <f t="shared" si="31"/>
        <v>0</v>
      </c>
      <c r="T223" s="31">
        <v>0</v>
      </c>
      <c r="U223" s="31">
        <v>0</v>
      </c>
      <c r="V223" s="31">
        <v>0</v>
      </c>
      <c r="W223" s="31">
        <v>0</v>
      </c>
      <c r="X223" s="31">
        <v>0</v>
      </c>
      <c r="Y223" s="31">
        <v>0</v>
      </c>
      <c r="Z223" s="31">
        <v>0</v>
      </c>
      <c r="AA223" s="31">
        <v>0</v>
      </c>
      <c r="AB223" s="31">
        <v>0</v>
      </c>
      <c r="AC223" s="31">
        <v>0</v>
      </c>
      <c r="AD223" s="31">
        <v>0</v>
      </c>
      <c r="AE223" s="31">
        <v>0</v>
      </c>
      <c r="AF223" s="31">
        <v>0</v>
      </c>
      <c r="AG223" s="31">
        <v>0</v>
      </c>
      <c r="AH223" s="31">
        <v>0</v>
      </c>
      <c r="AI223" s="31">
        <v>0</v>
      </c>
      <c r="AJ223" s="31">
        <v>0</v>
      </c>
      <c r="AK223" s="31">
        <v>0</v>
      </c>
      <c r="AL223" s="31">
        <v>0</v>
      </c>
      <c r="AM223" s="31">
        <v>0</v>
      </c>
      <c r="AN223" s="31">
        <v>0</v>
      </c>
      <c r="AO223" s="31">
        <v>0</v>
      </c>
      <c r="AP223" s="31">
        <v>0</v>
      </c>
    </row>
    <row r="224" spans="1:42" x14ac:dyDescent="0.25">
      <c r="A224" s="31">
        <v>31</v>
      </c>
      <c r="B224" s="31">
        <v>24604</v>
      </c>
      <c r="C224" s="31">
        <v>1</v>
      </c>
      <c r="D224" s="31" t="s">
        <v>639</v>
      </c>
      <c r="E224" s="31"/>
      <c r="F224" s="31">
        <v>0</v>
      </c>
      <c r="G224" s="31">
        <v>0</v>
      </c>
      <c r="H224" s="31">
        <v>0</v>
      </c>
      <c r="I224" s="31">
        <v>0</v>
      </c>
      <c r="J224" s="31">
        <v>0</v>
      </c>
      <c r="K224" s="31" t="s">
        <v>882</v>
      </c>
      <c r="L224" s="2" t="str">
        <f t="shared" si="24"/>
        <v>Рихтовка</v>
      </c>
      <c r="M224" s="12">
        <f t="shared" si="25"/>
        <v>0</v>
      </c>
      <c r="N224" s="12">
        <f t="shared" si="26"/>
        <v>0</v>
      </c>
      <c r="O224" s="12">
        <f t="shared" si="27"/>
        <v>0</v>
      </c>
      <c r="P224" s="12">
        <f t="shared" si="28"/>
        <v>0</v>
      </c>
      <c r="Q224" s="12">
        <f t="shared" si="29"/>
        <v>0</v>
      </c>
      <c r="R224" s="12">
        <f t="shared" si="30"/>
        <v>0</v>
      </c>
      <c r="S224" s="12">
        <f t="shared" si="31"/>
        <v>0</v>
      </c>
      <c r="T224" s="31">
        <v>0</v>
      </c>
      <c r="U224" s="31">
        <v>0</v>
      </c>
      <c r="V224" s="31">
        <v>0</v>
      </c>
      <c r="W224" s="31">
        <v>0</v>
      </c>
      <c r="X224" s="31">
        <v>0</v>
      </c>
      <c r="Y224" s="31">
        <v>0</v>
      </c>
      <c r="Z224" s="31">
        <v>0</v>
      </c>
      <c r="AA224" s="31">
        <v>0</v>
      </c>
      <c r="AB224" s="31">
        <v>0</v>
      </c>
      <c r="AC224" s="31">
        <v>0</v>
      </c>
      <c r="AD224" s="31">
        <v>0</v>
      </c>
      <c r="AE224" s="31">
        <v>0</v>
      </c>
      <c r="AF224" s="31">
        <v>0</v>
      </c>
      <c r="AG224" s="31">
        <v>0</v>
      </c>
      <c r="AH224" s="31">
        <v>0</v>
      </c>
      <c r="AI224" s="31">
        <v>0</v>
      </c>
      <c r="AJ224" s="31">
        <v>0</v>
      </c>
      <c r="AK224" s="31">
        <v>0</v>
      </c>
      <c r="AL224" s="31">
        <v>0</v>
      </c>
      <c r="AM224" s="31">
        <v>0</v>
      </c>
      <c r="AN224" s="31">
        <v>0</v>
      </c>
      <c r="AO224" s="31">
        <v>0</v>
      </c>
      <c r="AP224" s="31">
        <v>0</v>
      </c>
    </row>
    <row r="225" spans="1:42" x14ac:dyDescent="0.25">
      <c r="A225" s="31">
        <v>31</v>
      </c>
      <c r="B225" s="31">
        <v>24604</v>
      </c>
      <c r="C225" s="31">
        <v>1</v>
      </c>
      <c r="D225" s="31" t="s">
        <v>640</v>
      </c>
      <c r="E225" s="31"/>
      <c r="F225" s="31">
        <v>0</v>
      </c>
      <c r="G225" s="31">
        <v>0</v>
      </c>
      <c r="H225" s="31">
        <v>0</v>
      </c>
      <c r="I225" s="31">
        <v>0</v>
      </c>
      <c r="J225" s="31">
        <v>0</v>
      </c>
      <c r="K225" s="31" t="s">
        <v>882</v>
      </c>
      <c r="L225" s="2" t="str">
        <f t="shared" si="24"/>
        <v>Рихтовка</v>
      </c>
      <c r="M225" s="12">
        <f t="shared" si="25"/>
        <v>0</v>
      </c>
      <c r="N225" s="12">
        <f t="shared" si="26"/>
        <v>0</v>
      </c>
      <c r="O225" s="12">
        <f t="shared" si="27"/>
        <v>0</v>
      </c>
      <c r="P225" s="12">
        <f t="shared" si="28"/>
        <v>0</v>
      </c>
      <c r="Q225" s="12">
        <f t="shared" si="29"/>
        <v>0</v>
      </c>
      <c r="R225" s="12">
        <f t="shared" si="30"/>
        <v>0</v>
      </c>
      <c r="S225" s="12">
        <f t="shared" si="31"/>
        <v>0</v>
      </c>
      <c r="T225" s="31">
        <v>0</v>
      </c>
      <c r="U225" s="31">
        <v>0</v>
      </c>
      <c r="V225" s="31">
        <v>0</v>
      </c>
      <c r="W225" s="31">
        <v>0</v>
      </c>
      <c r="X225" s="31">
        <v>0</v>
      </c>
      <c r="Y225" s="31">
        <v>0</v>
      </c>
      <c r="Z225" s="31">
        <v>0</v>
      </c>
      <c r="AA225" s="31">
        <v>0</v>
      </c>
      <c r="AB225" s="31">
        <v>0</v>
      </c>
      <c r="AC225" s="31">
        <v>0</v>
      </c>
      <c r="AD225" s="31">
        <v>0</v>
      </c>
      <c r="AE225" s="31">
        <v>0</v>
      </c>
      <c r="AF225" s="31">
        <v>0</v>
      </c>
      <c r="AG225" s="31">
        <v>0</v>
      </c>
      <c r="AH225" s="31">
        <v>0</v>
      </c>
      <c r="AI225" s="31">
        <v>0</v>
      </c>
      <c r="AJ225" s="31">
        <v>0</v>
      </c>
      <c r="AK225" s="31">
        <v>0</v>
      </c>
      <c r="AL225" s="31">
        <v>0</v>
      </c>
      <c r="AM225" s="31">
        <v>0</v>
      </c>
      <c r="AN225" s="31">
        <v>0</v>
      </c>
      <c r="AO225" s="31">
        <v>0</v>
      </c>
      <c r="AP225" s="31">
        <v>0</v>
      </c>
    </row>
    <row r="226" spans="1:42" x14ac:dyDescent="0.25">
      <c r="A226" s="31">
        <v>31</v>
      </c>
      <c r="B226" s="31">
        <v>24604</v>
      </c>
      <c r="C226" s="31">
        <v>1</v>
      </c>
      <c r="D226" s="31" t="s">
        <v>641</v>
      </c>
      <c r="E226" s="31"/>
      <c r="F226" s="31">
        <v>0</v>
      </c>
      <c r="G226" s="31">
        <v>0</v>
      </c>
      <c r="H226" s="31">
        <v>0</v>
      </c>
      <c r="I226" s="31">
        <v>0</v>
      </c>
      <c r="J226" s="31">
        <v>0</v>
      </c>
      <c r="K226" s="31" t="s">
        <v>882</v>
      </c>
      <c r="L226" s="2" t="str">
        <f t="shared" si="24"/>
        <v>Рихтовка</v>
      </c>
      <c r="M226" s="12">
        <f t="shared" si="25"/>
        <v>0</v>
      </c>
      <c r="N226" s="12">
        <f t="shared" si="26"/>
        <v>0</v>
      </c>
      <c r="O226" s="12">
        <f t="shared" si="27"/>
        <v>0</v>
      </c>
      <c r="P226" s="12">
        <f t="shared" si="28"/>
        <v>0</v>
      </c>
      <c r="Q226" s="12">
        <f t="shared" si="29"/>
        <v>0</v>
      </c>
      <c r="R226" s="12">
        <f t="shared" si="30"/>
        <v>0</v>
      </c>
      <c r="S226" s="12">
        <f t="shared" si="31"/>
        <v>0</v>
      </c>
      <c r="T226" s="31">
        <v>0</v>
      </c>
      <c r="U226" s="31">
        <v>0</v>
      </c>
      <c r="V226" s="31">
        <v>0</v>
      </c>
      <c r="W226" s="31">
        <v>0</v>
      </c>
      <c r="X226" s="31">
        <v>0</v>
      </c>
      <c r="Y226" s="31">
        <v>0</v>
      </c>
      <c r="Z226" s="31">
        <v>0</v>
      </c>
      <c r="AA226" s="31">
        <v>0</v>
      </c>
      <c r="AB226" s="31">
        <v>0</v>
      </c>
      <c r="AC226" s="31">
        <v>0</v>
      </c>
      <c r="AD226" s="31">
        <v>0</v>
      </c>
      <c r="AE226" s="31">
        <v>0</v>
      </c>
      <c r="AF226" s="31">
        <v>0</v>
      </c>
      <c r="AG226" s="31">
        <v>0</v>
      </c>
      <c r="AH226" s="31">
        <v>0</v>
      </c>
      <c r="AI226" s="31">
        <v>0</v>
      </c>
      <c r="AJ226" s="31">
        <v>0</v>
      </c>
      <c r="AK226" s="31">
        <v>0</v>
      </c>
      <c r="AL226" s="31">
        <v>0</v>
      </c>
      <c r="AM226" s="31">
        <v>0</v>
      </c>
      <c r="AN226" s="31">
        <v>0</v>
      </c>
      <c r="AO226" s="31">
        <v>0</v>
      </c>
      <c r="AP226" s="31">
        <v>0</v>
      </c>
    </row>
    <row r="227" spans="1:42" x14ac:dyDescent="0.25">
      <c r="A227" s="31">
        <v>31</v>
      </c>
      <c r="B227" s="31">
        <v>24604</v>
      </c>
      <c r="C227" s="31">
        <v>1</v>
      </c>
      <c r="D227" s="31" t="s">
        <v>642</v>
      </c>
      <c r="E227" s="31"/>
      <c r="F227" s="31">
        <v>0</v>
      </c>
      <c r="G227" s="31">
        <v>0</v>
      </c>
      <c r="H227" s="31">
        <v>0</v>
      </c>
      <c r="I227" s="31">
        <v>0</v>
      </c>
      <c r="J227" s="31">
        <v>0</v>
      </c>
      <c r="K227" s="31" t="s">
        <v>882</v>
      </c>
      <c r="L227" s="2" t="str">
        <f t="shared" si="24"/>
        <v>Рихтовка</v>
      </c>
      <c r="M227" s="12">
        <f t="shared" si="25"/>
        <v>0</v>
      </c>
      <c r="N227" s="12">
        <f t="shared" si="26"/>
        <v>0</v>
      </c>
      <c r="O227" s="12">
        <f t="shared" si="27"/>
        <v>0</v>
      </c>
      <c r="P227" s="12">
        <f t="shared" si="28"/>
        <v>0</v>
      </c>
      <c r="Q227" s="12">
        <f t="shared" si="29"/>
        <v>0</v>
      </c>
      <c r="R227" s="12">
        <f t="shared" si="30"/>
        <v>0</v>
      </c>
      <c r="S227" s="12">
        <f t="shared" si="31"/>
        <v>0</v>
      </c>
      <c r="T227" s="31">
        <v>0</v>
      </c>
      <c r="U227" s="31">
        <v>0</v>
      </c>
      <c r="V227" s="31">
        <v>0</v>
      </c>
      <c r="W227" s="31">
        <v>0</v>
      </c>
      <c r="X227" s="31">
        <v>0</v>
      </c>
      <c r="Y227" s="31">
        <v>0</v>
      </c>
      <c r="Z227" s="31">
        <v>0</v>
      </c>
      <c r="AA227" s="31">
        <v>0</v>
      </c>
      <c r="AB227" s="31">
        <v>0</v>
      </c>
      <c r="AC227" s="31">
        <v>0</v>
      </c>
      <c r="AD227" s="31">
        <v>0</v>
      </c>
      <c r="AE227" s="31">
        <v>0</v>
      </c>
      <c r="AF227" s="31">
        <v>0</v>
      </c>
      <c r="AG227" s="31">
        <v>0</v>
      </c>
      <c r="AH227" s="31">
        <v>0</v>
      </c>
      <c r="AI227" s="31">
        <v>0</v>
      </c>
      <c r="AJ227" s="31">
        <v>0</v>
      </c>
      <c r="AK227" s="31">
        <v>0</v>
      </c>
      <c r="AL227" s="31">
        <v>0</v>
      </c>
      <c r="AM227" s="31">
        <v>0</v>
      </c>
      <c r="AN227" s="31">
        <v>0</v>
      </c>
      <c r="AO227" s="31">
        <v>0</v>
      </c>
      <c r="AP227" s="31">
        <v>0</v>
      </c>
    </row>
    <row r="228" spans="1:42" x14ac:dyDescent="0.25">
      <c r="A228" s="31">
        <v>31</v>
      </c>
      <c r="B228" s="31">
        <v>24604</v>
      </c>
      <c r="C228" s="31">
        <v>1</v>
      </c>
      <c r="D228" s="31" t="s">
        <v>643</v>
      </c>
      <c r="E228" s="31"/>
      <c r="F228" s="31">
        <v>0</v>
      </c>
      <c r="G228" s="31">
        <v>0</v>
      </c>
      <c r="H228" s="31">
        <v>0</v>
      </c>
      <c r="I228" s="31">
        <v>0</v>
      </c>
      <c r="J228" s="31">
        <v>0</v>
      </c>
      <c r="K228" s="31" t="s">
        <v>882</v>
      </c>
      <c r="L228" s="2" t="str">
        <f t="shared" si="24"/>
        <v>Рихтовка</v>
      </c>
      <c r="M228" s="12">
        <f t="shared" si="25"/>
        <v>0</v>
      </c>
      <c r="N228" s="12">
        <f t="shared" si="26"/>
        <v>0</v>
      </c>
      <c r="O228" s="12">
        <f t="shared" si="27"/>
        <v>0</v>
      </c>
      <c r="P228" s="12">
        <f t="shared" si="28"/>
        <v>0</v>
      </c>
      <c r="Q228" s="12">
        <f t="shared" si="29"/>
        <v>0</v>
      </c>
      <c r="R228" s="12">
        <f t="shared" si="30"/>
        <v>0</v>
      </c>
      <c r="S228" s="12">
        <f t="shared" si="31"/>
        <v>0</v>
      </c>
      <c r="T228" s="31">
        <v>0</v>
      </c>
      <c r="U228" s="31">
        <v>0</v>
      </c>
      <c r="V228" s="31">
        <v>0</v>
      </c>
      <c r="W228" s="31">
        <v>0</v>
      </c>
      <c r="X228" s="31">
        <v>0</v>
      </c>
      <c r="Y228" s="31">
        <v>0</v>
      </c>
      <c r="Z228" s="31">
        <v>0</v>
      </c>
      <c r="AA228" s="31">
        <v>0</v>
      </c>
      <c r="AB228" s="31">
        <v>0</v>
      </c>
      <c r="AC228" s="31">
        <v>0</v>
      </c>
      <c r="AD228" s="31">
        <v>0</v>
      </c>
      <c r="AE228" s="31">
        <v>0</v>
      </c>
      <c r="AF228" s="31">
        <v>0</v>
      </c>
      <c r="AG228" s="31">
        <v>0</v>
      </c>
      <c r="AH228" s="31">
        <v>0</v>
      </c>
      <c r="AI228" s="31">
        <v>0</v>
      </c>
      <c r="AJ228" s="31">
        <v>0</v>
      </c>
      <c r="AK228" s="31">
        <v>0</v>
      </c>
      <c r="AL228" s="31">
        <v>0</v>
      </c>
      <c r="AM228" s="31">
        <v>0</v>
      </c>
      <c r="AN228" s="31">
        <v>0</v>
      </c>
      <c r="AO228" s="31">
        <v>0</v>
      </c>
      <c r="AP228" s="31">
        <v>0</v>
      </c>
    </row>
    <row r="229" spans="1:42" x14ac:dyDescent="0.25">
      <c r="A229" s="31">
        <v>31</v>
      </c>
      <c r="B229" s="31">
        <v>24604</v>
      </c>
      <c r="C229" s="31">
        <v>1</v>
      </c>
      <c r="D229" s="31" t="s">
        <v>644</v>
      </c>
      <c r="E229" s="31"/>
      <c r="F229" s="31">
        <v>0</v>
      </c>
      <c r="G229" s="31">
        <v>0</v>
      </c>
      <c r="H229" s="31">
        <v>0</v>
      </c>
      <c r="I229" s="31">
        <v>0</v>
      </c>
      <c r="J229" s="31">
        <v>0</v>
      </c>
      <c r="K229" s="31" t="s">
        <v>882</v>
      </c>
      <c r="L229" s="2" t="str">
        <f t="shared" si="24"/>
        <v>Рихтовка</v>
      </c>
      <c r="M229" s="12">
        <f t="shared" si="25"/>
        <v>0</v>
      </c>
      <c r="N229" s="12">
        <f t="shared" si="26"/>
        <v>0</v>
      </c>
      <c r="O229" s="12">
        <f t="shared" si="27"/>
        <v>0</v>
      </c>
      <c r="P229" s="12">
        <f t="shared" si="28"/>
        <v>0</v>
      </c>
      <c r="Q229" s="12">
        <f t="shared" si="29"/>
        <v>0</v>
      </c>
      <c r="R229" s="12">
        <f t="shared" si="30"/>
        <v>0</v>
      </c>
      <c r="S229" s="12">
        <f t="shared" si="31"/>
        <v>0</v>
      </c>
      <c r="T229" s="31">
        <v>0</v>
      </c>
      <c r="U229" s="31">
        <v>0</v>
      </c>
      <c r="V229" s="31">
        <v>0</v>
      </c>
      <c r="W229" s="31">
        <v>0</v>
      </c>
      <c r="X229" s="31">
        <v>0</v>
      </c>
      <c r="Y229" s="31">
        <v>0</v>
      </c>
      <c r="Z229" s="31">
        <v>0</v>
      </c>
      <c r="AA229" s="31">
        <v>0</v>
      </c>
      <c r="AB229" s="31">
        <v>0</v>
      </c>
      <c r="AC229" s="31">
        <v>0</v>
      </c>
      <c r="AD229" s="31">
        <v>0</v>
      </c>
      <c r="AE229" s="31">
        <v>0</v>
      </c>
      <c r="AF229" s="31">
        <v>0</v>
      </c>
      <c r="AG229" s="31">
        <v>0</v>
      </c>
      <c r="AH229" s="31">
        <v>0</v>
      </c>
      <c r="AI229" s="31">
        <v>0</v>
      </c>
      <c r="AJ229" s="31">
        <v>0</v>
      </c>
      <c r="AK229" s="31">
        <v>0</v>
      </c>
      <c r="AL229" s="31">
        <v>0</v>
      </c>
      <c r="AM229" s="31">
        <v>0</v>
      </c>
      <c r="AN229" s="31">
        <v>0</v>
      </c>
      <c r="AO229" s="31">
        <v>0</v>
      </c>
      <c r="AP229" s="31">
        <v>0</v>
      </c>
    </row>
    <row r="230" spans="1:42" x14ac:dyDescent="0.25">
      <c r="A230" s="31">
        <v>31</v>
      </c>
      <c r="B230" s="31">
        <v>24604</v>
      </c>
      <c r="C230" s="31">
        <v>1</v>
      </c>
      <c r="D230" s="31" t="s">
        <v>645</v>
      </c>
      <c r="E230" s="31"/>
      <c r="F230" s="31">
        <v>0</v>
      </c>
      <c r="G230" s="31">
        <v>0</v>
      </c>
      <c r="H230" s="31">
        <v>0</v>
      </c>
      <c r="I230" s="31">
        <v>0</v>
      </c>
      <c r="J230" s="31">
        <v>0</v>
      </c>
      <c r="K230" s="31" t="s">
        <v>882</v>
      </c>
      <c r="L230" s="2" t="str">
        <f t="shared" si="24"/>
        <v>Рихтовка</v>
      </c>
      <c r="M230" s="12">
        <f t="shared" si="25"/>
        <v>0</v>
      </c>
      <c r="N230" s="12">
        <f t="shared" si="26"/>
        <v>0</v>
      </c>
      <c r="O230" s="12">
        <f t="shared" si="27"/>
        <v>0</v>
      </c>
      <c r="P230" s="12">
        <f t="shared" si="28"/>
        <v>0</v>
      </c>
      <c r="Q230" s="12">
        <f t="shared" si="29"/>
        <v>0</v>
      </c>
      <c r="R230" s="12">
        <f t="shared" si="30"/>
        <v>0</v>
      </c>
      <c r="S230" s="12">
        <f t="shared" si="31"/>
        <v>0</v>
      </c>
      <c r="T230" s="31">
        <v>0</v>
      </c>
      <c r="U230" s="31">
        <v>0</v>
      </c>
      <c r="V230" s="31">
        <v>0</v>
      </c>
      <c r="W230" s="31">
        <v>0</v>
      </c>
      <c r="X230" s="31">
        <v>0</v>
      </c>
      <c r="Y230" s="31">
        <v>0</v>
      </c>
      <c r="Z230" s="31">
        <v>0</v>
      </c>
      <c r="AA230" s="31">
        <v>0</v>
      </c>
      <c r="AB230" s="31">
        <v>0</v>
      </c>
      <c r="AC230" s="31">
        <v>0</v>
      </c>
      <c r="AD230" s="31">
        <v>0</v>
      </c>
      <c r="AE230" s="31">
        <v>0</v>
      </c>
      <c r="AF230" s="31">
        <v>0</v>
      </c>
      <c r="AG230" s="31">
        <v>0</v>
      </c>
      <c r="AH230" s="31">
        <v>0</v>
      </c>
      <c r="AI230" s="31">
        <v>0</v>
      </c>
      <c r="AJ230" s="31">
        <v>0</v>
      </c>
      <c r="AK230" s="31">
        <v>0</v>
      </c>
      <c r="AL230" s="31">
        <v>0</v>
      </c>
      <c r="AM230" s="31">
        <v>0</v>
      </c>
      <c r="AN230" s="31">
        <v>0</v>
      </c>
      <c r="AO230" s="31">
        <v>0</v>
      </c>
      <c r="AP230" s="31">
        <v>0</v>
      </c>
    </row>
    <row r="231" spans="1:42" x14ac:dyDescent="0.25">
      <c r="A231" s="31">
        <v>31</v>
      </c>
      <c r="B231" s="31">
        <v>24604</v>
      </c>
      <c r="C231" s="31">
        <v>1</v>
      </c>
      <c r="D231" s="31" t="s">
        <v>646</v>
      </c>
      <c r="E231" s="31"/>
      <c r="F231" s="31">
        <v>0</v>
      </c>
      <c r="G231" s="31">
        <v>0</v>
      </c>
      <c r="H231" s="31">
        <v>0</v>
      </c>
      <c r="I231" s="31">
        <v>0</v>
      </c>
      <c r="J231" s="31">
        <v>0</v>
      </c>
      <c r="K231" s="31" t="s">
        <v>882</v>
      </c>
      <c r="L231" s="2" t="str">
        <f t="shared" si="24"/>
        <v>Рихтовка</v>
      </c>
      <c r="M231" s="12">
        <f t="shared" si="25"/>
        <v>0</v>
      </c>
      <c r="N231" s="12">
        <f t="shared" si="26"/>
        <v>0</v>
      </c>
      <c r="O231" s="12">
        <f t="shared" si="27"/>
        <v>0</v>
      </c>
      <c r="P231" s="12">
        <f t="shared" si="28"/>
        <v>0</v>
      </c>
      <c r="Q231" s="12">
        <f t="shared" si="29"/>
        <v>0</v>
      </c>
      <c r="R231" s="12">
        <f t="shared" si="30"/>
        <v>0</v>
      </c>
      <c r="S231" s="12">
        <f t="shared" si="31"/>
        <v>0</v>
      </c>
      <c r="T231" s="31">
        <v>0</v>
      </c>
      <c r="U231" s="31">
        <v>0</v>
      </c>
      <c r="V231" s="31">
        <v>0</v>
      </c>
      <c r="W231" s="31">
        <v>0</v>
      </c>
      <c r="X231" s="31">
        <v>0</v>
      </c>
      <c r="Y231" s="31">
        <v>0</v>
      </c>
      <c r="Z231" s="31">
        <v>0</v>
      </c>
      <c r="AA231" s="31">
        <v>0</v>
      </c>
      <c r="AB231" s="31">
        <v>0</v>
      </c>
      <c r="AC231" s="31">
        <v>0</v>
      </c>
      <c r="AD231" s="31">
        <v>0</v>
      </c>
      <c r="AE231" s="31">
        <v>0</v>
      </c>
      <c r="AF231" s="31">
        <v>0</v>
      </c>
      <c r="AG231" s="31">
        <v>0</v>
      </c>
      <c r="AH231" s="31">
        <v>0</v>
      </c>
      <c r="AI231" s="31">
        <v>0</v>
      </c>
      <c r="AJ231" s="31">
        <v>0</v>
      </c>
      <c r="AK231" s="31">
        <v>0</v>
      </c>
      <c r="AL231" s="31">
        <v>0</v>
      </c>
      <c r="AM231" s="31">
        <v>0</v>
      </c>
      <c r="AN231" s="31">
        <v>0</v>
      </c>
      <c r="AO231" s="31">
        <v>0</v>
      </c>
      <c r="AP231" s="31">
        <v>0</v>
      </c>
    </row>
    <row r="232" spans="1:42" x14ac:dyDescent="0.25">
      <c r="A232" s="31">
        <v>31</v>
      </c>
      <c r="B232" s="31">
        <v>24604</v>
      </c>
      <c r="C232" s="31">
        <v>1</v>
      </c>
      <c r="D232" s="31" t="s">
        <v>647</v>
      </c>
      <c r="E232" s="31"/>
      <c r="F232" s="31">
        <v>0</v>
      </c>
      <c r="G232" s="31">
        <v>0</v>
      </c>
      <c r="H232" s="31">
        <v>0</v>
      </c>
      <c r="I232" s="31">
        <v>0</v>
      </c>
      <c r="J232" s="31">
        <v>0</v>
      </c>
      <c r="K232" s="31" t="s">
        <v>882</v>
      </c>
      <c r="L232" s="2" t="str">
        <f t="shared" si="24"/>
        <v>Рихтовка</v>
      </c>
      <c r="M232" s="12">
        <f t="shared" si="25"/>
        <v>0</v>
      </c>
      <c r="N232" s="12">
        <f t="shared" si="26"/>
        <v>0</v>
      </c>
      <c r="O232" s="12">
        <f t="shared" si="27"/>
        <v>0</v>
      </c>
      <c r="P232" s="12">
        <f t="shared" si="28"/>
        <v>0</v>
      </c>
      <c r="Q232" s="12">
        <f t="shared" si="29"/>
        <v>0</v>
      </c>
      <c r="R232" s="12">
        <f t="shared" si="30"/>
        <v>0</v>
      </c>
      <c r="S232" s="12">
        <f t="shared" si="31"/>
        <v>0</v>
      </c>
      <c r="T232" s="31">
        <v>0</v>
      </c>
      <c r="U232" s="31">
        <v>0</v>
      </c>
      <c r="V232" s="31">
        <v>0</v>
      </c>
      <c r="W232" s="31">
        <v>0</v>
      </c>
      <c r="X232" s="31">
        <v>0</v>
      </c>
      <c r="Y232" s="31">
        <v>0</v>
      </c>
      <c r="Z232" s="31">
        <v>0</v>
      </c>
      <c r="AA232" s="31">
        <v>0</v>
      </c>
      <c r="AB232" s="31">
        <v>0</v>
      </c>
      <c r="AC232" s="31">
        <v>0</v>
      </c>
      <c r="AD232" s="31">
        <v>0</v>
      </c>
      <c r="AE232" s="31">
        <v>0</v>
      </c>
      <c r="AF232" s="31">
        <v>0</v>
      </c>
      <c r="AG232" s="31">
        <v>0</v>
      </c>
      <c r="AH232" s="31">
        <v>0</v>
      </c>
      <c r="AI232" s="31">
        <v>0</v>
      </c>
      <c r="AJ232" s="31">
        <v>0</v>
      </c>
      <c r="AK232" s="31">
        <v>0</v>
      </c>
      <c r="AL232" s="31">
        <v>0</v>
      </c>
      <c r="AM232" s="31">
        <v>0</v>
      </c>
      <c r="AN232" s="31">
        <v>0</v>
      </c>
      <c r="AO232" s="31">
        <v>0</v>
      </c>
      <c r="AP232" s="31">
        <v>0</v>
      </c>
    </row>
    <row r="233" spans="1:42" x14ac:dyDescent="0.25">
      <c r="A233" s="31">
        <v>31</v>
      </c>
      <c r="B233" s="31">
        <v>24604</v>
      </c>
      <c r="C233" s="31">
        <v>1</v>
      </c>
      <c r="D233" s="31" t="s">
        <v>648</v>
      </c>
      <c r="E233" s="31"/>
      <c r="F233" s="31">
        <v>0</v>
      </c>
      <c r="G233" s="31">
        <v>0</v>
      </c>
      <c r="H233" s="31">
        <v>0</v>
      </c>
      <c r="I233" s="31">
        <v>0</v>
      </c>
      <c r="J233" s="31">
        <v>0</v>
      </c>
      <c r="K233" s="31" t="s">
        <v>882</v>
      </c>
      <c r="L233" s="2" t="str">
        <f t="shared" si="24"/>
        <v>Рихтовка</v>
      </c>
      <c r="M233" s="12">
        <f t="shared" si="25"/>
        <v>0</v>
      </c>
      <c r="N233" s="12">
        <f t="shared" si="26"/>
        <v>0</v>
      </c>
      <c r="O233" s="12">
        <f t="shared" si="27"/>
        <v>0</v>
      </c>
      <c r="P233" s="12">
        <f t="shared" si="28"/>
        <v>0</v>
      </c>
      <c r="Q233" s="12">
        <f t="shared" si="29"/>
        <v>0</v>
      </c>
      <c r="R233" s="12">
        <f t="shared" si="30"/>
        <v>0</v>
      </c>
      <c r="S233" s="12">
        <f t="shared" si="31"/>
        <v>0</v>
      </c>
      <c r="T233" s="31">
        <v>0</v>
      </c>
      <c r="U233" s="31">
        <v>0</v>
      </c>
      <c r="V233" s="31">
        <v>0</v>
      </c>
      <c r="W233" s="31">
        <v>0</v>
      </c>
      <c r="X233" s="31">
        <v>0</v>
      </c>
      <c r="Y233" s="31">
        <v>0</v>
      </c>
      <c r="Z233" s="31">
        <v>0</v>
      </c>
      <c r="AA233" s="31">
        <v>0</v>
      </c>
      <c r="AB233" s="31">
        <v>0</v>
      </c>
      <c r="AC233" s="31">
        <v>0</v>
      </c>
      <c r="AD233" s="31">
        <v>0</v>
      </c>
      <c r="AE233" s="31">
        <v>0</v>
      </c>
      <c r="AF233" s="31">
        <v>0</v>
      </c>
      <c r="AG233" s="31">
        <v>0</v>
      </c>
      <c r="AH233" s="31">
        <v>0</v>
      </c>
      <c r="AI233" s="31">
        <v>0</v>
      </c>
      <c r="AJ233" s="31">
        <v>0</v>
      </c>
      <c r="AK233" s="31">
        <v>0</v>
      </c>
      <c r="AL233" s="31">
        <v>0</v>
      </c>
      <c r="AM233" s="31">
        <v>0</v>
      </c>
      <c r="AN233" s="31">
        <v>0</v>
      </c>
      <c r="AO233" s="31">
        <v>0</v>
      </c>
      <c r="AP233" s="31">
        <v>0</v>
      </c>
    </row>
    <row r="234" spans="1:42" x14ac:dyDescent="0.25">
      <c r="A234" s="31">
        <v>16</v>
      </c>
      <c r="B234" s="31">
        <v>24604</v>
      </c>
      <c r="C234" s="31">
        <v>1</v>
      </c>
      <c r="D234" s="31" t="s">
        <v>648</v>
      </c>
      <c r="E234" s="31"/>
      <c r="F234" s="31">
        <v>0</v>
      </c>
      <c r="G234" s="31">
        <v>0</v>
      </c>
      <c r="H234" s="31">
        <v>0</v>
      </c>
      <c r="I234" s="31">
        <v>0</v>
      </c>
      <c r="J234" s="31">
        <v>0</v>
      </c>
      <c r="K234" s="31" t="s">
        <v>882</v>
      </c>
      <c r="L234" s="2" t="str">
        <f t="shared" si="24"/>
        <v>Рихтовка</v>
      </c>
      <c r="M234" s="12">
        <f t="shared" si="25"/>
        <v>0</v>
      </c>
      <c r="N234" s="12">
        <f t="shared" si="26"/>
        <v>0</v>
      </c>
      <c r="O234" s="12">
        <f t="shared" si="27"/>
        <v>0</v>
      </c>
      <c r="P234" s="12">
        <f t="shared" si="28"/>
        <v>0</v>
      </c>
      <c r="Q234" s="12">
        <f t="shared" si="29"/>
        <v>0</v>
      </c>
      <c r="R234" s="12">
        <f t="shared" si="30"/>
        <v>0</v>
      </c>
      <c r="S234" s="12">
        <f t="shared" si="31"/>
        <v>0</v>
      </c>
      <c r="T234" s="31">
        <v>0</v>
      </c>
      <c r="U234" s="31">
        <v>0</v>
      </c>
      <c r="V234" s="31">
        <v>0</v>
      </c>
      <c r="W234" s="31">
        <v>0</v>
      </c>
      <c r="X234" s="31">
        <v>0</v>
      </c>
      <c r="Y234" s="31">
        <v>0</v>
      </c>
      <c r="Z234" s="31">
        <v>0</v>
      </c>
      <c r="AA234" s="31">
        <v>0</v>
      </c>
      <c r="AB234" s="31">
        <v>0</v>
      </c>
      <c r="AC234" s="31">
        <v>0</v>
      </c>
      <c r="AD234" s="31">
        <v>0</v>
      </c>
      <c r="AE234" s="31">
        <v>0</v>
      </c>
      <c r="AF234" s="31">
        <v>0</v>
      </c>
      <c r="AG234" s="31">
        <v>0</v>
      </c>
      <c r="AH234" s="31">
        <v>0</v>
      </c>
      <c r="AI234" s="31">
        <v>0</v>
      </c>
      <c r="AJ234" s="31">
        <v>0</v>
      </c>
      <c r="AK234" s="31">
        <v>0</v>
      </c>
      <c r="AL234" s="31">
        <v>0</v>
      </c>
      <c r="AM234" s="31">
        <v>0</v>
      </c>
      <c r="AN234" s="31">
        <v>0</v>
      </c>
      <c r="AO234" s="31">
        <v>0</v>
      </c>
      <c r="AP234" s="31">
        <v>0</v>
      </c>
    </row>
    <row r="235" spans="1:42" x14ac:dyDescent="0.25">
      <c r="A235" s="31">
        <v>16</v>
      </c>
      <c r="B235" s="31">
        <v>24604</v>
      </c>
      <c r="C235" s="31">
        <v>1</v>
      </c>
      <c r="D235" s="31" t="s">
        <v>649</v>
      </c>
      <c r="E235" s="31"/>
      <c r="F235" s="31">
        <v>0</v>
      </c>
      <c r="G235" s="31">
        <v>0</v>
      </c>
      <c r="H235" s="31">
        <v>0</v>
      </c>
      <c r="I235" s="31">
        <v>0</v>
      </c>
      <c r="J235" s="31">
        <v>0</v>
      </c>
      <c r="K235" s="31" t="s">
        <v>882</v>
      </c>
      <c r="L235" s="2" t="str">
        <f t="shared" si="24"/>
        <v>Рихтовка</v>
      </c>
      <c r="M235" s="12">
        <f t="shared" si="25"/>
        <v>0</v>
      </c>
      <c r="N235" s="12">
        <f t="shared" si="26"/>
        <v>0</v>
      </c>
      <c r="O235" s="12">
        <f t="shared" si="27"/>
        <v>0</v>
      </c>
      <c r="P235" s="12">
        <f t="shared" si="28"/>
        <v>0</v>
      </c>
      <c r="Q235" s="12">
        <f t="shared" si="29"/>
        <v>0</v>
      </c>
      <c r="R235" s="12">
        <f t="shared" si="30"/>
        <v>0</v>
      </c>
      <c r="S235" s="12">
        <f t="shared" si="31"/>
        <v>0</v>
      </c>
      <c r="T235" s="31">
        <v>0</v>
      </c>
      <c r="U235" s="31">
        <v>0</v>
      </c>
      <c r="V235" s="31">
        <v>0</v>
      </c>
      <c r="W235" s="31">
        <v>0</v>
      </c>
      <c r="X235" s="31">
        <v>0</v>
      </c>
      <c r="Y235" s="31">
        <v>0</v>
      </c>
      <c r="Z235" s="31">
        <v>0</v>
      </c>
      <c r="AA235" s="31">
        <v>0</v>
      </c>
      <c r="AB235" s="31">
        <v>0</v>
      </c>
      <c r="AC235" s="31">
        <v>0</v>
      </c>
      <c r="AD235" s="31">
        <v>0</v>
      </c>
      <c r="AE235" s="31">
        <v>0</v>
      </c>
      <c r="AF235" s="31">
        <v>0</v>
      </c>
      <c r="AG235" s="31">
        <v>0</v>
      </c>
      <c r="AH235" s="31">
        <v>0</v>
      </c>
      <c r="AI235" s="31">
        <v>0</v>
      </c>
      <c r="AJ235" s="31">
        <v>0</v>
      </c>
      <c r="AK235" s="31">
        <v>0</v>
      </c>
      <c r="AL235" s="31">
        <v>0</v>
      </c>
      <c r="AM235" s="31">
        <v>0</v>
      </c>
      <c r="AN235" s="31">
        <v>0</v>
      </c>
      <c r="AO235" s="31">
        <v>0</v>
      </c>
      <c r="AP235" s="31">
        <v>0</v>
      </c>
    </row>
    <row r="236" spans="1:42" x14ac:dyDescent="0.25">
      <c r="A236" s="31">
        <v>16</v>
      </c>
      <c r="B236" s="31">
        <v>24604</v>
      </c>
      <c r="C236" s="31">
        <v>1</v>
      </c>
      <c r="D236" s="31" t="s">
        <v>650</v>
      </c>
      <c r="E236" s="31"/>
      <c r="F236" s="31">
        <v>0</v>
      </c>
      <c r="G236" s="31">
        <v>0</v>
      </c>
      <c r="H236" s="31">
        <v>0</v>
      </c>
      <c r="I236" s="31">
        <v>0</v>
      </c>
      <c r="J236" s="31">
        <v>0</v>
      </c>
      <c r="K236" s="31" t="s">
        <v>882</v>
      </c>
      <c r="L236" s="2" t="str">
        <f t="shared" si="24"/>
        <v>Рихтовка</v>
      </c>
      <c r="M236" s="12">
        <f t="shared" si="25"/>
        <v>0</v>
      </c>
      <c r="N236" s="12">
        <f t="shared" si="26"/>
        <v>0</v>
      </c>
      <c r="O236" s="12">
        <f t="shared" si="27"/>
        <v>0</v>
      </c>
      <c r="P236" s="12">
        <f t="shared" si="28"/>
        <v>0</v>
      </c>
      <c r="Q236" s="12">
        <f t="shared" si="29"/>
        <v>0</v>
      </c>
      <c r="R236" s="12">
        <f t="shared" si="30"/>
        <v>0</v>
      </c>
      <c r="S236" s="12">
        <f t="shared" si="31"/>
        <v>0</v>
      </c>
      <c r="T236" s="31">
        <v>0</v>
      </c>
      <c r="U236" s="31">
        <v>0</v>
      </c>
      <c r="V236" s="31">
        <v>0</v>
      </c>
      <c r="W236" s="31">
        <v>0</v>
      </c>
      <c r="X236" s="31">
        <v>0</v>
      </c>
      <c r="Y236" s="31">
        <v>0</v>
      </c>
      <c r="Z236" s="31">
        <v>0</v>
      </c>
      <c r="AA236" s="31">
        <v>0</v>
      </c>
      <c r="AB236" s="31">
        <v>0</v>
      </c>
      <c r="AC236" s="31">
        <v>0</v>
      </c>
      <c r="AD236" s="31">
        <v>0</v>
      </c>
      <c r="AE236" s="31">
        <v>0</v>
      </c>
      <c r="AF236" s="31">
        <v>0</v>
      </c>
      <c r="AG236" s="31">
        <v>0</v>
      </c>
      <c r="AH236" s="31">
        <v>0</v>
      </c>
      <c r="AI236" s="31">
        <v>0</v>
      </c>
      <c r="AJ236" s="31">
        <v>0</v>
      </c>
      <c r="AK236" s="31">
        <v>0</v>
      </c>
      <c r="AL236" s="31">
        <v>0</v>
      </c>
      <c r="AM236" s="31">
        <v>0</v>
      </c>
      <c r="AN236" s="31">
        <v>0</v>
      </c>
      <c r="AO236" s="31">
        <v>0</v>
      </c>
      <c r="AP236" s="31">
        <v>0</v>
      </c>
    </row>
    <row r="237" spans="1:42" x14ac:dyDescent="0.25">
      <c r="A237" s="31">
        <v>16</v>
      </c>
      <c r="B237" s="31">
        <v>24645</v>
      </c>
      <c r="C237" s="31" t="s">
        <v>213</v>
      </c>
      <c r="D237" s="31" t="s">
        <v>651</v>
      </c>
      <c r="E237" s="31"/>
      <c r="F237" s="31">
        <v>0</v>
      </c>
      <c r="G237" s="31">
        <v>0</v>
      </c>
      <c r="H237" s="31">
        <v>0</v>
      </c>
      <c r="I237" s="31">
        <v>0</v>
      </c>
      <c r="J237" s="31">
        <v>0</v>
      </c>
      <c r="K237" s="31" t="s">
        <v>882</v>
      </c>
      <c r="L237" s="2" t="str">
        <f t="shared" si="24"/>
        <v>Рихтовка</v>
      </c>
      <c r="M237" s="12">
        <f t="shared" si="25"/>
        <v>0</v>
      </c>
      <c r="N237" s="12">
        <f t="shared" si="26"/>
        <v>0</v>
      </c>
      <c r="O237" s="12">
        <f t="shared" si="27"/>
        <v>0</v>
      </c>
      <c r="P237" s="12">
        <f t="shared" si="28"/>
        <v>0</v>
      </c>
      <c r="Q237" s="12">
        <f t="shared" si="29"/>
        <v>0</v>
      </c>
      <c r="R237" s="12">
        <f t="shared" si="30"/>
        <v>0</v>
      </c>
      <c r="S237" s="12">
        <f t="shared" si="31"/>
        <v>0</v>
      </c>
      <c r="T237" s="31">
        <v>0</v>
      </c>
      <c r="U237" s="31">
        <v>0</v>
      </c>
      <c r="V237" s="31">
        <v>0</v>
      </c>
      <c r="W237" s="31">
        <v>0</v>
      </c>
      <c r="X237" s="31">
        <v>0</v>
      </c>
      <c r="Y237" s="31">
        <v>0</v>
      </c>
      <c r="Z237" s="31">
        <v>0</v>
      </c>
      <c r="AA237" s="31">
        <v>0</v>
      </c>
      <c r="AB237" s="31">
        <v>0</v>
      </c>
      <c r="AC237" s="31">
        <v>0</v>
      </c>
      <c r="AD237" s="31">
        <v>0</v>
      </c>
      <c r="AE237" s="31">
        <v>0</v>
      </c>
      <c r="AF237" s="31">
        <v>0</v>
      </c>
      <c r="AG237" s="31">
        <v>0</v>
      </c>
      <c r="AH237" s="31">
        <v>0</v>
      </c>
      <c r="AI237" s="31">
        <v>0</v>
      </c>
      <c r="AJ237" s="31">
        <v>0</v>
      </c>
      <c r="AK237" s="31">
        <v>0</v>
      </c>
      <c r="AL237" s="31">
        <v>0</v>
      </c>
      <c r="AM237" s="31">
        <v>0</v>
      </c>
      <c r="AN237" s="31">
        <v>0</v>
      </c>
      <c r="AO237" s="31">
        <v>0</v>
      </c>
      <c r="AP237" s="31">
        <v>0</v>
      </c>
    </row>
    <row r="238" spans="1:42" x14ac:dyDescent="0.25">
      <c r="A238" s="31">
        <v>15</v>
      </c>
      <c r="B238" s="31">
        <v>13875</v>
      </c>
      <c r="C238" s="31" t="s">
        <v>421</v>
      </c>
      <c r="D238" s="31" t="s">
        <v>652</v>
      </c>
      <c r="E238" s="31">
        <v>1</v>
      </c>
      <c r="F238" s="31">
        <v>4.7810001373291016</v>
      </c>
      <c r="G238" s="31">
        <v>0.30099999904632568</v>
      </c>
      <c r="H238" s="31">
        <v>0</v>
      </c>
      <c r="I238" s="31">
        <v>0</v>
      </c>
      <c r="J238" s="31">
        <v>5.0819997787475586</v>
      </c>
      <c r="K238" s="31">
        <v>11.800000190734863</v>
      </c>
      <c r="L238" s="2" t="str">
        <f t="shared" si="24"/>
        <v>Уширение</v>
      </c>
      <c r="M238" s="12">
        <f t="shared" si="25"/>
        <v>4</v>
      </c>
      <c r="N238" s="12">
        <f t="shared" si="26"/>
        <v>2</v>
      </c>
      <c r="O238" s="12">
        <f t="shared" si="27"/>
        <v>4</v>
      </c>
      <c r="P238" s="12">
        <f t="shared" si="28"/>
        <v>0</v>
      </c>
      <c r="Q238" s="12">
        <f t="shared" si="29"/>
        <v>2</v>
      </c>
      <c r="R238" s="12">
        <f t="shared" si="30"/>
        <v>1</v>
      </c>
      <c r="S238" s="12">
        <f t="shared" si="31"/>
        <v>1</v>
      </c>
      <c r="T238" s="31">
        <v>2</v>
      </c>
      <c r="U238" s="31">
        <v>0</v>
      </c>
      <c r="V238" s="31">
        <v>0</v>
      </c>
      <c r="W238" s="31">
        <v>4</v>
      </c>
      <c r="X238" s="31">
        <v>0</v>
      </c>
      <c r="Y238" s="31">
        <v>0</v>
      </c>
      <c r="Z238" s="31">
        <v>0</v>
      </c>
      <c r="AA238" s="31">
        <v>0</v>
      </c>
      <c r="AB238" s="31">
        <v>0</v>
      </c>
      <c r="AC238" s="31">
        <v>2</v>
      </c>
      <c r="AD238" s="31">
        <v>0</v>
      </c>
      <c r="AE238" s="31">
        <v>0</v>
      </c>
      <c r="AF238" s="31">
        <v>1</v>
      </c>
      <c r="AG238" s="31">
        <v>0</v>
      </c>
      <c r="AH238" s="31">
        <v>0</v>
      </c>
      <c r="AI238" s="31">
        <v>1</v>
      </c>
      <c r="AJ238" s="31">
        <v>0</v>
      </c>
      <c r="AK238" s="31">
        <v>0</v>
      </c>
      <c r="AL238" s="31">
        <v>10</v>
      </c>
      <c r="AM238" s="31">
        <v>0</v>
      </c>
      <c r="AN238" s="31">
        <v>0</v>
      </c>
      <c r="AO238" s="31">
        <v>0</v>
      </c>
      <c r="AP238" s="31">
        <v>17</v>
      </c>
    </row>
    <row r="239" spans="1:42" x14ac:dyDescent="0.25">
      <c r="A239" s="31">
        <v>5</v>
      </c>
      <c r="B239" s="31">
        <v>25001</v>
      </c>
      <c r="C239" s="31" t="s">
        <v>421</v>
      </c>
      <c r="D239" s="31" t="s">
        <v>653</v>
      </c>
      <c r="E239" s="31"/>
      <c r="F239" s="31">
        <v>0</v>
      </c>
      <c r="G239" s="31">
        <v>0</v>
      </c>
      <c r="H239" s="31">
        <v>0</v>
      </c>
      <c r="I239" s="31">
        <v>0</v>
      </c>
      <c r="J239" s="31">
        <v>0</v>
      </c>
      <c r="K239" s="31" t="s">
        <v>882</v>
      </c>
      <c r="L239" s="2" t="str">
        <f t="shared" si="24"/>
        <v>Рихтовка</v>
      </c>
      <c r="M239" s="12">
        <f t="shared" si="25"/>
        <v>0</v>
      </c>
      <c r="N239" s="12">
        <f t="shared" si="26"/>
        <v>0</v>
      </c>
      <c r="O239" s="12">
        <f t="shared" si="27"/>
        <v>0</v>
      </c>
      <c r="P239" s="12">
        <f t="shared" si="28"/>
        <v>0</v>
      </c>
      <c r="Q239" s="12">
        <f t="shared" si="29"/>
        <v>0</v>
      </c>
      <c r="R239" s="12">
        <f t="shared" si="30"/>
        <v>0</v>
      </c>
      <c r="S239" s="12">
        <f t="shared" si="31"/>
        <v>0</v>
      </c>
      <c r="T239" s="31">
        <v>0</v>
      </c>
      <c r="U239" s="31">
        <v>0</v>
      </c>
      <c r="V239" s="31">
        <v>0</v>
      </c>
      <c r="W239" s="31">
        <v>0</v>
      </c>
      <c r="X239" s="31">
        <v>0</v>
      </c>
      <c r="Y239" s="31">
        <v>0</v>
      </c>
      <c r="Z239" s="31">
        <v>0</v>
      </c>
      <c r="AA239" s="31">
        <v>0</v>
      </c>
      <c r="AB239" s="31">
        <v>0</v>
      </c>
      <c r="AC239" s="31">
        <v>0</v>
      </c>
      <c r="AD239" s="31">
        <v>0</v>
      </c>
      <c r="AE239" s="31">
        <v>0</v>
      </c>
      <c r="AF239" s="31">
        <v>0</v>
      </c>
      <c r="AG239" s="31">
        <v>0</v>
      </c>
      <c r="AH239" s="31">
        <v>0</v>
      </c>
      <c r="AI239" s="31">
        <v>0</v>
      </c>
      <c r="AJ239" s="31">
        <v>0</v>
      </c>
      <c r="AK239" s="31">
        <v>0</v>
      </c>
      <c r="AL239" s="31">
        <v>0</v>
      </c>
      <c r="AM239" s="31">
        <v>0</v>
      </c>
      <c r="AN239" s="31">
        <v>0</v>
      </c>
      <c r="AO239" s="31">
        <v>0</v>
      </c>
      <c r="AP239" s="31">
        <v>0</v>
      </c>
    </row>
    <row r="240" spans="1:42" x14ac:dyDescent="0.25">
      <c r="A240" s="31">
        <v>15</v>
      </c>
      <c r="B240" s="31">
        <v>25001</v>
      </c>
      <c r="C240" s="31" t="s">
        <v>421</v>
      </c>
      <c r="D240" s="31" t="s">
        <v>653</v>
      </c>
      <c r="E240" s="31"/>
      <c r="F240" s="31">
        <v>0</v>
      </c>
      <c r="G240" s="31">
        <v>0</v>
      </c>
      <c r="H240" s="31">
        <v>0</v>
      </c>
      <c r="I240" s="31">
        <v>0</v>
      </c>
      <c r="J240" s="31">
        <v>0</v>
      </c>
      <c r="K240" s="31" t="s">
        <v>882</v>
      </c>
      <c r="L240" s="2" t="str">
        <f t="shared" si="24"/>
        <v>Рихтовка</v>
      </c>
      <c r="M240" s="12">
        <f t="shared" si="25"/>
        <v>0</v>
      </c>
      <c r="N240" s="12">
        <f t="shared" si="26"/>
        <v>0</v>
      </c>
      <c r="O240" s="12">
        <f t="shared" si="27"/>
        <v>0</v>
      </c>
      <c r="P240" s="12">
        <f t="shared" si="28"/>
        <v>0</v>
      </c>
      <c r="Q240" s="12">
        <f t="shared" si="29"/>
        <v>0</v>
      </c>
      <c r="R240" s="12">
        <f t="shared" si="30"/>
        <v>0</v>
      </c>
      <c r="S240" s="12">
        <f t="shared" si="31"/>
        <v>0</v>
      </c>
      <c r="T240" s="31">
        <v>0</v>
      </c>
      <c r="U240" s="31">
        <v>0</v>
      </c>
      <c r="V240" s="31">
        <v>0</v>
      </c>
      <c r="W240" s="31">
        <v>0</v>
      </c>
      <c r="X240" s="31">
        <v>0</v>
      </c>
      <c r="Y240" s="31">
        <v>0</v>
      </c>
      <c r="Z240" s="31">
        <v>0</v>
      </c>
      <c r="AA240" s="31">
        <v>0</v>
      </c>
      <c r="AB240" s="31">
        <v>0</v>
      </c>
      <c r="AC240" s="31">
        <v>0</v>
      </c>
      <c r="AD240" s="31">
        <v>0</v>
      </c>
      <c r="AE240" s="31">
        <v>0</v>
      </c>
      <c r="AF240" s="31">
        <v>0</v>
      </c>
      <c r="AG240" s="31">
        <v>0</v>
      </c>
      <c r="AH240" s="31">
        <v>0</v>
      </c>
      <c r="AI240" s="31">
        <v>0</v>
      </c>
      <c r="AJ240" s="31">
        <v>0</v>
      </c>
      <c r="AK240" s="31">
        <v>0</v>
      </c>
      <c r="AL240" s="31">
        <v>0</v>
      </c>
      <c r="AM240" s="31">
        <v>0</v>
      </c>
      <c r="AN240" s="31">
        <v>0</v>
      </c>
      <c r="AO240" s="31">
        <v>0</v>
      </c>
      <c r="AP240" s="31">
        <v>0</v>
      </c>
    </row>
    <row r="241" spans="1:42" x14ac:dyDescent="0.25">
      <c r="A241" s="31">
        <v>15</v>
      </c>
      <c r="B241" s="31">
        <v>25001</v>
      </c>
      <c r="C241" s="31" t="s">
        <v>421</v>
      </c>
      <c r="D241" s="31" t="s">
        <v>654</v>
      </c>
      <c r="E241" s="31" t="s">
        <v>881</v>
      </c>
      <c r="F241" s="31">
        <v>8.0069999694824219</v>
      </c>
      <c r="G241" s="31">
        <v>1</v>
      </c>
      <c r="H241" s="31">
        <v>0</v>
      </c>
      <c r="I241" s="31">
        <v>0</v>
      </c>
      <c r="J241" s="31">
        <v>9.0069999694824219</v>
      </c>
      <c r="K241" s="31">
        <v>13.300000190734863</v>
      </c>
      <c r="L241" s="2" t="str">
        <f t="shared" si="24"/>
        <v>Уровень</v>
      </c>
      <c r="M241" s="12">
        <f t="shared" si="25"/>
        <v>13</v>
      </c>
      <c r="N241" s="12">
        <f t="shared" si="26"/>
        <v>3</v>
      </c>
      <c r="O241" s="12">
        <f t="shared" si="27"/>
        <v>0</v>
      </c>
      <c r="P241" s="12">
        <f t="shared" si="28"/>
        <v>0</v>
      </c>
      <c r="Q241" s="12">
        <f t="shared" si="29"/>
        <v>13</v>
      </c>
      <c r="R241" s="12">
        <f t="shared" si="30"/>
        <v>7</v>
      </c>
      <c r="S241" s="12">
        <f t="shared" si="31"/>
        <v>6</v>
      </c>
      <c r="T241" s="31">
        <v>3</v>
      </c>
      <c r="U241" s="31">
        <v>0</v>
      </c>
      <c r="V241" s="31">
        <v>0</v>
      </c>
      <c r="W241" s="31">
        <v>0</v>
      </c>
      <c r="X241" s="31">
        <v>0</v>
      </c>
      <c r="Y241" s="31">
        <v>0</v>
      </c>
      <c r="Z241" s="31">
        <v>0</v>
      </c>
      <c r="AA241" s="31">
        <v>0</v>
      </c>
      <c r="AB241" s="31">
        <v>0</v>
      </c>
      <c r="AC241" s="31">
        <v>13</v>
      </c>
      <c r="AD241" s="31">
        <v>0</v>
      </c>
      <c r="AE241" s="31">
        <v>0</v>
      </c>
      <c r="AF241" s="31">
        <v>7</v>
      </c>
      <c r="AG241" s="31">
        <v>0</v>
      </c>
      <c r="AH241" s="31">
        <v>0</v>
      </c>
      <c r="AI241" s="31">
        <v>6</v>
      </c>
      <c r="AJ241" s="31">
        <v>0</v>
      </c>
      <c r="AK241" s="31">
        <v>0</v>
      </c>
      <c r="AL241" s="31">
        <v>29</v>
      </c>
      <c r="AM241" s="31">
        <v>0</v>
      </c>
      <c r="AN241" s="31">
        <v>0</v>
      </c>
      <c r="AO241" s="31">
        <v>0</v>
      </c>
      <c r="AP241" s="31">
        <v>0</v>
      </c>
    </row>
    <row r="242" spans="1:42" x14ac:dyDescent="0.25">
      <c r="A242" s="31">
        <v>15</v>
      </c>
      <c r="B242" s="31">
        <v>25001</v>
      </c>
      <c r="C242" s="31" t="s">
        <v>421</v>
      </c>
      <c r="D242" s="31" t="s">
        <v>655</v>
      </c>
      <c r="E242" s="31">
        <v>2</v>
      </c>
      <c r="F242" s="31">
        <v>8</v>
      </c>
      <c r="G242" s="31">
        <v>1</v>
      </c>
      <c r="H242" s="31">
        <v>1</v>
      </c>
      <c r="I242" s="31">
        <v>0</v>
      </c>
      <c r="J242" s="31">
        <v>10</v>
      </c>
      <c r="K242" s="31">
        <v>27</v>
      </c>
      <c r="L242" s="2" t="str">
        <f t="shared" si="24"/>
        <v>Рихтовка</v>
      </c>
      <c r="M242" s="12">
        <f t="shared" si="25"/>
        <v>10</v>
      </c>
      <c r="N242" s="12">
        <f t="shared" si="26"/>
        <v>10</v>
      </c>
      <c r="O242" s="12">
        <f t="shared" si="27"/>
        <v>0</v>
      </c>
      <c r="P242" s="12">
        <f t="shared" si="28"/>
        <v>0</v>
      </c>
      <c r="Q242" s="12">
        <f t="shared" si="29"/>
        <v>6</v>
      </c>
      <c r="R242" s="12">
        <f t="shared" si="30"/>
        <v>3</v>
      </c>
      <c r="S242" s="12">
        <f t="shared" si="31"/>
        <v>10</v>
      </c>
      <c r="T242" s="31">
        <v>9</v>
      </c>
      <c r="U242" s="31">
        <v>1</v>
      </c>
      <c r="V242" s="31">
        <v>0</v>
      </c>
      <c r="W242" s="31">
        <v>0</v>
      </c>
      <c r="X242" s="31">
        <v>0</v>
      </c>
      <c r="Y242" s="31">
        <v>0</v>
      </c>
      <c r="Z242" s="31">
        <v>0</v>
      </c>
      <c r="AA242" s="31">
        <v>0</v>
      </c>
      <c r="AB242" s="31">
        <v>0</v>
      </c>
      <c r="AC242" s="31">
        <v>6</v>
      </c>
      <c r="AD242" s="31">
        <v>0</v>
      </c>
      <c r="AE242" s="31">
        <v>0</v>
      </c>
      <c r="AF242" s="31">
        <v>3</v>
      </c>
      <c r="AG242" s="31">
        <v>0</v>
      </c>
      <c r="AH242" s="31">
        <v>0</v>
      </c>
      <c r="AI242" s="31">
        <v>10</v>
      </c>
      <c r="AJ242" s="31">
        <v>0</v>
      </c>
      <c r="AK242" s="31">
        <v>0</v>
      </c>
      <c r="AL242" s="31">
        <v>28</v>
      </c>
      <c r="AM242" s="31">
        <v>1</v>
      </c>
      <c r="AN242" s="31">
        <v>0</v>
      </c>
      <c r="AO242" s="31">
        <v>0</v>
      </c>
      <c r="AP242" s="31">
        <v>0</v>
      </c>
    </row>
    <row r="243" spans="1:42" x14ac:dyDescent="0.25">
      <c r="A243" s="31">
        <v>15</v>
      </c>
      <c r="B243" s="31">
        <v>25001</v>
      </c>
      <c r="C243" s="31" t="s">
        <v>421</v>
      </c>
      <c r="D243" s="31" t="s">
        <v>656</v>
      </c>
      <c r="E243" s="31" t="s">
        <v>883</v>
      </c>
      <c r="F243" s="31">
        <v>9.5120000839233398</v>
      </c>
      <c r="G243" s="31">
        <v>8.0039997100830078</v>
      </c>
      <c r="H243" s="31">
        <v>0</v>
      </c>
      <c r="I243" s="31">
        <v>0</v>
      </c>
      <c r="J243" s="31">
        <v>17.516000747680664</v>
      </c>
      <c r="K243" s="31">
        <v>23.700000762939453</v>
      </c>
      <c r="L243" s="2" t="str">
        <f t="shared" si="24"/>
        <v>Просадка</v>
      </c>
      <c r="M243" s="12">
        <f t="shared" si="25"/>
        <v>48</v>
      </c>
      <c r="N243" s="12">
        <f t="shared" si="26"/>
        <v>16</v>
      </c>
      <c r="O243" s="12">
        <f t="shared" si="27"/>
        <v>0</v>
      </c>
      <c r="P243" s="12">
        <f t="shared" si="28"/>
        <v>2</v>
      </c>
      <c r="Q243" s="12">
        <f t="shared" si="29"/>
        <v>27</v>
      </c>
      <c r="R243" s="12">
        <f t="shared" si="30"/>
        <v>16</v>
      </c>
      <c r="S243" s="12">
        <f t="shared" si="31"/>
        <v>48</v>
      </c>
      <c r="T243" s="31">
        <v>16</v>
      </c>
      <c r="U243" s="31">
        <v>0</v>
      </c>
      <c r="V243" s="31">
        <v>0</v>
      </c>
      <c r="W243" s="31">
        <v>0</v>
      </c>
      <c r="X243" s="31">
        <v>0</v>
      </c>
      <c r="Y243" s="31">
        <v>0</v>
      </c>
      <c r="Z243" s="31">
        <v>2</v>
      </c>
      <c r="AA243" s="31">
        <v>0</v>
      </c>
      <c r="AB243" s="31">
        <v>0</v>
      </c>
      <c r="AC243" s="31">
        <v>27</v>
      </c>
      <c r="AD243" s="31">
        <v>0</v>
      </c>
      <c r="AE243" s="31">
        <v>0</v>
      </c>
      <c r="AF243" s="31">
        <v>16</v>
      </c>
      <c r="AG243" s="31">
        <v>0</v>
      </c>
      <c r="AH243" s="31">
        <v>0</v>
      </c>
      <c r="AI243" s="31">
        <v>48</v>
      </c>
      <c r="AJ243" s="31">
        <v>0</v>
      </c>
      <c r="AK243" s="31">
        <v>0</v>
      </c>
      <c r="AL243" s="31">
        <v>109</v>
      </c>
      <c r="AM243" s="31">
        <v>0</v>
      </c>
      <c r="AN243" s="31">
        <v>0</v>
      </c>
      <c r="AO243" s="31">
        <v>0</v>
      </c>
      <c r="AP243" s="31">
        <v>0</v>
      </c>
    </row>
    <row r="244" spans="1:42" x14ac:dyDescent="0.25">
      <c r="A244" s="31">
        <v>15</v>
      </c>
      <c r="B244" s="31">
        <v>25001</v>
      </c>
      <c r="C244" s="31" t="s">
        <v>421</v>
      </c>
      <c r="D244" s="31" t="s">
        <v>657</v>
      </c>
      <c r="E244" s="31">
        <v>3</v>
      </c>
      <c r="F244" s="31">
        <v>11.968000411987305</v>
      </c>
      <c r="G244" s="31">
        <v>2.7929999828338623</v>
      </c>
      <c r="H244" s="31">
        <v>0.99000000953674316</v>
      </c>
      <c r="I244" s="31">
        <v>0</v>
      </c>
      <c r="J244" s="31">
        <v>15.75100040435791</v>
      </c>
      <c r="K244" s="31">
        <v>24.100000381469727</v>
      </c>
      <c r="L244" s="2" t="str">
        <f t="shared" si="24"/>
        <v>Рихтовка</v>
      </c>
      <c r="M244" s="12">
        <f t="shared" si="25"/>
        <v>30</v>
      </c>
      <c r="N244" s="12">
        <f t="shared" si="26"/>
        <v>30</v>
      </c>
      <c r="O244" s="12">
        <f t="shared" si="27"/>
        <v>0</v>
      </c>
      <c r="P244" s="12">
        <f t="shared" si="28"/>
        <v>0</v>
      </c>
      <c r="Q244" s="12">
        <f t="shared" si="29"/>
        <v>10</v>
      </c>
      <c r="R244" s="12">
        <f t="shared" si="30"/>
        <v>10</v>
      </c>
      <c r="S244" s="12">
        <f t="shared" si="31"/>
        <v>28</v>
      </c>
      <c r="T244" s="31">
        <v>29</v>
      </c>
      <c r="U244" s="31">
        <v>1</v>
      </c>
      <c r="V244" s="31">
        <v>0</v>
      </c>
      <c r="W244" s="31">
        <v>0</v>
      </c>
      <c r="X244" s="31">
        <v>0</v>
      </c>
      <c r="Y244" s="31">
        <v>0</v>
      </c>
      <c r="Z244" s="31">
        <v>0</v>
      </c>
      <c r="AA244" s="31">
        <v>0</v>
      </c>
      <c r="AB244" s="31">
        <v>0</v>
      </c>
      <c r="AC244" s="31">
        <v>10</v>
      </c>
      <c r="AD244" s="31">
        <v>0</v>
      </c>
      <c r="AE244" s="31">
        <v>0</v>
      </c>
      <c r="AF244" s="31">
        <v>10</v>
      </c>
      <c r="AG244" s="31">
        <v>0</v>
      </c>
      <c r="AH244" s="31">
        <v>0</v>
      </c>
      <c r="AI244" s="31">
        <v>28</v>
      </c>
      <c r="AJ244" s="31">
        <v>0</v>
      </c>
      <c r="AK244" s="31">
        <v>0</v>
      </c>
      <c r="AL244" s="31">
        <v>77</v>
      </c>
      <c r="AM244" s="31">
        <v>1</v>
      </c>
      <c r="AN244" s="31">
        <v>0</v>
      </c>
      <c r="AO244" s="31">
        <v>0</v>
      </c>
      <c r="AP244" s="31">
        <v>0</v>
      </c>
    </row>
    <row r="245" spans="1:42" x14ac:dyDescent="0.25">
      <c r="A245" s="31">
        <v>15</v>
      </c>
      <c r="B245" s="31">
        <v>25001</v>
      </c>
      <c r="C245" s="31" t="s">
        <v>421</v>
      </c>
      <c r="D245" s="31" t="s">
        <v>658</v>
      </c>
      <c r="E245" s="31" t="s">
        <v>884</v>
      </c>
      <c r="F245" s="31">
        <v>5.1570000648498535</v>
      </c>
      <c r="G245" s="31">
        <v>6</v>
      </c>
      <c r="H245" s="31">
        <v>2.0060000419616699</v>
      </c>
      <c r="I245" s="31">
        <v>1</v>
      </c>
      <c r="J245" s="31">
        <v>14.163000106811523</v>
      </c>
      <c r="K245" s="31">
        <v>77.099998474121094</v>
      </c>
      <c r="L245" s="2" t="str">
        <f t="shared" si="24"/>
        <v>Просадка</v>
      </c>
      <c r="M245" s="12">
        <f t="shared" si="25"/>
        <v>62</v>
      </c>
      <c r="N245" s="12">
        <f t="shared" si="26"/>
        <v>13</v>
      </c>
      <c r="O245" s="12">
        <f t="shared" si="27"/>
        <v>0</v>
      </c>
      <c r="P245" s="12">
        <f t="shared" si="28"/>
        <v>0</v>
      </c>
      <c r="Q245" s="12">
        <f t="shared" si="29"/>
        <v>34</v>
      </c>
      <c r="R245" s="12">
        <f t="shared" si="30"/>
        <v>40</v>
      </c>
      <c r="S245" s="12">
        <f t="shared" si="31"/>
        <v>62</v>
      </c>
      <c r="T245" s="31">
        <v>12</v>
      </c>
      <c r="U245" s="31">
        <v>1</v>
      </c>
      <c r="V245" s="31">
        <v>0</v>
      </c>
      <c r="W245" s="31">
        <v>0</v>
      </c>
      <c r="X245" s="31">
        <v>0</v>
      </c>
      <c r="Y245" s="31">
        <v>0</v>
      </c>
      <c r="Z245" s="31">
        <v>0</v>
      </c>
      <c r="AA245" s="31">
        <v>0</v>
      </c>
      <c r="AB245" s="31">
        <v>0</v>
      </c>
      <c r="AC245" s="31">
        <v>34</v>
      </c>
      <c r="AD245" s="31">
        <v>0</v>
      </c>
      <c r="AE245" s="31">
        <v>0</v>
      </c>
      <c r="AF245" s="31">
        <v>39</v>
      </c>
      <c r="AG245" s="31">
        <v>1</v>
      </c>
      <c r="AH245" s="31">
        <v>0</v>
      </c>
      <c r="AI245" s="31">
        <v>62</v>
      </c>
      <c r="AJ245" s="31">
        <v>0</v>
      </c>
      <c r="AK245" s="31">
        <v>0</v>
      </c>
      <c r="AL245" s="31">
        <v>147</v>
      </c>
      <c r="AM245" s="31">
        <v>2</v>
      </c>
      <c r="AN245" s="31">
        <v>0</v>
      </c>
      <c r="AO245" s="31">
        <v>0</v>
      </c>
      <c r="AP245" s="31">
        <v>1</v>
      </c>
    </row>
    <row r="246" spans="1:42" x14ac:dyDescent="0.25">
      <c r="A246" s="31">
        <v>15</v>
      </c>
      <c r="B246" s="31">
        <v>25001</v>
      </c>
      <c r="C246" s="31" t="s">
        <v>421</v>
      </c>
      <c r="D246" s="31" t="s">
        <v>659</v>
      </c>
      <c r="E246" s="31">
        <v>4</v>
      </c>
      <c r="F246" s="31">
        <v>8.0950002670288086</v>
      </c>
      <c r="G246" s="31">
        <v>6.005000114440918</v>
      </c>
      <c r="H246" s="31">
        <v>1.0010000467300415</v>
      </c>
      <c r="I246" s="31">
        <v>0</v>
      </c>
      <c r="J246" s="31">
        <v>15.10099983215332</v>
      </c>
      <c r="K246" s="31">
        <v>31.200000762939453</v>
      </c>
      <c r="L246" s="2" t="str">
        <f t="shared" si="24"/>
        <v>Просадка</v>
      </c>
      <c r="M246" s="12">
        <f t="shared" si="25"/>
        <v>33</v>
      </c>
      <c r="N246" s="12">
        <f t="shared" si="26"/>
        <v>18</v>
      </c>
      <c r="O246" s="12">
        <f t="shared" si="27"/>
        <v>1</v>
      </c>
      <c r="P246" s="12">
        <f t="shared" si="28"/>
        <v>2</v>
      </c>
      <c r="Q246" s="12">
        <f t="shared" si="29"/>
        <v>11</v>
      </c>
      <c r="R246" s="12">
        <f t="shared" si="30"/>
        <v>19</v>
      </c>
      <c r="S246" s="12">
        <f t="shared" si="31"/>
        <v>33</v>
      </c>
      <c r="T246" s="31">
        <v>18</v>
      </c>
      <c r="U246" s="31">
        <v>0</v>
      </c>
      <c r="V246" s="31">
        <v>0</v>
      </c>
      <c r="W246" s="31">
        <v>1</v>
      </c>
      <c r="X246" s="31">
        <v>0</v>
      </c>
      <c r="Y246" s="31">
        <v>0</v>
      </c>
      <c r="Z246" s="31">
        <v>2</v>
      </c>
      <c r="AA246" s="31">
        <v>0</v>
      </c>
      <c r="AB246" s="31">
        <v>0</v>
      </c>
      <c r="AC246" s="31">
        <v>11</v>
      </c>
      <c r="AD246" s="31">
        <v>0</v>
      </c>
      <c r="AE246" s="31">
        <v>0</v>
      </c>
      <c r="AF246" s="31">
        <v>19</v>
      </c>
      <c r="AG246" s="31">
        <v>0</v>
      </c>
      <c r="AH246" s="31">
        <v>0</v>
      </c>
      <c r="AI246" s="31">
        <v>33</v>
      </c>
      <c r="AJ246" s="31">
        <v>0</v>
      </c>
      <c r="AK246" s="31">
        <v>0</v>
      </c>
      <c r="AL246" s="31">
        <v>84</v>
      </c>
      <c r="AM246" s="31">
        <v>0</v>
      </c>
      <c r="AN246" s="31">
        <v>0</v>
      </c>
      <c r="AO246" s="31">
        <v>0</v>
      </c>
      <c r="AP246" s="31">
        <v>0</v>
      </c>
    </row>
    <row r="247" spans="1:42" x14ac:dyDescent="0.25">
      <c r="A247" s="31">
        <v>15</v>
      </c>
      <c r="B247" s="31">
        <v>25001</v>
      </c>
      <c r="C247" s="31" t="s">
        <v>421</v>
      </c>
      <c r="D247" s="31" t="s">
        <v>660</v>
      </c>
      <c r="E247" s="31" t="s">
        <v>885</v>
      </c>
      <c r="F247" s="31">
        <v>5.625999927520752</v>
      </c>
      <c r="G247" s="31">
        <v>6</v>
      </c>
      <c r="H247" s="31">
        <v>0</v>
      </c>
      <c r="I247" s="31">
        <v>0</v>
      </c>
      <c r="J247" s="31">
        <v>11.62600040435791</v>
      </c>
      <c r="K247" s="31">
        <v>25.5</v>
      </c>
      <c r="L247" s="2" t="str">
        <f t="shared" si="24"/>
        <v>Рихтовка</v>
      </c>
      <c r="M247" s="12">
        <f t="shared" si="25"/>
        <v>33</v>
      </c>
      <c r="N247" s="12">
        <f t="shared" si="26"/>
        <v>33</v>
      </c>
      <c r="O247" s="12">
        <f t="shared" si="27"/>
        <v>2</v>
      </c>
      <c r="P247" s="12">
        <f t="shared" si="28"/>
        <v>4</v>
      </c>
      <c r="Q247" s="12">
        <f t="shared" si="29"/>
        <v>11</v>
      </c>
      <c r="R247" s="12">
        <f t="shared" si="30"/>
        <v>7</v>
      </c>
      <c r="S247" s="12">
        <f t="shared" si="31"/>
        <v>25</v>
      </c>
      <c r="T247" s="31">
        <v>33</v>
      </c>
      <c r="U247" s="31">
        <v>0</v>
      </c>
      <c r="V247" s="31">
        <v>0</v>
      </c>
      <c r="W247" s="31">
        <v>2</v>
      </c>
      <c r="X247" s="31">
        <v>0</v>
      </c>
      <c r="Y247" s="31">
        <v>0</v>
      </c>
      <c r="Z247" s="31">
        <v>4</v>
      </c>
      <c r="AA247" s="31">
        <v>0</v>
      </c>
      <c r="AB247" s="31">
        <v>0</v>
      </c>
      <c r="AC247" s="31">
        <v>11</v>
      </c>
      <c r="AD247" s="31">
        <v>0</v>
      </c>
      <c r="AE247" s="31">
        <v>0</v>
      </c>
      <c r="AF247" s="31">
        <v>7</v>
      </c>
      <c r="AG247" s="31">
        <v>0</v>
      </c>
      <c r="AH247" s="31">
        <v>0</v>
      </c>
      <c r="AI247" s="31">
        <v>25</v>
      </c>
      <c r="AJ247" s="31">
        <v>0</v>
      </c>
      <c r="AK247" s="31">
        <v>0</v>
      </c>
      <c r="AL247" s="31">
        <v>82</v>
      </c>
      <c r="AM247" s="31">
        <v>0</v>
      </c>
      <c r="AN247" s="31">
        <v>0</v>
      </c>
      <c r="AO247" s="31">
        <v>0</v>
      </c>
      <c r="AP247" s="31">
        <v>0</v>
      </c>
    </row>
    <row r="248" spans="1:42" x14ac:dyDescent="0.25">
      <c r="A248" s="31">
        <v>15</v>
      </c>
      <c r="B248" s="31">
        <v>25001</v>
      </c>
      <c r="C248" s="31" t="s">
        <v>421</v>
      </c>
      <c r="D248" s="31" t="s">
        <v>661</v>
      </c>
      <c r="E248" s="31">
        <v>5</v>
      </c>
      <c r="F248" s="31">
        <v>4.5170001983642578</v>
      </c>
      <c r="G248" s="31">
        <v>2.000999927520752</v>
      </c>
      <c r="H248" s="31">
        <v>1.5190000534057617</v>
      </c>
      <c r="I248" s="31">
        <v>0</v>
      </c>
      <c r="J248" s="31">
        <v>8.0369997024536133</v>
      </c>
      <c r="K248" s="31">
        <v>43.900001525878906</v>
      </c>
      <c r="L248" s="2" t="str">
        <f t="shared" si="24"/>
        <v>Просадка</v>
      </c>
      <c r="M248" s="12">
        <f t="shared" si="25"/>
        <v>21</v>
      </c>
      <c r="N248" s="12">
        <f t="shared" si="26"/>
        <v>17</v>
      </c>
      <c r="O248" s="12">
        <f t="shared" si="27"/>
        <v>0</v>
      </c>
      <c r="P248" s="12">
        <f t="shared" si="28"/>
        <v>0</v>
      </c>
      <c r="Q248" s="12">
        <f t="shared" si="29"/>
        <v>19</v>
      </c>
      <c r="R248" s="12">
        <f t="shared" si="30"/>
        <v>13</v>
      </c>
      <c r="S248" s="12">
        <f t="shared" si="31"/>
        <v>21</v>
      </c>
      <c r="T248" s="31">
        <v>14</v>
      </c>
      <c r="U248" s="31">
        <v>3</v>
      </c>
      <c r="V248" s="31">
        <v>0</v>
      </c>
      <c r="W248" s="31">
        <v>0</v>
      </c>
      <c r="X248" s="31">
        <v>0</v>
      </c>
      <c r="Y248" s="31">
        <v>0</v>
      </c>
      <c r="Z248" s="31">
        <v>0</v>
      </c>
      <c r="AA248" s="31">
        <v>0</v>
      </c>
      <c r="AB248" s="31">
        <v>0</v>
      </c>
      <c r="AC248" s="31">
        <v>19</v>
      </c>
      <c r="AD248" s="31">
        <v>0</v>
      </c>
      <c r="AE248" s="31">
        <v>0</v>
      </c>
      <c r="AF248" s="31">
        <v>12</v>
      </c>
      <c r="AG248" s="31">
        <v>1</v>
      </c>
      <c r="AH248" s="31">
        <v>0</v>
      </c>
      <c r="AI248" s="31">
        <v>21</v>
      </c>
      <c r="AJ248" s="31">
        <v>0</v>
      </c>
      <c r="AK248" s="31">
        <v>0</v>
      </c>
      <c r="AL248" s="31">
        <v>66</v>
      </c>
      <c r="AM248" s="31">
        <v>4</v>
      </c>
      <c r="AN248" s="31">
        <v>0</v>
      </c>
      <c r="AO248" s="31">
        <v>0</v>
      </c>
      <c r="AP248" s="31">
        <v>0</v>
      </c>
    </row>
    <row r="249" spans="1:42" x14ac:dyDescent="0.25">
      <c r="A249" s="31">
        <v>15</v>
      </c>
      <c r="B249" s="31">
        <v>25001</v>
      </c>
      <c r="C249" s="31" t="s">
        <v>421</v>
      </c>
      <c r="D249" s="31" t="s">
        <v>662</v>
      </c>
      <c r="E249" s="31" t="s">
        <v>886</v>
      </c>
      <c r="F249" s="31">
        <v>5.054999828338623</v>
      </c>
      <c r="G249" s="31">
        <v>9.0039997100830078</v>
      </c>
      <c r="H249" s="31">
        <v>1.2170000076293945</v>
      </c>
      <c r="I249" s="31">
        <v>2.000999927520752</v>
      </c>
      <c r="J249" s="31">
        <v>17.277000427246094</v>
      </c>
      <c r="K249" s="31">
        <v>92.199996948242187</v>
      </c>
      <c r="L249" s="2" t="str">
        <f t="shared" si="24"/>
        <v>Рихтовка</v>
      </c>
      <c r="M249" s="12">
        <f t="shared" si="25"/>
        <v>4079</v>
      </c>
      <c r="N249" s="12">
        <f t="shared" si="26"/>
        <v>4079</v>
      </c>
      <c r="O249" s="12">
        <f t="shared" si="27"/>
        <v>4032</v>
      </c>
      <c r="P249" s="12">
        <f t="shared" si="28"/>
        <v>4033</v>
      </c>
      <c r="Q249" s="12">
        <f t="shared" si="29"/>
        <v>4054</v>
      </c>
      <c r="R249" s="12">
        <f t="shared" si="30"/>
        <v>4043</v>
      </c>
      <c r="S249" s="12">
        <f t="shared" si="31"/>
        <v>4057</v>
      </c>
      <c r="T249" s="31">
        <v>47</v>
      </c>
      <c r="U249" s="31">
        <v>2</v>
      </c>
      <c r="V249" s="31">
        <v>4030</v>
      </c>
      <c r="W249" s="31">
        <v>1</v>
      </c>
      <c r="X249" s="31">
        <v>1</v>
      </c>
      <c r="Y249" s="31">
        <v>4030</v>
      </c>
      <c r="Z249" s="31">
        <v>3</v>
      </c>
      <c r="AA249" s="31">
        <v>0</v>
      </c>
      <c r="AB249" s="31">
        <v>4030</v>
      </c>
      <c r="AC249" s="31">
        <v>24</v>
      </c>
      <c r="AD249" s="31">
        <v>0</v>
      </c>
      <c r="AE249" s="31">
        <v>4030</v>
      </c>
      <c r="AF249" s="31">
        <v>13</v>
      </c>
      <c r="AG249" s="31">
        <v>0</v>
      </c>
      <c r="AH249" s="31">
        <v>4030</v>
      </c>
      <c r="AI249" s="31">
        <v>27</v>
      </c>
      <c r="AJ249" s="31">
        <v>0</v>
      </c>
      <c r="AK249" s="31">
        <v>4030</v>
      </c>
      <c r="AL249" s="31">
        <v>115</v>
      </c>
      <c r="AM249" s="31">
        <v>3</v>
      </c>
      <c r="AN249" s="31">
        <v>2</v>
      </c>
      <c r="AO249" s="31">
        <v>0</v>
      </c>
      <c r="AP249" s="31">
        <v>0</v>
      </c>
    </row>
    <row r="250" spans="1:42" x14ac:dyDescent="0.25">
      <c r="A250" s="31">
        <v>15</v>
      </c>
      <c r="B250" s="31">
        <v>25001</v>
      </c>
      <c r="C250" s="31" t="s">
        <v>421</v>
      </c>
      <c r="D250" s="31" t="s">
        <v>663</v>
      </c>
      <c r="E250" s="31" t="s">
        <v>887</v>
      </c>
      <c r="F250" s="31">
        <v>6.435999870300293</v>
      </c>
      <c r="G250" s="31">
        <v>10.590000152587891</v>
      </c>
      <c r="H250" s="31">
        <v>0</v>
      </c>
      <c r="I250" s="31">
        <v>0</v>
      </c>
      <c r="J250" s="31">
        <v>17.025999069213867</v>
      </c>
      <c r="K250" s="31">
        <v>28.700000762939453</v>
      </c>
      <c r="L250" s="2" t="str">
        <f t="shared" si="24"/>
        <v>Просадка</v>
      </c>
      <c r="M250" s="12">
        <f t="shared" si="25"/>
        <v>40</v>
      </c>
      <c r="N250" s="12">
        <f t="shared" si="26"/>
        <v>20</v>
      </c>
      <c r="O250" s="12">
        <f t="shared" si="27"/>
        <v>1</v>
      </c>
      <c r="P250" s="12">
        <f t="shared" si="28"/>
        <v>0</v>
      </c>
      <c r="Q250" s="12">
        <f t="shared" si="29"/>
        <v>17</v>
      </c>
      <c r="R250" s="12">
        <f t="shared" si="30"/>
        <v>5</v>
      </c>
      <c r="S250" s="12">
        <f t="shared" si="31"/>
        <v>40</v>
      </c>
      <c r="T250" s="31">
        <v>20</v>
      </c>
      <c r="U250" s="31">
        <v>0</v>
      </c>
      <c r="V250" s="31">
        <v>0</v>
      </c>
      <c r="W250" s="31">
        <v>1</v>
      </c>
      <c r="X250" s="31">
        <v>0</v>
      </c>
      <c r="Y250" s="31">
        <v>0</v>
      </c>
      <c r="Z250" s="31">
        <v>0</v>
      </c>
      <c r="AA250" s="31">
        <v>0</v>
      </c>
      <c r="AB250" s="31">
        <v>0</v>
      </c>
      <c r="AC250" s="31">
        <v>17</v>
      </c>
      <c r="AD250" s="31">
        <v>0</v>
      </c>
      <c r="AE250" s="31">
        <v>0</v>
      </c>
      <c r="AF250" s="31">
        <v>5</v>
      </c>
      <c r="AG250" s="31">
        <v>0</v>
      </c>
      <c r="AH250" s="31">
        <v>0</v>
      </c>
      <c r="AI250" s="31">
        <v>40</v>
      </c>
      <c r="AJ250" s="31">
        <v>0</v>
      </c>
      <c r="AK250" s="31">
        <v>0</v>
      </c>
      <c r="AL250" s="31">
        <v>83</v>
      </c>
      <c r="AM250" s="31">
        <v>0</v>
      </c>
      <c r="AN250" s="31">
        <v>0</v>
      </c>
      <c r="AO250" s="31">
        <v>0</v>
      </c>
      <c r="AP250" s="31">
        <v>0</v>
      </c>
    </row>
    <row r="251" spans="1:42" x14ac:dyDescent="0.25">
      <c r="A251" s="31">
        <v>15</v>
      </c>
      <c r="B251" s="31">
        <v>25001</v>
      </c>
      <c r="C251" s="31" t="s">
        <v>421</v>
      </c>
      <c r="D251" s="31" t="s">
        <v>664</v>
      </c>
      <c r="E251" s="31">
        <v>7</v>
      </c>
      <c r="F251" s="31">
        <v>6.000999927520752</v>
      </c>
      <c r="G251" s="31">
        <v>7.9939999580383301</v>
      </c>
      <c r="H251" s="31">
        <v>0</v>
      </c>
      <c r="I251" s="31">
        <v>0</v>
      </c>
      <c r="J251" s="31">
        <v>13.994999885559082</v>
      </c>
      <c r="K251" s="31">
        <v>27.100000381469727</v>
      </c>
      <c r="L251" s="2" t="str">
        <f t="shared" si="24"/>
        <v>Просадка</v>
      </c>
      <c r="M251" s="12">
        <f t="shared" si="25"/>
        <v>28</v>
      </c>
      <c r="N251" s="12">
        <f t="shared" si="26"/>
        <v>18</v>
      </c>
      <c r="O251" s="12">
        <f t="shared" si="27"/>
        <v>5</v>
      </c>
      <c r="P251" s="12">
        <f t="shared" si="28"/>
        <v>0</v>
      </c>
      <c r="Q251" s="12">
        <f t="shared" si="29"/>
        <v>21</v>
      </c>
      <c r="R251" s="12">
        <f t="shared" si="30"/>
        <v>19</v>
      </c>
      <c r="S251" s="12">
        <f t="shared" si="31"/>
        <v>28</v>
      </c>
      <c r="T251" s="31">
        <v>18</v>
      </c>
      <c r="U251" s="31">
        <v>0</v>
      </c>
      <c r="V251" s="31">
        <v>0</v>
      </c>
      <c r="W251" s="31">
        <v>5</v>
      </c>
      <c r="X251" s="31">
        <v>0</v>
      </c>
      <c r="Y251" s="31">
        <v>0</v>
      </c>
      <c r="Z251" s="31">
        <v>0</v>
      </c>
      <c r="AA251" s="31">
        <v>0</v>
      </c>
      <c r="AB251" s="31">
        <v>0</v>
      </c>
      <c r="AC251" s="31">
        <v>21</v>
      </c>
      <c r="AD251" s="31">
        <v>0</v>
      </c>
      <c r="AE251" s="31">
        <v>0</v>
      </c>
      <c r="AF251" s="31">
        <v>19</v>
      </c>
      <c r="AG251" s="31">
        <v>0</v>
      </c>
      <c r="AH251" s="31">
        <v>0</v>
      </c>
      <c r="AI251" s="31">
        <v>28</v>
      </c>
      <c r="AJ251" s="31">
        <v>0</v>
      </c>
      <c r="AK251" s="31">
        <v>0</v>
      </c>
      <c r="AL251" s="31">
        <v>91</v>
      </c>
      <c r="AM251" s="31">
        <v>0</v>
      </c>
      <c r="AN251" s="31">
        <v>0</v>
      </c>
      <c r="AO251" s="31">
        <v>0</v>
      </c>
      <c r="AP251" s="31">
        <v>0</v>
      </c>
    </row>
    <row r="252" spans="1:42" x14ac:dyDescent="0.25">
      <c r="A252" s="31">
        <v>15</v>
      </c>
      <c r="B252" s="31">
        <v>25001</v>
      </c>
      <c r="C252" s="31" t="s">
        <v>421</v>
      </c>
      <c r="D252" s="31" t="s">
        <v>951</v>
      </c>
      <c r="E252" s="31" t="s">
        <v>891</v>
      </c>
      <c r="F252" s="31">
        <v>9.1689996719360352</v>
      </c>
      <c r="G252" s="31">
        <v>9.8680000305175781</v>
      </c>
      <c r="H252" s="31">
        <v>1</v>
      </c>
      <c r="I252" s="31">
        <v>0</v>
      </c>
      <c r="J252" s="31">
        <v>20.03700065612793</v>
      </c>
      <c r="K252" s="31">
        <v>31.799999237060547</v>
      </c>
      <c r="L252" s="2" t="str">
        <f t="shared" si="24"/>
        <v>Просадка</v>
      </c>
      <c r="M252" s="12">
        <f t="shared" si="25"/>
        <v>53</v>
      </c>
      <c r="N252" s="12">
        <f t="shared" si="26"/>
        <v>26</v>
      </c>
      <c r="O252" s="12">
        <f t="shared" si="27"/>
        <v>6</v>
      </c>
      <c r="P252" s="12">
        <f t="shared" si="28"/>
        <v>2</v>
      </c>
      <c r="Q252" s="12">
        <f t="shared" si="29"/>
        <v>39</v>
      </c>
      <c r="R252" s="12">
        <f t="shared" si="30"/>
        <v>10</v>
      </c>
      <c r="S252" s="12">
        <f t="shared" si="31"/>
        <v>53</v>
      </c>
      <c r="T252" s="31">
        <v>26</v>
      </c>
      <c r="U252" s="31">
        <v>0</v>
      </c>
      <c r="V252" s="31">
        <v>0</v>
      </c>
      <c r="W252" s="31">
        <v>6</v>
      </c>
      <c r="X252" s="31">
        <v>0</v>
      </c>
      <c r="Y252" s="31">
        <v>0</v>
      </c>
      <c r="Z252" s="31">
        <v>2</v>
      </c>
      <c r="AA252" s="31">
        <v>0</v>
      </c>
      <c r="AB252" s="31">
        <v>0</v>
      </c>
      <c r="AC252" s="31">
        <v>39</v>
      </c>
      <c r="AD252" s="31">
        <v>0</v>
      </c>
      <c r="AE252" s="31">
        <v>0</v>
      </c>
      <c r="AF252" s="31">
        <v>10</v>
      </c>
      <c r="AG252" s="31">
        <v>0</v>
      </c>
      <c r="AH252" s="31">
        <v>0</v>
      </c>
      <c r="AI252" s="31">
        <v>53</v>
      </c>
      <c r="AJ252" s="31">
        <v>0</v>
      </c>
      <c r="AK252" s="31">
        <v>0</v>
      </c>
      <c r="AL252" s="31">
        <v>136</v>
      </c>
      <c r="AM252" s="31">
        <v>0</v>
      </c>
      <c r="AN252" s="31">
        <v>0</v>
      </c>
      <c r="AO252" s="31">
        <v>0</v>
      </c>
      <c r="AP252" s="31">
        <v>0</v>
      </c>
    </row>
    <row r="253" spans="1:42" x14ac:dyDescent="0.25">
      <c r="A253" s="31">
        <v>15</v>
      </c>
      <c r="B253" s="31">
        <v>25001</v>
      </c>
      <c r="C253" s="31" t="s">
        <v>421</v>
      </c>
      <c r="D253" s="31" t="s">
        <v>952</v>
      </c>
      <c r="E253" s="31" t="s">
        <v>888</v>
      </c>
      <c r="F253" s="31">
        <v>3</v>
      </c>
      <c r="G253" s="31">
        <v>6.7639999389648437</v>
      </c>
      <c r="H253" s="31">
        <v>0</v>
      </c>
      <c r="I253" s="31">
        <v>0</v>
      </c>
      <c r="J253" s="31">
        <v>9.7639999389648437</v>
      </c>
      <c r="K253" s="31">
        <v>30.799999237060547</v>
      </c>
      <c r="L253" s="2" t="str">
        <f t="shared" si="24"/>
        <v>Рихтовка</v>
      </c>
      <c r="M253" s="12">
        <f t="shared" si="25"/>
        <v>21</v>
      </c>
      <c r="N253" s="12">
        <f t="shared" si="26"/>
        <v>21</v>
      </c>
      <c r="O253" s="12">
        <f t="shared" si="27"/>
        <v>3</v>
      </c>
      <c r="P253" s="12">
        <f t="shared" si="28"/>
        <v>0</v>
      </c>
      <c r="Q253" s="12">
        <f t="shared" si="29"/>
        <v>17</v>
      </c>
      <c r="R253" s="12">
        <f t="shared" si="30"/>
        <v>5</v>
      </c>
      <c r="S253" s="12">
        <f t="shared" si="31"/>
        <v>19</v>
      </c>
      <c r="T253" s="31">
        <v>21</v>
      </c>
      <c r="U253" s="31">
        <v>0</v>
      </c>
      <c r="V253" s="31">
        <v>0</v>
      </c>
      <c r="W253" s="31">
        <v>3</v>
      </c>
      <c r="X253" s="31">
        <v>0</v>
      </c>
      <c r="Y253" s="31">
        <v>0</v>
      </c>
      <c r="Z253" s="31">
        <v>0</v>
      </c>
      <c r="AA253" s="31">
        <v>0</v>
      </c>
      <c r="AB253" s="31">
        <v>0</v>
      </c>
      <c r="AC253" s="31">
        <v>17</v>
      </c>
      <c r="AD253" s="31">
        <v>0</v>
      </c>
      <c r="AE253" s="31">
        <v>0</v>
      </c>
      <c r="AF253" s="31">
        <v>5</v>
      </c>
      <c r="AG253" s="31">
        <v>0</v>
      </c>
      <c r="AH253" s="31">
        <v>0</v>
      </c>
      <c r="AI253" s="31">
        <v>19</v>
      </c>
      <c r="AJ253" s="31">
        <v>0</v>
      </c>
      <c r="AK253" s="31">
        <v>0</v>
      </c>
      <c r="AL253" s="31">
        <v>65</v>
      </c>
      <c r="AM253" s="31">
        <v>0</v>
      </c>
      <c r="AN253" s="31">
        <v>0</v>
      </c>
      <c r="AO253" s="31">
        <v>0</v>
      </c>
      <c r="AP253" s="31">
        <v>0</v>
      </c>
    </row>
    <row r="254" spans="1:42" x14ac:dyDescent="0.25">
      <c r="A254" s="31">
        <v>15</v>
      </c>
      <c r="B254" s="31">
        <v>25001</v>
      </c>
      <c r="C254" s="31" t="s">
        <v>421</v>
      </c>
      <c r="D254" s="31" t="s">
        <v>665</v>
      </c>
      <c r="E254" s="31">
        <v>9</v>
      </c>
      <c r="F254" s="31">
        <v>8.0010004043579102</v>
      </c>
      <c r="G254" s="31">
        <v>11.003999710083008</v>
      </c>
      <c r="H254" s="31">
        <v>1</v>
      </c>
      <c r="I254" s="31">
        <v>0</v>
      </c>
      <c r="J254" s="31">
        <v>20.004999160766602</v>
      </c>
      <c r="K254" s="31">
        <v>33.5</v>
      </c>
      <c r="L254" s="2" t="str">
        <f t="shared" si="24"/>
        <v>Просадка</v>
      </c>
      <c r="M254" s="12">
        <f t="shared" si="25"/>
        <v>61</v>
      </c>
      <c r="N254" s="12">
        <f t="shared" si="26"/>
        <v>46</v>
      </c>
      <c r="O254" s="12">
        <f t="shared" si="27"/>
        <v>3</v>
      </c>
      <c r="P254" s="12">
        <f t="shared" si="28"/>
        <v>0</v>
      </c>
      <c r="Q254" s="12">
        <f t="shared" si="29"/>
        <v>17</v>
      </c>
      <c r="R254" s="12">
        <f t="shared" si="30"/>
        <v>27</v>
      </c>
      <c r="S254" s="12">
        <f t="shared" si="31"/>
        <v>61</v>
      </c>
      <c r="T254" s="31">
        <v>45</v>
      </c>
      <c r="U254" s="31">
        <v>1</v>
      </c>
      <c r="V254" s="31">
        <v>0</v>
      </c>
      <c r="W254" s="31">
        <v>3</v>
      </c>
      <c r="X254" s="31">
        <v>0</v>
      </c>
      <c r="Y254" s="31">
        <v>0</v>
      </c>
      <c r="Z254" s="31">
        <v>0</v>
      </c>
      <c r="AA254" s="31">
        <v>0</v>
      </c>
      <c r="AB254" s="31">
        <v>0</v>
      </c>
      <c r="AC254" s="31">
        <v>17</v>
      </c>
      <c r="AD254" s="31">
        <v>0</v>
      </c>
      <c r="AE254" s="31">
        <v>0</v>
      </c>
      <c r="AF254" s="31">
        <v>27</v>
      </c>
      <c r="AG254" s="31">
        <v>0</v>
      </c>
      <c r="AH254" s="31">
        <v>0</v>
      </c>
      <c r="AI254" s="31">
        <v>61</v>
      </c>
      <c r="AJ254" s="31">
        <v>0</v>
      </c>
      <c r="AK254" s="31">
        <v>0</v>
      </c>
      <c r="AL254" s="31">
        <v>153</v>
      </c>
      <c r="AM254" s="31">
        <v>1</v>
      </c>
      <c r="AN254" s="31">
        <v>0</v>
      </c>
      <c r="AO254" s="31">
        <v>0</v>
      </c>
      <c r="AP254" s="31">
        <v>0</v>
      </c>
    </row>
    <row r="255" spans="1:42" x14ac:dyDescent="0.25">
      <c r="A255" s="31">
        <v>15</v>
      </c>
      <c r="B255" s="31">
        <v>25001</v>
      </c>
      <c r="C255" s="31" t="s">
        <v>421</v>
      </c>
      <c r="D255" s="31" t="s">
        <v>666</v>
      </c>
      <c r="E255" s="31">
        <v>9</v>
      </c>
      <c r="F255" s="31">
        <v>1.0010000467300415</v>
      </c>
      <c r="G255" s="31">
        <v>2</v>
      </c>
      <c r="H255" s="31">
        <v>1</v>
      </c>
      <c r="I255" s="31">
        <v>0</v>
      </c>
      <c r="J255" s="31">
        <v>4.000999927520752</v>
      </c>
      <c r="K255" s="31">
        <v>60</v>
      </c>
      <c r="L255" s="2" t="str">
        <f t="shared" si="24"/>
        <v>Просадка</v>
      </c>
      <c r="M255" s="12">
        <f t="shared" si="25"/>
        <v>21</v>
      </c>
      <c r="N255" s="12">
        <f t="shared" si="26"/>
        <v>10</v>
      </c>
      <c r="O255" s="12">
        <f t="shared" si="27"/>
        <v>0</v>
      </c>
      <c r="P255" s="12">
        <f t="shared" si="28"/>
        <v>0</v>
      </c>
      <c r="Q255" s="12">
        <f t="shared" si="29"/>
        <v>8</v>
      </c>
      <c r="R255" s="12">
        <f t="shared" si="30"/>
        <v>3</v>
      </c>
      <c r="S255" s="12">
        <f t="shared" si="31"/>
        <v>21</v>
      </c>
      <c r="T255" s="31">
        <v>9</v>
      </c>
      <c r="U255" s="31">
        <v>1</v>
      </c>
      <c r="V255" s="31">
        <v>0</v>
      </c>
      <c r="W255" s="31">
        <v>0</v>
      </c>
      <c r="X255" s="31">
        <v>0</v>
      </c>
      <c r="Y255" s="31">
        <v>0</v>
      </c>
      <c r="Z255" s="31">
        <v>0</v>
      </c>
      <c r="AA255" s="31">
        <v>0</v>
      </c>
      <c r="AB255" s="31">
        <v>0</v>
      </c>
      <c r="AC255" s="31">
        <v>8</v>
      </c>
      <c r="AD255" s="31">
        <v>0</v>
      </c>
      <c r="AE255" s="31">
        <v>0</v>
      </c>
      <c r="AF255" s="31">
        <v>3</v>
      </c>
      <c r="AG255" s="31">
        <v>0</v>
      </c>
      <c r="AH255" s="31">
        <v>0</v>
      </c>
      <c r="AI255" s="31">
        <v>21</v>
      </c>
      <c r="AJ255" s="31">
        <v>0</v>
      </c>
      <c r="AK255" s="31">
        <v>0</v>
      </c>
      <c r="AL255" s="31">
        <v>41</v>
      </c>
      <c r="AM255" s="31">
        <v>1</v>
      </c>
      <c r="AN255" s="31">
        <v>0</v>
      </c>
      <c r="AO255" s="31">
        <v>0</v>
      </c>
      <c r="AP255" s="31">
        <v>0</v>
      </c>
    </row>
    <row r="256" spans="1:42" x14ac:dyDescent="0.25">
      <c r="A256" s="31">
        <v>16</v>
      </c>
      <c r="B256" s="31">
        <v>25001</v>
      </c>
      <c r="C256" s="31" t="s">
        <v>421</v>
      </c>
      <c r="D256" s="31" t="s">
        <v>666</v>
      </c>
      <c r="E256" s="31">
        <v>1</v>
      </c>
      <c r="F256" s="31">
        <v>2.9920001029968262</v>
      </c>
      <c r="G256" s="31">
        <v>7.7750000953674316</v>
      </c>
      <c r="H256" s="31">
        <v>1</v>
      </c>
      <c r="I256" s="31">
        <v>1</v>
      </c>
      <c r="J256" s="31">
        <v>12.767000198364258</v>
      </c>
      <c r="K256" s="31">
        <v>77.599998474121094</v>
      </c>
      <c r="L256" s="2" t="str">
        <f t="shared" si="24"/>
        <v>Просадка</v>
      </c>
      <c r="M256" s="12">
        <f t="shared" si="25"/>
        <v>2056</v>
      </c>
      <c r="N256" s="12">
        <f t="shared" si="26"/>
        <v>2042</v>
      </c>
      <c r="O256" s="12">
        <f t="shared" si="27"/>
        <v>2017</v>
      </c>
      <c r="P256" s="12">
        <f t="shared" si="28"/>
        <v>2015</v>
      </c>
      <c r="Q256" s="12">
        <f t="shared" si="29"/>
        <v>2051</v>
      </c>
      <c r="R256" s="12">
        <f t="shared" si="30"/>
        <v>2024</v>
      </c>
      <c r="S256" s="12">
        <f t="shared" si="31"/>
        <v>2056</v>
      </c>
      <c r="T256" s="31">
        <v>27</v>
      </c>
      <c r="U256" s="31">
        <v>0</v>
      </c>
      <c r="V256" s="31">
        <v>2015</v>
      </c>
      <c r="W256" s="31">
        <v>2</v>
      </c>
      <c r="X256" s="31">
        <v>0</v>
      </c>
      <c r="Y256" s="31">
        <v>2015</v>
      </c>
      <c r="Z256" s="31">
        <v>0</v>
      </c>
      <c r="AA256" s="31">
        <v>0</v>
      </c>
      <c r="AB256" s="31">
        <v>2015</v>
      </c>
      <c r="AC256" s="31">
        <v>36</v>
      </c>
      <c r="AD256" s="31">
        <v>0</v>
      </c>
      <c r="AE256" s="31">
        <v>2015</v>
      </c>
      <c r="AF256" s="31">
        <v>8</v>
      </c>
      <c r="AG256" s="31">
        <v>1</v>
      </c>
      <c r="AH256" s="31">
        <v>2015</v>
      </c>
      <c r="AI256" s="31">
        <v>41</v>
      </c>
      <c r="AJ256" s="31">
        <v>0</v>
      </c>
      <c r="AK256" s="31">
        <v>2015</v>
      </c>
      <c r="AL256" s="31">
        <v>114</v>
      </c>
      <c r="AM256" s="31">
        <v>1</v>
      </c>
      <c r="AN256" s="31">
        <v>1</v>
      </c>
      <c r="AO256" s="31">
        <v>0</v>
      </c>
      <c r="AP256" s="31">
        <v>1</v>
      </c>
    </row>
    <row r="257" spans="1:42" x14ac:dyDescent="0.25">
      <c r="A257" s="31">
        <v>16</v>
      </c>
      <c r="B257" s="31">
        <v>25001</v>
      </c>
      <c r="C257" s="31" t="s">
        <v>421</v>
      </c>
      <c r="D257" s="31" t="s">
        <v>667</v>
      </c>
      <c r="E257" s="31" t="s">
        <v>881</v>
      </c>
      <c r="F257" s="31">
        <v>4.1479997634887695</v>
      </c>
      <c r="G257" s="31">
        <v>11.928999900817871</v>
      </c>
      <c r="H257" s="31">
        <v>1</v>
      </c>
      <c r="I257" s="31">
        <v>0</v>
      </c>
      <c r="J257" s="31">
        <v>17.076999664306641</v>
      </c>
      <c r="K257" s="31">
        <v>39.200000762939453</v>
      </c>
      <c r="L257" s="2" t="str">
        <f t="shared" si="24"/>
        <v>Рихтовка</v>
      </c>
      <c r="M257" s="12">
        <f t="shared" si="25"/>
        <v>54</v>
      </c>
      <c r="N257" s="12">
        <f t="shared" si="26"/>
        <v>54</v>
      </c>
      <c r="O257" s="12">
        <f t="shared" si="27"/>
        <v>7</v>
      </c>
      <c r="P257" s="12">
        <f t="shared" si="28"/>
        <v>0</v>
      </c>
      <c r="Q257" s="12">
        <f t="shared" si="29"/>
        <v>28</v>
      </c>
      <c r="R257" s="12">
        <f t="shared" si="30"/>
        <v>21</v>
      </c>
      <c r="S257" s="12">
        <f t="shared" si="31"/>
        <v>48</v>
      </c>
      <c r="T257" s="31">
        <v>53</v>
      </c>
      <c r="U257" s="31">
        <v>1</v>
      </c>
      <c r="V257" s="31">
        <v>0</v>
      </c>
      <c r="W257" s="31">
        <v>7</v>
      </c>
      <c r="X257" s="31">
        <v>0</v>
      </c>
      <c r="Y257" s="31">
        <v>0</v>
      </c>
      <c r="Z257" s="31">
        <v>0</v>
      </c>
      <c r="AA257" s="31">
        <v>0</v>
      </c>
      <c r="AB257" s="31">
        <v>0</v>
      </c>
      <c r="AC257" s="31">
        <v>28</v>
      </c>
      <c r="AD257" s="31">
        <v>0</v>
      </c>
      <c r="AE257" s="31">
        <v>0</v>
      </c>
      <c r="AF257" s="31">
        <v>21</v>
      </c>
      <c r="AG257" s="31">
        <v>0</v>
      </c>
      <c r="AH257" s="31">
        <v>0</v>
      </c>
      <c r="AI257" s="31">
        <v>48</v>
      </c>
      <c r="AJ257" s="31">
        <v>0</v>
      </c>
      <c r="AK257" s="31">
        <v>0</v>
      </c>
      <c r="AL257" s="31">
        <v>157</v>
      </c>
      <c r="AM257" s="31">
        <v>1</v>
      </c>
      <c r="AN257" s="31">
        <v>0</v>
      </c>
      <c r="AO257" s="31">
        <v>0</v>
      </c>
      <c r="AP257" s="31">
        <v>0</v>
      </c>
    </row>
    <row r="258" spans="1:42" x14ac:dyDescent="0.25">
      <c r="A258" s="31">
        <v>16</v>
      </c>
      <c r="B258" s="31">
        <v>25001</v>
      </c>
      <c r="C258" s="31" t="s">
        <v>421</v>
      </c>
      <c r="D258" s="31" t="s">
        <v>668</v>
      </c>
      <c r="E258" s="31">
        <v>2</v>
      </c>
      <c r="F258" s="31">
        <v>3.0209999084472656</v>
      </c>
      <c r="G258" s="31">
        <v>2.5959999561309814</v>
      </c>
      <c r="H258" s="31">
        <v>1</v>
      </c>
      <c r="I258" s="31">
        <v>0</v>
      </c>
      <c r="J258" s="31">
        <v>6.6170001029968262</v>
      </c>
      <c r="K258" s="31">
        <v>42.900001525878906</v>
      </c>
      <c r="L258" s="2" t="str">
        <f t="shared" ref="L258:L321" si="32">IF($M258=N258,$N$1,IF($M258=O258,$O$1,IF($M258=P258,$P$1,IF($M258=Q258,$Q$1,IF($M258=R258,$R$1,$S$1)))))</f>
        <v>Просадка</v>
      </c>
      <c r="M258" s="12">
        <f t="shared" ref="M258:M321" si="33">MAX(N258,O258,P258,Q258,R258,S258)</f>
        <v>48</v>
      </c>
      <c r="N258" s="12">
        <f t="shared" ref="N258:N321" si="34">T258+U258+V258</f>
        <v>5</v>
      </c>
      <c r="O258" s="12">
        <f t="shared" ref="O258:O321" si="35">W258+X258+Y258</f>
        <v>0</v>
      </c>
      <c r="P258" s="12">
        <f t="shared" ref="P258:P321" si="36">Z258+AA258+AB258</f>
        <v>0</v>
      </c>
      <c r="Q258" s="12">
        <f t="shared" ref="Q258:Q321" si="37">AC258+AD258+AE258</f>
        <v>9</v>
      </c>
      <c r="R258" s="12">
        <f t="shared" ref="R258:R321" si="38">AF258+AG258+AH258</f>
        <v>2</v>
      </c>
      <c r="S258" s="12">
        <f t="shared" ref="S258:S321" si="39">AI258+AJ258+AK258</f>
        <v>48</v>
      </c>
      <c r="T258" s="31">
        <v>5</v>
      </c>
      <c r="U258" s="31">
        <v>0</v>
      </c>
      <c r="V258" s="31">
        <v>0</v>
      </c>
      <c r="W258" s="31">
        <v>0</v>
      </c>
      <c r="X258" s="31">
        <v>0</v>
      </c>
      <c r="Y258" s="31">
        <v>0</v>
      </c>
      <c r="Z258" s="31">
        <v>0</v>
      </c>
      <c r="AA258" s="31">
        <v>0</v>
      </c>
      <c r="AB258" s="31">
        <v>0</v>
      </c>
      <c r="AC258" s="31">
        <v>9</v>
      </c>
      <c r="AD258" s="31">
        <v>0</v>
      </c>
      <c r="AE258" s="31">
        <v>0</v>
      </c>
      <c r="AF258" s="31">
        <v>2</v>
      </c>
      <c r="AG258" s="31">
        <v>0</v>
      </c>
      <c r="AH258" s="31">
        <v>0</v>
      </c>
      <c r="AI258" s="31">
        <v>48</v>
      </c>
      <c r="AJ258" s="31">
        <v>0</v>
      </c>
      <c r="AK258" s="31">
        <v>0</v>
      </c>
      <c r="AL258" s="31">
        <v>64</v>
      </c>
      <c r="AM258" s="31">
        <v>0</v>
      </c>
      <c r="AN258" s="31">
        <v>0</v>
      </c>
      <c r="AO258" s="31">
        <v>0</v>
      </c>
      <c r="AP258" s="31">
        <v>0</v>
      </c>
    </row>
    <row r="259" spans="1:42" x14ac:dyDescent="0.25">
      <c r="A259" s="31">
        <v>16</v>
      </c>
      <c r="B259" s="31">
        <v>25001</v>
      </c>
      <c r="C259" s="31" t="s">
        <v>421</v>
      </c>
      <c r="D259" s="31" t="s">
        <v>669</v>
      </c>
      <c r="E259" s="31" t="s">
        <v>883</v>
      </c>
      <c r="F259" s="31">
        <v>1.4670000076293945</v>
      </c>
      <c r="G259" s="31">
        <v>4.6409997940063477</v>
      </c>
      <c r="H259" s="31">
        <v>1.0010000467300415</v>
      </c>
      <c r="I259" s="31">
        <v>1</v>
      </c>
      <c r="J259" s="31">
        <v>8.1090002059936523</v>
      </c>
      <c r="K259" s="31">
        <v>104.90000152587891</v>
      </c>
      <c r="L259" s="2" t="str">
        <f t="shared" si="32"/>
        <v>Просадка</v>
      </c>
      <c r="M259" s="12">
        <f t="shared" si="33"/>
        <v>2044</v>
      </c>
      <c r="N259" s="12">
        <f t="shared" si="34"/>
        <v>2034</v>
      </c>
      <c r="O259" s="12">
        <f t="shared" si="35"/>
        <v>2022</v>
      </c>
      <c r="P259" s="12">
        <f t="shared" si="36"/>
        <v>2015</v>
      </c>
      <c r="Q259" s="12">
        <f t="shared" si="37"/>
        <v>2041</v>
      </c>
      <c r="R259" s="12">
        <f t="shared" si="38"/>
        <v>2031</v>
      </c>
      <c r="S259" s="12">
        <f t="shared" si="39"/>
        <v>2044</v>
      </c>
      <c r="T259" s="31">
        <v>18</v>
      </c>
      <c r="U259" s="31">
        <v>1</v>
      </c>
      <c r="V259" s="31">
        <v>2015</v>
      </c>
      <c r="W259" s="31">
        <v>7</v>
      </c>
      <c r="X259" s="31">
        <v>0</v>
      </c>
      <c r="Y259" s="31">
        <v>2015</v>
      </c>
      <c r="Z259" s="31">
        <v>0</v>
      </c>
      <c r="AA259" s="31">
        <v>0</v>
      </c>
      <c r="AB259" s="31">
        <v>2015</v>
      </c>
      <c r="AC259" s="31">
        <v>26</v>
      </c>
      <c r="AD259" s="31">
        <v>0</v>
      </c>
      <c r="AE259" s="31">
        <v>2015</v>
      </c>
      <c r="AF259" s="31">
        <v>16</v>
      </c>
      <c r="AG259" s="31">
        <v>0</v>
      </c>
      <c r="AH259" s="31">
        <v>2015</v>
      </c>
      <c r="AI259" s="31">
        <v>29</v>
      </c>
      <c r="AJ259" s="31">
        <v>0</v>
      </c>
      <c r="AK259" s="31">
        <v>2015</v>
      </c>
      <c r="AL259" s="31">
        <v>96</v>
      </c>
      <c r="AM259" s="31">
        <v>1</v>
      </c>
      <c r="AN259" s="31">
        <v>1</v>
      </c>
      <c r="AO259" s="31">
        <v>0</v>
      </c>
      <c r="AP259" s="31">
        <v>0</v>
      </c>
    </row>
    <row r="260" spans="1:42" x14ac:dyDescent="0.25">
      <c r="A260" s="31">
        <v>16</v>
      </c>
      <c r="B260" s="31">
        <v>25001</v>
      </c>
      <c r="C260" s="31" t="s">
        <v>421</v>
      </c>
      <c r="D260" s="31" t="s">
        <v>670</v>
      </c>
      <c r="E260" s="31" t="s">
        <v>884</v>
      </c>
      <c r="F260" s="31">
        <v>4.9819998741149902</v>
      </c>
      <c r="G260" s="31">
        <v>14.97599983215332</v>
      </c>
      <c r="H260" s="31">
        <v>0</v>
      </c>
      <c r="I260" s="31">
        <v>0</v>
      </c>
      <c r="J260" s="31">
        <v>19.958000183105469</v>
      </c>
      <c r="K260" s="31">
        <v>32.5</v>
      </c>
      <c r="L260" s="2" t="str">
        <f t="shared" si="32"/>
        <v>Просадка</v>
      </c>
      <c r="M260" s="12">
        <f t="shared" si="33"/>
        <v>106</v>
      </c>
      <c r="N260" s="12">
        <f t="shared" si="34"/>
        <v>34</v>
      </c>
      <c r="O260" s="12">
        <f t="shared" si="35"/>
        <v>1</v>
      </c>
      <c r="P260" s="12">
        <f t="shared" si="36"/>
        <v>1</v>
      </c>
      <c r="Q260" s="12">
        <f t="shared" si="37"/>
        <v>47</v>
      </c>
      <c r="R260" s="12">
        <f t="shared" si="38"/>
        <v>13</v>
      </c>
      <c r="S260" s="12">
        <f t="shared" si="39"/>
        <v>106</v>
      </c>
      <c r="T260" s="31">
        <v>34</v>
      </c>
      <c r="U260" s="31">
        <v>0</v>
      </c>
      <c r="V260" s="31">
        <v>0</v>
      </c>
      <c r="W260" s="31">
        <v>1</v>
      </c>
      <c r="X260" s="31">
        <v>0</v>
      </c>
      <c r="Y260" s="31">
        <v>0</v>
      </c>
      <c r="Z260" s="31">
        <v>1</v>
      </c>
      <c r="AA260" s="31">
        <v>0</v>
      </c>
      <c r="AB260" s="31">
        <v>0</v>
      </c>
      <c r="AC260" s="31">
        <v>47</v>
      </c>
      <c r="AD260" s="31">
        <v>0</v>
      </c>
      <c r="AE260" s="31">
        <v>0</v>
      </c>
      <c r="AF260" s="31">
        <v>13</v>
      </c>
      <c r="AG260" s="31">
        <v>0</v>
      </c>
      <c r="AH260" s="31">
        <v>0</v>
      </c>
      <c r="AI260" s="31">
        <v>106</v>
      </c>
      <c r="AJ260" s="31">
        <v>0</v>
      </c>
      <c r="AK260" s="31">
        <v>0</v>
      </c>
      <c r="AL260" s="31">
        <v>202</v>
      </c>
      <c r="AM260" s="31">
        <v>0</v>
      </c>
      <c r="AN260" s="31">
        <v>0</v>
      </c>
      <c r="AO260" s="31">
        <v>0</v>
      </c>
      <c r="AP260" s="31">
        <v>0</v>
      </c>
    </row>
    <row r="261" spans="1:42" x14ac:dyDescent="0.25">
      <c r="A261" s="31">
        <v>16</v>
      </c>
      <c r="B261" s="31">
        <v>25001</v>
      </c>
      <c r="C261" s="31" t="s">
        <v>421</v>
      </c>
      <c r="D261" s="31" t="s">
        <v>671</v>
      </c>
      <c r="E261" s="31">
        <v>4</v>
      </c>
      <c r="F261" s="31">
        <v>2</v>
      </c>
      <c r="G261" s="31">
        <v>4.0139999389648437</v>
      </c>
      <c r="H261" s="31">
        <v>0.98100000619888306</v>
      </c>
      <c r="I261" s="31">
        <v>0</v>
      </c>
      <c r="J261" s="31">
        <v>6.994999885559082</v>
      </c>
      <c r="K261" s="31">
        <v>46.799999237060547</v>
      </c>
      <c r="L261" s="2" t="str">
        <f t="shared" si="32"/>
        <v>Сужение</v>
      </c>
      <c r="M261" s="12">
        <f t="shared" si="33"/>
        <v>28</v>
      </c>
      <c r="N261" s="12">
        <f t="shared" si="34"/>
        <v>2</v>
      </c>
      <c r="O261" s="12">
        <f t="shared" si="35"/>
        <v>2</v>
      </c>
      <c r="P261" s="12">
        <f t="shared" si="36"/>
        <v>28</v>
      </c>
      <c r="Q261" s="12">
        <f t="shared" si="37"/>
        <v>1</v>
      </c>
      <c r="R261" s="12">
        <f t="shared" si="38"/>
        <v>2</v>
      </c>
      <c r="S261" s="12">
        <f t="shared" si="39"/>
        <v>3</v>
      </c>
      <c r="T261" s="31">
        <v>2</v>
      </c>
      <c r="U261" s="31">
        <v>0</v>
      </c>
      <c r="V261" s="31">
        <v>0</v>
      </c>
      <c r="W261" s="31">
        <v>2</v>
      </c>
      <c r="X261" s="31">
        <v>0</v>
      </c>
      <c r="Y261" s="31">
        <v>0</v>
      </c>
      <c r="Z261" s="31">
        <v>28</v>
      </c>
      <c r="AA261" s="31">
        <v>0</v>
      </c>
      <c r="AB261" s="31">
        <v>0</v>
      </c>
      <c r="AC261" s="31">
        <v>1</v>
      </c>
      <c r="AD261" s="31">
        <v>0</v>
      </c>
      <c r="AE261" s="31">
        <v>0</v>
      </c>
      <c r="AF261" s="31">
        <v>2</v>
      </c>
      <c r="AG261" s="31">
        <v>0</v>
      </c>
      <c r="AH261" s="31">
        <v>0</v>
      </c>
      <c r="AI261" s="31">
        <v>3</v>
      </c>
      <c r="AJ261" s="31">
        <v>0</v>
      </c>
      <c r="AK261" s="31">
        <v>0</v>
      </c>
      <c r="AL261" s="31">
        <v>38</v>
      </c>
      <c r="AM261" s="31">
        <v>0</v>
      </c>
      <c r="AN261" s="31">
        <v>0</v>
      </c>
      <c r="AO261" s="31">
        <v>0</v>
      </c>
      <c r="AP261" s="31">
        <v>0</v>
      </c>
    </row>
    <row r="262" spans="1:42" x14ac:dyDescent="0.25">
      <c r="A262" s="31">
        <v>16</v>
      </c>
      <c r="B262" s="31">
        <v>25001</v>
      </c>
      <c r="C262" s="31" t="s">
        <v>421</v>
      </c>
      <c r="D262" s="31" t="s">
        <v>672</v>
      </c>
      <c r="E262" s="31" t="s">
        <v>885</v>
      </c>
      <c r="F262" s="31">
        <v>12.395000457763672</v>
      </c>
      <c r="G262" s="31">
        <v>1</v>
      </c>
      <c r="H262" s="31">
        <v>0</v>
      </c>
      <c r="I262" s="31">
        <v>0</v>
      </c>
      <c r="J262" s="31">
        <v>13.395000457763672</v>
      </c>
      <c r="K262" s="31">
        <v>12.199999809265137</v>
      </c>
      <c r="L262" s="2" t="str">
        <f t="shared" si="32"/>
        <v>Просадка</v>
      </c>
      <c r="M262" s="12">
        <f t="shared" si="33"/>
        <v>5</v>
      </c>
      <c r="N262" s="12">
        <f t="shared" si="34"/>
        <v>1</v>
      </c>
      <c r="O262" s="12">
        <f t="shared" si="35"/>
        <v>1</v>
      </c>
      <c r="P262" s="12">
        <f t="shared" si="36"/>
        <v>0</v>
      </c>
      <c r="Q262" s="12">
        <f t="shared" si="37"/>
        <v>0</v>
      </c>
      <c r="R262" s="12">
        <f t="shared" si="38"/>
        <v>2</v>
      </c>
      <c r="S262" s="12">
        <f t="shared" si="39"/>
        <v>5</v>
      </c>
      <c r="T262" s="31">
        <v>1</v>
      </c>
      <c r="U262" s="31">
        <v>0</v>
      </c>
      <c r="V262" s="31">
        <v>0</v>
      </c>
      <c r="W262" s="31">
        <v>1</v>
      </c>
      <c r="X262" s="31">
        <v>0</v>
      </c>
      <c r="Y262" s="31">
        <v>0</v>
      </c>
      <c r="Z262" s="31">
        <v>0</v>
      </c>
      <c r="AA262" s="31">
        <v>0</v>
      </c>
      <c r="AB262" s="31">
        <v>0</v>
      </c>
      <c r="AC262" s="31">
        <v>0</v>
      </c>
      <c r="AD262" s="31">
        <v>0</v>
      </c>
      <c r="AE262" s="31">
        <v>0</v>
      </c>
      <c r="AF262" s="31">
        <v>2</v>
      </c>
      <c r="AG262" s="31">
        <v>0</v>
      </c>
      <c r="AH262" s="31">
        <v>0</v>
      </c>
      <c r="AI262" s="31">
        <v>5</v>
      </c>
      <c r="AJ262" s="31">
        <v>0</v>
      </c>
      <c r="AK262" s="31">
        <v>0</v>
      </c>
      <c r="AL262" s="31">
        <v>9</v>
      </c>
      <c r="AM262" s="31">
        <v>0</v>
      </c>
      <c r="AN262" s="31">
        <v>0</v>
      </c>
      <c r="AO262" s="31">
        <v>0</v>
      </c>
      <c r="AP262" s="31">
        <v>0</v>
      </c>
    </row>
    <row r="263" spans="1:42" x14ac:dyDescent="0.25">
      <c r="A263" s="31">
        <v>16</v>
      </c>
      <c r="B263" s="31">
        <v>25001</v>
      </c>
      <c r="C263" s="31" t="s">
        <v>421</v>
      </c>
      <c r="D263" s="31" t="s">
        <v>673</v>
      </c>
      <c r="E263" s="31">
        <v>5</v>
      </c>
      <c r="F263" s="31">
        <v>10.008999824523926</v>
      </c>
      <c r="G263" s="31">
        <v>3.5469999313354492</v>
      </c>
      <c r="H263" s="31">
        <v>0</v>
      </c>
      <c r="I263" s="31">
        <v>0</v>
      </c>
      <c r="J263" s="31">
        <v>13.555999755859375</v>
      </c>
      <c r="K263" s="31">
        <v>17.799999237060547</v>
      </c>
      <c r="L263" s="2" t="str">
        <f t="shared" si="32"/>
        <v>Уровень</v>
      </c>
      <c r="M263" s="12">
        <f t="shared" si="33"/>
        <v>19</v>
      </c>
      <c r="N263" s="12">
        <f t="shared" si="34"/>
        <v>10</v>
      </c>
      <c r="O263" s="12">
        <f t="shared" si="35"/>
        <v>7</v>
      </c>
      <c r="P263" s="12">
        <f t="shared" si="36"/>
        <v>0</v>
      </c>
      <c r="Q263" s="12">
        <f t="shared" si="37"/>
        <v>19</v>
      </c>
      <c r="R263" s="12">
        <f t="shared" si="38"/>
        <v>7</v>
      </c>
      <c r="S263" s="12">
        <f t="shared" si="39"/>
        <v>13</v>
      </c>
      <c r="T263" s="31">
        <v>10</v>
      </c>
      <c r="U263" s="31">
        <v>0</v>
      </c>
      <c r="V263" s="31">
        <v>0</v>
      </c>
      <c r="W263" s="31">
        <v>7</v>
      </c>
      <c r="X263" s="31">
        <v>0</v>
      </c>
      <c r="Y263" s="31">
        <v>0</v>
      </c>
      <c r="Z263" s="31">
        <v>0</v>
      </c>
      <c r="AA263" s="31">
        <v>0</v>
      </c>
      <c r="AB263" s="31">
        <v>0</v>
      </c>
      <c r="AC263" s="31">
        <v>19</v>
      </c>
      <c r="AD263" s="31">
        <v>0</v>
      </c>
      <c r="AE263" s="31">
        <v>0</v>
      </c>
      <c r="AF263" s="31">
        <v>7</v>
      </c>
      <c r="AG263" s="31">
        <v>0</v>
      </c>
      <c r="AH263" s="31">
        <v>0</v>
      </c>
      <c r="AI263" s="31">
        <v>13</v>
      </c>
      <c r="AJ263" s="31">
        <v>0</v>
      </c>
      <c r="AK263" s="31">
        <v>0</v>
      </c>
      <c r="AL263" s="31">
        <v>56</v>
      </c>
      <c r="AM263" s="31">
        <v>0</v>
      </c>
      <c r="AN263" s="31">
        <v>0</v>
      </c>
      <c r="AO263" s="31">
        <v>0</v>
      </c>
      <c r="AP263" s="31">
        <v>0</v>
      </c>
    </row>
    <row r="264" spans="1:42" x14ac:dyDescent="0.25">
      <c r="A264" s="31">
        <v>16</v>
      </c>
      <c r="B264" s="31">
        <v>25001</v>
      </c>
      <c r="C264" s="31" t="s">
        <v>239</v>
      </c>
      <c r="D264" s="31" t="s">
        <v>674</v>
      </c>
      <c r="E264" s="31"/>
      <c r="F264" s="31">
        <v>0</v>
      </c>
      <c r="G264" s="31">
        <v>0</v>
      </c>
      <c r="H264" s="31">
        <v>0</v>
      </c>
      <c r="I264" s="31">
        <v>0</v>
      </c>
      <c r="J264" s="31">
        <v>0</v>
      </c>
      <c r="K264" s="31" t="s">
        <v>882</v>
      </c>
      <c r="L264" s="2" t="str">
        <f t="shared" si="32"/>
        <v>Рихтовка</v>
      </c>
      <c r="M264" s="12">
        <f t="shared" si="33"/>
        <v>0</v>
      </c>
      <c r="N264" s="12">
        <f t="shared" si="34"/>
        <v>0</v>
      </c>
      <c r="O264" s="12">
        <f t="shared" si="35"/>
        <v>0</v>
      </c>
      <c r="P264" s="12">
        <f t="shared" si="36"/>
        <v>0</v>
      </c>
      <c r="Q264" s="12">
        <f t="shared" si="37"/>
        <v>0</v>
      </c>
      <c r="R264" s="12">
        <f t="shared" si="38"/>
        <v>0</v>
      </c>
      <c r="S264" s="12">
        <f t="shared" si="39"/>
        <v>0</v>
      </c>
      <c r="T264" s="31">
        <v>0</v>
      </c>
      <c r="U264" s="31">
        <v>0</v>
      </c>
      <c r="V264" s="31">
        <v>0</v>
      </c>
      <c r="W264" s="31">
        <v>0</v>
      </c>
      <c r="X264" s="31">
        <v>0</v>
      </c>
      <c r="Y264" s="31">
        <v>0</v>
      </c>
      <c r="Z264" s="31">
        <v>0</v>
      </c>
      <c r="AA264" s="31">
        <v>0</v>
      </c>
      <c r="AB264" s="31">
        <v>0</v>
      </c>
      <c r="AC264" s="31">
        <v>0</v>
      </c>
      <c r="AD264" s="31">
        <v>0</v>
      </c>
      <c r="AE264" s="31">
        <v>0</v>
      </c>
      <c r="AF264" s="31">
        <v>0</v>
      </c>
      <c r="AG264" s="31">
        <v>0</v>
      </c>
      <c r="AH264" s="31">
        <v>0</v>
      </c>
      <c r="AI264" s="31">
        <v>0</v>
      </c>
      <c r="AJ264" s="31">
        <v>0</v>
      </c>
      <c r="AK264" s="31">
        <v>0</v>
      </c>
      <c r="AL264" s="31">
        <v>0</v>
      </c>
      <c r="AM264" s="31">
        <v>0</v>
      </c>
      <c r="AN264" s="31">
        <v>0</v>
      </c>
      <c r="AO264" s="31">
        <v>0</v>
      </c>
      <c r="AP264" s="31">
        <v>0</v>
      </c>
    </row>
    <row r="265" spans="1:42" x14ac:dyDescent="0.25">
      <c r="A265" s="31">
        <v>16</v>
      </c>
      <c r="B265" s="31">
        <v>25001</v>
      </c>
      <c r="C265" s="31" t="s">
        <v>239</v>
      </c>
      <c r="D265" s="31" t="s">
        <v>675</v>
      </c>
      <c r="E265" s="31"/>
      <c r="F265" s="31">
        <v>0</v>
      </c>
      <c r="G265" s="31">
        <v>0</v>
      </c>
      <c r="H265" s="31">
        <v>0</v>
      </c>
      <c r="I265" s="31">
        <v>0</v>
      </c>
      <c r="J265" s="31">
        <v>0</v>
      </c>
      <c r="K265" s="31" t="s">
        <v>882</v>
      </c>
      <c r="L265" s="2" t="str">
        <f t="shared" si="32"/>
        <v>Рихтовка</v>
      </c>
      <c r="M265" s="12">
        <f t="shared" si="33"/>
        <v>0</v>
      </c>
      <c r="N265" s="12">
        <f t="shared" si="34"/>
        <v>0</v>
      </c>
      <c r="O265" s="12">
        <f t="shared" si="35"/>
        <v>0</v>
      </c>
      <c r="P265" s="12">
        <f t="shared" si="36"/>
        <v>0</v>
      </c>
      <c r="Q265" s="12">
        <f t="shared" si="37"/>
        <v>0</v>
      </c>
      <c r="R265" s="12">
        <f t="shared" si="38"/>
        <v>0</v>
      </c>
      <c r="S265" s="12">
        <f t="shared" si="39"/>
        <v>0</v>
      </c>
      <c r="T265" s="31">
        <v>0</v>
      </c>
      <c r="U265" s="31">
        <v>0</v>
      </c>
      <c r="V265" s="31">
        <v>0</v>
      </c>
      <c r="W265" s="31">
        <v>0</v>
      </c>
      <c r="X265" s="31">
        <v>0</v>
      </c>
      <c r="Y265" s="31">
        <v>0</v>
      </c>
      <c r="Z265" s="31">
        <v>0</v>
      </c>
      <c r="AA265" s="31">
        <v>0</v>
      </c>
      <c r="AB265" s="31">
        <v>0</v>
      </c>
      <c r="AC265" s="31">
        <v>0</v>
      </c>
      <c r="AD265" s="31">
        <v>0</v>
      </c>
      <c r="AE265" s="31">
        <v>0</v>
      </c>
      <c r="AF265" s="31">
        <v>0</v>
      </c>
      <c r="AG265" s="31">
        <v>0</v>
      </c>
      <c r="AH265" s="31">
        <v>0</v>
      </c>
      <c r="AI265" s="31">
        <v>0</v>
      </c>
      <c r="AJ265" s="31">
        <v>0</v>
      </c>
      <c r="AK265" s="31">
        <v>0</v>
      </c>
      <c r="AL265" s="31">
        <v>0</v>
      </c>
      <c r="AM265" s="31">
        <v>0</v>
      </c>
      <c r="AN265" s="31">
        <v>0</v>
      </c>
      <c r="AO265" s="31">
        <v>0</v>
      </c>
      <c r="AP265" s="31">
        <v>0</v>
      </c>
    </row>
    <row r="266" spans="1:42" x14ac:dyDescent="0.25">
      <c r="A266" s="31">
        <v>16</v>
      </c>
      <c r="B266" s="31">
        <v>25001</v>
      </c>
      <c r="C266" s="31" t="s">
        <v>239</v>
      </c>
      <c r="D266" s="31" t="s">
        <v>676</v>
      </c>
      <c r="E266" s="31">
        <v>9</v>
      </c>
      <c r="F266" s="31">
        <v>1.9859999418258667</v>
      </c>
      <c r="G266" s="31">
        <v>0.33700001239776611</v>
      </c>
      <c r="H266" s="31">
        <v>0</v>
      </c>
      <c r="I266" s="31">
        <v>0</v>
      </c>
      <c r="J266" s="31">
        <v>2.3229999542236328</v>
      </c>
      <c r="K266" s="31">
        <v>14.399999618530273</v>
      </c>
      <c r="L266" s="2" t="str">
        <f t="shared" si="32"/>
        <v>Рихтовка</v>
      </c>
      <c r="M266" s="12">
        <f t="shared" si="33"/>
        <v>5</v>
      </c>
      <c r="N266" s="12">
        <f t="shared" si="34"/>
        <v>5</v>
      </c>
      <c r="O266" s="12">
        <f t="shared" si="35"/>
        <v>0</v>
      </c>
      <c r="P266" s="12">
        <f t="shared" si="36"/>
        <v>4</v>
      </c>
      <c r="Q266" s="12">
        <f t="shared" si="37"/>
        <v>2</v>
      </c>
      <c r="R266" s="12">
        <f t="shared" si="38"/>
        <v>1</v>
      </c>
      <c r="S266" s="12">
        <f t="shared" si="39"/>
        <v>0</v>
      </c>
      <c r="T266" s="31">
        <v>5</v>
      </c>
      <c r="U266" s="31">
        <v>0</v>
      </c>
      <c r="V266" s="31">
        <v>0</v>
      </c>
      <c r="W266" s="31">
        <v>0</v>
      </c>
      <c r="X266" s="31">
        <v>0</v>
      </c>
      <c r="Y266" s="31">
        <v>0</v>
      </c>
      <c r="Z266" s="31">
        <v>4</v>
      </c>
      <c r="AA266" s="31">
        <v>0</v>
      </c>
      <c r="AB266" s="31">
        <v>0</v>
      </c>
      <c r="AC266" s="31">
        <v>2</v>
      </c>
      <c r="AD266" s="31">
        <v>0</v>
      </c>
      <c r="AE266" s="31">
        <v>0</v>
      </c>
      <c r="AF266" s="31">
        <v>1</v>
      </c>
      <c r="AG266" s="31">
        <v>0</v>
      </c>
      <c r="AH266" s="31">
        <v>0</v>
      </c>
      <c r="AI266" s="31">
        <v>0</v>
      </c>
      <c r="AJ266" s="31">
        <v>0</v>
      </c>
      <c r="AK266" s="31">
        <v>0</v>
      </c>
      <c r="AL266" s="31">
        <v>12</v>
      </c>
      <c r="AM266" s="31">
        <v>0</v>
      </c>
      <c r="AN266" s="31">
        <v>0</v>
      </c>
      <c r="AO266" s="31">
        <v>0</v>
      </c>
      <c r="AP266" s="31">
        <v>0</v>
      </c>
    </row>
    <row r="267" spans="1:42" x14ac:dyDescent="0.25">
      <c r="A267" s="31">
        <v>16</v>
      </c>
      <c r="B267" s="31">
        <v>25001</v>
      </c>
      <c r="C267" s="31" t="s">
        <v>399</v>
      </c>
      <c r="D267" s="31" t="s">
        <v>674</v>
      </c>
      <c r="E267" s="31" t="s">
        <v>908</v>
      </c>
      <c r="F267" s="31">
        <v>3.4159998893737793</v>
      </c>
      <c r="G267" s="31">
        <v>4.6180000305175781</v>
      </c>
      <c r="H267" s="31">
        <v>0</v>
      </c>
      <c r="I267" s="31">
        <v>0</v>
      </c>
      <c r="J267" s="31">
        <v>8.0340003967285156</v>
      </c>
      <c r="K267" s="31">
        <v>27.200000762939453</v>
      </c>
      <c r="L267" s="2" t="str">
        <f t="shared" si="32"/>
        <v>Рихтовка</v>
      </c>
      <c r="M267" s="12">
        <f t="shared" si="33"/>
        <v>16</v>
      </c>
      <c r="N267" s="12">
        <f t="shared" si="34"/>
        <v>16</v>
      </c>
      <c r="O267" s="12">
        <f t="shared" si="35"/>
        <v>7</v>
      </c>
      <c r="P267" s="12">
        <f t="shared" si="36"/>
        <v>0</v>
      </c>
      <c r="Q267" s="12">
        <f t="shared" si="37"/>
        <v>4</v>
      </c>
      <c r="R267" s="12">
        <f t="shared" si="38"/>
        <v>6</v>
      </c>
      <c r="S267" s="12">
        <f t="shared" si="39"/>
        <v>15</v>
      </c>
      <c r="T267" s="31">
        <v>16</v>
      </c>
      <c r="U267" s="31">
        <v>0</v>
      </c>
      <c r="V267" s="31">
        <v>0</v>
      </c>
      <c r="W267" s="31">
        <v>7</v>
      </c>
      <c r="X267" s="31">
        <v>0</v>
      </c>
      <c r="Y267" s="31">
        <v>0</v>
      </c>
      <c r="Z267" s="31">
        <v>0</v>
      </c>
      <c r="AA267" s="31">
        <v>0</v>
      </c>
      <c r="AB267" s="31">
        <v>0</v>
      </c>
      <c r="AC267" s="31">
        <v>4</v>
      </c>
      <c r="AD267" s="31">
        <v>0</v>
      </c>
      <c r="AE267" s="31">
        <v>0</v>
      </c>
      <c r="AF267" s="31">
        <v>6</v>
      </c>
      <c r="AG267" s="31">
        <v>0</v>
      </c>
      <c r="AH267" s="31">
        <v>0</v>
      </c>
      <c r="AI267" s="31">
        <v>15</v>
      </c>
      <c r="AJ267" s="31">
        <v>0</v>
      </c>
      <c r="AK267" s="31">
        <v>0</v>
      </c>
      <c r="AL267" s="31">
        <v>48</v>
      </c>
      <c r="AM267" s="31">
        <v>0</v>
      </c>
      <c r="AN267" s="31">
        <v>0</v>
      </c>
      <c r="AO267" s="31">
        <v>0</v>
      </c>
      <c r="AP267" s="31">
        <v>0</v>
      </c>
    </row>
    <row r="268" spans="1:42" x14ac:dyDescent="0.25">
      <c r="A268" s="31">
        <v>16</v>
      </c>
      <c r="B268" s="31">
        <v>25001</v>
      </c>
      <c r="C268" s="31" t="s">
        <v>399</v>
      </c>
      <c r="D268" s="31" t="s">
        <v>675</v>
      </c>
      <c r="E268" s="31" t="s">
        <v>907</v>
      </c>
      <c r="F268" s="31">
        <v>7.7319998741149902</v>
      </c>
      <c r="G268" s="31">
        <v>3.315000057220459</v>
      </c>
      <c r="H268" s="31">
        <v>0</v>
      </c>
      <c r="I268" s="31">
        <v>0</v>
      </c>
      <c r="J268" s="31">
        <v>11.046999931335449</v>
      </c>
      <c r="K268" s="31">
        <v>19</v>
      </c>
      <c r="L268" s="2" t="str">
        <f t="shared" si="32"/>
        <v>Рихтовка</v>
      </c>
      <c r="M268" s="12">
        <f t="shared" si="33"/>
        <v>20</v>
      </c>
      <c r="N268" s="12">
        <f t="shared" si="34"/>
        <v>20</v>
      </c>
      <c r="O268" s="12">
        <f t="shared" si="35"/>
        <v>3</v>
      </c>
      <c r="P268" s="12">
        <f t="shared" si="36"/>
        <v>0</v>
      </c>
      <c r="Q268" s="12">
        <f t="shared" si="37"/>
        <v>18</v>
      </c>
      <c r="R268" s="12">
        <f t="shared" si="38"/>
        <v>4</v>
      </c>
      <c r="S268" s="12">
        <f t="shared" si="39"/>
        <v>13</v>
      </c>
      <c r="T268" s="31">
        <v>20</v>
      </c>
      <c r="U268" s="31">
        <v>0</v>
      </c>
      <c r="V268" s="31">
        <v>0</v>
      </c>
      <c r="W268" s="31">
        <v>3</v>
      </c>
      <c r="X268" s="31">
        <v>0</v>
      </c>
      <c r="Y268" s="31">
        <v>0</v>
      </c>
      <c r="Z268" s="31">
        <v>0</v>
      </c>
      <c r="AA268" s="31">
        <v>0</v>
      </c>
      <c r="AB268" s="31">
        <v>0</v>
      </c>
      <c r="AC268" s="31">
        <v>18</v>
      </c>
      <c r="AD268" s="31">
        <v>0</v>
      </c>
      <c r="AE268" s="31">
        <v>0</v>
      </c>
      <c r="AF268" s="31">
        <v>4</v>
      </c>
      <c r="AG268" s="31">
        <v>0</v>
      </c>
      <c r="AH268" s="31">
        <v>0</v>
      </c>
      <c r="AI268" s="31">
        <v>13</v>
      </c>
      <c r="AJ268" s="31">
        <v>0</v>
      </c>
      <c r="AK268" s="31">
        <v>0</v>
      </c>
      <c r="AL268" s="31">
        <v>58</v>
      </c>
      <c r="AM268" s="31">
        <v>0</v>
      </c>
      <c r="AN268" s="31">
        <v>0</v>
      </c>
      <c r="AO268" s="31">
        <v>0</v>
      </c>
      <c r="AP268" s="31">
        <v>0</v>
      </c>
    </row>
    <row r="269" spans="1:42" x14ac:dyDescent="0.25">
      <c r="A269" s="31">
        <v>16</v>
      </c>
      <c r="B269" s="31">
        <v>25001</v>
      </c>
      <c r="C269" s="31" t="s">
        <v>402</v>
      </c>
      <c r="D269" s="31" t="s">
        <v>677</v>
      </c>
      <c r="E269" s="31"/>
      <c r="F269" s="31">
        <v>0</v>
      </c>
      <c r="G269" s="31">
        <v>0</v>
      </c>
      <c r="H269" s="31">
        <v>0</v>
      </c>
      <c r="I269" s="31">
        <v>0</v>
      </c>
      <c r="J269" s="31">
        <v>0</v>
      </c>
      <c r="K269" s="31" t="s">
        <v>882</v>
      </c>
      <c r="L269" s="2" t="str">
        <f t="shared" si="32"/>
        <v>Рихтовка</v>
      </c>
      <c r="M269" s="12">
        <f t="shared" si="33"/>
        <v>0</v>
      </c>
      <c r="N269" s="12">
        <f t="shared" si="34"/>
        <v>0</v>
      </c>
      <c r="O269" s="12">
        <f t="shared" si="35"/>
        <v>0</v>
      </c>
      <c r="P269" s="12">
        <f t="shared" si="36"/>
        <v>0</v>
      </c>
      <c r="Q269" s="12">
        <f t="shared" si="37"/>
        <v>0</v>
      </c>
      <c r="R269" s="12">
        <f t="shared" si="38"/>
        <v>0</v>
      </c>
      <c r="S269" s="12">
        <f t="shared" si="39"/>
        <v>0</v>
      </c>
      <c r="T269" s="31">
        <v>0</v>
      </c>
      <c r="U269" s="31">
        <v>0</v>
      </c>
      <c r="V269" s="31">
        <v>0</v>
      </c>
      <c r="W269" s="31">
        <v>0</v>
      </c>
      <c r="X269" s="31">
        <v>0</v>
      </c>
      <c r="Y269" s="31">
        <v>0</v>
      </c>
      <c r="Z269" s="31">
        <v>0</v>
      </c>
      <c r="AA269" s="31">
        <v>0</v>
      </c>
      <c r="AB269" s="31">
        <v>0</v>
      </c>
      <c r="AC269" s="31">
        <v>0</v>
      </c>
      <c r="AD269" s="31">
        <v>0</v>
      </c>
      <c r="AE269" s="31">
        <v>0</v>
      </c>
      <c r="AF269" s="31">
        <v>0</v>
      </c>
      <c r="AG269" s="31">
        <v>0</v>
      </c>
      <c r="AH269" s="31">
        <v>0</v>
      </c>
      <c r="AI269" s="31">
        <v>0</v>
      </c>
      <c r="AJ269" s="31">
        <v>0</v>
      </c>
      <c r="AK269" s="31">
        <v>0</v>
      </c>
      <c r="AL269" s="31">
        <v>0</v>
      </c>
      <c r="AM269" s="31">
        <v>0</v>
      </c>
      <c r="AN269" s="31">
        <v>0</v>
      </c>
      <c r="AO269" s="31">
        <v>0</v>
      </c>
      <c r="AP269" s="31">
        <v>0</v>
      </c>
    </row>
    <row r="270" spans="1:42" x14ac:dyDescent="0.25">
      <c r="A270" s="31">
        <v>16</v>
      </c>
      <c r="B270" s="31">
        <v>25001</v>
      </c>
      <c r="C270" s="31" t="s">
        <v>402</v>
      </c>
      <c r="D270" s="31" t="s">
        <v>678</v>
      </c>
      <c r="E270" s="31"/>
      <c r="F270" s="31">
        <v>0</v>
      </c>
      <c r="G270" s="31">
        <v>0</v>
      </c>
      <c r="H270" s="31">
        <v>0</v>
      </c>
      <c r="I270" s="31">
        <v>0</v>
      </c>
      <c r="J270" s="31">
        <v>0</v>
      </c>
      <c r="K270" s="31" t="s">
        <v>882</v>
      </c>
      <c r="L270" s="2" t="str">
        <f t="shared" si="32"/>
        <v>Рихтовка</v>
      </c>
      <c r="M270" s="12">
        <f t="shared" si="33"/>
        <v>0</v>
      </c>
      <c r="N270" s="12">
        <f t="shared" si="34"/>
        <v>0</v>
      </c>
      <c r="O270" s="12">
        <f t="shared" si="35"/>
        <v>0</v>
      </c>
      <c r="P270" s="12">
        <f t="shared" si="36"/>
        <v>0</v>
      </c>
      <c r="Q270" s="12">
        <f t="shared" si="37"/>
        <v>0</v>
      </c>
      <c r="R270" s="12">
        <f t="shared" si="38"/>
        <v>0</v>
      </c>
      <c r="S270" s="12">
        <f t="shared" si="39"/>
        <v>0</v>
      </c>
      <c r="T270" s="31">
        <v>0</v>
      </c>
      <c r="U270" s="31">
        <v>0</v>
      </c>
      <c r="V270" s="31">
        <v>0</v>
      </c>
      <c r="W270" s="31">
        <v>0</v>
      </c>
      <c r="X270" s="31">
        <v>0</v>
      </c>
      <c r="Y270" s="31">
        <v>0</v>
      </c>
      <c r="Z270" s="31">
        <v>0</v>
      </c>
      <c r="AA270" s="31">
        <v>0</v>
      </c>
      <c r="AB270" s="31">
        <v>0</v>
      </c>
      <c r="AC270" s="31">
        <v>0</v>
      </c>
      <c r="AD270" s="31">
        <v>0</v>
      </c>
      <c r="AE270" s="31">
        <v>0</v>
      </c>
      <c r="AF270" s="31">
        <v>0</v>
      </c>
      <c r="AG270" s="31">
        <v>0</v>
      </c>
      <c r="AH270" s="31">
        <v>0</v>
      </c>
      <c r="AI270" s="31">
        <v>0</v>
      </c>
      <c r="AJ270" s="31">
        <v>0</v>
      </c>
      <c r="AK270" s="31">
        <v>0</v>
      </c>
      <c r="AL270" s="31">
        <v>0</v>
      </c>
      <c r="AM270" s="31">
        <v>0</v>
      </c>
      <c r="AN270" s="31">
        <v>0</v>
      </c>
      <c r="AO270" s="31">
        <v>0</v>
      </c>
      <c r="AP270" s="31">
        <v>0</v>
      </c>
    </row>
    <row r="271" spans="1:42" x14ac:dyDescent="0.25">
      <c r="A271" s="31">
        <v>16</v>
      </c>
      <c r="B271" s="31">
        <v>24605</v>
      </c>
      <c r="C271" s="31" t="s">
        <v>404</v>
      </c>
      <c r="D271" s="31" t="s">
        <v>674</v>
      </c>
      <c r="E271" s="31"/>
      <c r="F271" s="31">
        <v>0</v>
      </c>
      <c r="G271" s="31">
        <v>0</v>
      </c>
      <c r="H271" s="31">
        <v>0</v>
      </c>
      <c r="I271" s="31">
        <v>0</v>
      </c>
      <c r="J271" s="31">
        <v>0</v>
      </c>
      <c r="K271" s="31" t="s">
        <v>882</v>
      </c>
      <c r="L271" s="2" t="str">
        <f t="shared" si="32"/>
        <v>Рихтовка</v>
      </c>
      <c r="M271" s="12">
        <f t="shared" si="33"/>
        <v>0</v>
      </c>
      <c r="N271" s="12">
        <f t="shared" si="34"/>
        <v>0</v>
      </c>
      <c r="O271" s="12">
        <f t="shared" si="35"/>
        <v>0</v>
      </c>
      <c r="P271" s="12">
        <f t="shared" si="36"/>
        <v>0</v>
      </c>
      <c r="Q271" s="12">
        <f t="shared" si="37"/>
        <v>0</v>
      </c>
      <c r="R271" s="12">
        <f t="shared" si="38"/>
        <v>0</v>
      </c>
      <c r="S271" s="12">
        <f t="shared" si="39"/>
        <v>0</v>
      </c>
      <c r="T271" s="31">
        <v>0</v>
      </c>
      <c r="U271" s="31">
        <v>0</v>
      </c>
      <c r="V271" s="31">
        <v>0</v>
      </c>
      <c r="W271" s="31">
        <v>0</v>
      </c>
      <c r="X271" s="31">
        <v>0</v>
      </c>
      <c r="Y271" s="31">
        <v>0</v>
      </c>
      <c r="Z271" s="31">
        <v>0</v>
      </c>
      <c r="AA271" s="31">
        <v>0</v>
      </c>
      <c r="AB271" s="31">
        <v>0</v>
      </c>
      <c r="AC271" s="31">
        <v>0</v>
      </c>
      <c r="AD271" s="31">
        <v>0</v>
      </c>
      <c r="AE271" s="31">
        <v>0</v>
      </c>
      <c r="AF271" s="31">
        <v>0</v>
      </c>
      <c r="AG271" s="31">
        <v>0</v>
      </c>
      <c r="AH271" s="31">
        <v>0</v>
      </c>
      <c r="AI271" s="31">
        <v>0</v>
      </c>
      <c r="AJ271" s="31">
        <v>0</v>
      </c>
      <c r="AK271" s="31">
        <v>0</v>
      </c>
      <c r="AL271" s="31">
        <v>0</v>
      </c>
      <c r="AM271" s="31">
        <v>0</v>
      </c>
      <c r="AN271" s="31">
        <v>0</v>
      </c>
      <c r="AO271" s="31">
        <v>0</v>
      </c>
      <c r="AP271" s="31">
        <v>0</v>
      </c>
    </row>
    <row r="272" spans="1:42" x14ac:dyDescent="0.25">
      <c r="A272" s="31">
        <v>16</v>
      </c>
      <c r="B272" s="31">
        <v>24605</v>
      </c>
      <c r="C272" s="31">
        <v>1</v>
      </c>
      <c r="D272" s="31" t="s">
        <v>679</v>
      </c>
      <c r="E272" s="31"/>
      <c r="F272" s="31">
        <v>0</v>
      </c>
      <c r="G272" s="31">
        <v>0</v>
      </c>
      <c r="H272" s="31">
        <v>0</v>
      </c>
      <c r="I272" s="31">
        <v>0</v>
      </c>
      <c r="J272" s="31">
        <v>0</v>
      </c>
      <c r="K272" s="31" t="s">
        <v>882</v>
      </c>
      <c r="L272" s="2" t="str">
        <f t="shared" si="32"/>
        <v>Рихтовка</v>
      </c>
      <c r="M272" s="12">
        <f t="shared" si="33"/>
        <v>0</v>
      </c>
      <c r="N272" s="12">
        <f t="shared" si="34"/>
        <v>0</v>
      </c>
      <c r="O272" s="12">
        <f t="shared" si="35"/>
        <v>0</v>
      </c>
      <c r="P272" s="12">
        <f t="shared" si="36"/>
        <v>0</v>
      </c>
      <c r="Q272" s="12">
        <f t="shared" si="37"/>
        <v>0</v>
      </c>
      <c r="R272" s="12">
        <f t="shared" si="38"/>
        <v>0</v>
      </c>
      <c r="S272" s="12">
        <f t="shared" si="39"/>
        <v>0</v>
      </c>
      <c r="T272" s="31">
        <v>0</v>
      </c>
      <c r="U272" s="31">
        <v>0</v>
      </c>
      <c r="V272" s="31">
        <v>0</v>
      </c>
      <c r="W272" s="31">
        <v>0</v>
      </c>
      <c r="X272" s="31">
        <v>0</v>
      </c>
      <c r="Y272" s="31">
        <v>0</v>
      </c>
      <c r="Z272" s="31">
        <v>0</v>
      </c>
      <c r="AA272" s="31">
        <v>0</v>
      </c>
      <c r="AB272" s="31">
        <v>0</v>
      </c>
      <c r="AC272" s="31">
        <v>0</v>
      </c>
      <c r="AD272" s="31">
        <v>0</v>
      </c>
      <c r="AE272" s="31">
        <v>0</v>
      </c>
      <c r="AF272" s="31">
        <v>0</v>
      </c>
      <c r="AG272" s="31">
        <v>0</v>
      </c>
      <c r="AH272" s="31">
        <v>0</v>
      </c>
      <c r="AI272" s="31">
        <v>0</v>
      </c>
      <c r="AJ272" s="31">
        <v>0</v>
      </c>
      <c r="AK272" s="31">
        <v>0</v>
      </c>
      <c r="AL272" s="31">
        <v>0</v>
      </c>
      <c r="AM272" s="31">
        <v>0</v>
      </c>
      <c r="AN272" s="31">
        <v>0</v>
      </c>
      <c r="AO272" s="31">
        <v>0</v>
      </c>
      <c r="AP272" s="31">
        <v>0</v>
      </c>
    </row>
    <row r="273" spans="1:42" x14ac:dyDescent="0.25">
      <c r="A273" s="31">
        <v>16</v>
      </c>
      <c r="B273" s="31">
        <v>24605</v>
      </c>
      <c r="C273" s="31">
        <v>1</v>
      </c>
      <c r="D273" s="31" t="s">
        <v>680</v>
      </c>
      <c r="E273" s="31"/>
      <c r="F273" s="31">
        <v>0</v>
      </c>
      <c r="G273" s="31">
        <v>0</v>
      </c>
      <c r="H273" s="31">
        <v>0</v>
      </c>
      <c r="I273" s="31">
        <v>0</v>
      </c>
      <c r="J273" s="31">
        <v>0</v>
      </c>
      <c r="K273" s="31" t="s">
        <v>882</v>
      </c>
      <c r="L273" s="2" t="str">
        <f t="shared" si="32"/>
        <v>Рихтовка</v>
      </c>
      <c r="M273" s="12">
        <f t="shared" si="33"/>
        <v>0</v>
      </c>
      <c r="N273" s="12">
        <f t="shared" si="34"/>
        <v>0</v>
      </c>
      <c r="O273" s="12">
        <f t="shared" si="35"/>
        <v>0</v>
      </c>
      <c r="P273" s="12">
        <f t="shared" si="36"/>
        <v>0</v>
      </c>
      <c r="Q273" s="12">
        <f t="shared" si="37"/>
        <v>0</v>
      </c>
      <c r="R273" s="12">
        <f t="shared" si="38"/>
        <v>0</v>
      </c>
      <c r="S273" s="12">
        <f t="shared" si="39"/>
        <v>0</v>
      </c>
      <c r="T273" s="31">
        <v>0</v>
      </c>
      <c r="U273" s="31">
        <v>0</v>
      </c>
      <c r="V273" s="31">
        <v>0</v>
      </c>
      <c r="W273" s="31">
        <v>0</v>
      </c>
      <c r="X273" s="31">
        <v>0</v>
      </c>
      <c r="Y273" s="31">
        <v>0</v>
      </c>
      <c r="Z273" s="31">
        <v>0</v>
      </c>
      <c r="AA273" s="31">
        <v>0</v>
      </c>
      <c r="AB273" s="31">
        <v>0</v>
      </c>
      <c r="AC273" s="31">
        <v>0</v>
      </c>
      <c r="AD273" s="31">
        <v>0</v>
      </c>
      <c r="AE273" s="31">
        <v>0</v>
      </c>
      <c r="AF273" s="31">
        <v>0</v>
      </c>
      <c r="AG273" s="31">
        <v>0</v>
      </c>
      <c r="AH273" s="31">
        <v>0</v>
      </c>
      <c r="AI273" s="31">
        <v>0</v>
      </c>
      <c r="AJ273" s="31">
        <v>0</v>
      </c>
      <c r="AK273" s="31">
        <v>0</v>
      </c>
      <c r="AL273" s="31">
        <v>0</v>
      </c>
      <c r="AM273" s="31">
        <v>0</v>
      </c>
      <c r="AN273" s="31">
        <v>0</v>
      </c>
      <c r="AO273" s="31">
        <v>0</v>
      </c>
      <c r="AP273" s="31">
        <v>0</v>
      </c>
    </row>
    <row r="274" spans="1:42" x14ac:dyDescent="0.25">
      <c r="A274" s="31">
        <v>16</v>
      </c>
      <c r="B274" s="31">
        <v>24605</v>
      </c>
      <c r="C274" s="31">
        <v>1</v>
      </c>
      <c r="D274" s="31" t="s">
        <v>681</v>
      </c>
      <c r="E274" s="31"/>
      <c r="F274" s="31">
        <v>0</v>
      </c>
      <c r="G274" s="31">
        <v>0</v>
      </c>
      <c r="H274" s="31">
        <v>0</v>
      </c>
      <c r="I274" s="31">
        <v>0</v>
      </c>
      <c r="J274" s="31">
        <v>0</v>
      </c>
      <c r="K274" s="31" t="s">
        <v>882</v>
      </c>
      <c r="L274" s="2" t="str">
        <f t="shared" si="32"/>
        <v>Рихтовка</v>
      </c>
      <c r="M274" s="12">
        <f t="shared" si="33"/>
        <v>0</v>
      </c>
      <c r="N274" s="12">
        <f t="shared" si="34"/>
        <v>0</v>
      </c>
      <c r="O274" s="12">
        <f t="shared" si="35"/>
        <v>0</v>
      </c>
      <c r="P274" s="12">
        <f t="shared" si="36"/>
        <v>0</v>
      </c>
      <c r="Q274" s="12">
        <f t="shared" si="37"/>
        <v>0</v>
      </c>
      <c r="R274" s="12">
        <f t="shared" si="38"/>
        <v>0</v>
      </c>
      <c r="S274" s="12">
        <f t="shared" si="39"/>
        <v>0</v>
      </c>
      <c r="T274" s="31">
        <v>0</v>
      </c>
      <c r="U274" s="31">
        <v>0</v>
      </c>
      <c r="V274" s="31">
        <v>0</v>
      </c>
      <c r="W274" s="31">
        <v>0</v>
      </c>
      <c r="X274" s="31">
        <v>0</v>
      </c>
      <c r="Y274" s="31">
        <v>0</v>
      </c>
      <c r="Z274" s="31">
        <v>0</v>
      </c>
      <c r="AA274" s="31">
        <v>0</v>
      </c>
      <c r="AB274" s="31">
        <v>0</v>
      </c>
      <c r="AC274" s="31">
        <v>0</v>
      </c>
      <c r="AD274" s="31">
        <v>0</v>
      </c>
      <c r="AE274" s="31">
        <v>0</v>
      </c>
      <c r="AF274" s="31">
        <v>0</v>
      </c>
      <c r="AG274" s="31">
        <v>0</v>
      </c>
      <c r="AH274" s="31">
        <v>0</v>
      </c>
      <c r="AI274" s="31">
        <v>0</v>
      </c>
      <c r="AJ274" s="31">
        <v>0</v>
      </c>
      <c r="AK274" s="31">
        <v>0</v>
      </c>
      <c r="AL274" s="31">
        <v>0</v>
      </c>
      <c r="AM274" s="31">
        <v>0</v>
      </c>
      <c r="AN274" s="31">
        <v>0</v>
      </c>
      <c r="AO274" s="31">
        <v>0</v>
      </c>
      <c r="AP274" s="31">
        <v>0</v>
      </c>
    </row>
    <row r="275" spans="1:42" x14ac:dyDescent="0.25">
      <c r="A275" s="31">
        <v>16</v>
      </c>
      <c r="B275" s="31">
        <v>24605</v>
      </c>
      <c r="C275" s="31">
        <v>2</v>
      </c>
      <c r="D275" s="31" t="s">
        <v>682</v>
      </c>
      <c r="E275" s="31"/>
      <c r="F275" s="31">
        <v>0</v>
      </c>
      <c r="G275" s="31">
        <v>0</v>
      </c>
      <c r="H275" s="31">
        <v>0</v>
      </c>
      <c r="I275" s="31">
        <v>0</v>
      </c>
      <c r="J275" s="31">
        <v>0</v>
      </c>
      <c r="K275" s="31" t="s">
        <v>882</v>
      </c>
      <c r="L275" s="2" t="str">
        <f t="shared" si="32"/>
        <v>Рихтовка</v>
      </c>
      <c r="M275" s="12">
        <f t="shared" si="33"/>
        <v>0</v>
      </c>
      <c r="N275" s="12">
        <f t="shared" si="34"/>
        <v>0</v>
      </c>
      <c r="O275" s="12">
        <f t="shared" si="35"/>
        <v>0</v>
      </c>
      <c r="P275" s="12">
        <f t="shared" si="36"/>
        <v>0</v>
      </c>
      <c r="Q275" s="12">
        <f t="shared" si="37"/>
        <v>0</v>
      </c>
      <c r="R275" s="12">
        <f t="shared" si="38"/>
        <v>0</v>
      </c>
      <c r="S275" s="12">
        <f t="shared" si="39"/>
        <v>0</v>
      </c>
      <c r="T275" s="31">
        <v>0</v>
      </c>
      <c r="U275" s="31">
        <v>0</v>
      </c>
      <c r="V275" s="31">
        <v>0</v>
      </c>
      <c r="W275" s="31">
        <v>0</v>
      </c>
      <c r="X275" s="31">
        <v>0</v>
      </c>
      <c r="Y275" s="31">
        <v>0</v>
      </c>
      <c r="Z275" s="31">
        <v>0</v>
      </c>
      <c r="AA275" s="31">
        <v>0</v>
      </c>
      <c r="AB275" s="31">
        <v>0</v>
      </c>
      <c r="AC275" s="31">
        <v>0</v>
      </c>
      <c r="AD275" s="31">
        <v>0</v>
      </c>
      <c r="AE275" s="31">
        <v>0</v>
      </c>
      <c r="AF275" s="31">
        <v>0</v>
      </c>
      <c r="AG275" s="31">
        <v>0</v>
      </c>
      <c r="AH275" s="31">
        <v>0</v>
      </c>
      <c r="AI275" s="31">
        <v>0</v>
      </c>
      <c r="AJ275" s="31">
        <v>0</v>
      </c>
      <c r="AK275" s="31">
        <v>0</v>
      </c>
      <c r="AL275" s="31">
        <v>0</v>
      </c>
      <c r="AM275" s="31">
        <v>0</v>
      </c>
      <c r="AN275" s="31">
        <v>0</v>
      </c>
      <c r="AO275" s="31">
        <v>0</v>
      </c>
      <c r="AP275" s="31">
        <v>0</v>
      </c>
    </row>
    <row r="276" spans="1:42" x14ac:dyDescent="0.25">
      <c r="A276" s="31">
        <v>16</v>
      </c>
      <c r="B276" s="31">
        <v>24606</v>
      </c>
      <c r="C276" s="31">
        <v>2</v>
      </c>
      <c r="D276" s="31" t="s">
        <v>683</v>
      </c>
      <c r="E276" s="31">
        <v>9</v>
      </c>
      <c r="F276" s="31">
        <v>0</v>
      </c>
      <c r="G276" s="31">
        <v>5</v>
      </c>
      <c r="H276" s="31">
        <v>3.999000072479248</v>
      </c>
      <c r="I276" s="31">
        <v>0</v>
      </c>
      <c r="J276" s="31">
        <v>8.9989995956420898</v>
      </c>
      <c r="K276" s="31">
        <v>88.900001525878906</v>
      </c>
      <c r="L276" s="2" t="str">
        <f t="shared" si="32"/>
        <v>Уровень</v>
      </c>
      <c r="M276" s="12">
        <f t="shared" si="33"/>
        <v>68</v>
      </c>
      <c r="N276" s="12">
        <f t="shared" si="34"/>
        <v>7</v>
      </c>
      <c r="O276" s="12">
        <f t="shared" si="35"/>
        <v>2</v>
      </c>
      <c r="P276" s="12">
        <f t="shared" si="36"/>
        <v>0</v>
      </c>
      <c r="Q276" s="12">
        <f t="shared" si="37"/>
        <v>68</v>
      </c>
      <c r="R276" s="12">
        <f t="shared" si="38"/>
        <v>40</v>
      </c>
      <c r="S276" s="12">
        <f t="shared" si="39"/>
        <v>47</v>
      </c>
      <c r="T276" s="31">
        <v>7</v>
      </c>
      <c r="U276" s="31">
        <v>0</v>
      </c>
      <c r="V276" s="31">
        <v>0</v>
      </c>
      <c r="W276" s="31">
        <v>2</v>
      </c>
      <c r="X276" s="31">
        <v>0</v>
      </c>
      <c r="Y276" s="31">
        <v>0</v>
      </c>
      <c r="Z276" s="31">
        <v>0</v>
      </c>
      <c r="AA276" s="31">
        <v>0</v>
      </c>
      <c r="AB276" s="31">
        <v>0</v>
      </c>
      <c r="AC276" s="31">
        <v>68</v>
      </c>
      <c r="AD276" s="31">
        <v>0</v>
      </c>
      <c r="AE276" s="31">
        <v>0</v>
      </c>
      <c r="AF276" s="31">
        <v>38</v>
      </c>
      <c r="AG276" s="31">
        <v>2</v>
      </c>
      <c r="AH276" s="31">
        <v>0</v>
      </c>
      <c r="AI276" s="31">
        <v>47</v>
      </c>
      <c r="AJ276" s="31">
        <v>0</v>
      </c>
      <c r="AK276" s="31">
        <v>0</v>
      </c>
      <c r="AL276" s="31">
        <v>162</v>
      </c>
      <c r="AM276" s="31">
        <v>2</v>
      </c>
      <c r="AN276" s="31">
        <v>0</v>
      </c>
      <c r="AO276" s="31">
        <v>0</v>
      </c>
      <c r="AP276" s="31">
        <v>0</v>
      </c>
    </row>
    <row r="277" spans="1:42" x14ac:dyDescent="0.25">
      <c r="A277" s="31">
        <v>16</v>
      </c>
      <c r="B277" s="31">
        <v>24606</v>
      </c>
      <c r="C277" s="31">
        <v>1</v>
      </c>
      <c r="D277" s="31" t="s">
        <v>683</v>
      </c>
      <c r="E277" s="31">
        <v>9</v>
      </c>
      <c r="F277" s="31">
        <v>0</v>
      </c>
      <c r="G277" s="31">
        <v>0.27099999785423279</v>
      </c>
      <c r="H277" s="31">
        <v>0</v>
      </c>
      <c r="I277" s="31">
        <v>0</v>
      </c>
      <c r="J277" s="31">
        <v>0.27099999785423279</v>
      </c>
      <c r="K277" s="31">
        <v>40</v>
      </c>
      <c r="L277" s="2" t="str">
        <f t="shared" si="32"/>
        <v>Уровень</v>
      </c>
      <c r="M277" s="12">
        <f t="shared" si="33"/>
        <v>2</v>
      </c>
      <c r="N277" s="12">
        <f t="shared" si="34"/>
        <v>1</v>
      </c>
      <c r="O277" s="12">
        <f t="shared" si="35"/>
        <v>0</v>
      </c>
      <c r="P277" s="12">
        <f t="shared" si="36"/>
        <v>0</v>
      </c>
      <c r="Q277" s="12">
        <f t="shared" si="37"/>
        <v>2</v>
      </c>
      <c r="R277" s="12">
        <f t="shared" si="38"/>
        <v>2</v>
      </c>
      <c r="S277" s="12">
        <f t="shared" si="39"/>
        <v>0</v>
      </c>
      <c r="T277" s="31">
        <v>1</v>
      </c>
      <c r="U277" s="31">
        <v>0</v>
      </c>
      <c r="V277" s="31">
        <v>0</v>
      </c>
      <c r="W277" s="31">
        <v>0</v>
      </c>
      <c r="X277" s="31">
        <v>0</v>
      </c>
      <c r="Y277" s="31">
        <v>0</v>
      </c>
      <c r="Z277" s="31">
        <v>0</v>
      </c>
      <c r="AA277" s="31">
        <v>0</v>
      </c>
      <c r="AB277" s="31">
        <v>0</v>
      </c>
      <c r="AC277" s="31">
        <v>2</v>
      </c>
      <c r="AD277" s="31">
        <v>0</v>
      </c>
      <c r="AE277" s="31">
        <v>0</v>
      </c>
      <c r="AF277" s="31">
        <v>2</v>
      </c>
      <c r="AG277" s="31">
        <v>0</v>
      </c>
      <c r="AH277" s="31">
        <v>0</v>
      </c>
      <c r="AI277" s="31">
        <v>0</v>
      </c>
      <c r="AJ277" s="31">
        <v>0</v>
      </c>
      <c r="AK277" s="31">
        <v>0</v>
      </c>
      <c r="AL277" s="31">
        <v>5</v>
      </c>
      <c r="AM277" s="31">
        <v>0</v>
      </c>
      <c r="AN277" s="31">
        <v>0</v>
      </c>
      <c r="AO277" s="31">
        <v>0</v>
      </c>
      <c r="AP277" s="31">
        <v>0</v>
      </c>
    </row>
    <row r="278" spans="1:42" x14ac:dyDescent="0.25">
      <c r="A278" s="31">
        <v>16</v>
      </c>
      <c r="B278" s="31">
        <v>24606</v>
      </c>
      <c r="C278" s="31">
        <v>1</v>
      </c>
      <c r="D278" s="31" t="s">
        <v>953</v>
      </c>
      <c r="E278" s="31">
        <v>9</v>
      </c>
      <c r="F278" s="31">
        <v>0</v>
      </c>
      <c r="G278" s="31">
        <v>5</v>
      </c>
      <c r="H278" s="31">
        <v>5</v>
      </c>
      <c r="I278" s="31">
        <v>0</v>
      </c>
      <c r="J278" s="31">
        <v>10</v>
      </c>
      <c r="K278" s="31">
        <v>95</v>
      </c>
      <c r="L278" s="2" t="str">
        <f t="shared" si="32"/>
        <v>Уширение</v>
      </c>
      <c r="M278" s="12">
        <f t="shared" si="33"/>
        <v>47</v>
      </c>
      <c r="N278" s="12">
        <f t="shared" si="34"/>
        <v>7</v>
      </c>
      <c r="O278" s="12">
        <f t="shared" si="35"/>
        <v>47</v>
      </c>
      <c r="P278" s="12">
        <f t="shared" si="36"/>
        <v>0</v>
      </c>
      <c r="Q278" s="12">
        <f t="shared" si="37"/>
        <v>38</v>
      </c>
      <c r="R278" s="12">
        <f t="shared" si="38"/>
        <v>37</v>
      </c>
      <c r="S278" s="12">
        <f t="shared" si="39"/>
        <v>42</v>
      </c>
      <c r="T278" s="31">
        <v>7</v>
      </c>
      <c r="U278" s="31">
        <v>0</v>
      </c>
      <c r="V278" s="31">
        <v>0</v>
      </c>
      <c r="W278" s="31">
        <v>47</v>
      </c>
      <c r="X278" s="31">
        <v>0</v>
      </c>
      <c r="Y278" s="31">
        <v>0</v>
      </c>
      <c r="Z278" s="31">
        <v>0</v>
      </c>
      <c r="AA278" s="31">
        <v>0</v>
      </c>
      <c r="AB278" s="31">
        <v>0</v>
      </c>
      <c r="AC278" s="31">
        <v>38</v>
      </c>
      <c r="AD278" s="31">
        <v>0</v>
      </c>
      <c r="AE278" s="31">
        <v>0</v>
      </c>
      <c r="AF278" s="31">
        <v>37</v>
      </c>
      <c r="AG278" s="31">
        <v>0</v>
      </c>
      <c r="AH278" s="31">
        <v>0</v>
      </c>
      <c r="AI278" s="31">
        <v>42</v>
      </c>
      <c r="AJ278" s="31">
        <v>0</v>
      </c>
      <c r="AK278" s="31">
        <v>0</v>
      </c>
      <c r="AL278" s="31">
        <v>171</v>
      </c>
      <c r="AM278" s="31">
        <v>0</v>
      </c>
      <c r="AN278" s="31">
        <v>0</v>
      </c>
      <c r="AO278" s="31">
        <v>0</v>
      </c>
      <c r="AP278" s="31">
        <v>0</v>
      </c>
    </row>
    <row r="279" spans="1:42" x14ac:dyDescent="0.25">
      <c r="A279" s="31">
        <v>16</v>
      </c>
      <c r="B279" s="31">
        <v>24606</v>
      </c>
      <c r="C279" s="31">
        <v>1</v>
      </c>
      <c r="D279" s="31" t="s">
        <v>684</v>
      </c>
      <c r="E279" s="31">
        <v>9</v>
      </c>
      <c r="F279" s="31">
        <v>0</v>
      </c>
      <c r="G279" s="31">
        <v>4</v>
      </c>
      <c r="H279" s="31">
        <v>5</v>
      </c>
      <c r="I279" s="31">
        <v>1</v>
      </c>
      <c r="J279" s="31">
        <v>10</v>
      </c>
      <c r="K279" s="31">
        <v>141</v>
      </c>
      <c r="L279" s="2" t="str">
        <f t="shared" si="32"/>
        <v>Уширение</v>
      </c>
      <c r="M279" s="12">
        <f t="shared" si="33"/>
        <v>437</v>
      </c>
      <c r="N279" s="12">
        <f t="shared" si="34"/>
        <v>10</v>
      </c>
      <c r="O279" s="12">
        <f t="shared" si="35"/>
        <v>437</v>
      </c>
      <c r="P279" s="12">
        <f t="shared" si="36"/>
        <v>0</v>
      </c>
      <c r="Q279" s="12">
        <f t="shared" si="37"/>
        <v>52</v>
      </c>
      <c r="R279" s="12">
        <f t="shared" si="38"/>
        <v>41</v>
      </c>
      <c r="S279" s="12">
        <f t="shared" si="39"/>
        <v>47</v>
      </c>
      <c r="T279" s="31">
        <v>10</v>
      </c>
      <c r="U279" s="31">
        <v>0</v>
      </c>
      <c r="V279" s="31">
        <v>0</v>
      </c>
      <c r="W279" s="31">
        <v>422</v>
      </c>
      <c r="X279" s="31">
        <v>15</v>
      </c>
      <c r="Y279" s="31">
        <v>0</v>
      </c>
      <c r="Z279" s="31">
        <v>0</v>
      </c>
      <c r="AA279" s="31">
        <v>0</v>
      </c>
      <c r="AB279" s="31">
        <v>0</v>
      </c>
      <c r="AC279" s="31">
        <v>52</v>
      </c>
      <c r="AD279" s="31">
        <v>0</v>
      </c>
      <c r="AE279" s="31">
        <v>0</v>
      </c>
      <c r="AF279" s="31">
        <v>40</v>
      </c>
      <c r="AG279" s="31">
        <v>1</v>
      </c>
      <c r="AH279" s="31">
        <v>0</v>
      </c>
      <c r="AI279" s="31">
        <v>46</v>
      </c>
      <c r="AJ279" s="31">
        <v>1</v>
      </c>
      <c r="AK279" s="31">
        <v>0</v>
      </c>
      <c r="AL279" s="31">
        <v>570</v>
      </c>
      <c r="AM279" s="31">
        <v>17</v>
      </c>
      <c r="AN279" s="31">
        <v>0</v>
      </c>
      <c r="AO279" s="31">
        <v>0</v>
      </c>
      <c r="AP279" s="31">
        <v>1</v>
      </c>
    </row>
    <row r="280" spans="1:42" x14ac:dyDescent="0.25">
      <c r="A280" s="31">
        <v>16</v>
      </c>
      <c r="B280" s="31">
        <v>24606</v>
      </c>
      <c r="C280" s="31">
        <v>1</v>
      </c>
      <c r="D280" s="31" t="s">
        <v>685</v>
      </c>
      <c r="E280" s="31">
        <v>9</v>
      </c>
      <c r="F280" s="31">
        <v>2</v>
      </c>
      <c r="G280" s="31">
        <v>8</v>
      </c>
      <c r="H280" s="31">
        <v>2</v>
      </c>
      <c r="I280" s="31">
        <v>0</v>
      </c>
      <c r="J280" s="31">
        <v>12</v>
      </c>
      <c r="K280" s="31">
        <v>53.299999237060547</v>
      </c>
      <c r="L280" s="2" t="str">
        <f t="shared" si="32"/>
        <v>Уровень</v>
      </c>
      <c r="M280" s="12">
        <f t="shared" si="33"/>
        <v>111</v>
      </c>
      <c r="N280" s="12">
        <f t="shared" si="34"/>
        <v>1</v>
      </c>
      <c r="O280" s="12">
        <f t="shared" si="35"/>
        <v>14</v>
      </c>
      <c r="P280" s="12">
        <f t="shared" si="36"/>
        <v>0</v>
      </c>
      <c r="Q280" s="12">
        <f t="shared" si="37"/>
        <v>111</v>
      </c>
      <c r="R280" s="12">
        <f t="shared" si="38"/>
        <v>27</v>
      </c>
      <c r="S280" s="12">
        <f t="shared" si="39"/>
        <v>28</v>
      </c>
      <c r="T280" s="31">
        <v>1</v>
      </c>
      <c r="U280" s="31">
        <v>0</v>
      </c>
      <c r="V280" s="31">
        <v>0</v>
      </c>
      <c r="W280" s="31">
        <v>14</v>
      </c>
      <c r="X280" s="31">
        <v>0</v>
      </c>
      <c r="Y280" s="31">
        <v>0</v>
      </c>
      <c r="Z280" s="31">
        <v>0</v>
      </c>
      <c r="AA280" s="31">
        <v>0</v>
      </c>
      <c r="AB280" s="31">
        <v>0</v>
      </c>
      <c r="AC280" s="31">
        <v>111</v>
      </c>
      <c r="AD280" s="31">
        <v>0</v>
      </c>
      <c r="AE280" s="31">
        <v>0</v>
      </c>
      <c r="AF280" s="31">
        <v>27</v>
      </c>
      <c r="AG280" s="31">
        <v>0</v>
      </c>
      <c r="AH280" s="31">
        <v>0</v>
      </c>
      <c r="AI280" s="31">
        <v>28</v>
      </c>
      <c r="AJ280" s="31">
        <v>0</v>
      </c>
      <c r="AK280" s="31">
        <v>0</v>
      </c>
      <c r="AL280" s="31">
        <v>181</v>
      </c>
      <c r="AM280" s="31">
        <v>0</v>
      </c>
      <c r="AN280" s="31">
        <v>0</v>
      </c>
      <c r="AO280" s="31">
        <v>0</v>
      </c>
      <c r="AP280" s="31">
        <v>0</v>
      </c>
    </row>
    <row r="281" spans="1:42" x14ac:dyDescent="0.25">
      <c r="A281" s="31">
        <v>16</v>
      </c>
      <c r="B281" s="31">
        <v>24606</v>
      </c>
      <c r="C281" s="31">
        <v>1</v>
      </c>
      <c r="D281" s="31" t="s">
        <v>686</v>
      </c>
      <c r="E281" s="31">
        <v>9</v>
      </c>
      <c r="F281" s="31">
        <v>1</v>
      </c>
      <c r="G281" s="31">
        <v>8</v>
      </c>
      <c r="H281" s="31">
        <v>2</v>
      </c>
      <c r="I281" s="31">
        <v>0</v>
      </c>
      <c r="J281" s="31">
        <v>11</v>
      </c>
      <c r="K281" s="31">
        <v>57.299999237060547</v>
      </c>
      <c r="L281" s="2" t="str">
        <f t="shared" si="32"/>
        <v>Уровень</v>
      </c>
      <c r="M281" s="12">
        <f t="shared" si="33"/>
        <v>121</v>
      </c>
      <c r="N281" s="12">
        <f t="shared" si="34"/>
        <v>2</v>
      </c>
      <c r="O281" s="12">
        <f t="shared" si="35"/>
        <v>1</v>
      </c>
      <c r="P281" s="12">
        <f t="shared" si="36"/>
        <v>0</v>
      </c>
      <c r="Q281" s="12">
        <f t="shared" si="37"/>
        <v>121</v>
      </c>
      <c r="R281" s="12">
        <f t="shared" si="38"/>
        <v>29</v>
      </c>
      <c r="S281" s="12">
        <f t="shared" si="39"/>
        <v>35</v>
      </c>
      <c r="T281" s="31">
        <v>2</v>
      </c>
      <c r="U281" s="31">
        <v>0</v>
      </c>
      <c r="V281" s="31">
        <v>0</v>
      </c>
      <c r="W281" s="31">
        <v>1</v>
      </c>
      <c r="X281" s="31">
        <v>0</v>
      </c>
      <c r="Y281" s="31">
        <v>0</v>
      </c>
      <c r="Z281" s="31">
        <v>0</v>
      </c>
      <c r="AA281" s="31">
        <v>0</v>
      </c>
      <c r="AB281" s="31">
        <v>0</v>
      </c>
      <c r="AC281" s="31">
        <v>121</v>
      </c>
      <c r="AD281" s="31">
        <v>0</v>
      </c>
      <c r="AE281" s="31">
        <v>0</v>
      </c>
      <c r="AF281" s="31">
        <v>29</v>
      </c>
      <c r="AG281" s="31">
        <v>0</v>
      </c>
      <c r="AH281" s="31">
        <v>0</v>
      </c>
      <c r="AI281" s="31">
        <v>35</v>
      </c>
      <c r="AJ281" s="31">
        <v>0</v>
      </c>
      <c r="AK281" s="31">
        <v>0</v>
      </c>
      <c r="AL281" s="31">
        <v>188</v>
      </c>
      <c r="AM281" s="31">
        <v>0</v>
      </c>
      <c r="AN281" s="31">
        <v>0</v>
      </c>
      <c r="AO281" s="31">
        <v>0</v>
      </c>
      <c r="AP281" s="31">
        <v>0</v>
      </c>
    </row>
    <row r="282" spans="1:42" x14ac:dyDescent="0.25">
      <c r="A282" s="31">
        <v>16</v>
      </c>
      <c r="B282" s="31">
        <v>24606</v>
      </c>
      <c r="C282" s="31">
        <v>1</v>
      </c>
      <c r="D282" s="31" t="s">
        <v>687</v>
      </c>
      <c r="E282" s="31">
        <v>9</v>
      </c>
      <c r="F282" s="31">
        <v>1</v>
      </c>
      <c r="G282" s="31">
        <v>3</v>
      </c>
      <c r="H282" s="31">
        <v>7</v>
      </c>
      <c r="I282" s="31">
        <v>0</v>
      </c>
      <c r="J282" s="31">
        <v>11</v>
      </c>
      <c r="K282" s="31">
        <v>107.30000305175781</v>
      </c>
      <c r="L282" s="2" t="str">
        <f t="shared" si="32"/>
        <v>Уширение</v>
      </c>
      <c r="M282" s="12">
        <f t="shared" si="33"/>
        <v>126</v>
      </c>
      <c r="N282" s="12">
        <f t="shared" si="34"/>
        <v>12</v>
      </c>
      <c r="O282" s="12">
        <f t="shared" si="35"/>
        <v>126</v>
      </c>
      <c r="P282" s="12">
        <f t="shared" si="36"/>
        <v>0</v>
      </c>
      <c r="Q282" s="12">
        <f t="shared" si="37"/>
        <v>45</v>
      </c>
      <c r="R282" s="12">
        <f t="shared" si="38"/>
        <v>36</v>
      </c>
      <c r="S282" s="12">
        <f t="shared" si="39"/>
        <v>58</v>
      </c>
      <c r="T282" s="31">
        <v>12</v>
      </c>
      <c r="U282" s="31">
        <v>0</v>
      </c>
      <c r="V282" s="31">
        <v>0</v>
      </c>
      <c r="W282" s="31">
        <v>126</v>
      </c>
      <c r="X282" s="31">
        <v>0</v>
      </c>
      <c r="Y282" s="31">
        <v>0</v>
      </c>
      <c r="Z282" s="31">
        <v>0</v>
      </c>
      <c r="AA282" s="31">
        <v>0</v>
      </c>
      <c r="AB282" s="31">
        <v>0</v>
      </c>
      <c r="AC282" s="31">
        <v>45</v>
      </c>
      <c r="AD282" s="31">
        <v>0</v>
      </c>
      <c r="AE282" s="31">
        <v>0</v>
      </c>
      <c r="AF282" s="31">
        <v>36</v>
      </c>
      <c r="AG282" s="31">
        <v>0</v>
      </c>
      <c r="AH282" s="31">
        <v>0</v>
      </c>
      <c r="AI282" s="31">
        <v>58</v>
      </c>
      <c r="AJ282" s="31">
        <v>0</v>
      </c>
      <c r="AK282" s="31">
        <v>0</v>
      </c>
      <c r="AL282" s="31">
        <v>277</v>
      </c>
      <c r="AM282" s="31">
        <v>0</v>
      </c>
      <c r="AN282" s="31">
        <v>0</v>
      </c>
      <c r="AO282" s="31">
        <v>0</v>
      </c>
      <c r="AP282" s="31">
        <v>0</v>
      </c>
    </row>
    <row r="283" spans="1:42" x14ac:dyDescent="0.25">
      <c r="A283" s="31">
        <v>16</v>
      </c>
      <c r="B283" s="31">
        <v>24606</v>
      </c>
      <c r="C283" s="31">
        <v>1</v>
      </c>
      <c r="D283" s="31" t="s">
        <v>688</v>
      </c>
      <c r="E283" s="31">
        <v>9</v>
      </c>
      <c r="F283" s="31">
        <v>0</v>
      </c>
      <c r="G283" s="31">
        <v>1</v>
      </c>
      <c r="H283" s="31">
        <v>9</v>
      </c>
      <c r="I283" s="31">
        <v>0</v>
      </c>
      <c r="J283" s="31">
        <v>10</v>
      </c>
      <c r="K283" s="31">
        <v>139</v>
      </c>
      <c r="L283" s="2" t="str">
        <f t="shared" si="32"/>
        <v>Просадка</v>
      </c>
      <c r="M283" s="12">
        <f t="shared" si="33"/>
        <v>76</v>
      </c>
      <c r="N283" s="12">
        <f t="shared" si="34"/>
        <v>12</v>
      </c>
      <c r="O283" s="12">
        <f t="shared" si="35"/>
        <v>5</v>
      </c>
      <c r="P283" s="12">
        <f t="shared" si="36"/>
        <v>0</v>
      </c>
      <c r="Q283" s="12">
        <f t="shared" si="37"/>
        <v>61</v>
      </c>
      <c r="R283" s="12">
        <f t="shared" si="38"/>
        <v>71</v>
      </c>
      <c r="S283" s="12">
        <f t="shared" si="39"/>
        <v>76</v>
      </c>
      <c r="T283" s="31">
        <v>12</v>
      </c>
      <c r="U283" s="31">
        <v>0</v>
      </c>
      <c r="V283" s="31">
        <v>0</v>
      </c>
      <c r="W283" s="31">
        <v>5</v>
      </c>
      <c r="X283" s="31">
        <v>0</v>
      </c>
      <c r="Y283" s="31">
        <v>0</v>
      </c>
      <c r="Z283" s="31">
        <v>0</v>
      </c>
      <c r="AA283" s="31">
        <v>0</v>
      </c>
      <c r="AB283" s="31">
        <v>0</v>
      </c>
      <c r="AC283" s="31">
        <v>60</v>
      </c>
      <c r="AD283" s="31">
        <v>1</v>
      </c>
      <c r="AE283" s="31">
        <v>0</v>
      </c>
      <c r="AF283" s="31">
        <v>69</v>
      </c>
      <c r="AG283" s="31">
        <v>2</v>
      </c>
      <c r="AH283" s="31">
        <v>0</v>
      </c>
      <c r="AI283" s="31">
        <v>76</v>
      </c>
      <c r="AJ283" s="31">
        <v>0</v>
      </c>
      <c r="AK283" s="31">
        <v>0</v>
      </c>
      <c r="AL283" s="31">
        <v>222</v>
      </c>
      <c r="AM283" s="31">
        <v>3</v>
      </c>
      <c r="AN283" s="31">
        <v>0</v>
      </c>
      <c r="AO283" s="31">
        <v>0</v>
      </c>
      <c r="AP283" s="31">
        <v>0</v>
      </c>
    </row>
    <row r="284" spans="1:42" x14ac:dyDescent="0.25">
      <c r="A284" s="31">
        <v>16</v>
      </c>
      <c r="B284" s="31">
        <v>24606</v>
      </c>
      <c r="C284" s="31">
        <v>1</v>
      </c>
      <c r="D284" s="31" t="s">
        <v>689</v>
      </c>
      <c r="E284" s="31">
        <v>9</v>
      </c>
      <c r="F284" s="31">
        <v>0</v>
      </c>
      <c r="G284" s="31">
        <v>3</v>
      </c>
      <c r="H284" s="31">
        <v>5.4010000228881836</v>
      </c>
      <c r="I284" s="31">
        <v>0</v>
      </c>
      <c r="J284" s="31">
        <v>8.4010000228881836</v>
      </c>
      <c r="K284" s="31">
        <v>110.69999694824219</v>
      </c>
      <c r="L284" s="2" t="str">
        <f t="shared" si="32"/>
        <v>Уровень</v>
      </c>
      <c r="M284" s="12">
        <f t="shared" si="33"/>
        <v>115</v>
      </c>
      <c r="N284" s="12">
        <f t="shared" si="34"/>
        <v>4</v>
      </c>
      <c r="O284" s="12">
        <f t="shared" si="35"/>
        <v>8</v>
      </c>
      <c r="P284" s="12">
        <f t="shared" si="36"/>
        <v>0</v>
      </c>
      <c r="Q284" s="12">
        <f t="shared" si="37"/>
        <v>115</v>
      </c>
      <c r="R284" s="12">
        <f t="shared" si="38"/>
        <v>41</v>
      </c>
      <c r="S284" s="12">
        <f t="shared" si="39"/>
        <v>73</v>
      </c>
      <c r="T284" s="31">
        <v>4</v>
      </c>
      <c r="U284" s="31">
        <v>0</v>
      </c>
      <c r="V284" s="31">
        <v>0</v>
      </c>
      <c r="W284" s="31">
        <v>8</v>
      </c>
      <c r="X284" s="31">
        <v>0</v>
      </c>
      <c r="Y284" s="31">
        <v>0</v>
      </c>
      <c r="Z284" s="31">
        <v>0</v>
      </c>
      <c r="AA284" s="31">
        <v>0</v>
      </c>
      <c r="AB284" s="31">
        <v>0</v>
      </c>
      <c r="AC284" s="31">
        <v>113</v>
      </c>
      <c r="AD284" s="31">
        <v>2</v>
      </c>
      <c r="AE284" s="31">
        <v>0</v>
      </c>
      <c r="AF284" s="31">
        <v>41</v>
      </c>
      <c r="AG284" s="31">
        <v>0</v>
      </c>
      <c r="AH284" s="31">
        <v>0</v>
      </c>
      <c r="AI284" s="31">
        <v>73</v>
      </c>
      <c r="AJ284" s="31">
        <v>0</v>
      </c>
      <c r="AK284" s="31">
        <v>0</v>
      </c>
      <c r="AL284" s="31">
        <v>239</v>
      </c>
      <c r="AM284" s="31">
        <v>2</v>
      </c>
      <c r="AN284" s="31">
        <v>0</v>
      </c>
      <c r="AO284" s="31">
        <v>0</v>
      </c>
      <c r="AP284" s="31">
        <v>0</v>
      </c>
    </row>
    <row r="285" spans="1:42" x14ac:dyDescent="0.25">
      <c r="A285" s="31">
        <v>16</v>
      </c>
      <c r="B285" s="31">
        <v>24606</v>
      </c>
      <c r="C285" s="31">
        <v>1</v>
      </c>
      <c r="D285" s="31" t="s">
        <v>690</v>
      </c>
      <c r="E285" s="31">
        <v>9</v>
      </c>
      <c r="F285" s="31">
        <v>9.7999997437000275E-2</v>
      </c>
      <c r="G285" s="31">
        <v>4.9050002098083496</v>
      </c>
      <c r="H285" s="31">
        <v>4</v>
      </c>
      <c r="I285" s="31">
        <v>1</v>
      </c>
      <c r="J285" s="31">
        <v>10.003000259399414</v>
      </c>
      <c r="K285" s="31">
        <v>129.69999694824219</v>
      </c>
      <c r="L285" s="2" t="str">
        <f t="shared" si="32"/>
        <v>Уширение</v>
      </c>
      <c r="M285" s="12">
        <f t="shared" si="33"/>
        <v>85</v>
      </c>
      <c r="N285" s="12">
        <f t="shared" si="34"/>
        <v>5</v>
      </c>
      <c r="O285" s="12">
        <f t="shared" si="35"/>
        <v>85</v>
      </c>
      <c r="P285" s="12">
        <f t="shared" si="36"/>
        <v>0</v>
      </c>
      <c r="Q285" s="12">
        <f t="shared" si="37"/>
        <v>62</v>
      </c>
      <c r="R285" s="12">
        <f t="shared" si="38"/>
        <v>62</v>
      </c>
      <c r="S285" s="12">
        <f t="shared" si="39"/>
        <v>69</v>
      </c>
      <c r="T285" s="31">
        <v>5</v>
      </c>
      <c r="U285" s="31">
        <v>0</v>
      </c>
      <c r="V285" s="31">
        <v>0</v>
      </c>
      <c r="W285" s="31">
        <v>71</v>
      </c>
      <c r="X285" s="31">
        <v>14</v>
      </c>
      <c r="Y285" s="31">
        <v>0</v>
      </c>
      <c r="Z285" s="31">
        <v>0</v>
      </c>
      <c r="AA285" s="31">
        <v>0</v>
      </c>
      <c r="AB285" s="31">
        <v>0</v>
      </c>
      <c r="AC285" s="31">
        <v>62</v>
      </c>
      <c r="AD285" s="31">
        <v>0</v>
      </c>
      <c r="AE285" s="31">
        <v>0</v>
      </c>
      <c r="AF285" s="31">
        <v>61</v>
      </c>
      <c r="AG285" s="31">
        <v>1</v>
      </c>
      <c r="AH285" s="31">
        <v>0</v>
      </c>
      <c r="AI285" s="31">
        <v>69</v>
      </c>
      <c r="AJ285" s="31">
        <v>0</v>
      </c>
      <c r="AK285" s="31">
        <v>0</v>
      </c>
      <c r="AL285" s="31">
        <v>268</v>
      </c>
      <c r="AM285" s="31">
        <v>15</v>
      </c>
      <c r="AN285" s="31">
        <v>0</v>
      </c>
      <c r="AO285" s="31">
        <v>0</v>
      </c>
      <c r="AP285" s="31">
        <v>1</v>
      </c>
    </row>
    <row r="286" spans="1:42" x14ac:dyDescent="0.25">
      <c r="A286" s="31">
        <v>16</v>
      </c>
      <c r="B286" s="31">
        <v>24606</v>
      </c>
      <c r="C286" s="31">
        <v>2</v>
      </c>
      <c r="D286" s="31" t="s">
        <v>690</v>
      </c>
      <c r="E286" s="31"/>
      <c r="F286" s="31">
        <v>0</v>
      </c>
      <c r="G286" s="31">
        <v>0</v>
      </c>
      <c r="H286" s="31">
        <v>0</v>
      </c>
      <c r="I286" s="31">
        <v>0</v>
      </c>
      <c r="J286" s="31">
        <v>0</v>
      </c>
      <c r="K286" s="31" t="s">
        <v>882</v>
      </c>
      <c r="L286" s="2" t="str">
        <f t="shared" si="32"/>
        <v>Рихтовка</v>
      </c>
      <c r="M286" s="12">
        <f t="shared" si="33"/>
        <v>0</v>
      </c>
      <c r="N286" s="12">
        <f t="shared" si="34"/>
        <v>0</v>
      </c>
      <c r="O286" s="12">
        <f t="shared" si="35"/>
        <v>0</v>
      </c>
      <c r="P286" s="12">
        <f t="shared" si="36"/>
        <v>0</v>
      </c>
      <c r="Q286" s="12">
        <f t="shared" si="37"/>
        <v>0</v>
      </c>
      <c r="R286" s="12">
        <f t="shared" si="38"/>
        <v>0</v>
      </c>
      <c r="S286" s="12">
        <f t="shared" si="39"/>
        <v>0</v>
      </c>
      <c r="T286" s="31">
        <v>0</v>
      </c>
      <c r="U286" s="31">
        <v>0</v>
      </c>
      <c r="V286" s="31">
        <v>0</v>
      </c>
      <c r="W286" s="31">
        <v>0</v>
      </c>
      <c r="X286" s="31">
        <v>0</v>
      </c>
      <c r="Y286" s="31">
        <v>0</v>
      </c>
      <c r="Z286" s="31">
        <v>0</v>
      </c>
      <c r="AA286" s="31">
        <v>0</v>
      </c>
      <c r="AB286" s="31">
        <v>0</v>
      </c>
      <c r="AC286" s="31">
        <v>0</v>
      </c>
      <c r="AD286" s="31">
        <v>0</v>
      </c>
      <c r="AE286" s="31">
        <v>0</v>
      </c>
      <c r="AF286" s="31">
        <v>0</v>
      </c>
      <c r="AG286" s="31">
        <v>0</v>
      </c>
      <c r="AH286" s="31">
        <v>0</v>
      </c>
      <c r="AI286" s="31">
        <v>0</v>
      </c>
      <c r="AJ286" s="31">
        <v>0</v>
      </c>
      <c r="AK286" s="31">
        <v>0</v>
      </c>
      <c r="AL286" s="31">
        <v>0</v>
      </c>
      <c r="AM286" s="31">
        <v>0</v>
      </c>
      <c r="AN286" s="31">
        <v>0</v>
      </c>
      <c r="AO286" s="31">
        <v>0</v>
      </c>
      <c r="AP286" s="31">
        <v>0</v>
      </c>
    </row>
    <row r="287" spans="1:42" x14ac:dyDescent="0.25">
      <c r="A287" s="31">
        <v>16</v>
      </c>
      <c r="B287" s="31">
        <v>24606</v>
      </c>
      <c r="C287" s="31">
        <v>1</v>
      </c>
      <c r="D287" s="31" t="s">
        <v>691</v>
      </c>
      <c r="E287" s="31">
        <v>9</v>
      </c>
      <c r="F287" s="31">
        <v>0</v>
      </c>
      <c r="G287" s="31">
        <v>0</v>
      </c>
      <c r="H287" s="31">
        <v>2</v>
      </c>
      <c r="I287" s="31">
        <v>0</v>
      </c>
      <c r="J287" s="31">
        <v>2</v>
      </c>
      <c r="K287" s="31">
        <v>150</v>
      </c>
      <c r="L287" s="2" t="str">
        <f t="shared" si="32"/>
        <v>Уровень</v>
      </c>
      <c r="M287" s="12">
        <f t="shared" si="33"/>
        <v>24</v>
      </c>
      <c r="N287" s="12">
        <f t="shared" si="34"/>
        <v>1</v>
      </c>
      <c r="O287" s="12">
        <f t="shared" si="35"/>
        <v>2</v>
      </c>
      <c r="P287" s="12">
        <f t="shared" si="36"/>
        <v>0</v>
      </c>
      <c r="Q287" s="12">
        <f t="shared" si="37"/>
        <v>24</v>
      </c>
      <c r="R287" s="12">
        <f t="shared" si="38"/>
        <v>6</v>
      </c>
      <c r="S287" s="12">
        <f t="shared" si="39"/>
        <v>5</v>
      </c>
      <c r="T287" s="31">
        <v>1</v>
      </c>
      <c r="U287" s="31">
        <v>0</v>
      </c>
      <c r="V287" s="31">
        <v>0</v>
      </c>
      <c r="W287" s="31">
        <v>2</v>
      </c>
      <c r="X287" s="31">
        <v>0</v>
      </c>
      <c r="Y287" s="31">
        <v>0</v>
      </c>
      <c r="Z287" s="31">
        <v>0</v>
      </c>
      <c r="AA287" s="31">
        <v>0</v>
      </c>
      <c r="AB287" s="31">
        <v>0</v>
      </c>
      <c r="AC287" s="31">
        <v>24</v>
      </c>
      <c r="AD287" s="31">
        <v>0</v>
      </c>
      <c r="AE287" s="31">
        <v>0</v>
      </c>
      <c r="AF287" s="31">
        <v>6</v>
      </c>
      <c r="AG287" s="31">
        <v>0</v>
      </c>
      <c r="AH287" s="31">
        <v>0</v>
      </c>
      <c r="AI287" s="31">
        <v>5</v>
      </c>
      <c r="AJ287" s="31">
        <v>0</v>
      </c>
      <c r="AK287" s="31">
        <v>0</v>
      </c>
      <c r="AL287" s="31">
        <v>38</v>
      </c>
      <c r="AM287" s="31">
        <v>0</v>
      </c>
      <c r="AN287" s="31">
        <v>0</v>
      </c>
      <c r="AO287" s="31">
        <v>0</v>
      </c>
      <c r="AP287" s="31">
        <v>0</v>
      </c>
    </row>
    <row r="288" spans="1:42" x14ac:dyDescent="0.25">
      <c r="A288" s="31">
        <v>18</v>
      </c>
      <c r="B288" s="31">
        <v>24606</v>
      </c>
      <c r="C288" s="31">
        <v>1</v>
      </c>
      <c r="D288" s="31" t="s">
        <v>691</v>
      </c>
      <c r="E288" s="31">
        <v>9</v>
      </c>
      <c r="F288" s="31">
        <v>0</v>
      </c>
      <c r="G288" s="31">
        <v>6.9910001754760742</v>
      </c>
      <c r="H288" s="31">
        <v>1</v>
      </c>
      <c r="I288" s="31">
        <v>0</v>
      </c>
      <c r="J288" s="31">
        <v>7.9910001754760742</v>
      </c>
      <c r="K288" s="31">
        <v>53.799999237060547</v>
      </c>
      <c r="L288" s="2" t="str">
        <f t="shared" si="32"/>
        <v>Перекос</v>
      </c>
      <c r="M288" s="12">
        <f t="shared" si="33"/>
        <v>32</v>
      </c>
      <c r="N288" s="12">
        <f t="shared" si="34"/>
        <v>13</v>
      </c>
      <c r="O288" s="12">
        <f t="shared" si="35"/>
        <v>1</v>
      </c>
      <c r="P288" s="12">
        <f t="shared" si="36"/>
        <v>0</v>
      </c>
      <c r="Q288" s="12">
        <f t="shared" si="37"/>
        <v>16</v>
      </c>
      <c r="R288" s="12">
        <f t="shared" si="38"/>
        <v>32</v>
      </c>
      <c r="S288" s="12">
        <f t="shared" si="39"/>
        <v>10</v>
      </c>
      <c r="T288" s="31">
        <v>13</v>
      </c>
      <c r="U288" s="31">
        <v>0</v>
      </c>
      <c r="V288" s="31">
        <v>0</v>
      </c>
      <c r="W288" s="31">
        <v>1</v>
      </c>
      <c r="X288" s="31">
        <v>0</v>
      </c>
      <c r="Y288" s="31">
        <v>0</v>
      </c>
      <c r="Z288" s="31">
        <v>0</v>
      </c>
      <c r="AA288" s="31">
        <v>0</v>
      </c>
      <c r="AB288" s="31">
        <v>0</v>
      </c>
      <c r="AC288" s="31">
        <v>16</v>
      </c>
      <c r="AD288" s="31">
        <v>0</v>
      </c>
      <c r="AE288" s="31">
        <v>0</v>
      </c>
      <c r="AF288" s="31">
        <v>32</v>
      </c>
      <c r="AG288" s="31">
        <v>0</v>
      </c>
      <c r="AH288" s="31">
        <v>0</v>
      </c>
      <c r="AI288" s="31">
        <v>10</v>
      </c>
      <c r="AJ288" s="31">
        <v>0</v>
      </c>
      <c r="AK288" s="31">
        <v>0</v>
      </c>
      <c r="AL288" s="31">
        <v>72</v>
      </c>
      <c r="AM288" s="31">
        <v>0</v>
      </c>
      <c r="AN288" s="31">
        <v>0</v>
      </c>
      <c r="AO288" s="31">
        <v>0</v>
      </c>
      <c r="AP288" s="31">
        <v>0</v>
      </c>
    </row>
    <row r="289" spans="1:42" x14ac:dyDescent="0.25">
      <c r="A289" s="31">
        <v>18</v>
      </c>
      <c r="B289" s="31">
        <v>24606</v>
      </c>
      <c r="C289" s="31">
        <v>1</v>
      </c>
      <c r="D289" s="31" t="s">
        <v>692</v>
      </c>
      <c r="E289" s="31">
        <v>9</v>
      </c>
      <c r="F289" s="31">
        <v>1</v>
      </c>
      <c r="G289" s="31">
        <v>7</v>
      </c>
      <c r="H289" s="31">
        <v>0</v>
      </c>
      <c r="I289" s="31">
        <v>0</v>
      </c>
      <c r="J289" s="31">
        <v>8</v>
      </c>
      <c r="K289" s="31">
        <v>36.200000762939453</v>
      </c>
      <c r="L289" s="2" t="str">
        <f t="shared" si="32"/>
        <v>Уровень</v>
      </c>
      <c r="M289" s="12">
        <f t="shared" si="33"/>
        <v>28</v>
      </c>
      <c r="N289" s="12">
        <f t="shared" si="34"/>
        <v>4</v>
      </c>
      <c r="O289" s="12">
        <f t="shared" si="35"/>
        <v>7</v>
      </c>
      <c r="P289" s="12">
        <f t="shared" si="36"/>
        <v>0</v>
      </c>
      <c r="Q289" s="12">
        <f t="shared" si="37"/>
        <v>28</v>
      </c>
      <c r="R289" s="12">
        <f t="shared" si="38"/>
        <v>23</v>
      </c>
      <c r="S289" s="12">
        <f t="shared" si="39"/>
        <v>10</v>
      </c>
      <c r="T289" s="31">
        <v>4</v>
      </c>
      <c r="U289" s="31">
        <v>0</v>
      </c>
      <c r="V289" s="31">
        <v>0</v>
      </c>
      <c r="W289" s="31">
        <v>7</v>
      </c>
      <c r="X289" s="31">
        <v>0</v>
      </c>
      <c r="Y289" s="31">
        <v>0</v>
      </c>
      <c r="Z289" s="31">
        <v>0</v>
      </c>
      <c r="AA289" s="31">
        <v>0</v>
      </c>
      <c r="AB289" s="31">
        <v>0</v>
      </c>
      <c r="AC289" s="31">
        <v>28</v>
      </c>
      <c r="AD289" s="31">
        <v>0</v>
      </c>
      <c r="AE289" s="31">
        <v>0</v>
      </c>
      <c r="AF289" s="31">
        <v>23</v>
      </c>
      <c r="AG289" s="31">
        <v>0</v>
      </c>
      <c r="AH289" s="31">
        <v>0</v>
      </c>
      <c r="AI289" s="31">
        <v>10</v>
      </c>
      <c r="AJ289" s="31">
        <v>0</v>
      </c>
      <c r="AK289" s="31">
        <v>0</v>
      </c>
      <c r="AL289" s="31">
        <v>72</v>
      </c>
      <c r="AM289" s="31">
        <v>0</v>
      </c>
      <c r="AN289" s="31">
        <v>0</v>
      </c>
      <c r="AO289" s="31">
        <v>0</v>
      </c>
      <c r="AP289" s="31">
        <v>0</v>
      </c>
    </row>
    <row r="290" spans="1:42" x14ac:dyDescent="0.25">
      <c r="A290" s="31">
        <v>18</v>
      </c>
      <c r="B290" s="31">
        <v>24606</v>
      </c>
      <c r="C290" s="31">
        <v>1</v>
      </c>
      <c r="D290" s="31" t="s">
        <v>693</v>
      </c>
      <c r="E290" s="31">
        <v>9</v>
      </c>
      <c r="F290" s="31">
        <v>1</v>
      </c>
      <c r="G290" s="31">
        <v>7</v>
      </c>
      <c r="H290" s="31">
        <v>4</v>
      </c>
      <c r="I290" s="31">
        <v>0</v>
      </c>
      <c r="J290" s="31">
        <v>12</v>
      </c>
      <c r="K290" s="31">
        <v>74.199996948242188</v>
      </c>
      <c r="L290" s="2" t="str">
        <f t="shared" si="32"/>
        <v>Просадка</v>
      </c>
      <c r="M290" s="12">
        <f t="shared" si="33"/>
        <v>51</v>
      </c>
      <c r="N290" s="12">
        <f t="shared" si="34"/>
        <v>11</v>
      </c>
      <c r="O290" s="12">
        <f t="shared" si="35"/>
        <v>6</v>
      </c>
      <c r="P290" s="12">
        <f t="shared" si="36"/>
        <v>0</v>
      </c>
      <c r="Q290" s="12">
        <f t="shared" si="37"/>
        <v>42</v>
      </c>
      <c r="R290" s="12">
        <f t="shared" si="38"/>
        <v>44</v>
      </c>
      <c r="S290" s="12">
        <f t="shared" si="39"/>
        <v>51</v>
      </c>
      <c r="T290" s="31">
        <v>11</v>
      </c>
      <c r="U290" s="31">
        <v>0</v>
      </c>
      <c r="V290" s="31">
        <v>0</v>
      </c>
      <c r="W290" s="31">
        <v>6</v>
      </c>
      <c r="X290" s="31">
        <v>0</v>
      </c>
      <c r="Y290" s="31">
        <v>0</v>
      </c>
      <c r="Z290" s="31">
        <v>0</v>
      </c>
      <c r="AA290" s="31">
        <v>0</v>
      </c>
      <c r="AB290" s="31">
        <v>0</v>
      </c>
      <c r="AC290" s="31">
        <v>42</v>
      </c>
      <c r="AD290" s="31">
        <v>0</v>
      </c>
      <c r="AE290" s="31">
        <v>0</v>
      </c>
      <c r="AF290" s="31">
        <v>43</v>
      </c>
      <c r="AG290" s="31">
        <v>1</v>
      </c>
      <c r="AH290" s="31">
        <v>0</v>
      </c>
      <c r="AI290" s="31">
        <v>51</v>
      </c>
      <c r="AJ290" s="31">
        <v>0</v>
      </c>
      <c r="AK290" s="31">
        <v>0</v>
      </c>
      <c r="AL290" s="31">
        <v>153</v>
      </c>
      <c r="AM290" s="31">
        <v>1</v>
      </c>
      <c r="AN290" s="31">
        <v>0</v>
      </c>
      <c r="AO290" s="31">
        <v>0</v>
      </c>
      <c r="AP290" s="31">
        <v>0</v>
      </c>
    </row>
    <row r="291" spans="1:42" x14ac:dyDescent="0.25">
      <c r="A291" s="31">
        <v>18</v>
      </c>
      <c r="B291" s="31">
        <v>24606</v>
      </c>
      <c r="C291" s="31">
        <v>1</v>
      </c>
      <c r="D291" s="31" t="s">
        <v>694</v>
      </c>
      <c r="E291" s="31">
        <v>9</v>
      </c>
      <c r="F291" s="31">
        <v>1</v>
      </c>
      <c r="G291" s="31">
        <v>4</v>
      </c>
      <c r="H291" s="31">
        <v>2</v>
      </c>
      <c r="I291" s="31">
        <v>0</v>
      </c>
      <c r="J291" s="31">
        <v>7</v>
      </c>
      <c r="K291" s="31">
        <v>67.099998474121094</v>
      </c>
      <c r="L291" s="2" t="str">
        <f t="shared" si="32"/>
        <v>Уровень</v>
      </c>
      <c r="M291" s="12">
        <f t="shared" si="33"/>
        <v>96</v>
      </c>
      <c r="N291" s="12">
        <f t="shared" si="34"/>
        <v>0</v>
      </c>
      <c r="O291" s="12">
        <f t="shared" si="35"/>
        <v>0</v>
      </c>
      <c r="P291" s="12">
        <f t="shared" si="36"/>
        <v>0</v>
      </c>
      <c r="Q291" s="12">
        <f t="shared" si="37"/>
        <v>96</v>
      </c>
      <c r="R291" s="12">
        <f t="shared" si="38"/>
        <v>10</v>
      </c>
      <c r="S291" s="12">
        <f t="shared" si="39"/>
        <v>7</v>
      </c>
      <c r="T291" s="31">
        <v>0</v>
      </c>
      <c r="U291" s="31">
        <v>0</v>
      </c>
      <c r="V291" s="31">
        <v>0</v>
      </c>
      <c r="W291" s="31">
        <v>0</v>
      </c>
      <c r="X291" s="31">
        <v>0</v>
      </c>
      <c r="Y291" s="31">
        <v>0</v>
      </c>
      <c r="Z291" s="31">
        <v>0</v>
      </c>
      <c r="AA291" s="31">
        <v>0</v>
      </c>
      <c r="AB291" s="31">
        <v>0</v>
      </c>
      <c r="AC291" s="31">
        <v>96</v>
      </c>
      <c r="AD291" s="31">
        <v>0</v>
      </c>
      <c r="AE291" s="31">
        <v>0</v>
      </c>
      <c r="AF291" s="31">
        <v>9</v>
      </c>
      <c r="AG291" s="31">
        <v>1</v>
      </c>
      <c r="AH291" s="31">
        <v>0</v>
      </c>
      <c r="AI291" s="31">
        <v>7</v>
      </c>
      <c r="AJ291" s="31">
        <v>0</v>
      </c>
      <c r="AK291" s="31">
        <v>0</v>
      </c>
      <c r="AL291" s="31">
        <v>112</v>
      </c>
      <c r="AM291" s="31">
        <v>1</v>
      </c>
      <c r="AN291" s="31">
        <v>0</v>
      </c>
      <c r="AO291" s="31">
        <v>0</v>
      </c>
      <c r="AP291" s="31">
        <v>0</v>
      </c>
    </row>
    <row r="292" spans="1:42" x14ac:dyDescent="0.25">
      <c r="A292" s="31">
        <v>18</v>
      </c>
      <c r="B292" s="31">
        <v>24606</v>
      </c>
      <c r="C292" s="31">
        <v>1</v>
      </c>
      <c r="D292" s="31" t="s">
        <v>695</v>
      </c>
      <c r="E292" s="31">
        <v>9</v>
      </c>
      <c r="F292" s="31">
        <v>3</v>
      </c>
      <c r="G292" s="31">
        <v>3</v>
      </c>
      <c r="H292" s="31">
        <v>1</v>
      </c>
      <c r="I292" s="31">
        <v>0</v>
      </c>
      <c r="J292" s="31">
        <v>7</v>
      </c>
      <c r="K292" s="31">
        <v>42.900001525878906</v>
      </c>
      <c r="L292" s="2" t="str">
        <f t="shared" si="32"/>
        <v>Уровень</v>
      </c>
      <c r="M292" s="12">
        <f t="shared" si="33"/>
        <v>36</v>
      </c>
      <c r="N292" s="12">
        <f t="shared" si="34"/>
        <v>2</v>
      </c>
      <c r="O292" s="12">
        <f t="shared" si="35"/>
        <v>0</v>
      </c>
      <c r="P292" s="12">
        <f t="shared" si="36"/>
        <v>0</v>
      </c>
      <c r="Q292" s="12">
        <f t="shared" si="37"/>
        <v>36</v>
      </c>
      <c r="R292" s="12">
        <f t="shared" si="38"/>
        <v>20</v>
      </c>
      <c r="S292" s="12">
        <f t="shared" si="39"/>
        <v>6</v>
      </c>
      <c r="T292" s="31">
        <v>2</v>
      </c>
      <c r="U292" s="31">
        <v>0</v>
      </c>
      <c r="V292" s="31">
        <v>0</v>
      </c>
      <c r="W292" s="31">
        <v>0</v>
      </c>
      <c r="X292" s="31">
        <v>0</v>
      </c>
      <c r="Y292" s="31">
        <v>0</v>
      </c>
      <c r="Z292" s="31">
        <v>0</v>
      </c>
      <c r="AA292" s="31">
        <v>0</v>
      </c>
      <c r="AB292" s="31">
        <v>0</v>
      </c>
      <c r="AC292" s="31">
        <v>36</v>
      </c>
      <c r="AD292" s="31">
        <v>0</v>
      </c>
      <c r="AE292" s="31">
        <v>0</v>
      </c>
      <c r="AF292" s="31">
        <v>19</v>
      </c>
      <c r="AG292" s="31">
        <v>1</v>
      </c>
      <c r="AH292" s="31">
        <v>0</v>
      </c>
      <c r="AI292" s="31">
        <v>6</v>
      </c>
      <c r="AJ292" s="31">
        <v>0</v>
      </c>
      <c r="AK292" s="31">
        <v>0</v>
      </c>
      <c r="AL292" s="31">
        <v>63</v>
      </c>
      <c r="AM292" s="31">
        <v>1</v>
      </c>
      <c r="AN292" s="31">
        <v>0</v>
      </c>
      <c r="AO292" s="31">
        <v>0</v>
      </c>
      <c r="AP292" s="31">
        <v>0</v>
      </c>
    </row>
    <row r="293" spans="1:42" x14ac:dyDescent="0.25">
      <c r="A293" s="31">
        <v>18</v>
      </c>
      <c r="B293" s="31">
        <v>24606</v>
      </c>
      <c r="C293" s="31">
        <v>1</v>
      </c>
      <c r="D293" s="31" t="s">
        <v>696</v>
      </c>
      <c r="E293" s="31">
        <v>9</v>
      </c>
      <c r="F293" s="31">
        <v>3</v>
      </c>
      <c r="G293" s="31">
        <v>6</v>
      </c>
      <c r="H293" s="31">
        <v>0</v>
      </c>
      <c r="I293" s="31">
        <v>0</v>
      </c>
      <c r="J293" s="31">
        <v>9</v>
      </c>
      <c r="K293" s="31">
        <v>30</v>
      </c>
      <c r="L293" s="2" t="str">
        <f t="shared" si="32"/>
        <v>Уровень</v>
      </c>
      <c r="M293" s="12">
        <f t="shared" si="33"/>
        <v>36</v>
      </c>
      <c r="N293" s="12">
        <f t="shared" si="34"/>
        <v>3</v>
      </c>
      <c r="O293" s="12">
        <f t="shared" si="35"/>
        <v>5</v>
      </c>
      <c r="P293" s="12">
        <f t="shared" si="36"/>
        <v>0</v>
      </c>
      <c r="Q293" s="12">
        <f t="shared" si="37"/>
        <v>36</v>
      </c>
      <c r="R293" s="12">
        <f t="shared" si="38"/>
        <v>21</v>
      </c>
      <c r="S293" s="12">
        <f t="shared" si="39"/>
        <v>14</v>
      </c>
      <c r="T293" s="31">
        <v>3</v>
      </c>
      <c r="U293" s="31">
        <v>0</v>
      </c>
      <c r="V293" s="31">
        <v>0</v>
      </c>
      <c r="W293" s="31">
        <v>5</v>
      </c>
      <c r="X293" s="31">
        <v>0</v>
      </c>
      <c r="Y293" s="31">
        <v>0</v>
      </c>
      <c r="Z293" s="31">
        <v>0</v>
      </c>
      <c r="AA293" s="31">
        <v>0</v>
      </c>
      <c r="AB293" s="31">
        <v>0</v>
      </c>
      <c r="AC293" s="31">
        <v>36</v>
      </c>
      <c r="AD293" s="31">
        <v>0</v>
      </c>
      <c r="AE293" s="31">
        <v>0</v>
      </c>
      <c r="AF293" s="31">
        <v>21</v>
      </c>
      <c r="AG293" s="31">
        <v>0</v>
      </c>
      <c r="AH293" s="31">
        <v>0</v>
      </c>
      <c r="AI293" s="31">
        <v>14</v>
      </c>
      <c r="AJ293" s="31">
        <v>0</v>
      </c>
      <c r="AK293" s="31">
        <v>0</v>
      </c>
      <c r="AL293" s="31">
        <v>79</v>
      </c>
      <c r="AM293" s="31">
        <v>0</v>
      </c>
      <c r="AN293" s="31">
        <v>0</v>
      </c>
      <c r="AO293" s="31">
        <v>0</v>
      </c>
      <c r="AP293" s="31">
        <v>0</v>
      </c>
    </row>
    <row r="294" spans="1:42" x14ac:dyDescent="0.25">
      <c r="A294" s="31">
        <v>18</v>
      </c>
      <c r="B294" s="31">
        <v>24606</v>
      </c>
      <c r="C294" s="31">
        <v>1</v>
      </c>
      <c r="D294" s="31" t="s">
        <v>697</v>
      </c>
      <c r="E294" s="31">
        <v>9</v>
      </c>
      <c r="F294" s="31">
        <v>0</v>
      </c>
      <c r="G294" s="31">
        <v>5</v>
      </c>
      <c r="H294" s="31">
        <v>2</v>
      </c>
      <c r="I294" s="31">
        <v>0</v>
      </c>
      <c r="J294" s="31">
        <v>7</v>
      </c>
      <c r="K294" s="31">
        <v>71.400001525878906</v>
      </c>
      <c r="L294" s="2" t="str">
        <f t="shared" si="32"/>
        <v>Перекос</v>
      </c>
      <c r="M294" s="12">
        <f t="shared" si="33"/>
        <v>27</v>
      </c>
      <c r="N294" s="12">
        <f t="shared" si="34"/>
        <v>9</v>
      </c>
      <c r="O294" s="12">
        <f t="shared" si="35"/>
        <v>13</v>
      </c>
      <c r="P294" s="12">
        <f t="shared" si="36"/>
        <v>0</v>
      </c>
      <c r="Q294" s="12">
        <f t="shared" si="37"/>
        <v>21</v>
      </c>
      <c r="R294" s="12">
        <f t="shared" si="38"/>
        <v>27</v>
      </c>
      <c r="S294" s="12">
        <f t="shared" si="39"/>
        <v>19</v>
      </c>
      <c r="T294" s="31">
        <v>9</v>
      </c>
      <c r="U294" s="31">
        <v>0</v>
      </c>
      <c r="V294" s="31">
        <v>0</v>
      </c>
      <c r="W294" s="31">
        <v>13</v>
      </c>
      <c r="X294" s="31">
        <v>0</v>
      </c>
      <c r="Y294" s="31">
        <v>0</v>
      </c>
      <c r="Z294" s="31">
        <v>0</v>
      </c>
      <c r="AA294" s="31">
        <v>0</v>
      </c>
      <c r="AB294" s="31">
        <v>0</v>
      </c>
      <c r="AC294" s="31">
        <v>21</v>
      </c>
      <c r="AD294" s="31">
        <v>0</v>
      </c>
      <c r="AE294" s="31">
        <v>0</v>
      </c>
      <c r="AF294" s="31">
        <v>25</v>
      </c>
      <c r="AG294" s="31">
        <v>2</v>
      </c>
      <c r="AH294" s="31">
        <v>0</v>
      </c>
      <c r="AI294" s="31">
        <v>19</v>
      </c>
      <c r="AJ294" s="31">
        <v>0</v>
      </c>
      <c r="AK294" s="31">
        <v>0</v>
      </c>
      <c r="AL294" s="31">
        <v>87</v>
      </c>
      <c r="AM294" s="31">
        <v>2</v>
      </c>
      <c r="AN294" s="31">
        <v>0</v>
      </c>
      <c r="AO294" s="31">
        <v>0</v>
      </c>
      <c r="AP294" s="31">
        <v>0</v>
      </c>
    </row>
    <row r="295" spans="1:42" x14ac:dyDescent="0.25">
      <c r="A295" s="31">
        <v>18</v>
      </c>
      <c r="B295" s="31">
        <v>24606</v>
      </c>
      <c r="C295" s="31">
        <v>1</v>
      </c>
      <c r="D295" s="31" t="s">
        <v>698</v>
      </c>
      <c r="E295" s="31">
        <v>9</v>
      </c>
      <c r="F295" s="31">
        <v>2</v>
      </c>
      <c r="G295" s="31">
        <v>3</v>
      </c>
      <c r="H295" s="31">
        <v>3</v>
      </c>
      <c r="I295" s="31">
        <v>0</v>
      </c>
      <c r="J295" s="31">
        <v>8</v>
      </c>
      <c r="K295" s="31">
        <v>73.800003051757812</v>
      </c>
      <c r="L295" s="2" t="str">
        <f t="shared" si="32"/>
        <v>Уширение</v>
      </c>
      <c r="M295" s="12">
        <f t="shared" si="33"/>
        <v>69</v>
      </c>
      <c r="N295" s="12">
        <f t="shared" si="34"/>
        <v>2</v>
      </c>
      <c r="O295" s="12">
        <f t="shared" si="35"/>
        <v>69</v>
      </c>
      <c r="P295" s="12">
        <f t="shared" si="36"/>
        <v>0</v>
      </c>
      <c r="Q295" s="12">
        <f t="shared" si="37"/>
        <v>61</v>
      </c>
      <c r="R295" s="12">
        <f t="shared" si="38"/>
        <v>11</v>
      </c>
      <c r="S295" s="12">
        <f t="shared" si="39"/>
        <v>9</v>
      </c>
      <c r="T295" s="31">
        <v>2</v>
      </c>
      <c r="U295" s="31">
        <v>0</v>
      </c>
      <c r="V295" s="31">
        <v>0</v>
      </c>
      <c r="W295" s="31">
        <v>69</v>
      </c>
      <c r="X295" s="31">
        <v>0</v>
      </c>
      <c r="Y295" s="31">
        <v>0</v>
      </c>
      <c r="Z295" s="31">
        <v>0</v>
      </c>
      <c r="AA295" s="31">
        <v>0</v>
      </c>
      <c r="AB295" s="31">
        <v>0</v>
      </c>
      <c r="AC295" s="31">
        <v>61</v>
      </c>
      <c r="AD295" s="31">
        <v>0</v>
      </c>
      <c r="AE295" s="31">
        <v>0</v>
      </c>
      <c r="AF295" s="31">
        <v>11</v>
      </c>
      <c r="AG295" s="31">
        <v>0</v>
      </c>
      <c r="AH295" s="31">
        <v>0</v>
      </c>
      <c r="AI295" s="31">
        <v>9</v>
      </c>
      <c r="AJ295" s="31">
        <v>0</v>
      </c>
      <c r="AK295" s="31">
        <v>0</v>
      </c>
      <c r="AL295" s="31">
        <v>152</v>
      </c>
      <c r="AM295" s="31">
        <v>0</v>
      </c>
      <c r="AN295" s="31">
        <v>0</v>
      </c>
      <c r="AO295" s="31">
        <v>0</v>
      </c>
      <c r="AP295" s="31">
        <v>0</v>
      </c>
    </row>
    <row r="296" spans="1:42" x14ac:dyDescent="0.25">
      <c r="A296" s="31">
        <v>18</v>
      </c>
      <c r="B296" s="31">
        <v>24606</v>
      </c>
      <c r="C296" s="31">
        <v>1</v>
      </c>
      <c r="D296" s="31" t="s">
        <v>699</v>
      </c>
      <c r="E296" s="31">
        <v>9</v>
      </c>
      <c r="F296" s="31">
        <v>4</v>
      </c>
      <c r="G296" s="31">
        <v>5.5929999351501465</v>
      </c>
      <c r="H296" s="31">
        <v>1.4049999713897705</v>
      </c>
      <c r="I296" s="31">
        <v>0</v>
      </c>
      <c r="J296" s="31">
        <v>10.998000144958496</v>
      </c>
      <c r="K296" s="31">
        <v>43.099998474121094</v>
      </c>
      <c r="L296" s="2" t="str">
        <f t="shared" si="32"/>
        <v>Уровень</v>
      </c>
      <c r="M296" s="12">
        <f t="shared" si="33"/>
        <v>66</v>
      </c>
      <c r="N296" s="12">
        <f t="shared" si="34"/>
        <v>5</v>
      </c>
      <c r="O296" s="12">
        <f t="shared" si="35"/>
        <v>2</v>
      </c>
      <c r="P296" s="12">
        <f t="shared" si="36"/>
        <v>0</v>
      </c>
      <c r="Q296" s="12">
        <f t="shared" si="37"/>
        <v>66</v>
      </c>
      <c r="R296" s="12">
        <f t="shared" si="38"/>
        <v>22</v>
      </c>
      <c r="S296" s="12">
        <f t="shared" si="39"/>
        <v>9</v>
      </c>
      <c r="T296" s="31">
        <v>5</v>
      </c>
      <c r="U296" s="31">
        <v>0</v>
      </c>
      <c r="V296" s="31">
        <v>0</v>
      </c>
      <c r="W296" s="31">
        <v>2</v>
      </c>
      <c r="X296" s="31">
        <v>0</v>
      </c>
      <c r="Y296" s="31">
        <v>0</v>
      </c>
      <c r="Z296" s="31">
        <v>0</v>
      </c>
      <c r="AA296" s="31">
        <v>0</v>
      </c>
      <c r="AB296" s="31">
        <v>0</v>
      </c>
      <c r="AC296" s="31">
        <v>66</v>
      </c>
      <c r="AD296" s="31">
        <v>0</v>
      </c>
      <c r="AE296" s="31">
        <v>0</v>
      </c>
      <c r="AF296" s="31">
        <v>22</v>
      </c>
      <c r="AG296" s="31">
        <v>0</v>
      </c>
      <c r="AH296" s="31">
        <v>0</v>
      </c>
      <c r="AI296" s="31">
        <v>9</v>
      </c>
      <c r="AJ296" s="31">
        <v>0</v>
      </c>
      <c r="AK296" s="31">
        <v>0</v>
      </c>
      <c r="AL296" s="31">
        <v>104</v>
      </c>
      <c r="AM296" s="31">
        <v>0</v>
      </c>
      <c r="AN296" s="31">
        <v>0</v>
      </c>
      <c r="AO296" s="31">
        <v>0</v>
      </c>
      <c r="AP296" s="31">
        <v>0</v>
      </c>
    </row>
    <row r="297" spans="1:42" x14ac:dyDescent="0.25">
      <c r="A297" s="31">
        <v>18</v>
      </c>
      <c r="B297" s="31">
        <v>24606</v>
      </c>
      <c r="C297" s="31">
        <v>1</v>
      </c>
      <c r="D297" s="31" t="s">
        <v>700</v>
      </c>
      <c r="E297" s="31">
        <v>9</v>
      </c>
      <c r="F297" s="31">
        <v>3.0639998912811279</v>
      </c>
      <c r="G297" s="31">
        <v>5.9800000190734863</v>
      </c>
      <c r="H297" s="31">
        <v>0</v>
      </c>
      <c r="I297" s="31">
        <v>0</v>
      </c>
      <c r="J297" s="31">
        <v>9.0439996719360352</v>
      </c>
      <c r="K297" s="31">
        <v>29.799999237060547</v>
      </c>
      <c r="L297" s="2" t="str">
        <f t="shared" si="32"/>
        <v>Уровень</v>
      </c>
      <c r="M297" s="12">
        <f t="shared" si="33"/>
        <v>36</v>
      </c>
      <c r="N297" s="12">
        <f t="shared" si="34"/>
        <v>2</v>
      </c>
      <c r="O297" s="12">
        <f t="shared" si="35"/>
        <v>0</v>
      </c>
      <c r="P297" s="12">
        <f t="shared" si="36"/>
        <v>0</v>
      </c>
      <c r="Q297" s="12">
        <f t="shared" si="37"/>
        <v>36</v>
      </c>
      <c r="R297" s="12">
        <f t="shared" si="38"/>
        <v>25</v>
      </c>
      <c r="S297" s="12">
        <f t="shared" si="39"/>
        <v>10</v>
      </c>
      <c r="T297" s="31">
        <v>2</v>
      </c>
      <c r="U297" s="31">
        <v>0</v>
      </c>
      <c r="V297" s="31">
        <v>0</v>
      </c>
      <c r="W297" s="31">
        <v>0</v>
      </c>
      <c r="X297" s="31">
        <v>0</v>
      </c>
      <c r="Y297" s="31">
        <v>0</v>
      </c>
      <c r="Z297" s="31">
        <v>0</v>
      </c>
      <c r="AA297" s="31">
        <v>0</v>
      </c>
      <c r="AB297" s="31">
        <v>0</v>
      </c>
      <c r="AC297" s="31">
        <v>36</v>
      </c>
      <c r="AD297" s="31">
        <v>0</v>
      </c>
      <c r="AE297" s="31">
        <v>0</v>
      </c>
      <c r="AF297" s="31">
        <v>25</v>
      </c>
      <c r="AG297" s="31">
        <v>0</v>
      </c>
      <c r="AH297" s="31">
        <v>0</v>
      </c>
      <c r="AI297" s="31">
        <v>10</v>
      </c>
      <c r="AJ297" s="31">
        <v>0</v>
      </c>
      <c r="AK297" s="31">
        <v>0</v>
      </c>
      <c r="AL297" s="31">
        <v>73</v>
      </c>
      <c r="AM297" s="31">
        <v>0</v>
      </c>
      <c r="AN297" s="31">
        <v>0</v>
      </c>
      <c r="AO297" s="31">
        <v>0</v>
      </c>
      <c r="AP297" s="31">
        <v>0</v>
      </c>
    </row>
    <row r="298" spans="1:42" x14ac:dyDescent="0.25">
      <c r="A298" s="31">
        <v>18</v>
      </c>
      <c r="B298" s="31">
        <v>24606</v>
      </c>
      <c r="C298" s="31">
        <v>1</v>
      </c>
      <c r="D298" s="31" t="s">
        <v>701</v>
      </c>
      <c r="E298" s="31">
        <v>9</v>
      </c>
      <c r="F298" s="31">
        <v>1</v>
      </c>
      <c r="G298" s="31">
        <v>3</v>
      </c>
      <c r="H298" s="31">
        <v>2</v>
      </c>
      <c r="I298" s="31">
        <v>0</v>
      </c>
      <c r="J298" s="31">
        <v>6</v>
      </c>
      <c r="K298" s="31">
        <v>71.699996948242188</v>
      </c>
      <c r="L298" s="2" t="str">
        <f t="shared" si="32"/>
        <v>Уровень</v>
      </c>
      <c r="M298" s="12">
        <f t="shared" si="33"/>
        <v>24</v>
      </c>
      <c r="N298" s="12">
        <f t="shared" si="34"/>
        <v>3</v>
      </c>
      <c r="O298" s="12">
        <f t="shared" si="35"/>
        <v>0</v>
      </c>
      <c r="P298" s="12">
        <f t="shared" si="36"/>
        <v>4</v>
      </c>
      <c r="Q298" s="12">
        <f t="shared" si="37"/>
        <v>24</v>
      </c>
      <c r="R298" s="12">
        <f t="shared" si="38"/>
        <v>19</v>
      </c>
      <c r="S298" s="12">
        <f t="shared" si="39"/>
        <v>10</v>
      </c>
      <c r="T298" s="31">
        <v>3</v>
      </c>
      <c r="U298" s="31">
        <v>0</v>
      </c>
      <c r="V298" s="31">
        <v>0</v>
      </c>
      <c r="W298" s="31">
        <v>0</v>
      </c>
      <c r="X298" s="31">
        <v>0</v>
      </c>
      <c r="Y298" s="31">
        <v>0</v>
      </c>
      <c r="Z298" s="31">
        <v>4</v>
      </c>
      <c r="AA298" s="31">
        <v>0</v>
      </c>
      <c r="AB298" s="31">
        <v>0</v>
      </c>
      <c r="AC298" s="31">
        <v>24</v>
      </c>
      <c r="AD298" s="31">
        <v>0</v>
      </c>
      <c r="AE298" s="31">
        <v>0</v>
      </c>
      <c r="AF298" s="31">
        <v>19</v>
      </c>
      <c r="AG298" s="31">
        <v>0</v>
      </c>
      <c r="AH298" s="31">
        <v>0</v>
      </c>
      <c r="AI298" s="31">
        <v>10</v>
      </c>
      <c r="AJ298" s="31">
        <v>0</v>
      </c>
      <c r="AK298" s="31">
        <v>0</v>
      </c>
      <c r="AL298" s="31">
        <v>60</v>
      </c>
      <c r="AM298" s="31">
        <v>0</v>
      </c>
      <c r="AN298" s="31">
        <v>0</v>
      </c>
      <c r="AO298" s="31">
        <v>0</v>
      </c>
      <c r="AP298" s="31">
        <v>0</v>
      </c>
    </row>
    <row r="299" spans="1:42" x14ac:dyDescent="0.25">
      <c r="A299" s="31">
        <v>18</v>
      </c>
      <c r="B299" s="31">
        <v>24606</v>
      </c>
      <c r="C299" s="31">
        <v>1</v>
      </c>
      <c r="D299" s="31" t="s">
        <v>702</v>
      </c>
      <c r="E299" s="31">
        <v>9</v>
      </c>
      <c r="F299" s="31">
        <v>0.21400000154972076</v>
      </c>
      <c r="G299" s="31">
        <v>3.7839999198913574</v>
      </c>
      <c r="H299" s="31">
        <v>3</v>
      </c>
      <c r="I299" s="31">
        <v>0</v>
      </c>
      <c r="J299" s="31">
        <v>6.9980001449584961</v>
      </c>
      <c r="K299" s="31">
        <v>86.199996948242188</v>
      </c>
      <c r="L299" s="2" t="str">
        <f t="shared" si="32"/>
        <v>Уровень</v>
      </c>
      <c r="M299" s="12">
        <f t="shared" si="33"/>
        <v>58</v>
      </c>
      <c r="N299" s="12">
        <f t="shared" si="34"/>
        <v>11</v>
      </c>
      <c r="O299" s="12">
        <f t="shared" si="35"/>
        <v>0</v>
      </c>
      <c r="P299" s="12">
        <f t="shared" si="36"/>
        <v>0</v>
      </c>
      <c r="Q299" s="12">
        <f t="shared" si="37"/>
        <v>58</v>
      </c>
      <c r="R299" s="12">
        <f t="shared" si="38"/>
        <v>26</v>
      </c>
      <c r="S299" s="12">
        <f t="shared" si="39"/>
        <v>19</v>
      </c>
      <c r="T299" s="31">
        <v>11</v>
      </c>
      <c r="U299" s="31">
        <v>0</v>
      </c>
      <c r="V299" s="31">
        <v>0</v>
      </c>
      <c r="W299" s="31">
        <v>0</v>
      </c>
      <c r="X299" s="31">
        <v>0</v>
      </c>
      <c r="Y299" s="31">
        <v>0</v>
      </c>
      <c r="Z299" s="31">
        <v>0</v>
      </c>
      <c r="AA299" s="31">
        <v>0</v>
      </c>
      <c r="AB299" s="31">
        <v>0</v>
      </c>
      <c r="AC299" s="31">
        <v>58</v>
      </c>
      <c r="AD299" s="31">
        <v>0</v>
      </c>
      <c r="AE299" s="31">
        <v>0</v>
      </c>
      <c r="AF299" s="31">
        <v>26</v>
      </c>
      <c r="AG299" s="31">
        <v>0</v>
      </c>
      <c r="AH299" s="31">
        <v>0</v>
      </c>
      <c r="AI299" s="31">
        <v>19</v>
      </c>
      <c r="AJ299" s="31">
        <v>0</v>
      </c>
      <c r="AK299" s="31">
        <v>0</v>
      </c>
      <c r="AL299" s="31">
        <v>114</v>
      </c>
      <c r="AM299" s="31">
        <v>0</v>
      </c>
      <c r="AN299" s="31">
        <v>0</v>
      </c>
      <c r="AO299" s="31">
        <v>0</v>
      </c>
      <c r="AP299" s="31">
        <v>0</v>
      </c>
    </row>
    <row r="300" spans="1:42" x14ac:dyDescent="0.25">
      <c r="A300" s="31">
        <v>18</v>
      </c>
      <c r="B300" s="31">
        <v>24606</v>
      </c>
      <c r="C300" s="31">
        <v>1</v>
      </c>
      <c r="D300" s="31" t="s">
        <v>703</v>
      </c>
      <c r="E300" s="31">
        <v>9</v>
      </c>
      <c r="F300" s="31">
        <v>0.63599997758865356</v>
      </c>
      <c r="G300" s="31">
        <v>5.5219998359680176</v>
      </c>
      <c r="H300" s="31">
        <v>2</v>
      </c>
      <c r="I300" s="31">
        <v>0</v>
      </c>
      <c r="J300" s="31">
        <v>8.1579999923706055</v>
      </c>
      <c r="K300" s="31">
        <v>64.599998474121094</v>
      </c>
      <c r="L300" s="2" t="str">
        <f t="shared" si="32"/>
        <v>Рихтовка</v>
      </c>
      <c r="M300" s="12">
        <f t="shared" si="33"/>
        <v>24</v>
      </c>
      <c r="N300" s="12">
        <f t="shared" si="34"/>
        <v>24</v>
      </c>
      <c r="O300" s="12">
        <f t="shared" si="35"/>
        <v>21</v>
      </c>
      <c r="P300" s="12">
        <f t="shared" si="36"/>
        <v>0</v>
      </c>
      <c r="Q300" s="12">
        <f t="shared" si="37"/>
        <v>18</v>
      </c>
      <c r="R300" s="12">
        <f t="shared" si="38"/>
        <v>14</v>
      </c>
      <c r="S300" s="12">
        <f t="shared" si="39"/>
        <v>5</v>
      </c>
      <c r="T300" s="31">
        <v>24</v>
      </c>
      <c r="U300" s="31">
        <v>0</v>
      </c>
      <c r="V300" s="31">
        <v>0</v>
      </c>
      <c r="W300" s="31">
        <v>21</v>
      </c>
      <c r="X300" s="31">
        <v>0</v>
      </c>
      <c r="Y300" s="31">
        <v>0</v>
      </c>
      <c r="Z300" s="31">
        <v>0</v>
      </c>
      <c r="AA300" s="31">
        <v>0</v>
      </c>
      <c r="AB300" s="31">
        <v>0</v>
      </c>
      <c r="AC300" s="31">
        <v>18</v>
      </c>
      <c r="AD300" s="31">
        <v>0</v>
      </c>
      <c r="AE300" s="31">
        <v>0</v>
      </c>
      <c r="AF300" s="31">
        <v>14</v>
      </c>
      <c r="AG300" s="31">
        <v>0</v>
      </c>
      <c r="AH300" s="31">
        <v>0</v>
      </c>
      <c r="AI300" s="31">
        <v>5</v>
      </c>
      <c r="AJ300" s="31">
        <v>0</v>
      </c>
      <c r="AK300" s="31">
        <v>0</v>
      </c>
      <c r="AL300" s="31">
        <v>82</v>
      </c>
      <c r="AM300" s="31">
        <v>0</v>
      </c>
      <c r="AN300" s="31">
        <v>0</v>
      </c>
      <c r="AO300" s="31">
        <v>0</v>
      </c>
      <c r="AP300" s="31">
        <v>0</v>
      </c>
    </row>
    <row r="301" spans="1:42" x14ac:dyDescent="0.25">
      <c r="A301" s="31">
        <v>18</v>
      </c>
      <c r="B301" s="31">
        <v>24606</v>
      </c>
      <c r="C301" s="31">
        <v>1</v>
      </c>
      <c r="D301" s="31" t="s">
        <v>704</v>
      </c>
      <c r="E301" s="31">
        <v>9</v>
      </c>
      <c r="F301" s="31">
        <v>0</v>
      </c>
      <c r="G301" s="31">
        <v>3</v>
      </c>
      <c r="H301" s="31">
        <v>3</v>
      </c>
      <c r="I301" s="31">
        <v>0</v>
      </c>
      <c r="J301" s="31">
        <v>6</v>
      </c>
      <c r="K301" s="31">
        <v>95</v>
      </c>
      <c r="L301" s="2" t="str">
        <f t="shared" si="32"/>
        <v>Рихтовка</v>
      </c>
      <c r="M301" s="12">
        <f t="shared" si="33"/>
        <v>19</v>
      </c>
      <c r="N301" s="12">
        <f t="shared" si="34"/>
        <v>19</v>
      </c>
      <c r="O301" s="12">
        <f t="shared" si="35"/>
        <v>3</v>
      </c>
      <c r="P301" s="12">
        <f t="shared" si="36"/>
        <v>0</v>
      </c>
      <c r="Q301" s="12">
        <f t="shared" si="37"/>
        <v>16</v>
      </c>
      <c r="R301" s="12">
        <f t="shared" si="38"/>
        <v>14</v>
      </c>
      <c r="S301" s="12">
        <f t="shared" si="39"/>
        <v>8</v>
      </c>
      <c r="T301" s="31">
        <v>18</v>
      </c>
      <c r="U301" s="31">
        <v>1</v>
      </c>
      <c r="V301" s="31">
        <v>0</v>
      </c>
      <c r="W301" s="31">
        <v>3</v>
      </c>
      <c r="X301" s="31">
        <v>0</v>
      </c>
      <c r="Y301" s="31">
        <v>0</v>
      </c>
      <c r="Z301" s="31">
        <v>0</v>
      </c>
      <c r="AA301" s="31">
        <v>0</v>
      </c>
      <c r="AB301" s="31">
        <v>0</v>
      </c>
      <c r="AC301" s="31">
        <v>16</v>
      </c>
      <c r="AD301" s="31">
        <v>0</v>
      </c>
      <c r="AE301" s="31">
        <v>0</v>
      </c>
      <c r="AF301" s="31">
        <v>14</v>
      </c>
      <c r="AG301" s="31">
        <v>0</v>
      </c>
      <c r="AH301" s="31">
        <v>0</v>
      </c>
      <c r="AI301" s="31">
        <v>8</v>
      </c>
      <c r="AJ301" s="31">
        <v>0</v>
      </c>
      <c r="AK301" s="31">
        <v>0</v>
      </c>
      <c r="AL301" s="31">
        <v>59</v>
      </c>
      <c r="AM301" s="31">
        <v>1</v>
      </c>
      <c r="AN301" s="31">
        <v>0</v>
      </c>
      <c r="AO301" s="31">
        <v>0</v>
      </c>
      <c r="AP301" s="31">
        <v>0</v>
      </c>
    </row>
    <row r="302" spans="1:42" x14ac:dyDescent="0.25">
      <c r="A302" s="31">
        <v>18</v>
      </c>
      <c r="B302" s="31">
        <v>24606</v>
      </c>
      <c r="C302" s="31">
        <v>1</v>
      </c>
      <c r="D302" s="31" t="s">
        <v>705</v>
      </c>
      <c r="E302" s="31">
        <v>9</v>
      </c>
      <c r="F302" s="31">
        <v>2.6630001068115234</v>
      </c>
      <c r="G302" s="31">
        <v>5.5920000076293945</v>
      </c>
      <c r="H302" s="31">
        <v>2</v>
      </c>
      <c r="I302" s="31">
        <v>0</v>
      </c>
      <c r="J302" s="31">
        <v>10.255000114440918</v>
      </c>
      <c r="K302" s="31">
        <v>53.700000762939453</v>
      </c>
      <c r="L302" s="2" t="str">
        <f t="shared" si="32"/>
        <v>Уровень</v>
      </c>
      <c r="M302" s="12">
        <f t="shared" si="33"/>
        <v>37</v>
      </c>
      <c r="N302" s="12">
        <f t="shared" si="34"/>
        <v>17</v>
      </c>
      <c r="O302" s="12">
        <f t="shared" si="35"/>
        <v>8</v>
      </c>
      <c r="P302" s="12">
        <f t="shared" si="36"/>
        <v>0</v>
      </c>
      <c r="Q302" s="12">
        <f t="shared" si="37"/>
        <v>37</v>
      </c>
      <c r="R302" s="12">
        <f t="shared" si="38"/>
        <v>29</v>
      </c>
      <c r="S302" s="12">
        <f t="shared" si="39"/>
        <v>26</v>
      </c>
      <c r="T302" s="31">
        <v>16</v>
      </c>
      <c r="U302" s="31">
        <v>1</v>
      </c>
      <c r="V302" s="31">
        <v>0</v>
      </c>
      <c r="W302" s="31">
        <v>8</v>
      </c>
      <c r="X302" s="31">
        <v>0</v>
      </c>
      <c r="Y302" s="31">
        <v>0</v>
      </c>
      <c r="Z302" s="31">
        <v>0</v>
      </c>
      <c r="AA302" s="31">
        <v>0</v>
      </c>
      <c r="AB302" s="31">
        <v>0</v>
      </c>
      <c r="AC302" s="31">
        <v>37</v>
      </c>
      <c r="AD302" s="31">
        <v>0</v>
      </c>
      <c r="AE302" s="31">
        <v>0</v>
      </c>
      <c r="AF302" s="31">
        <v>28</v>
      </c>
      <c r="AG302" s="31">
        <v>1</v>
      </c>
      <c r="AH302" s="31">
        <v>0</v>
      </c>
      <c r="AI302" s="31">
        <v>26</v>
      </c>
      <c r="AJ302" s="31">
        <v>0</v>
      </c>
      <c r="AK302" s="31">
        <v>0</v>
      </c>
      <c r="AL302" s="31">
        <v>115</v>
      </c>
      <c r="AM302" s="31">
        <v>2</v>
      </c>
      <c r="AN302" s="31">
        <v>0</v>
      </c>
      <c r="AO302" s="31">
        <v>0</v>
      </c>
      <c r="AP302" s="31">
        <v>0</v>
      </c>
    </row>
    <row r="303" spans="1:42" x14ac:dyDescent="0.25">
      <c r="A303" s="31">
        <v>18</v>
      </c>
      <c r="B303" s="31">
        <v>24606</v>
      </c>
      <c r="C303" s="31">
        <v>1</v>
      </c>
      <c r="D303" s="31" t="s">
        <v>707</v>
      </c>
      <c r="E303" s="31">
        <v>9</v>
      </c>
      <c r="F303" s="31">
        <v>2</v>
      </c>
      <c r="G303" s="31">
        <v>5</v>
      </c>
      <c r="H303" s="31">
        <v>1</v>
      </c>
      <c r="I303" s="31">
        <v>0</v>
      </c>
      <c r="J303" s="31">
        <v>8</v>
      </c>
      <c r="K303" s="31">
        <v>46.200000762939453</v>
      </c>
      <c r="L303" s="2" t="str">
        <f t="shared" si="32"/>
        <v>Уровень</v>
      </c>
      <c r="M303" s="12">
        <f t="shared" si="33"/>
        <v>48</v>
      </c>
      <c r="N303" s="12">
        <f t="shared" si="34"/>
        <v>5</v>
      </c>
      <c r="O303" s="12">
        <f t="shared" si="35"/>
        <v>0</v>
      </c>
      <c r="P303" s="12">
        <f t="shared" si="36"/>
        <v>0</v>
      </c>
      <c r="Q303" s="12">
        <f t="shared" si="37"/>
        <v>48</v>
      </c>
      <c r="R303" s="12">
        <f t="shared" si="38"/>
        <v>20</v>
      </c>
      <c r="S303" s="12">
        <f t="shared" si="39"/>
        <v>21</v>
      </c>
      <c r="T303" s="31">
        <v>5</v>
      </c>
      <c r="U303" s="31">
        <v>0</v>
      </c>
      <c r="V303" s="31">
        <v>0</v>
      </c>
      <c r="W303" s="31">
        <v>0</v>
      </c>
      <c r="X303" s="31">
        <v>0</v>
      </c>
      <c r="Y303" s="31">
        <v>0</v>
      </c>
      <c r="Z303" s="31">
        <v>0</v>
      </c>
      <c r="AA303" s="31">
        <v>0</v>
      </c>
      <c r="AB303" s="31">
        <v>0</v>
      </c>
      <c r="AC303" s="31">
        <v>46</v>
      </c>
      <c r="AD303" s="31">
        <v>2</v>
      </c>
      <c r="AE303" s="31">
        <v>0</v>
      </c>
      <c r="AF303" s="31">
        <v>20</v>
      </c>
      <c r="AG303" s="31">
        <v>0</v>
      </c>
      <c r="AH303" s="31">
        <v>0</v>
      </c>
      <c r="AI303" s="31">
        <v>21</v>
      </c>
      <c r="AJ303" s="31">
        <v>0</v>
      </c>
      <c r="AK303" s="31">
        <v>0</v>
      </c>
      <c r="AL303" s="31">
        <v>92</v>
      </c>
      <c r="AM303" s="31">
        <v>2</v>
      </c>
      <c r="AN303" s="31">
        <v>0</v>
      </c>
      <c r="AO303" s="31">
        <v>0</v>
      </c>
      <c r="AP303" s="31">
        <v>0</v>
      </c>
    </row>
    <row r="304" spans="1:42" x14ac:dyDescent="0.25">
      <c r="A304" s="31">
        <v>18</v>
      </c>
      <c r="B304" s="31">
        <v>24606</v>
      </c>
      <c r="C304" s="31">
        <v>1</v>
      </c>
      <c r="D304" s="31" t="s">
        <v>708</v>
      </c>
      <c r="E304" s="31">
        <v>9</v>
      </c>
      <c r="F304" s="31">
        <v>0</v>
      </c>
      <c r="G304" s="31">
        <v>7</v>
      </c>
      <c r="H304" s="31">
        <v>5</v>
      </c>
      <c r="I304" s="31">
        <v>0</v>
      </c>
      <c r="J304" s="31">
        <v>12</v>
      </c>
      <c r="K304" s="31">
        <v>85.800003051757812</v>
      </c>
      <c r="L304" s="2" t="str">
        <f t="shared" si="32"/>
        <v>Уровень</v>
      </c>
      <c r="M304" s="12">
        <f t="shared" si="33"/>
        <v>88</v>
      </c>
      <c r="N304" s="12">
        <f t="shared" si="34"/>
        <v>11</v>
      </c>
      <c r="O304" s="12">
        <f t="shared" si="35"/>
        <v>0</v>
      </c>
      <c r="P304" s="12">
        <f t="shared" si="36"/>
        <v>0</v>
      </c>
      <c r="Q304" s="12">
        <f t="shared" si="37"/>
        <v>88</v>
      </c>
      <c r="R304" s="12">
        <f t="shared" si="38"/>
        <v>45</v>
      </c>
      <c r="S304" s="12">
        <f t="shared" si="39"/>
        <v>31</v>
      </c>
      <c r="T304" s="31">
        <v>11</v>
      </c>
      <c r="U304" s="31">
        <v>0</v>
      </c>
      <c r="V304" s="31">
        <v>0</v>
      </c>
      <c r="W304" s="31">
        <v>0</v>
      </c>
      <c r="X304" s="31">
        <v>0</v>
      </c>
      <c r="Y304" s="31">
        <v>0</v>
      </c>
      <c r="Z304" s="31">
        <v>0</v>
      </c>
      <c r="AA304" s="31">
        <v>0</v>
      </c>
      <c r="AB304" s="31">
        <v>0</v>
      </c>
      <c r="AC304" s="31">
        <v>88</v>
      </c>
      <c r="AD304" s="31">
        <v>0</v>
      </c>
      <c r="AE304" s="31">
        <v>0</v>
      </c>
      <c r="AF304" s="31">
        <v>45</v>
      </c>
      <c r="AG304" s="31">
        <v>0</v>
      </c>
      <c r="AH304" s="31">
        <v>0</v>
      </c>
      <c r="AI304" s="31">
        <v>31</v>
      </c>
      <c r="AJ304" s="31">
        <v>0</v>
      </c>
      <c r="AK304" s="31">
        <v>0</v>
      </c>
      <c r="AL304" s="31">
        <v>175</v>
      </c>
      <c r="AM304" s="31">
        <v>0</v>
      </c>
      <c r="AN304" s="31">
        <v>0</v>
      </c>
      <c r="AO304" s="31">
        <v>0</v>
      </c>
      <c r="AP304" s="31">
        <v>0</v>
      </c>
    </row>
    <row r="305" spans="1:42" x14ac:dyDescent="0.25">
      <c r="A305" s="31">
        <v>18</v>
      </c>
      <c r="B305" s="31">
        <v>24606</v>
      </c>
      <c r="C305" s="31">
        <v>1</v>
      </c>
      <c r="D305" s="31" t="s">
        <v>709</v>
      </c>
      <c r="E305" s="31">
        <v>9</v>
      </c>
      <c r="F305" s="31">
        <v>0</v>
      </c>
      <c r="G305" s="31">
        <v>7</v>
      </c>
      <c r="H305" s="31">
        <v>3</v>
      </c>
      <c r="I305" s="31">
        <v>0</v>
      </c>
      <c r="J305" s="31">
        <v>10</v>
      </c>
      <c r="K305" s="31">
        <v>73</v>
      </c>
      <c r="L305" s="2" t="str">
        <f t="shared" si="32"/>
        <v>Уширение</v>
      </c>
      <c r="M305" s="12">
        <f t="shared" si="33"/>
        <v>73</v>
      </c>
      <c r="N305" s="12">
        <f t="shared" si="34"/>
        <v>12</v>
      </c>
      <c r="O305" s="12">
        <f t="shared" si="35"/>
        <v>73</v>
      </c>
      <c r="P305" s="12">
        <f t="shared" si="36"/>
        <v>0</v>
      </c>
      <c r="Q305" s="12">
        <f t="shared" si="37"/>
        <v>30</v>
      </c>
      <c r="R305" s="12">
        <f t="shared" si="38"/>
        <v>18</v>
      </c>
      <c r="S305" s="12">
        <f t="shared" si="39"/>
        <v>22</v>
      </c>
      <c r="T305" s="31">
        <v>12</v>
      </c>
      <c r="U305" s="31">
        <v>0</v>
      </c>
      <c r="V305" s="31">
        <v>0</v>
      </c>
      <c r="W305" s="31">
        <v>61</v>
      </c>
      <c r="X305" s="31">
        <v>12</v>
      </c>
      <c r="Y305" s="31">
        <v>0</v>
      </c>
      <c r="Z305" s="31">
        <v>0</v>
      </c>
      <c r="AA305" s="31">
        <v>0</v>
      </c>
      <c r="AB305" s="31">
        <v>0</v>
      </c>
      <c r="AC305" s="31">
        <v>30</v>
      </c>
      <c r="AD305" s="31">
        <v>0</v>
      </c>
      <c r="AE305" s="31">
        <v>0</v>
      </c>
      <c r="AF305" s="31">
        <v>18</v>
      </c>
      <c r="AG305" s="31">
        <v>0</v>
      </c>
      <c r="AH305" s="31">
        <v>0</v>
      </c>
      <c r="AI305" s="31">
        <v>22</v>
      </c>
      <c r="AJ305" s="31">
        <v>0</v>
      </c>
      <c r="AK305" s="31">
        <v>0</v>
      </c>
      <c r="AL305" s="31">
        <v>143</v>
      </c>
      <c r="AM305" s="31">
        <v>12</v>
      </c>
      <c r="AN305" s="31">
        <v>0</v>
      </c>
      <c r="AO305" s="31">
        <v>0</v>
      </c>
      <c r="AP305" s="31">
        <v>0</v>
      </c>
    </row>
    <row r="306" spans="1:42" x14ac:dyDescent="0.25">
      <c r="A306" s="31">
        <v>18</v>
      </c>
      <c r="B306" s="31">
        <v>24606</v>
      </c>
      <c r="C306" s="31">
        <v>1</v>
      </c>
      <c r="D306" s="31" t="s">
        <v>710</v>
      </c>
      <c r="E306" s="31">
        <v>9</v>
      </c>
      <c r="F306" s="31">
        <v>0.18199999630451202</v>
      </c>
      <c r="G306" s="31">
        <v>5.8169999122619629</v>
      </c>
      <c r="H306" s="31">
        <v>4</v>
      </c>
      <c r="I306" s="31">
        <v>1</v>
      </c>
      <c r="J306" s="31">
        <v>10.99899959564209</v>
      </c>
      <c r="K306" s="31">
        <v>121.30000305175781</v>
      </c>
      <c r="L306" s="2" t="str">
        <f t="shared" si="32"/>
        <v>Уширение</v>
      </c>
      <c r="M306" s="12">
        <f t="shared" si="33"/>
        <v>70</v>
      </c>
      <c r="N306" s="12">
        <f t="shared" si="34"/>
        <v>14</v>
      </c>
      <c r="O306" s="12">
        <f t="shared" si="35"/>
        <v>70</v>
      </c>
      <c r="P306" s="12">
        <f t="shared" si="36"/>
        <v>0</v>
      </c>
      <c r="Q306" s="12">
        <f t="shared" si="37"/>
        <v>50</v>
      </c>
      <c r="R306" s="12">
        <f t="shared" si="38"/>
        <v>33</v>
      </c>
      <c r="S306" s="12">
        <f t="shared" si="39"/>
        <v>15</v>
      </c>
      <c r="T306" s="31">
        <v>13</v>
      </c>
      <c r="U306" s="31">
        <v>1</v>
      </c>
      <c r="V306" s="31">
        <v>0</v>
      </c>
      <c r="W306" s="31">
        <v>51</v>
      </c>
      <c r="X306" s="31">
        <v>16</v>
      </c>
      <c r="Y306" s="31">
        <v>3</v>
      </c>
      <c r="Z306" s="31">
        <v>0</v>
      </c>
      <c r="AA306" s="31">
        <v>0</v>
      </c>
      <c r="AB306" s="31">
        <v>0</v>
      </c>
      <c r="AC306" s="31">
        <v>50</v>
      </c>
      <c r="AD306" s="31">
        <v>0</v>
      </c>
      <c r="AE306" s="31">
        <v>0</v>
      </c>
      <c r="AF306" s="31">
        <v>33</v>
      </c>
      <c r="AG306" s="31">
        <v>0</v>
      </c>
      <c r="AH306" s="31">
        <v>0</v>
      </c>
      <c r="AI306" s="31">
        <v>15</v>
      </c>
      <c r="AJ306" s="31">
        <v>0</v>
      </c>
      <c r="AK306" s="31">
        <v>0</v>
      </c>
      <c r="AL306" s="31">
        <v>162</v>
      </c>
      <c r="AM306" s="31">
        <v>17</v>
      </c>
      <c r="AN306" s="31">
        <v>3</v>
      </c>
      <c r="AO306" s="31">
        <v>0</v>
      </c>
      <c r="AP306" s="31">
        <v>0</v>
      </c>
    </row>
    <row r="307" spans="1:42" x14ac:dyDescent="0.25">
      <c r="A307" s="31">
        <v>18</v>
      </c>
      <c r="B307" s="31">
        <v>24606</v>
      </c>
      <c r="C307" s="31">
        <v>1</v>
      </c>
      <c r="D307" s="31" t="s">
        <v>711</v>
      </c>
      <c r="E307" s="31">
        <v>9</v>
      </c>
      <c r="F307" s="31">
        <v>0</v>
      </c>
      <c r="G307" s="31">
        <v>4</v>
      </c>
      <c r="H307" s="31">
        <v>7.9270000457763672</v>
      </c>
      <c r="I307" s="31">
        <v>1</v>
      </c>
      <c r="J307" s="31">
        <v>12.927000045776367</v>
      </c>
      <c r="K307" s="31">
        <v>143</v>
      </c>
      <c r="L307" s="2" t="str">
        <f t="shared" si="32"/>
        <v>Уширение</v>
      </c>
      <c r="M307" s="12">
        <f t="shared" si="33"/>
        <v>52</v>
      </c>
      <c r="N307" s="12">
        <f t="shared" si="34"/>
        <v>33</v>
      </c>
      <c r="O307" s="12">
        <f t="shared" si="35"/>
        <v>52</v>
      </c>
      <c r="P307" s="12">
        <f t="shared" si="36"/>
        <v>0</v>
      </c>
      <c r="Q307" s="12">
        <f t="shared" si="37"/>
        <v>35</v>
      </c>
      <c r="R307" s="12">
        <f t="shared" si="38"/>
        <v>52</v>
      </c>
      <c r="S307" s="12">
        <f t="shared" si="39"/>
        <v>20</v>
      </c>
      <c r="T307" s="31">
        <v>33</v>
      </c>
      <c r="U307" s="31">
        <v>0</v>
      </c>
      <c r="V307" s="31">
        <v>0</v>
      </c>
      <c r="W307" s="31">
        <v>41</v>
      </c>
      <c r="X307" s="31">
        <v>10</v>
      </c>
      <c r="Y307" s="31">
        <v>1</v>
      </c>
      <c r="Z307" s="31">
        <v>0</v>
      </c>
      <c r="AA307" s="31">
        <v>0</v>
      </c>
      <c r="AB307" s="31">
        <v>0</v>
      </c>
      <c r="AC307" s="31">
        <v>35</v>
      </c>
      <c r="AD307" s="31">
        <v>0</v>
      </c>
      <c r="AE307" s="31">
        <v>0</v>
      </c>
      <c r="AF307" s="31">
        <v>52</v>
      </c>
      <c r="AG307" s="31">
        <v>0</v>
      </c>
      <c r="AH307" s="31">
        <v>0</v>
      </c>
      <c r="AI307" s="31">
        <v>20</v>
      </c>
      <c r="AJ307" s="31">
        <v>0</v>
      </c>
      <c r="AK307" s="31">
        <v>0</v>
      </c>
      <c r="AL307" s="31">
        <v>181</v>
      </c>
      <c r="AM307" s="31">
        <v>10</v>
      </c>
      <c r="AN307" s="31">
        <v>1</v>
      </c>
      <c r="AO307" s="31">
        <v>0</v>
      </c>
      <c r="AP307" s="31">
        <v>0</v>
      </c>
    </row>
    <row r="308" spans="1:42" x14ac:dyDescent="0.25">
      <c r="A308" s="31">
        <v>18</v>
      </c>
      <c r="B308" s="31">
        <v>24606</v>
      </c>
      <c r="C308" s="31">
        <v>1</v>
      </c>
      <c r="D308" s="31" t="s">
        <v>712</v>
      </c>
      <c r="E308" s="31">
        <v>9</v>
      </c>
      <c r="F308" s="31">
        <v>1</v>
      </c>
      <c r="G308" s="31">
        <v>2</v>
      </c>
      <c r="H308" s="31">
        <v>11</v>
      </c>
      <c r="I308" s="31">
        <v>0</v>
      </c>
      <c r="J308" s="31">
        <v>14</v>
      </c>
      <c r="K308" s="31">
        <v>124.30000305175781</v>
      </c>
      <c r="L308" s="2" t="str">
        <f t="shared" si="32"/>
        <v>Уширение</v>
      </c>
      <c r="M308" s="12">
        <f t="shared" si="33"/>
        <v>145</v>
      </c>
      <c r="N308" s="12">
        <f t="shared" si="34"/>
        <v>37</v>
      </c>
      <c r="O308" s="12">
        <f t="shared" si="35"/>
        <v>145</v>
      </c>
      <c r="P308" s="12">
        <f t="shared" si="36"/>
        <v>0</v>
      </c>
      <c r="Q308" s="12">
        <f t="shared" si="37"/>
        <v>70</v>
      </c>
      <c r="R308" s="12">
        <f t="shared" si="38"/>
        <v>40</v>
      </c>
      <c r="S308" s="12">
        <f t="shared" si="39"/>
        <v>20</v>
      </c>
      <c r="T308" s="31">
        <v>37</v>
      </c>
      <c r="U308" s="31">
        <v>0</v>
      </c>
      <c r="V308" s="31">
        <v>0</v>
      </c>
      <c r="W308" s="31">
        <v>131</v>
      </c>
      <c r="X308" s="31">
        <v>14</v>
      </c>
      <c r="Y308" s="31">
        <v>0</v>
      </c>
      <c r="Z308" s="31">
        <v>0</v>
      </c>
      <c r="AA308" s="31">
        <v>0</v>
      </c>
      <c r="AB308" s="31">
        <v>0</v>
      </c>
      <c r="AC308" s="31">
        <v>70</v>
      </c>
      <c r="AD308" s="31">
        <v>0</v>
      </c>
      <c r="AE308" s="31">
        <v>0</v>
      </c>
      <c r="AF308" s="31">
        <v>40</v>
      </c>
      <c r="AG308" s="31">
        <v>0</v>
      </c>
      <c r="AH308" s="31">
        <v>0</v>
      </c>
      <c r="AI308" s="31">
        <v>20</v>
      </c>
      <c r="AJ308" s="31">
        <v>0</v>
      </c>
      <c r="AK308" s="31">
        <v>0</v>
      </c>
      <c r="AL308" s="31">
        <v>298</v>
      </c>
      <c r="AM308" s="31">
        <v>14</v>
      </c>
      <c r="AN308" s="31">
        <v>0</v>
      </c>
      <c r="AO308" s="31">
        <v>0</v>
      </c>
      <c r="AP308" s="31">
        <v>0</v>
      </c>
    </row>
    <row r="309" spans="1:42" x14ac:dyDescent="0.25">
      <c r="A309" s="31">
        <v>18</v>
      </c>
      <c r="B309" s="31">
        <v>24606</v>
      </c>
      <c r="C309" s="31">
        <v>1</v>
      </c>
      <c r="D309" s="31" t="s">
        <v>713</v>
      </c>
      <c r="E309" s="31">
        <v>9</v>
      </c>
      <c r="F309" s="31">
        <v>0</v>
      </c>
      <c r="G309" s="31">
        <v>6</v>
      </c>
      <c r="H309" s="31">
        <v>1</v>
      </c>
      <c r="I309" s="31">
        <v>0</v>
      </c>
      <c r="J309" s="31">
        <v>7</v>
      </c>
      <c r="K309" s="31">
        <v>55.700000762939453</v>
      </c>
      <c r="L309" s="2" t="str">
        <f t="shared" si="32"/>
        <v>Просадка</v>
      </c>
      <c r="M309" s="12">
        <f t="shared" si="33"/>
        <v>18</v>
      </c>
      <c r="N309" s="12">
        <f t="shared" si="34"/>
        <v>6</v>
      </c>
      <c r="O309" s="12">
        <f t="shared" si="35"/>
        <v>4</v>
      </c>
      <c r="P309" s="12">
        <f t="shared" si="36"/>
        <v>0</v>
      </c>
      <c r="Q309" s="12">
        <f t="shared" si="37"/>
        <v>17</v>
      </c>
      <c r="R309" s="12">
        <f t="shared" si="38"/>
        <v>12</v>
      </c>
      <c r="S309" s="12">
        <f t="shared" si="39"/>
        <v>18</v>
      </c>
      <c r="T309" s="31">
        <v>6</v>
      </c>
      <c r="U309" s="31">
        <v>0</v>
      </c>
      <c r="V309" s="31">
        <v>0</v>
      </c>
      <c r="W309" s="31">
        <v>4</v>
      </c>
      <c r="X309" s="31">
        <v>0</v>
      </c>
      <c r="Y309" s="31">
        <v>0</v>
      </c>
      <c r="Z309" s="31">
        <v>0</v>
      </c>
      <c r="AA309" s="31">
        <v>0</v>
      </c>
      <c r="AB309" s="31">
        <v>0</v>
      </c>
      <c r="AC309" s="31">
        <v>17</v>
      </c>
      <c r="AD309" s="31">
        <v>0</v>
      </c>
      <c r="AE309" s="31">
        <v>0</v>
      </c>
      <c r="AF309" s="31">
        <v>12</v>
      </c>
      <c r="AG309" s="31">
        <v>0</v>
      </c>
      <c r="AH309" s="31">
        <v>0</v>
      </c>
      <c r="AI309" s="31">
        <v>17</v>
      </c>
      <c r="AJ309" s="31">
        <v>1</v>
      </c>
      <c r="AK309" s="31">
        <v>0</v>
      </c>
      <c r="AL309" s="31">
        <v>56</v>
      </c>
      <c r="AM309" s="31">
        <v>1</v>
      </c>
      <c r="AN309" s="31">
        <v>0</v>
      </c>
      <c r="AO309" s="31">
        <v>0</v>
      </c>
      <c r="AP309" s="31">
        <v>0</v>
      </c>
    </row>
    <row r="310" spans="1:42" x14ac:dyDescent="0.25">
      <c r="A310" s="31">
        <v>18</v>
      </c>
      <c r="B310" s="31">
        <v>24606</v>
      </c>
      <c r="C310" s="31">
        <v>1</v>
      </c>
      <c r="D310" s="31" t="s">
        <v>714</v>
      </c>
      <c r="E310" s="31">
        <v>9</v>
      </c>
      <c r="F310" s="31">
        <v>2</v>
      </c>
      <c r="G310" s="31">
        <v>5</v>
      </c>
      <c r="H310" s="31">
        <v>2</v>
      </c>
      <c r="I310" s="31">
        <v>0</v>
      </c>
      <c r="J310" s="31">
        <v>9</v>
      </c>
      <c r="K310" s="31">
        <v>57.799999237060547</v>
      </c>
      <c r="L310" s="2" t="str">
        <f t="shared" si="32"/>
        <v>Уровень</v>
      </c>
      <c r="M310" s="12">
        <f t="shared" si="33"/>
        <v>48</v>
      </c>
      <c r="N310" s="12">
        <f t="shared" si="34"/>
        <v>3</v>
      </c>
      <c r="O310" s="12">
        <f t="shared" si="35"/>
        <v>0</v>
      </c>
      <c r="P310" s="12">
        <f t="shared" si="36"/>
        <v>0</v>
      </c>
      <c r="Q310" s="12">
        <f t="shared" si="37"/>
        <v>48</v>
      </c>
      <c r="R310" s="12">
        <f t="shared" si="38"/>
        <v>8</v>
      </c>
      <c r="S310" s="12">
        <f t="shared" si="39"/>
        <v>15</v>
      </c>
      <c r="T310" s="31">
        <v>3</v>
      </c>
      <c r="U310" s="31">
        <v>0</v>
      </c>
      <c r="V310" s="31">
        <v>0</v>
      </c>
      <c r="W310" s="31">
        <v>0</v>
      </c>
      <c r="X310" s="31">
        <v>0</v>
      </c>
      <c r="Y310" s="31">
        <v>0</v>
      </c>
      <c r="Z310" s="31">
        <v>0</v>
      </c>
      <c r="AA310" s="31">
        <v>0</v>
      </c>
      <c r="AB310" s="31">
        <v>0</v>
      </c>
      <c r="AC310" s="31">
        <v>48</v>
      </c>
      <c r="AD310" s="31">
        <v>0</v>
      </c>
      <c r="AE310" s="31">
        <v>0</v>
      </c>
      <c r="AF310" s="31">
        <v>8</v>
      </c>
      <c r="AG310" s="31">
        <v>0</v>
      </c>
      <c r="AH310" s="31">
        <v>0</v>
      </c>
      <c r="AI310" s="31">
        <v>15</v>
      </c>
      <c r="AJ310" s="31">
        <v>0</v>
      </c>
      <c r="AK310" s="31">
        <v>0</v>
      </c>
      <c r="AL310" s="31">
        <v>74</v>
      </c>
      <c r="AM310" s="31">
        <v>0</v>
      </c>
      <c r="AN310" s="31">
        <v>0</v>
      </c>
      <c r="AO310" s="31">
        <v>0</v>
      </c>
      <c r="AP310" s="31">
        <v>0</v>
      </c>
    </row>
    <row r="311" spans="1:42" x14ac:dyDescent="0.25">
      <c r="A311" s="31">
        <v>18</v>
      </c>
      <c r="B311" s="31">
        <v>24606</v>
      </c>
      <c r="C311" s="31">
        <v>1</v>
      </c>
      <c r="D311" s="31" t="s">
        <v>715</v>
      </c>
      <c r="E311" s="31">
        <v>9</v>
      </c>
      <c r="F311" s="31">
        <v>1</v>
      </c>
      <c r="G311" s="31">
        <v>11</v>
      </c>
      <c r="H311" s="31">
        <v>2</v>
      </c>
      <c r="I311" s="31">
        <v>0</v>
      </c>
      <c r="J311" s="31">
        <v>14</v>
      </c>
      <c r="K311" s="31">
        <v>53.599998474121094</v>
      </c>
      <c r="L311" s="2" t="str">
        <f t="shared" si="32"/>
        <v>Уровень</v>
      </c>
      <c r="M311" s="12">
        <f t="shared" si="33"/>
        <v>49</v>
      </c>
      <c r="N311" s="12">
        <f t="shared" si="34"/>
        <v>10</v>
      </c>
      <c r="O311" s="12">
        <f t="shared" si="35"/>
        <v>22</v>
      </c>
      <c r="P311" s="12">
        <f t="shared" si="36"/>
        <v>0</v>
      </c>
      <c r="Q311" s="12">
        <f t="shared" si="37"/>
        <v>49</v>
      </c>
      <c r="R311" s="12">
        <f t="shared" si="38"/>
        <v>33</v>
      </c>
      <c r="S311" s="12">
        <f t="shared" si="39"/>
        <v>36</v>
      </c>
      <c r="T311" s="31">
        <v>10</v>
      </c>
      <c r="U311" s="31">
        <v>0</v>
      </c>
      <c r="V311" s="31">
        <v>0</v>
      </c>
      <c r="W311" s="31">
        <v>22</v>
      </c>
      <c r="X311" s="31">
        <v>0</v>
      </c>
      <c r="Y311" s="31">
        <v>0</v>
      </c>
      <c r="Z311" s="31">
        <v>0</v>
      </c>
      <c r="AA311" s="31">
        <v>0</v>
      </c>
      <c r="AB311" s="31">
        <v>0</v>
      </c>
      <c r="AC311" s="31">
        <v>49</v>
      </c>
      <c r="AD311" s="31">
        <v>0</v>
      </c>
      <c r="AE311" s="31">
        <v>0</v>
      </c>
      <c r="AF311" s="31">
        <v>33</v>
      </c>
      <c r="AG311" s="31">
        <v>0</v>
      </c>
      <c r="AH311" s="31">
        <v>0</v>
      </c>
      <c r="AI311" s="31">
        <v>36</v>
      </c>
      <c r="AJ311" s="31">
        <v>0</v>
      </c>
      <c r="AK311" s="31">
        <v>0</v>
      </c>
      <c r="AL311" s="31">
        <v>150</v>
      </c>
      <c r="AM311" s="31">
        <v>0</v>
      </c>
      <c r="AN311" s="31">
        <v>0</v>
      </c>
      <c r="AO311" s="31">
        <v>0</v>
      </c>
      <c r="AP311" s="31">
        <v>0</v>
      </c>
    </row>
    <row r="312" spans="1:42" x14ac:dyDescent="0.25">
      <c r="A312" s="31">
        <v>18</v>
      </c>
      <c r="B312" s="31">
        <v>24606</v>
      </c>
      <c r="C312" s="31">
        <v>1</v>
      </c>
      <c r="D312" s="31" t="s">
        <v>716</v>
      </c>
      <c r="E312" s="31">
        <v>9</v>
      </c>
      <c r="F312" s="31">
        <v>1</v>
      </c>
      <c r="G312" s="31">
        <v>4</v>
      </c>
      <c r="H312" s="31">
        <v>1</v>
      </c>
      <c r="I312" s="31">
        <v>0</v>
      </c>
      <c r="J312" s="31">
        <v>6</v>
      </c>
      <c r="K312" s="31">
        <v>53.299999237060547</v>
      </c>
      <c r="L312" s="2" t="str">
        <f t="shared" si="32"/>
        <v>Просадка</v>
      </c>
      <c r="M312" s="12">
        <f t="shared" si="33"/>
        <v>22</v>
      </c>
      <c r="N312" s="12">
        <f t="shared" si="34"/>
        <v>3</v>
      </c>
      <c r="O312" s="12">
        <f t="shared" si="35"/>
        <v>0</v>
      </c>
      <c r="P312" s="12">
        <f t="shared" si="36"/>
        <v>0</v>
      </c>
      <c r="Q312" s="12">
        <f t="shared" si="37"/>
        <v>12</v>
      </c>
      <c r="R312" s="12">
        <f t="shared" si="38"/>
        <v>19</v>
      </c>
      <c r="S312" s="12">
        <f t="shared" si="39"/>
        <v>22</v>
      </c>
      <c r="T312" s="31">
        <v>3</v>
      </c>
      <c r="U312" s="31">
        <v>0</v>
      </c>
      <c r="V312" s="31">
        <v>0</v>
      </c>
      <c r="W312" s="31">
        <v>0</v>
      </c>
      <c r="X312" s="31">
        <v>0</v>
      </c>
      <c r="Y312" s="31">
        <v>0</v>
      </c>
      <c r="Z312" s="31">
        <v>0</v>
      </c>
      <c r="AA312" s="31">
        <v>0</v>
      </c>
      <c r="AB312" s="31">
        <v>0</v>
      </c>
      <c r="AC312" s="31">
        <v>12</v>
      </c>
      <c r="AD312" s="31">
        <v>0</v>
      </c>
      <c r="AE312" s="31">
        <v>0</v>
      </c>
      <c r="AF312" s="31">
        <v>19</v>
      </c>
      <c r="AG312" s="31">
        <v>0</v>
      </c>
      <c r="AH312" s="31">
        <v>0</v>
      </c>
      <c r="AI312" s="31">
        <v>22</v>
      </c>
      <c r="AJ312" s="31">
        <v>0</v>
      </c>
      <c r="AK312" s="31">
        <v>0</v>
      </c>
      <c r="AL312" s="31">
        <v>56</v>
      </c>
      <c r="AM312" s="31">
        <v>0</v>
      </c>
      <c r="AN312" s="31">
        <v>0</v>
      </c>
      <c r="AO312" s="31">
        <v>0</v>
      </c>
      <c r="AP312" s="31">
        <v>0</v>
      </c>
    </row>
    <row r="313" spans="1:42" x14ac:dyDescent="0.25">
      <c r="A313" s="31">
        <v>18</v>
      </c>
      <c r="B313" s="31">
        <v>24606</v>
      </c>
      <c r="C313" s="31">
        <v>1</v>
      </c>
      <c r="D313" s="31" t="s">
        <v>717</v>
      </c>
      <c r="E313" s="31">
        <v>9</v>
      </c>
      <c r="F313" s="31">
        <v>0</v>
      </c>
      <c r="G313" s="31">
        <v>6</v>
      </c>
      <c r="H313" s="31">
        <v>4</v>
      </c>
      <c r="I313" s="31">
        <v>0</v>
      </c>
      <c r="J313" s="31">
        <v>10</v>
      </c>
      <c r="K313" s="31">
        <v>84</v>
      </c>
      <c r="L313" s="2" t="str">
        <f t="shared" si="32"/>
        <v>Просадка</v>
      </c>
      <c r="M313" s="12">
        <f t="shared" si="33"/>
        <v>50</v>
      </c>
      <c r="N313" s="12">
        <f t="shared" si="34"/>
        <v>3</v>
      </c>
      <c r="O313" s="12">
        <f t="shared" si="35"/>
        <v>1</v>
      </c>
      <c r="P313" s="12">
        <f t="shared" si="36"/>
        <v>0</v>
      </c>
      <c r="Q313" s="12">
        <f t="shared" si="37"/>
        <v>13</v>
      </c>
      <c r="R313" s="12">
        <f t="shared" si="38"/>
        <v>34</v>
      </c>
      <c r="S313" s="12">
        <f t="shared" si="39"/>
        <v>50</v>
      </c>
      <c r="T313" s="31">
        <v>3</v>
      </c>
      <c r="U313" s="31">
        <v>0</v>
      </c>
      <c r="V313" s="31">
        <v>0</v>
      </c>
      <c r="W313" s="31">
        <v>1</v>
      </c>
      <c r="X313" s="31">
        <v>0</v>
      </c>
      <c r="Y313" s="31">
        <v>0</v>
      </c>
      <c r="Z313" s="31">
        <v>0</v>
      </c>
      <c r="AA313" s="31">
        <v>0</v>
      </c>
      <c r="AB313" s="31">
        <v>0</v>
      </c>
      <c r="AC313" s="31">
        <v>13</v>
      </c>
      <c r="AD313" s="31">
        <v>0</v>
      </c>
      <c r="AE313" s="31">
        <v>0</v>
      </c>
      <c r="AF313" s="31">
        <v>34</v>
      </c>
      <c r="AG313" s="31">
        <v>0</v>
      </c>
      <c r="AH313" s="31">
        <v>0</v>
      </c>
      <c r="AI313" s="31">
        <v>50</v>
      </c>
      <c r="AJ313" s="31">
        <v>0</v>
      </c>
      <c r="AK313" s="31">
        <v>0</v>
      </c>
      <c r="AL313" s="31">
        <v>101</v>
      </c>
      <c r="AM313" s="31">
        <v>0</v>
      </c>
      <c r="AN313" s="31">
        <v>0</v>
      </c>
      <c r="AO313" s="31">
        <v>0</v>
      </c>
      <c r="AP313" s="31">
        <v>0</v>
      </c>
    </row>
    <row r="314" spans="1:42" x14ac:dyDescent="0.25">
      <c r="A314" s="31">
        <v>18</v>
      </c>
      <c r="B314" s="31">
        <v>24607</v>
      </c>
      <c r="C314" s="31">
        <v>1</v>
      </c>
      <c r="D314" s="31" t="s">
        <v>718</v>
      </c>
      <c r="E314" s="31"/>
      <c r="F314" s="31">
        <v>0</v>
      </c>
      <c r="G314" s="31">
        <v>0</v>
      </c>
      <c r="H314" s="31">
        <v>0</v>
      </c>
      <c r="I314" s="31">
        <v>0</v>
      </c>
      <c r="J314" s="31">
        <v>0</v>
      </c>
      <c r="K314" s="31" t="s">
        <v>882</v>
      </c>
      <c r="L314" s="2" t="str">
        <f t="shared" si="32"/>
        <v>Рихтовка</v>
      </c>
      <c r="M314" s="12">
        <f t="shared" si="33"/>
        <v>0</v>
      </c>
      <c r="N314" s="12">
        <f t="shared" si="34"/>
        <v>0</v>
      </c>
      <c r="O314" s="12">
        <f t="shared" si="35"/>
        <v>0</v>
      </c>
      <c r="P314" s="12">
        <f t="shared" si="36"/>
        <v>0</v>
      </c>
      <c r="Q314" s="12">
        <f t="shared" si="37"/>
        <v>0</v>
      </c>
      <c r="R314" s="12">
        <f t="shared" si="38"/>
        <v>0</v>
      </c>
      <c r="S314" s="12">
        <f t="shared" si="39"/>
        <v>0</v>
      </c>
      <c r="T314" s="31">
        <v>0</v>
      </c>
      <c r="U314" s="31">
        <v>0</v>
      </c>
      <c r="V314" s="31">
        <v>0</v>
      </c>
      <c r="W314" s="31">
        <v>0</v>
      </c>
      <c r="X314" s="31">
        <v>0</v>
      </c>
      <c r="Y314" s="31">
        <v>0</v>
      </c>
      <c r="Z314" s="31">
        <v>0</v>
      </c>
      <c r="AA314" s="31">
        <v>0</v>
      </c>
      <c r="AB314" s="31">
        <v>0</v>
      </c>
      <c r="AC314" s="31">
        <v>0</v>
      </c>
      <c r="AD314" s="31">
        <v>0</v>
      </c>
      <c r="AE314" s="31">
        <v>0</v>
      </c>
      <c r="AF314" s="31">
        <v>0</v>
      </c>
      <c r="AG314" s="31">
        <v>0</v>
      </c>
      <c r="AH314" s="31">
        <v>0</v>
      </c>
      <c r="AI314" s="31">
        <v>0</v>
      </c>
      <c r="AJ314" s="31">
        <v>0</v>
      </c>
      <c r="AK314" s="31">
        <v>0</v>
      </c>
      <c r="AL314" s="31">
        <v>0</v>
      </c>
      <c r="AM314" s="31">
        <v>0</v>
      </c>
      <c r="AN314" s="31">
        <v>0</v>
      </c>
      <c r="AO314" s="31">
        <v>0</v>
      </c>
      <c r="AP314" s="31">
        <v>0</v>
      </c>
    </row>
    <row r="315" spans="1:42" x14ac:dyDescent="0.25">
      <c r="A315" s="31">
        <v>18</v>
      </c>
      <c r="B315" s="31">
        <v>24607</v>
      </c>
      <c r="C315" s="31">
        <v>1</v>
      </c>
      <c r="D315" s="31" t="s">
        <v>719</v>
      </c>
      <c r="E315" s="31"/>
      <c r="F315" s="31">
        <v>0</v>
      </c>
      <c r="G315" s="31">
        <v>0</v>
      </c>
      <c r="H315" s="31">
        <v>0</v>
      </c>
      <c r="I315" s="31">
        <v>0</v>
      </c>
      <c r="J315" s="31">
        <v>0</v>
      </c>
      <c r="K315" s="31" t="s">
        <v>882</v>
      </c>
      <c r="L315" s="2" t="str">
        <f t="shared" si="32"/>
        <v>Рихтовка</v>
      </c>
      <c r="M315" s="12">
        <f t="shared" si="33"/>
        <v>0</v>
      </c>
      <c r="N315" s="12">
        <f t="shared" si="34"/>
        <v>0</v>
      </c>
      <c r="O315" s="12">
        <f t="shared" si="35"/>
        <v>0</v>
      </c>
      <c r="P315" s="12">
        <f t="shared" si="36"/>
        <v>0</v>
      </c>
      <c r="Q315" s="12">
        <f t="shared" si="37"/>
        <v>0</v>
      </c>
      <c r="R315" s="12">
        <f t="shared" si="38"/>
        <v>0</v>
      </c>
      <c r="S315" s="12">
        <f t="shared" si="39"/>
        <v>0</v>
      </c>
      <c r="T315" s="31">
        <v>0</v>
      </c>
      <c r="U315" s="31">
        <v>0</v>
      </c>
      <c r="V315" s="31">
        <v>0</v>
      </c>
      <c r="W315" s="31">
        <v>0</v>
      </c>
      <c r="X315" s="31">
        <v>0</v>
      </c>
      <c r="Y315" s="31">
        <v>0</v>
      </c>
      <c r="Z315" s="31">
        <v>0</v>
      </c>
      <c r="AA315" s="31">
        <v>0</v>
      </c>
      <c r="AB315" s="31">
        <v>0</v>
      </c>
      <c r="AC315" s="31">
        <v>0</v>
      </c>
      <c r="AD315" s="31">
        <v>0</v>
      </c>
      <c r="AE315" s="31">
        <v>0</v>
      </c>
      <c r="AF315" s="31">
        <v>0</v>
      </c>
      <c r="AG315" s="31">
        <v>0</v>
      </c>
      <c r="AH315" s="31">
        <v>0</v>
      </c>
      <c r="AI315" s="31">
        <v>0</v>
      </c>
      <c r="AJ315" s="31">
        <v>0</v>
      </c>
      <c r="AK315" s="31">
        <v>0</v>
      </c>
      <c r="AL315" s="31">
        <v>0</v>
      </c>
      <c r="AM315" s="31">
        <v>0</v>
      </c>
      <c r="AN315" s="31">
        <v>0</v>
      </c>
      <c r="AO315" s="31">
        <v>0</v>
      </c>
      <c r="AP315" s="31">
        <v>0</v>
      </c>
    </row>
    <row r="316" spans="1:42" x14ac:dyDescent="0.25">
      <c r="A316" s="31">
        <v>18</v>
      </c>
      <c r="B316" s="31">
        <v>24607</v>
      </c>
      <c r="C316" s="31">
        <v>2</v>
      </c>
      <c r="D316" s="31" t="s">
        <v>720</v>
      </c>
      <c r="E316" s="31">
        <v>9</v>
      </c>
      <c r="F316" s="31">
        <v>2.9470000267028809</v>
      </c>
      <c r="G316" s="31">
        <v>6</v>
      </c>
      <c r="H316" s="31">
        <v>2</v>
      </c>
      <c r="I316" s="31">
        <v>0</v>
      </c>
      <c r="J316" s="31">
        <v>10.946999549865723</v>
      </c>
      <c r="K316" s="31">
        <v>52</v>
      </c>
      <c r="L316" s="2" t="str">
        <f t="shared" si="32"/>
        <v>Уровень</v>
      </c>
      <c r="M316" s="12">
        <f t="shared" si="33"/>
        <v>27</v>
      </c>
      <c r="N316" s="12">
        <f t="shared" si="34"/>
        <v>5</v>
      </c>
      <c r="O316" s="12">
        <f t="shared" si="35"/>
        <v>1</v>
      </c>
      <c r="P316" s="12">
        <f t="shared" si="36"/>
        <v>0</v>
      </c>
      <c r="Q316" s="12">
        <f t="shared" si="37"/>
        <v>27</v>
      </c>
      <c r="R316" s="12">
        <f t="shared" si="38"/>
        <v>22</v>
      </c>
      <c r="S316" s="12">
        <f t="shared" si="39"/>
        <v>16</v>
      </c>
      <c r="T316" s="31">
        <v>5</v>
      </c>
      <c r="U316" s="31">
        <v>0</v>
      </c>
      <c r="V316" s="31">
        <v>0</v>
      </c>
      <c r="W316" s="31">
        <v>1</v>
      </c>
      <c r="X316" s="31">
        <v>0</v>
      </c>
      <c r="Y316" s="31">
        <v>0</v>
      </c>
      <c r="Z316" s="31">
        <v>0</v>
      </c>
      <c r="AA316" s="31">
        <v>0</v>
      </c>
      <c r="AB316" s="31">
        <v>0</v>
      </c>
      <c r="AC316" s="31">
        <v>27</v>
      </c>
      <c r="AD316" s="31">
        <v>0</v>
      </c>
      <c r="AE316" s="31">
        <v>0</v>
      </c>
      <c r="AF316" s="31">
        <v>22</v>
      </c>
      <c r="AG316" s="31">
        <v>0</v>
      </c>
      <c r="AH316" s="31">
        <v>0</v>
      </c>
      <c r="AI316" s="31">
        <v>16</v>
      </c>
      <c r="AJ316" s="31">
        <v>0</v>
      </c>
      <c r="AK316" s="31">
        <v>0</v>
      </c>
      <c r="AL316" s="31">
        <v>71</v>
      </c>
      <c r="AM316" s="31">
        <v>0</v>
      </c>
      <c r="AN316" s="31">
        <v>0</v>
      </c>
      <c r="AO316" s="31">
        <v>0</v>
      </c>
      <c r="AP316" s="31">
        <v>0</v>
      </c>
    </row>
    <row r="317" spans="1:42" x14ac:dyDescent="0.25">
      <c r="A317" s="31">
        <v>18</v>
      </c>
      <c r="B317" s="31">
        <v>24607</v>
      </c>
      <c r="C317" s="31">
        <v>2</v>
      </c>
      <c r="D317" s="31" t="s">
        <v>718</v>
      </c>
      <c r="E317" s="31">
        <v>9</v>
      </c>
      <c r="F317" s="31">
        <v>4</v>
      </c>
      <c r="G317" s="31">
        <v>2</v>
      </c>
      <c r="H317" s="31">
        <v>0</v>
      </c>
      <c r="I317" s="31">
        <v>0</v>
      </c>
      <c r="J317" s="31">
        <v>6</v>
      </c>
      <c r="K317" s="31">
        <v>20</v>
      </c>
      <c r="L317" s="2" t="str">
        <f t="shared" si="32"/>
        <v>Просадка</v>
      </c>
      <c r="M317" s="12">
        <f t="shared" si="33"/>
        <v>11</v>
      </c>
      <c r="N317" s="12">
        <f t="shared" si="34"/>
        <v>1</v>
      </c>
      <c r="O317" s="12">
        <f t="shared" si="35"/>
        <v>0</v>
      </c>
      <c r="P317" s="12">
        <f t="shared" si="36"/>
        <v>0</v>
      </c>
      <c r="Q317" s="12">
        <f t="shared" si="37"/>
        <v>2</v>
      </c>
      <c r="R317" s="12">
        <f t="shared" si="38"/>
        <v>6</v>
      </c>
      <c r="S317" s="12">
        <f t="shared" si="39"/>
        <v>11</v>
      </c>
      <c r="T317" s="31">
        <v>1</v>
      </c>
      <c r="U317" s="31">
        <v>0</v>
      </c>
      <c r="V317" s="31">
        <v>0</v>
      </c>
      <c r="W317" s="31">
        <v>0</v>
      </c>
      <c r="X317" s="31">
        <v>0</v>
      </c>
      <c r="Y317" s="31">
        <v>0</v>
      </c>
      <c r="Z317" s="31">
        <v>0</v>
      </c>
      <c r="AA317" s="31">
        <v>0</v>
      </c>
      <c r="AB317" s="31">
        <v>0</v>
      </c>
      <c r="AC317" s="31">
        <v>2</v>
      </c>
      <c r="AD317" s="31">
        <v>0</v>
      </c>
      <c r="AE317" s="31">
        <v>0</v>
      </c>
      <c r="AF317" s="31">
        <v>6</v>
      </c>
      <c r="AG317" s="31">
        <v>0</v>
      </c>
      <c r="AH317" s="31">
        <v>0</v>
      </c>
      <c r="AI317" s="31">
        <v>11</v>
      </c>
      <c r="AJ317" s="31">
        <v>0</v>
      </c>
      <c r="AK317" s="31">
        <v>0</v>
      </c>
      <c r="AL317" s="31">
        <v>20</v>
      </c>
      <c r="AM317" s="31">
        <v>0</v>
      </c>
      <c r="AN317" s="31">
        <v>0</v>
      </c>
      <c r="AO317" s="31">
        <v>0</v>
      </c>
      <c r="AP317" s="31">
        <v>0</v>
      </c>
    </row>
    <row r="318" spans="1:42" x14ac:dyDescent="0.25">
      <c r="A318" s="31">
        <v>18</v>
      </c>
      <c r="B318" s="31">
        <v>24607</v>
      </c>
      <c r="C318" s="31">
        <v>2</v>
      </c>
      <c r="D318" s="31" t="s">
        <v>955</v>
      </c>
      <c r="E318" s="31">
        <v>9</v>
      </c>
      <c r="F318" s="31">
        <v>5</v>
      </c>
      <c r="G318" s="31">
        <v>0</v>
      </c>
      <c r="H318" s="31">
        <v>0</v>
      </c>
      <c r="I318" s="31">
        <v>0</v>
      </c>
      <c r="J318" s="31">
        <v>5</v>
      </c>
      <c r="K318" s="31">
        <v>10</v>
      </c>
      <c r="L318" s="2" t="str">
        <f t="shared" si="32"/>
        <v>Уровень</v>
      </c>
      <c r="M318" s="12">
        <f t="shared" si="33"/>
        <v>4</v>
      </c>
      <c r="N318" s="12">
        <f t="shared" si="34"/>
        <v>1</v>
      </c>
      <c r="O318" s="12">
        <f t="shared" si="35"/>
        <v>1</v>
      </c>
      <c r="P318" s="12">
        <f t="shared" si="36"/>
        <v>0</v>
      </c>
      <c r="Q318" s="12">
        <f t="shared" si="37"/>
        <v>4</v>
      </c>
      <c r="R318" s="12">
        <f t="shared" si="38"/>
        <v>2</v>
      </c>
      <c r="S318" s="12">
        <f t="shared" si="39"/>
        <v>3</v>
      </c>
      <c r="T318" s="31">
        <v>1</v>
      </c>
      <c r="U318" s="31">
        <v>0</v>
      </c>
      <c r="V318" s="31">
        <v>0</v>
      </c>
      <c r="W318" s="31">
        <v>1</v>
      </c>
      <c r="X318" s="31">
        <v>0</v>
      </c>
      <c r="Y318" s="31">
        <v>0</v>
      </c>
      <c r="Z318" s="31">
        <v>0</v>
      </c>
      <c r="AA318" s="31">
        <v>0</v>
      </c>
      <c r="AB318" s="31">
        <v>0</v>
      </c>
      <c r="AC318" s="31">
        <v>4</v>
      </c>
      <c r="AD318" s="31">
        <v>0</v>
      </c>
      <c r="AE318" s="31">
        <v>0</v>
      </c>
      <c r="AF318" s="31">
        <v>2</v>
      </c>
      <c r="AG318" s="31">
        <v>0</v>
      </c>
      <c r="AH318" s="31">
        <v>0</v>
      </c>
      <c r="AI318" s="31">
        <v>3</v>
      </c>
      <c r="AJ318" s="31">
        <v>0</v>
      </c>
      <c r="AK318" s="31">
        <v>0</v>
      </c>
      <c r="AL318" s="31">
        <v>11</v>
      </c>
      <c r="AM318" s="31">
        <v>0</v>
      </c>
      <c r="AN318" s="31">
        <v>0</v>
      </c>
      <c r="AO318" s="31">
        <v>0</v>
      </c>
      <c r="AP318" s="31">
        <v>0</v>
      </c>
    </row>
    <row r="319" spans="1:42" x14ac:dyDescent="0.25">
      <c r="A319" s="31">
        <v>18</v>
      </c>
      <c r="B319" s="31">
        <v>24607</v>
      </c>
      <c r="C319" s="31">
        <v>2</v>
      </c>
      <c r="D319" s="31" t="s">
        <v>719</v>
      </c>
      <c r="E319" s="31">
        <v>9</v>
      </c>
      <c r="F319" s="31">
        <v>2</v>
      </c>
      <c r="G319" s="31">
        <v>3</v>
      </c>
      <c r="H319" s="31">
        <v>1</v>
      </c>
      <c r="I319" s="31">
        <v>0</v>
      </c>
      <c r="J319" s="31">
        <v>6</v>
      </c>
      <c r="K319" s="31">
        <v>48.299999237060547</v>
      </c>
      <c r="L319" s="2" t="str">
        <f t="shared" si="32"/>
        <v>Уровень</v>
      </c>
      <c r="M319" s="12">
        <f t="shared" si="33"/>
        <v>13</v>
      </c>
      <c r="N319" s="12">
        <f t="shared" si="34"/>
        <v>0</v>
      </c>
      <c r="O319" s="12">
        <f t="shared" si="35"/>
        <v>8</v>
      </c>
      <c r="P319" s="12">
        <f t="shared" si="36"/>
        <v>0</v>
      </c>
      <c r="Q319" s="12">
        <f t="shared" si="37"/>
        <v>13</v>
      </c>
      <c r="R319" s="12">
        <f t="shared" si="38"/>
        <v>8</v>
      </c>
      <c r="S319" s="12">
        <f t="shared" si="39"/>
        <v>10</v>
      </c>
      <c r="T319" s="31">
        <v>0</v>
      </c>
      <c r="U319" s="31">
        <v>0</v>
      </c>
      <c r="V319" s="31">
        <v>0</v>
      </c>
      <c r="W319" s="31">
        <v>8</v>
      </c>
      <c r="X319" s="31">
        <v>0</v>
      </c>
      <c r="Y319" s="31">
        <v>0</v>
      </c>
      <c r="Z319" s="31">
        <v>0</v>
      </c>
      <c r="AA319" s="31">
        <v>0</v>
      </c>
      <c r="AB319" s="31">
        <v>0</v>
      </c>
      <c r="AC319" s="31">
        <v>13</v>
      </c>
      <c r="AD319" s="31">
        <v>0</v>
      </c>
      <c r="AE319" s="31">
        <v>0</v>
      </c>
      <c r="AF319" s="31">
        <v>8</v>
      </c>
      <c r="AG319" s="31">
        <v>0</v>
      </c>
      <c r="AH319" s="31">
        <v>0</v>
      </c>
      <c r="AI319" s="31">
        <v>10</v>
      </c>
      <c r="AJ319" s="31">
        <v>0</v>
      </c>
      <c r="AK319" s="31">
        <v>0</v>
      </c>
      <c r="AL319" s="31">
        <v>39</v>
      </c>
      <c r="AM319" s="31">
        <v>0</v>
      </c>
      <c r="AN319" s="31">
        <v>0</v>
      </c>
      <c r="AO319" s="31">
        <v>0</v>
      </c>
      <c r="AP319" s="31">
        <v>0</v>
      </c>
    </row>
    <row r="320" spans="1:42" x14ac:dyDescent="0.25">
      <c r="A320" s="31">
        <v>18</v>
      </c>
      <c r="B320" s="31">
        <v>24607</v>
      </c>
      <c r="C320" s="31">
        <v>3</v>
      </c>
      <c r="D320" s="31" t="s">
        <v>706</v>
      </c>
      <c r="E320" s="31"/>
      <c r="F320" s="31">
        <v>0</v>
      </c>
      <c r="G320" s="31">
        <v>0</v>
      </c>
      <c r="H320" s="31">
        <v>0</v>
      </c>
      <c r="I320" s="31">
        <v>0</v>
      </c>
      <c r="J320" s="31">
        <v>0</v>
      </c>
      <c r="K320" s="31" t="s">
        <v>882</v>
      </c>
      <c r="L320" s="2" t="str">
        <f t="shared" si="32"/>
        <v>Рихтовка</v>
      </c>
      <c r="M320" s="12">
        <f t="shared" si="33"/>
        <v>0</v>
      </c>
      <c r="N320" s="12">
        <f t="shared" si="34"/>
        <v>0</v>
      </c>
      <c r="O320" s="12">
        <f t="shared" si="35"/>
        <v>0</v>
      </c>
      <c r="P320" s="12">
        <f t="shared" si="36"/>
        <v>0</v>
      </c>
      <c r="Q320" s="12">
        <f t="shared" si="37"/>
        <v>0</v>
      </c>
      <c r="R320" s="12">
        <f t="shared" si="38"/>
        <v>0</v>
      </c>
      <c r="S320" s="12">
        <f t="shared" si="39"/>
        <v>0</v>
      </c>
      <c r="T320" s="31">
        <v>0</v>
      </c>
      <c r="U320" s="31">
        <v>0</v>
      </c>
      <c r="V320" s="31">
        <v>0</v>
      </c>
      <c r="W320" s="31">
        <v>0</v>
      </c>
      <c r="X320" s="31">
        <v>0</v>
      </c>
      <c r="Y320" s="31">
        <v>0</v>
      </c>
      <c r="Z320" s="31">
        <v>0</v>
      </c>
      <c r="AA320" s="31">
        <v>0</v>
      </c>
      <c r="AB320" s="31">
        <v>0</v>
      </c>
      <c r="AC320" s="31">
        <v>0</v>
      </c>
      <c r="AD320" s="31">
        <v>0</v>
      </c>
      <c r="AE320" s="31">
        <v>0</v>
      </c>
      <c r="AF320" s="31">
        <v>0</v>
      </c>
      <c r="AG320" s="31">
        <v>0</v>
      </c>
      <c r="AH320" s="31">
        <v>0</v>
      </c>
      <c r="AI320" s="31">
        <v>0</v>
      </c>
      <c r="AJ320" s="31">
        <v>0</v>
      </c>
      <c r="AK320" s="31">
        <v>0</v>
      </c>
      <c r="AL320" s="31">
        <v>0</v>
      </c>
      <c r="AM320" s="31">
        <v>0</v>
      </c>
      <c r="AN320" s="31">
        <v>0</v>
      </c>
      <c r="AO320" s="31">
        <v>0</v>
      </c>
      <c r="AP320" s="31">
        <v>0</v>
      </c>
    </row>
    <row r="321" spans="1:42" x14ac:dyDescent="0.25">
      <c r="A321" s="31">
        <v>19</v>
      </c>
      <c r="B321" s="31">
        <v>24606</v>
      </c>
      <c r="C321" s="31">
        <v>1</v>
      </c>
      <c r="D321" s="31" t="s">
        <v>721</v>
      </c>
      <c r="E321" s="31">
        <v>9</v>
      </c>
      <c r="F321" s="31">
        <v>1</v>
      </c>
      <c r="G321" s="31">
        <v>3</v>
      </c>
      <c r="H321" s="31">
        <v>3</v>
      </c>
      <c r="I321" s="31">
        <v>0</v>
      </c>
      <c r="J321" s="31">
        <v>7</v>
      </c>
      <c r="K321" s="31">
        <v>82.900001525878906</v>
      </c>
      <c r="L321" s="2" t="str">
        <f t="shared" si="32"/>
        <v>Уровень</v>
      </c>
      <c r="M321" s="12">
        <f t="shared" si="33"/>
        <v>55</v>
      </c>
      <c r="N321" s="12">
        <f t="shared" si="34"/>
        <v>5</v>
      </c>
      <c r="O321" s="12">
        <f t="shared" si="35"/>
        <v>9</v>
      </c>
      <c r="P321" s="12">
        <f t="shared" si="36"/>
        <v>0</v>
      </c>
      <c r="Q321" s="12">
        <f t="shared" si="37"/>
        <v>55</v>
      </c>
      <c r="R321" s="12">
        <f t="shared" si="38"/>
        <v>31</v>
      </c>
      <c r="S321" s="12">
        <f t="shared" si="39"/>
        <v>49</v>
      </c>
      <c r="T321" s="31">
        <v>5</v>
      </c>
      <c r="U321" s="31">
        <v>0</v>
      </c>
      <c r="V321" s="31">
        <v>0</v>
      </c>
      <c r="W321" s="31">
        <v>9</v>
      </c>
      <c r="X321" s="31">
        <v>0</v>
      </c>
      <c r="Y321" s="31">
        <v>0</v>
      </c>
      <c r="Z321" s="31">
        <v>0</v>
      </c>
      <c r="AA321" s="31">
        <v>0</v>
      </c>
      <c r="AB321" s="31">
        <v>0</v>
      </c>
      <c r="AC321" s="31">
        <v>55</v>
      </c>
      <c r="AD321" s="31">
        <v>0</v>
      </c>
      <c r="AE321" s="31">
        <v>0</v>
      </c>
      <c r="AF321" s="31">
        <v>31</v>
      </c>
      <c r="AG321" s="31">
        <v>0</v>
      </c>
      <c r="AH321" s="31">
        <v>0</v>
      </c>
      <c r="AI321" s="31">
        <v>48</v>
      </c>
      <c r="AJ321" s="31">
        <v>1</v>
      </c>
      <c r="AK321" s="31">
        <v>0</v>
      </c>
      <c r="AL321" s="31">
        <v>148</v>
      </c>
      <c r="AM321" s="31">
        <v>1</v>
      </c>
      <c r="AN321" s="31">
        <v>0</v>
      </c>
      <c r="AO321" s="31">
        <v>0</v>
      </c>
      <c r="AP321" s="31">
        <v>0</v>
      </c>
    </row>
    <row r="322" spans="1:42" x14ac:dyDescent="0.25">
      <c r="A322" s="31">
        <v>19</v>
      </c>
      <c r="B322" s="31">
        <v>24606</v>
      </c>
      <c r="C322" s="31">
        <v>1</v>
      </c>
      <c r="D322" s="31" t="s">
        <v>722</v>
      </c>
      <c r="E322" s="31">
        <v>9</v>
      </c>
      <c r="F322" s="31">
        <v>1</v>
      </c>
      <c r="G322" s="31">
        <v>8.6870002746582031</v>
      </c>
      <c r="H322" s="31">
        <v>3.4289999008178711</v>
      </c>
      <c r="I322" s="31">
        <v>0</v>
      </c>
      <c r="J322" s="31">
        <v>13.116000175476074</v>
      </c>
      <c r="K322" s="31">
        <v>66.5</v>
      </c>
      <c r="L322" s="2" t="str">
        <f t="shared" ref="L322:L385" si="40">IF($M322=N322,$N$1,IF($M322=O322,$O$1,IF($M322=P322,$P$1,IF($M322=Q322,$Q$1,IF($M322=R322,$R$1,$S$1)))))</f>
        <v>Уровень</v>
      </c>
      <c r="M322" s="12">
        <f t="shared" ref="M322:M385" si="41">MAX(N322,O322,P322,Q322,R322,S322)</f>
        <v>139</v>
      </c>
      <c r="N322" s="12">
        <f t="shared" ref="N322:N385" si="42">T322+U322+V322</f>
        <v>1</v>
      </c>
      <c r="O322" s="12">
        <f t="shared" ref="O322:O385" si="43">W322+X322+Y322</f>
        <v>2</v>
      </c>
      <c r="P322" s="12">
        <f t="shared" ref="P322:P385" si="44">Z322+AA322+AB322</f>
        <v>0</v>
      </c>
      <c r="Q322" s="12">
        <f t="shared" ref="Q322:Q385" si="45">AC322+AD322+AE322</f>
        <v>139</v>
      </c>
      <c r="R322" s="12">
        <f t="shared" ref="R322:R385" si="46">AF322+AG322+AH322</f>
        <v>39</v>
      </c>
      <c r="S322" s="12">
        <f t="shared" ref="S322:S385" si="47">AI322+AJ322+AK322</f>
        <v>56</v>
      </c>
      <c r="T322" s="31">
        <v>1</v>
      </c>
      <c r="U322" s="31">
        <v>0</v>
      </c>
      <c r="V322" s="31">
        <v>0</v>
      </c>
      <c r="W322" s="31">
        <v>2</v>
      </c>
      <c r="X322" s="31">
        <v>0</v>
      </c>
      <c r="Y322" s="31">
        <v>0</v>
      </c>
      <c r="Z322" s="31">
        <v>0</v>
      </c>
      <c r="AA322" s="31">
        <v>0</v>
      </c>
      <c r="AB322" s="31">
        <v>0</v>
      </c>
      <c r="AC322" s="31">
        <v>139</v>
      </c>
      <c r="AD322" s="31">
        <v>0</v>
      </c>
      <c r="AE322" s="31">
        <v>0</v>
      </c>
      <c r="AF322" s="31">
        <v>38</v>
      </c>
      <c r="AG322" s="31">
        <v>1</v>
      </c>
      <c r="AH322" s="31">
        <v>0</v>
      </c>
      <c r="AI322" s="31">
        <v>55</v>
      </c>
      <c r="AJ322" s="31">
        <v>1</v>
      </c>
      <c r="AK322" s="31">
        <v>0</v>
      </c>
      <c r="AL322" s="31">
        <v>235</v>
      </c>
      <c r="AM322" s="31">
        <v>2</v>
      </c>
      <c r="AN322" s="31">
        <v>0</v>
      </c>
      <c r="AO322" s="31">
        <v>0</v>
      </c>
      <c r="AP322" s="31">
        <v>0</v>
      </c>
    </row>
    <row r="323" spans="1:42" x14ac:dyDescent="0.25">
      <c r="A323" s="31">
        <v>19</v>
      </c>
      <c r="B323" s="31">
        <v>24606</v>
      </c>
      <c r="C323" s="31">
        <v>1</v>
      </c>
      <c r="D323" s="31" t="s">
        <v>723</v>
      </c>
      <c r="E323" s="31">
        <v>9</v>
      </c>
      <c r="F323" s="31">
        <v>0</v>
      </c>
      <c r="G323" s="31">
        <v>11</v>
      </c>
      <c r="H323" s="31">
        <v>1</v>
      </c>
      <c r="I323" s="31">
        <v>0</v>
      </c>
      <c r="J323" s="31">
        <v>12</v>
      </c>
      <c r="K323" s="31">
        <v>49.200000762939453</v>
      </c>
      <c r="L323" s="2" t="str">
        <f t="shared" si="40"/>
        <v>Уровень</v>
      </c>
      <c r="M323" s="12">
        <f t="shared" si="41"/>
        <v>69</v>
      </c>
      <c r="N323" s="12">
        <f t="shared" si="42"/>
        <v>12</v>
      </c>
      <c r="O323" s="12">
        <f t="shared" si="43"/>
        <v>18</v>
      </c>
      <c r="P323" s="12">
        <f t="shared" si="44"/>
        <v>0</v>
      </c>
      <c r="Q323" s="12">
        <f t="shared" si="45"/>
        <v>69</v>
      </c>
      <c r="R323" s="12">
        <f t="shared" si="46"/>
        <v>50</v>
      </c>
      <c r="S323" s="12">
        <f t="shared" si="47"/>
        <v>54</v>
      </c>
      <c r="T323" s="31">
        <v>12</v>
      </c>
      <c r="U323" s="31">
        <v>0</v>
      </c>
      <c r="V323" s="31">
        <v>0</v>
      </c>
      <c r="W323" s="31">
        <v>18</v>
      </c>
      <c r="X323" s="31">
        <v>0</v>
      </c>
      <c r="Y323" s="31">
        <v>0</v>
      </c>
      <c r="Z323" s="31">
        <v>0</v>
      </c>
      <c r="AA323" s="31">
        <v>0</v>
      </c>
      <c r="AB323" s="31">
        <v>0</v>
      </c>
      <c r="AC323" s="31">
        <v>69</v>
      </c>
      <c r="AD323" s="31">
        <v>0</v>
      </c>
      <c r="AE323" s="31">
        <v>0</v>
      </c>
      <c r="AF323" s="31">
        <v>50</v>
      </c>
      <c r="AG323" s="31">
        <v>0</v>
      </c>
      <c r="AH323" s="31">
        <v>0</v>
      </c>
      <c r="AI323" s="31">
        <v>54</v>
      </c>
      <c r="AJ323" s="31">
        <v>0</v>
      </c>
      <c r="AK323" s="31">
        <v>0</v>
      </c>
      <c r="AL323" s="31">
        <v>203</v>
      </c>
      <c r="AM323" s="31">
        <v>0</v>
      </c>
      <c r="AN323" s="31">
        <v>0</v>
      </c>
      <c r="AO323" s="31">
        <v>0</v>
      </c>
      <c r="AP323" s="31">
        <v>0</v>
      </c>
    </row>
    <row r="324" spans="1:42" x14ac:dyDescent="0.25">
      <c r="A324" s="31">
        <v>19</v>
      </c>
      <c r="B324" s="31">
        <v>24606</v>
      </c>
      <c r="C324" s="31">
        <v>1</v>
      </c>
      <c r="D324" s="31" t="s">
        <v>724</v>
      </c>
      <c r="E324" s="31">
        <v>9</v>
      </c>
      <c r="F324" s="31">
        <v>1</v>
      </c>
      <c r="G324" s="31">
        <v>3</v>
      </c>
      <c r="H324" s="31">
        <v>5.9050002098083496</v>
      </c>
      <c r="I324" s="31">
        <v>0</v>
      </c>
      <c r="J324" s="31">
        <v>9.9049997329711914</v>
      </c>
      <c r="K324" s="31">
        <v>102.5</v>
      </c>
      <c r="L324" s="2" t="str">
        <f t="shared" si="40"/>
        <v>Просадка</v>
      </c>
      <c r="M324" s="12">
        <f t="shared" si="41"/>
        <v>100</v>
      </c>
      <c r="N324" s="12">
        <f t="shared" si="42"/>
        <v>7</v>
      </c>
      <c r="O324" s="12">
        <f t="shared" si="43"/>
        <v>0</v>
      </c>
      <c r="P324" s="12">
        <f t="shared" si="44"/>
        <v>2</v>
      </c>
      <c r="Q324" s="12">
        <f t="shared" si="45"/>
        <v>70</v>
      </c>
      <c r="R324" s="12">
        <f t="shared" si="46"/>
        <v>68</v>
      </c>
      <c r="S324" s="12">
        <f t="shared" si="47"/>
        <v>100</v>
      </c>
      <c r="T324" s="31">
        <v>7</v>
      </c>
      <c r="U324" s="31">
        <v>0</v>
      </c>
      <c r="V324" s="31">
        <v>0</v>
      </c>
      <c r="W324" s="31">
        <v>0</v>
      </c>
      <c r="X324" s="31">
        <v>0</v>
      </c>
      <c r="Y324" s="31">
        <v>0</v>
      </c>
      <c r="Z324" s="31">
        <v>2</v>
      </c>
      <c r="AA324" s="31">
        <v>0</v>
      </c>
      <c r="AB324" s="31">
        <v>0</v>
      </c>
      <c r="AC324" s="31">
        <v>70</v>
      </c>
      <c r="AD324" s="31">
        <v>0</v>
      </c>
      <c r="AE324" s="31">
        <v>0</v>
      </c>
      <c r="AF324" s="31">
        <v>68</v>
      </c>
      <c r="AG324" s="31">
        <v>0</v>
      </c>
      <c r="AH324" s="31">
        <v>0</v>
      </c>
      <c r="AI324" s="31">
        <v>99</v>
      </c>
      <c r="AJ324" s="31">
        <v>1</v>
      </c>
      <c r="AK324" s="31">
        <v>0</v>
      </c>
      <c r="AL324" s="31">
        <v>246</v>
      </c>
      <c r="AM324" s="31">
        <v>1</v>
      </c>
      <c r="AN324" s="31">
        <v>0</v>
      </c>
      <c r="AO324" s="31">
        <v>0</v>
      </c>
      <c r="AP324" s="31">
        <v>0</v>
      </c>
    </row>
    <row r="325" spans="1:42" x14ac:dyDescent="0.25">
      <c r="A325" s="31">
        <v>19</v>
      </c>
      <c r="B325" s="31">
        <v>24606</v>
      </c>
      <c r="C325" s="31">
        <v>1</v>
      </c>
      <c r="D325" s="31" t="s">
        <v>725</v>
      </c>
      <c r="E325" s="31">
        <v>9</v>
      </c>
      <c r="F325" s="31">
        <v>0.20900000631809235</v>
      </c>
      <c r="G325" s="31">
        <v>0</v>
      </c>
      <c r="H325" s="31">
        <v>1</v>
      </c>
      <c r="I325" s="31">
        <v>0</v>
      </c>
      <c r="J325" s="31">
        <v>1.2089999914169312</v>
      </c>
      <c r="K325" s="31">
        <v>125.80000305175781</v>
      </c>
      <c r="L325" s="2" t="str">
        <f t="shared" si="40"/>
        <v>Перекос</v>
      </c>
      <c r="M325" s="12">
        <f t="shared" si="41"/>
        <v>8</v>
      </c>
      <c r="N325" s="12">
        <f t="shared" si="42"/>
        <v>3</v>
      </c>
      <c r="O325" s="12">
        <f t="shared" si="43"/>
        <v>0</v>
      </c>
      <c r="P325" s="12">
        <f t="shared" si="44"/>
        <v>0</v>
      </c>
      <c r="Q325" s="12">
        <f t="shared" si="45"/>
        <v>1</v>
      </c>
      <c r="R325" s="12">
        <f t="shared" si="46"/>
        <v>8</v>
      </c>
      <c r="S325" s="12">
        <f t="shared" si="47"/>
        <v>6</v>
      </c>
      <c r="T325" s="31">
        <v>3</v>
      </c>
      <c r="U325" s="31">
        <v>0</v>
      </c>
      <c r="V325" s="31">
        <v>0</v>
      </c>
      <c r="W325" s="31">
        <v>0</v>
      </c>
      <c r="X325" s="31">
        <v>0</v>
      </c>
      <c r="Y325" s="31">
        <v>0</v>
      </c>
      <c r="Z325" s="31">
        <v>0</v>
      </c>
      <c r="AA325" s="31">
        <v>0</v>
      </c>
      <c r="AB325" s="31">
        <v>0</v>
      </c>
      <c r="AC325" s="31">
        <v>1</v>
      </c>
      <c r="AD325" s="31">
        <v>0</v>
      </c>
      <c r="AE325" s="31">
        <v>0</v>
      </c>
      <c r="AF325" s="31">
        <v>8</v>
      </c>
      <c r="AG325" s="31">
        <v>0</v>
      </c>
      <c r="AH325" s="31">
        <v>0</v>
      </c>
      <c r="AI325" s="31">
        <v>6</v>
      </c>
      <c r="AJ325" s="31">
        <v>0</v>
      </c>
      <c r="AK325" s="31">
        <v>0</v>
      </c>
      <c r="AL325" s="31">
        <v>18</v>
      </c>
      <c r="AM325" s="31">
        <v>0</v>
      </c>
      <c r="AN325" s="31">
        <v>0</v>
      </c>
      <c r="AO325" s="31">
        <v>0</v>
      </c>
      <c r="AP325" s="31">
        <v>0</v>
      </c>
    </row>
    <row r="326" spans="1:42" x14ac:dyDescent="0.25">
      <c r="A326" s="31">
        <v>19</v>
      </c>
      <c r="B326" s="31">
        <v>24606</v>
      </c>
      <c r="C326" s="31">
        <v>1</v>
      </c>
      <c r="D326" s="31" t="s">
        <v>726</v>
      </c>
      <c r="E326" s="31">
        <v>9</v>
      </c>
      <c r="F326" s="31">
        <v>0</v>
      </c>
      <c r="G326" s="31">
        <v>8</v>
      </c>
      <c r="H326" s="31">
        <v>2</v>
      </c>
      <c r="I326" s="31">
        <v>0</v>
      </c>
      <c r="J326" s="31">
        <v>10</v>
      </c>
      <c r="K326" s="31">
        <v>62</v>
      </c>
      <c r="L326" s="2" t="str">
        <f t="shared" si="40"/>
        <v>Перекос</v>
      </c>
      <c r="M326" s="12">
        <f t="shared" si="41"/>
        <v>44</v>
      </c>
      <c r="N326" s="12">
        <f t="shared" si="42"/>
        <v>4</v>
      </c>
      <c r="O326" s="12">
        <f t="shared" si="43"/>
        <v>5</v>
      </c>
      <c r="P326" s="12">
        <f t="shared" si="44"/>
        <v>0</v>
      </c>
      <c r="Q326" s="12">
        <f t="shared" si="45"/>
        <v>27</v>
      </c>
      <c r="R326" s="12">
        <f t="shared" si="46"/>
        <v>44</v>
      </c>
      <c r="S326" s="12">
        <f t="shared" si="47"/>
        <v>32</v>
      </c>
      <c r="T326" s="31">
        <v>4</v>
      </c>
      <c r="U326" s="31">
        <v>0</v>
      </c>
      <c r="V326" s="31">
        <v>0</v>
      </c>
      <c r="W326" s="31">
        <v>5</v>
      </c>
      <c r="X326" s="31">
        <v>0</v>
      </c>
      <c r="Y326" s="31">
        <v>0</v>
      </c>
      <c r="Z326" s="31">
        <v>0</v>
      </c>
      <c r="AA326" s="31">
        <v>0</v>
      </c>
      <c r="AB326" s="31">
        <v>0</v>
      </c>
      <c r="AC326" s="31">
        <v>27</v>
      </c>
      <c r="AD326" s="31">
        <v>0</v>
      </c>
      <c r="AE326" s="31">
        <v>0</v>
      </c>
      <c r="AF326" s="31">
        <v>44</v>
      </c>
      <c r="AG326" s="31">
        <v>0</v>
      </c>
      <c r="AH326" s="31">
        <v>0</v>
      </c>
      <c r="AI326" s="31">
        <v>32</v>
      </c>
      <c r="AJ326" s="31">
        <v>0</v>
      </c>
      <c r="AK326" s="31">
        <v>0</v>
      </c>
      <c r="AL326" s="31">
        <v>112</v>
      </c>
      <c r="AM326" s="31">
        <v>0</v>
      </c>
      <c r="AN326" s="31">
        <v>0</v>
      </c>
      <c r="AO326" s="31">
        <v>0</v>
      </c>
      <c r="AP326" s="31">
        <v>0</v>
      </c>
    </row>
    <row r="327" spans="1:42" x14ac:dyDescent="0.25">
      <c r="A327" s="31">
        <v>19</v>
      </c>
      <c r="B327" s="31">
        <v>24606</v>
      </c>
      <c r="C327" s="31">
        <v>1</v>
      </c>
      <c r="D327" s="31" t="s">
        <v>727</v>
      </c>
      <c r="E327" s="31">
        <v>9</v>
      </c>
      <c r="F327" s="31">
        <v>9.9999997764825821E-3</v>
      </c>
      <c r="G327" s="31">
        <v>4</v>
      </c>
      <c r="H327" s="31">
        <v>3</v>
      </c>
      <c r="I327" s="31">
        <v>0</v>
      </c>
      <c r="J327" s="31">
        <v>7.0100002288818359</v>
      </c>
      <c r="K327" s="31">
        <v>87</v>
      </c>
      <c r="L327" s="2" t="str">
        <f t="shared" si="40"/>
        <v>Уровень</v>
      </c>
      <c r="M327" s="12">
        <f t="shared" si="41"/>
        <v>42</v>
      </c>
      <c r="N327" s="12">
        <f t="shared" si="42"/>
        <v>5</v>
      </c>
      <c r="O327" s="12">
        <f t="shared" si="43"/>
        <v>2</v>
      </c>
      <c r="P327" s="12">
        <f t="shared" si="44"/>
        <v>0</v>
      </c>
      <c r="Q327" s="12">
        <f t="shared" si="45"/>
        <v>42</v>
      </c>
      <c r="R327" s="12">
        <f t="shared" si="46"/>
        <v>27</v>
      </c>
      <c r="S327" s="12">
        <f t="shared" si="47"/>
        <v>16</v>
      </c>
      <c r="T327" s="31">
        <v>5</v>
      </c>
      <c r="U327" s="31">
        <v>0</v>
      </c>
      <c r="V327" s="31">
        <v>0</v>
      </c>
      <c r="W327" s="31">
        <v>2</v>
      </c>
      <c r="X327" s="31">
        <v>0</v>
      </c>
      <c r="Y327" s="31">
        <v>0</v>
      </c>
      <c r="Z327" s="31">
        <v>0</v>
      </c>
      <c r="AA327" s="31">
        <v>0</v>
      </c>
      <c r="AB327" s="31">
        <v>0</v>
      </c>
      <c r="AC327" s="31">
        <v>42</v>
      </c>
      <c r="AD327" s="31">
        <v>0</v>
      </c>
      <c r="AE327" s="31">
        <v>0</v>
      </c>
      <c r="AF327" s="31">
        <v>26</v>
      </c>
      <c r="AG327" s="31">
        <v>1</v>
      </c>
      <c r="AH327" s="31">
        <v>0</v>
      </c>
      <c r="AI327" s="31">
        <v>16</v>
      </c>
      <c r="AJ327" s="31">
        <v>0</v>
      </c>
      <c r="AK327" s="31">
        <v>0</v>
      </c>
      <c r="AL327" s="31">
        <v>91</v>
      </c>
      <c r="AM327" s="31">
        <v>1</v>
      </c>
      <c r="AN327" s="31">
        <v>0</v>
      </c>
      <c r="AO327" s="31">
        <v>0</v>
      </c>
      <c r="AP327" s="31">
        <v>0</v>
      </c>
    </row>
    <row r="328" spans="1:42" x14ac:dyDescent="0.25">
      <c r="A328" s="31">
        <v>19</v>
      </c>
      <c r="B328" s="31">
        <v>24606</v>
      </c>
      <c r="C328" s="31">
        <v>1</v>
      </c>
      <c r="D328" s="31" t="s">
        <v>728</v>
      </c>
      <c r="E328" s="31"/>
      <c r="F328" s="31">
        <v>0</v>
      </c>
      <c r="G328" s="31">
        <v>0</v>
      </c>
      <c r="H328" s="31">
        <v>0</v>
      </c>
      <c r="I328" s="31">
        <v>0</v>
      </c>
      <c r="J328" s="31">
        <v>0</v>
      </c>
      <c r="K328" s="31" t="s">
        <v>882</v>
      </c>
      <c r="L328" s="2" t="str">
        <f t="shared" si="40"/>
        <v>Рихтовка</v>
      </c>
      <c r="M328" s="12">
        <f t="shared" si="41"/>
        <v>0</v>
      </c>
      <c r="N328" s="12">
        <f t="shared" si="42"/>
        <v>0</v>
      </c>
      <c r="O328" s="12">
        <f t="shared" si="43"/>
        <v>0</v>
      </c>
      <c r="P328" s="12">
        <f t="shared" si="44"/>
        <v>0</v>
      </c>
      <c r="Q328" s="12">
        <f t="shared" si="45"/>
        <v>0</v>
      </c>
      <c r="R328" s="12">
        <f t="shared" si="46"/>
        <v>0</v>
      </c>
      <c r="S328" s="12">
        <f t="shared" si="47"/>
        <v>0</v>
      </c>
      <c r="T328" s="31">
        <v>0</v>
      </c>
      <c r="U328" s="31">
        <v>0</v>
      </c>
      <c r="V328" s="31">
        <v>0</v>
      </c>
      <c r="W328" s="31">
        <v>0</v>
      </c>
      <c r="X328" s="31">
        <v>0</v>
      </c>
      <c r="Y328" s="31">
        <v>0</v>
      </c>
      <c r="Z328" s="31">
        <v>0</v>
      </c>
      <c r="AA328" s="31">
        <v>0</v>
      </c>
      <c r="AB328" s="31">
        <v>0</v>
      </c>
      <c r="AC328" s="31">
        <v>0</v>
      </c>
      <c r="AD328" s="31">
        <v>0</v>
      </c>
      <c r="AE328" s="31">
        <v>0</v>
      </c>
      <c r="AF328" s="31">
        <v>0</v>
      </c>
      <c r="AG328" s="31">
        <v>0</v>
      </c>
      <c r="AH328" s="31">
        <v>0</v>
      </c>
      <c r="AI328" s="31">
        <v>0</v>
      </c>
      <c r="AJ328" s="31">
        <v>0</v>
      </c>
      <c r="AK328" s="31">
        <v>0</v>
      </c>
      <c r="AL328" s="31">
        <v>0</v>
      </c>
      <c r="AM328" s="31">
        <v>0</v>
      </c>
      <c r="AN328" s="31">
        <v>0</v>
      </c>
      <c r="AO328" s="31">
        <v>0</v>
      </c>
      <c r="AP328" s="31">
        <v>0</v>
      </c>
    </row>
    <row r="329" spans="1:42" x14ac:dyDescent="0.25">
      <c r="A329" s="31">
        <v>19</v>
      </c>
      <c r="B329" s="31">
        <v>24606</v>
      </c>
      <c r="C329" s="31">
        <v>2</v>
      </c>
      <c r="D329" s="31" t="s">
        <v>728</v>
      </c>
      <c r="E329" s="31">
        <v>9</v>
      </c>
      <c r="F329" s="31">
        <v>4</v>
      </c>
      <c r="G329" s="31">
        <v>1.9989999532699585</v>
      </c>
      <c r="H329" s="31">
        <v>0</v>
      </c>
      <c r="I329" s="31">
        <v>0</v>
      </c>
      <c r="J329" s="31">
        <v>5.999000072479248</v>
      </c>
      <c r="K329" s="31">
        <v>20</v>
      </c>
      <c r="L329" s="2" t="str">
        <f t="shared" si="40"/>
        <v>Уровень</v>
      </c>
      <c r="M329" s="12">
        <f t="shared" si="41"/>
        <v>7</v>
      </c>
      <c r="N329" s="12">
        <f t="shared" si="42"/>
        <v>0</v>
      </c>
      <c r="O329" s="12">
        <f t="shared" si="43"/>
        <v>0</v>
      </c>
      <c r="P329" s="12">
        <f t="shared" si="44"/>
        <v>2</v>
      </c>
      <c r="Q329" s="12">
        <f t="shared" si="45"/>
        <v>7</v>
      </c>
      <c r="R329" s="12">
        <f t="shared" si="46"/>
        <v>4</v>
      </c>
      <c r="S329" s="12">
        <f t="shared" si="47"/>
        <v>1</v>
      </c>
      <c r="T329" s="31">
        <v>0</v>
      </c>
      <c r="U329" s="31">
        <v>0</v>
      </c>
      <c r="V329" s="31">
        <v>0</v>
      </c>
      <c r="W329" s="31">
        <v>0</v>
      </c>
      <c r="X329" s="31">
        <v>0</v>
      </c>
      <c r="Y329" s="31">
        <v>0</v>
      </c>
      <c r="Z329" s="31">
        <v>2</v>
      </c>
      <c r="AA329" s="31">
        <v>0</v>
      </c>
      <c r="AB329" s="31">
        <v>0</v>
      </c>
      <c r="AC329" s="31">
        <v>7</v>
      </c>
      <c r="AD329" s="31">
        <v>0</v>
      </c>
      <c r="AE329" s="31">
        <v>0</v>
      </c>
      <c r="AF329" s="31">
        <v>4</v>
      </c>
      <c r="AG329" s="31">
        <v>0</v>
      </c>
      <c r="AH329" s="31">
        <v>0</v>
      </c>
      <c r="AI329" s="31">
        <v>1</v>
      </c>
      <c r="AJ329" s="31">
        <v>0</v>
      </c>
      <c r="AK329" s="31">
        <v>0</v>
      </c>
      <c r="AL329" s="31">
        <v>14</v>
      </c>
      <c r="AM329" s="31">
        <v>0</v>
      </c>
      <c r="AN329" s="31">
        <v>0</v>
      </c>
      <c r="AO329" s="31">
        <v>0</v>
      </c>
      <c r="AP329" s="31">
        <v>0</v>
      </c>
    </row>
    <row r="330" spans="1:42" x14ac:dyDescent="0.25">
      <c r="A330" s="31">
        <v>19</v>
      </c>
      <c r="B330" s="31">
        <v>77777</v>
      </c>
      <c r="C330" s="31">
        <v>1</v>
      </c>
      <c r="D330" s="31" t="s">
        <v>915</v>
      </c>
      <c r="E330" s="31"/>
      <c r="F330" s="31">
        <v>0</v>
      </c>
      <c r="G330" s="31">
        <v>0</v>
      </c>
      <c r="H330" s="31">
        <v>0</v>
      </c>
      <c r="I330" s="31">
        <v>0</v>
      </c>
      <c r="J330" s="31">
        <v>0</v>
      </c>
      <c r="K330" s="31" t="s">
        <v>882</v>
      </c>
      <c r="L330" s="2" t="str">
        <f t="shared" si="40"/>
        <v>Рихтовка</v>
      </c>
      <c r="M330" s="12">
        <f t="shared" si="41"/>
        <v>0</v>
      </c>
      <c r="N330" s="12">
        <f t="shared" si="42"/>
        <v>0</v>
      </c>
      <c r="O330" s="12">
        <f t="shared" si="43"/>
        <v>0</v>
      </c>
      <c r="P330" s="12">
        <f t="shared" si="44"/>
        <v>0</v>
      </c>
      <c r="Q330" s="12">
        <f t="shared" si="45"/>
        <v>0</v>
      </c>
      <c r="R330" s="12">
        <f t="shared" si="46"/>
        <v>0</v>
      </c>
      <c r="S330" s="12">
        <f t="shared" si="47"/>
        <v>0</v>
      </c>
      <c r="T330" s="31">
        <v>0</v>
      </c>
      <c r="U330" s="31">
        <v>0</v>
      </c>
      <c r="V330" s="31">
        <v>0</v>
      </c>
      <c r="W330" s="31">
        <v>0</v>
      </c>
      <c r="X330" s="31">
        <v>0</v>
      </c>
      <c r="Y330" s="31">
        <v>0</v>
      </c>
      <c r="Z330" s="31">
        <v>0</v>
      </c>
      <c r="AA330" s="31">
        <v>0</v>
      </c>
      <c r="AB330" s="31">
        <v>0</v>
      </c>
      <c r="AC330" s="31">
        <v>0</v>
      </c>
      <c r="AD330" s="31">
        <v>0</v>
      </c>
      <c r="AE330" s="31">
        <v>0</v>
      </c>
      <c r="AF330" s="31">
        <v>0</v>
      </c>
      <c r="AG330" s="31">
        <v>0</v>
      </c>
      <c r="AH330" s="31">
        <v>0</v>
      </c>
      <c r="AI330" s="31">
        <v>0</v>
      </c>
      <c r="AJ330" s="31">
        <v>0</v>
      </c>
      <c r="AK330" s="31">
        <v>0</v>
      </c>
      <c r="AL330" s="31">
        <v>0</v>
      </c>
      <c r="AM330" s="31">
        <v>0</v>
      </c>
      <c r="AN330" s="31">
        <v>0</v>
      </c>
      <c r="AO330" s="31">
        <v>0</v>
      </c>
      <c r="AP330" s="31">
        <v>0</v>
      </c>
    </row>
    <row r="331" spans="1:42" x14ac:dyDescent="0.25">
      <c r="A331" s="31">
        <v>19</v>
      </c>
      <c r="B331" s="31">
        <v>24606</v>
      </c>
      <c r="C331" s="31">
        <v>1</v>
      </c>
      <c r="D331" s="31" t="s">
        <v>729</v>
      </c>
      <c r="E331" s="31">
        <v>9</v>
      </c>
      <c r="F331" s="31">
        <v>0.15700000524520874</v>
      </c>
      <c r="G331" s="31">
        <v>0.42199999094009399</v>
      </c>
      <c r="H331" s="31">
        <v>5.8330001831054687</v>
      </c>
      <c r="I331" s="31">
        <v>2</v>
      </c>
      <c r="J331" s="31">
        <v>8.4119997024536133</v>
      </c>
      <c r="K331" s="31">
        <v>225.10000610351562</v>
      </c>
      <c r="L331" s="2" t="str">
        <f t="shared" si="40"/>
        <v>Перекос</v>
      </c>
      <c r="M331" s="12">
        <f t="shared" si="41"/>
        <v>62</v>
      </c>
      <c r="N331" s="12">
        <f t="shared" si="42"/>
        <v>35</v>
      </c>
      <c r="O331" s="12">
        <f t="shared" si="43"/>
        <v>54</v>
      </c>
      <c r="P331" s="12">
        <f t="shared" si="44"/>
        <v>0</v>
      </c>
      <c r="Q331" s="12">
        <f t="shared" si="45"/>
        <v>42</v>
      </c>
      <c r="R331" s="12">
        <f t="shared" si="46"/>
        <v>62</v>
      </c>
      <c r="S331" s="12">
        <f t="shared" si="47"/>
        <v>49</v>
      </c>
      <c r="T331" s="31">
        <v>34</v>
      </c>
      <c r="U331" s="31">
        <v>1</v>
      </c>
      <c r="V331" s="31">
        <v>0</v>
      </c>
      <c r="W331" s="31">
        <v>44</v>
      </c>
      <c r="X331" s="31">
        <v>6</v>
      </c>
      <c r="Y331" s="31">
        <v>4</v>
      </c>
      <c r="Z331" s="31">
        <v>0</v>
      </c>
      <c r="AA331" s="31">
        <v>0</v>
      </c>
      <c r="AB331" s="31">
        <v>0</v>
      </c>
      <c r="AC331" s="31">
        <v>42</v>
      </c>
      <c r="AD331" s="31">
        <v>0</v>
      </c>
      <c r="AE331" s="31">
        <v>0</v>
      </c>
      <c r="AF331" s="31">
        <v>59</v>
      </c>
      <c r="AG331" s="31">
        <v>2</v>
      </c>
      <c r="AH331" s="31">
        <v>1</v>
      </c>
      <c r="AI331" s="31">
        <v>49</v>
      </c>
      <c r="AJ331" s="31">
        <v>0</v>
      </c>
      <c r="AK331" s="31">
        <v>0</v>
      </c>
      <c r="AL331" s="31">
        <v>228</v>
      </c>
      <c r="AM331" s="31">
        <v>9</v>
      </c>
      <c r="AN331" s="31">
        <v>5</v>
      </c>
      <c r="AO331" s="31">
        <v>0</v>
      </c>
      <c r="AP331" s="31">
        <v>0</v>
      </c>
    </row>
    <row r="332" spans="1:42" x14ac:dyDescent="0.25">
      <c r="A332" s="31">
        <v>19</v>
      </c>
      <c r="B332" s="31">
        <v>24606</v>
      </c>
      <c r="C332" s="31">
        <v>1</v>
      </c>
      <c r="D332" s="31" t="s">
        <v>730</v>
      </c>
      <c r="E332" s="31">
        <v>9</v>
      </c>
      <c r="F332" s="31">
        <v>5</v>
      </c>
      <c r="G332" s="31">
        <v>4</v>
      </c>
      <c r="H332" s="31">
        <v>1</v>
      </c>
      <c r="I332" s="31">
        <v>1</v>
      </c>
      <c r="J332" s="31">
        <v>11</v>
      </c>
      <c r="K332" s="31">
        <v>78.199996948242188</v>
      </c>
      <c r="L332" s="2" t="str">
        <f t="shared" si="40"/>
        <v>Уширение</v>
      </c>
      <c r="M332" s="12">
        <f t="shared" si="41"/>
        <v>20</v>
      </c>
      <c r="N332" s="12">
        <f t="shared" si="42"/>
        <v>9</v>
      </c>
      <c r="O332" s="12">
        <f t="shared" si="43"/>
        <v>20</v>
      </c>
      <c r="P332" s="12">
        <f t="shared" si="44"/>
        <v>1</v>
      </c>
      <c r="Q332" s="12">
        <f t="shared" si="45"/>
        <v>18</v>
      </c>
      <c r="R332" s="12">
        <f t="shared" si="46"/>
        <v>17</v>
      </c>
      <c r="S332" s="12">
        <f t="shared" si="47"/>
        <v>14</v>
      </c>
      <c r="T332" s="31">
        <v>7</v>
      </c>
      <c r="U332" s="31">
        <v>1</v>
      </c>
      <c r="V332" s="31">
        <v>1</v>
      </c>
      <c r="W332" s="31">
        <v>20</v>
      </c>
      <c r="X332" s="31">
        <v>0</v>
      </c>
      <c r="Y332" s="31">
        <v>0</v>
      </c>
      <c r="Z332" s="31">
        <v>1</v>
      </c>
      <c r="AA332" s="31">
        <v>0</v>
      </c>
      <c r="AB332" s="31">
        <v>0</v>
      </c>
      <c r="AC332" s="31">
        <v>18</v>
      </c>
      <c r="AD332" s="31">
        <v>0</v>
      </c>
      <c r="AE332" s="31">
        <v>0</v>
      </c>
      <c r="AF332" s="31">
        <v>17</v>
      </c>
      <c r="AG332" s="31">
        <v>0</v>
      </c>
      <c r="AH332" s="31">
        <v>0</v>
      </c>
      <c r="AI332" s="31">
        <v>14</v>
      </c>
      <c r="AJ332" s="31">
        <v>0</v>
      </c>
      <c r="AK332" s="31">
        <v>0</v>
      </c>
      <c r="AL332" s="31">
        <v>77</v>
      </c>
      <c r="AM332" s="31">
        <v>1</v>
      </c>
      <c r="AN332" s="31">
        <v>0</v>
      </c>
      <c r="AO332" s="31">
        <v>0</v>
      </c>
      <c r="AP332" s="31">
        <v>0</v>
      </c>
    </row>
    <row r="333" spans="1:42" x14ac:dyDescent="0.25">
      <c r="A333" s="31">
        <v>19</v>
      </c>
      <c r="B333" s="31">
        <v>24606</v>
      </c>
      <c r="C333" s="31">
        <v>1</v>
      </c>
      <c r="D333" s="31" t="s">
        <v>731</v>
      </c>
      <c r="E333" s="31">
        <v>9</v>
      </c>
      <c r="F333" s="31">
        <v>3</v>
      </c>
      <c r="G333" s="31">
        <v>3</v>
      </c>
      <c r="H333" s="31">
        <v>0</v>
      </c>
      <c r="I333" s="31">
        <v>0</v>
      </c>
      <c r="J333" s="31">
        <v>6</v>
      </c>
      <c r="K333" s="31">
        <v>25</v>
      </c>
      <c r="L333" s="2" t="str">
        <f t="shared" si="40"/>
        <v>Рихтовка</v>
      </c>
      <c r="M333" s="12">
        <f t="shared" si="41"/>
        <v>9</v>
      </c>
      <c r="N333" s="12">
        <f t="shared" si="42"/>
        <v>9</v>
      </c>
      <c r="O333" s="12">
        <f t="shared" si="43"/>
        <v>0</v>
      </c>
      <c r="P333" s="12">
        <f t="shared" si="44"/>
        <v>5</v>
      </c>
      <c r="Q333" s="12">
        <f t="shared" si="45"/>
        <v>2</v>
      </c>
      <c r="R333" s="12">
        <f t="shared" si="46"/>
        <v>6</v>
      </c>
      <c r="S333" s="12">
        <f t="shared" si="47"/>
        <v>1</v>
      </c>
      <c r="T333" s="31">
        <v>9</v>
      </c>
      <c r="U333" s="31">
        <v>0</v>
      </c>
      <c r="V333" s="31">
        <v>0</v>
      </c>
      <c r="W333" s="31">
        <v>0</v>
      </c>
      <c r="X333" s="31">
        <v>0</v>
      </c>
      <c r="Y333" s="31">
        <v>0</v>
      </c>
      <c r="Z333" s="31">
        <v>5</v>
      </c>
      <c r="AA333" s="31">
        <v>0</v>
      </c>
      <c r="AB333" s="31">
        <v>0</v>
      </c>
      <c r="AC333" s="31">
        <v>2</v>
      </c>
      <c r="AD333" s="31">
        <v>0</v>
      </c>
      <c r="AE333" s="31">
        <v>0</v>
      </c>
      <c r="AF333" s="31">
        <v>6</v>
      </c>
      <c r="AG333" s="31">
        <v>0</v>
      </c>
      <c r="AH333" s="31">
        <v>0</v>
      </c>
      <c r="AI333" s="31">
        <v>1</v>
      </c>
      <c r="AJ333" s="31">
        <v>0</v>
      </c>
      <c r="AK333" s="31">
        <v>0</v>
      </c>
      <c r="AL333" s="31">
        <v>23</v>
      </c>
      <c r="AM333" s="31">
        <v>0</v>
      </c>
      <c r="AN333" s="31">
        <v>0</v>
      </c>
      <c r="AO333" s="31">
        <v>0</v>
      </c>
      <c r="AP333" s="31">
        <v>0</v>
      </c>
    </row>
    <row r="334" spans="1:42" x14ac:dyDescent="0.25">
      <c r="A334" s="31">
        <v>19</v>
      </c>
      <c r="B334" s="31">
        <v>24606</v>
      </c>
      <c r="C334" s="31">
        <v>1</v>
      </c>
      <c r="D334" s="31" t="s">
        <v>732</v>
      </c>
      <c r="E334" s="31">
        <v>9</v>
      </c>
      <c r="F334" s="31">
        <v>1</v>
      </c>
      <c r="G334" s="31">
        <v>3</v>
      </c>
      <c r="H334" s="31">
        <v>0</v>
      </c>
      <c r="I334" s="31">
        <v>0</v>
      </c>
      <c r="J334" s="31">
        <v>4</v>
      </c>
      <c r="K334" s="31">
        <v>32.5</v>
      </c>
      <c r="L334" s="2" t="str">
        <f t="shared" si="40"/>
        <v>Уровень</v>
      </c>
      <c r="M334" s="12">
        <f t="shared" si="41"/>
        <v>12</v>
      </c>
      <c r="N334" s="12">
        <f t="shared" si="42"/>
        <v>2</v>
      </c>
      <c r="O334" s="12">
        <f t="shared" si="43"/>
        <v>0</v>
      </c>
      <c r="P334" s="12">
        <f t="shared" si="44"/>
        <v>0</v>
      </c>
      <c r="Q334" s="12">
        <f t="shared" si="45"/>
        <v>12</v>
      </c>
      <c r="R334" s="12">
        <f t="shared" si="46"/>
        <v>4</v>
      </c>
      <c r="S334" s="12">
        <f t="shared" si="47"/>
        <v>2</v>
      </c>
      <c r="T334" s="31">
        <v>2</v>
      </c>
      <c r="U334" s="31">
        <v>0</v>
      </c>
      <c r="V334" s="31">
        <v>0</v>
      </c>
      <c r="W334" s="31">
        <v>0</v>
      </c>
      <c r="X334" s="31">
        <v>0</v>
      </c>
      <c r="Y334" s="31">
        <v>0</v>
      </c>
      <c r="Z334" s="31">
        <v>0</v>
      </c>
      <c r="AA334" s="31">
        <v>0</v>
      </c>
      <c r="AB334" s="31">
        <v>0</v>
      </c>
      <c r="AC334" s="31">
        <v>12</v>
      </c>
      <c r="AD334" s="31">
        <v>0</v>
      </c>
      <c r="AE334" s="31">
        <v>0</v>
      </c>
      <c r="AF334" s="31">
        <v>4</v>
      </c>
      <c r="AG334" s="31">
        <v>0</v>
      </c>
      <c r="AH334" s="31">
        <v>0</v>
      </c>
      <c r="AI334" s="31">
        <v>2</v>
      </c>
      <c r="AJ334" s="31">
        <v>0</v>
      </c>
      <c r="AK334" s="31">
        <v>0</v>
      </c>
      <c r="AL334" s="31">
        <v>20</v>
      </c>
      <c r="AM334" s="31">
        <v>0</v>
      </c>
      <c r="AN334" s="31">
        <v>0</v>
      </c>
      <c r="AO334" s="31">
        <v>0</v>
      </c>
      <c r="AP334" s="31">
        <v>0</v>
      </c>
    </row>
    <row r="335" spans="1:42" x14ac:dyDescent="0.25">
      <c r="A335" s="31">
        <v>19</v>
      </c>
      <c r="B335" s="31">
        <v>24606</v>
      </c>
      <c r="C335" s="31">
        <v>1</v>
      </c>
      <c r="D335" s="31" t="s">
        <v>733</v>
      </c>
      <c r="E335" s="31">
        <v>9</v>
      </c>
      <c r="F335" s="31">
        <v>5</v>
      </c>
      <c r="G335" s="31">
        <v>2.6340000629425049</v>
      </c>
      <c r="H335" s="31">
        <v>0</v>
      </c>
      <c r="I335" s="31">
        <v>0</v>
      </c>
      <c r="J335" s="31">
        <v>7.6339998245239258</v>
      </c>
      <c r="K335" s="31">
        <v>20.399999618530273</v>
      </c>
      <c r="L335" s="2" t="str">
        <f t="shared" si="40"/>
        <v>Перекос</v>
      </c>
      <c r="M335" s="12">
        <f t="shared" si="41"/>
        <v>10</v>
      </c>
      <c r="N335" s="12">
        <f t="shared" si="42"/>
        <v>4</v>
      </c>
      <c r="O335" s="12">
        <f t="shared" si="43"/>
        <v>6</v>
      </c>
      <c r="P335" s="12">
        <f t="shared" si="44"/>
        <v>0</v>
      </c>
      <c r="Q335" s="12">
        <f t="shared" si="45"/>
        <v>4</v>
      </c>
      <c r="R335" s="12">
        <f t="shared" si="46"/>
        <v>10</v>
      </c>
      <c r="S335" s="12">
        <f t="shared" si="47"/>
        <v>6</v>
      </c>
      <c r="T335" s="31">
        <v>4</v>
      </c>
      <c r="U335" s="31">
        <v>0</v>
      </c>
      <c r="V335" s="31">
        <v>0</v>
      </c>
      <c r="W335" s="31">
        <v>6</v>
      </c>
      <c r="X335" s="31">
        <v>0</v>
      </c>
      <c r="Y335" s="31">
        <v>0</v>
      </c>
      <c r="Z335" s="31">
        <v>0</v>
      </c>
      <c r="AA335" s="31">
        <v>0</v>
      </c>
      <c r="AB335" s="31">
        <v>0</v>
      </c>
      <c r="AC335" s="31">
        <v>4</v>
      </c>
      <c r="AD335" s="31">
        <v>0</v>
      </c>
      <c r="AE335" s="31">
        <v>0</v>
      </c>
      <c r="AF335" s="31">
        <v>10</v>
      </c>
      <c r="AG335" s="31">
        <v>0</v>
      </c>
      <c r="AH335" s="31">
        <v>0</v>
      </c>
      <c r="AI335" s="31">
        <v>6</v>
      </c>
      <c r="AJ335" s="31">
        <v>0</v>
      </c>
      <c r="AK335" s="31">
        <v>0</v>
      </c>
      <c r="AL335" s="31">
        <v>30</v>
      </c>
      <c r="AM335" s="31">
        <v>0</v>
      </c>
      <c r="AN335" s="31">
        <v>0</v>
      </c>
      <c r="AO335" s="31">
        <v>0</v>
      </c>
      <c r="AP335" s="31">
        <v>0</v>
      </c>
    </row>
    <row r="336" spans="1:42" x14ac:dyDescent="0.25">
      <c r="A336" s="31">
        <v>19</v>
      </c>
      <c r="B336" s="31">
        <v>24606</v>
      </c>
      <c r="C336" s="31">
        <v>1</v>
      </c>
      <c r="D336" s="31" t="s">
        <v>916</v>
      </c>
      <c r="E336" s="31"/>
      <c r="F336" s="31">
        <v>0</v>
      </c>
      <c r="G336" s="31">
        <v>0</v>
      </c>
      <c r="H336" s="31">
        <v>0</v>
      </c>
      <c r="I336" s="31">
        <v>0</v>
      </c>
      <c r="J336" s="31">
        <v>0</v>
      </c>
      <c r="K336" s="31" t="s">
        <v>882</v>
      </c>
      <c r="L336" s="2" t="str">
        <f t="shared" si="40"/>
        <v>Рихтовка</v>
      </c>
      <c r="M336" s="12">
        <f t="shared" si="41"/>
        <v>0</v>
      </c>
      <c r="N336" s="12">
        <f t="shared" si="42"/>
        <v>0</v>
      </c>
      <c r="O336" s="12">
        <f t="shared" si="43"/>
        <v>0</v>
      </c>
      <c r="P336" s="12">
        <f t="shared" si="44"/>
        <v>0</v>
      </c>
      <c r="Q336" s="12">
        <f t="shared" si="45"/>
        <v>0</v>
      </c>
      <c r="R336" s="12">
        <f t="shared" si="46"/>
        <v>0</v>
      </c>
      <c r="S336" s="12">
        <f t="shared" si="47"/>
        <v>0</v>
      </c>
      <c r="T336" s="31">
        <v>0</v>
      </c>
      <c r="U336" s="31">
        <v>0</v>
      </c>
      <c r="V336" s="31">
        <v>0</v>
      </c>
      <c r="W336" s="31">
        <v>0</v>
      </c>
      <c r="X336" s="31">
        <v>0</v>
      </c>
      <c r="Y336" s="31">
        <v>0</v>
      </c>
      <c r="Z336" s="31">
        <v>0</v>
      </c>
      <c r="AA336" s="31">
        <v>0</v>
      </c>
      <c r="AB336" s="31">
        <v>0</v>
      </c>
      <c r="AC336" s="31">
        <v>0</v>
      </c>
      <c r="AD336" s="31">
        <v>0</v>
      </c>
      <c r="AE336" s="31">
        <v>0</v>
      </c>
      <c r="AF336" s="31">
        <v>0</v>
      </c>
      <c r="AG336" s="31">
        <v>0</v>
      </c>
      <c r="AH336" s="31">
        <v>0</v>
      </c>
      <c r="AI336" s="31">
        <v>0</v>
      </c>
      <c r="AJ336" s="31">
        <v>0</v>
      </c>
      <c r="AK336" s="31">
        <v>0</v>
      </c>
      <c r="AL336" s="31">
        <v>0</v>
      </c>
      <c r="AM336" s="31">
        <v>0</v>
      </c>
      <c r="AN336" s="31">
        <v>0</v>
      </c>
      <c r="AO336" s="31">
        <v>0</v>
      </c>
      <c r="AP336" s="31">
        <v>0</v>
      </c>
    </row>
    <row r="337" spans="1:42" x14ac:dyDescent="0.25">
      <c r="A337" s="31">
        <v>19</v>
      </c>
      <c r="B337" s="31">
        <v>24606</v>
      </c>
      <c r="C337" s="31">
        <v>1</v>
      </c>
      <c r="D337" s="31" t="s">
        <v>917</v>
      </c>
      <c r="E337" s="31"/>
      <c r="F337" s="31">
        <v>0</v>
      </c>
      <c r="G337" s="31">
        <v>0</v>
      </c>
      <c r="H337" s="31">
        <v>0</v>
      </c>
      <c r="I337" s="31">
        <v>0</v>
      </c>
      <c r="J337" s="31">
        <v>0</v>
      </c>
      <c r="K337" s="31" t="s">
        <v>882</v>
      </c>
      <c r="L337" s="2" t="str">
        <f t="shared" si="40"/>
        <v>Рихтовка</v>
      </c>
      <c r="M337" s="12">
        <f t="shared" si="41"/>
        <v>0</v>
      </c>
      <c r="N337" s="12">
        <f t="shared" si="42"/>
        <v>0</v>
      </c>
      <c r="O337" s="12">
        <f t="shared" si="43"/>
        <v>0</v>
      </c>
      <c r="P337" s="12">
        <f t="shared" si="44"/>
        <v>0</v>
      </c>
      <c r="Q337" s="12">
        <f t="shared" si="45"/>
        <v>0</v>
      </c>
      <c r="R337" s="12">
        <f t="shared" si="46"/>
        <v>0</v>
      </c>
      <c r="S337" s="12">
        <f t="shared" si="47"/>
        <v>0</v>
      </c>
      <c r="T337" s="31">
        <v>0</v>
      </c>
      <c r="U337" s="31">
        <v>0</v>
      </c>
      <c r="V337" s="31">
        <v>0</v>
      </c>
      <c r="W337" s="31">
        <v>0</v>
      </c>
      <c r="X337" s="31">
        <v>0</v>
      </c>
      <c r="Y337" s="31">
        <v>0</v>
      </c>
      <c r="Z337" s="31">
        <v>0</v>
      </c>
      <c r="AA337" s="31">
        <v>0</v>
      </c>
      <c r="AB337" s="31">
        <v>0</v>
      </c>
      <c r="AC337" s="31">
        <v>0</v>
      </c>
      <c r="AD337" s="31">
        <v>0</v>
      </c>
      <c r="AE337" s="31">
        <v>0</v>
      </c>
      <c r="AF337" s="31">
        <v>0</v>
      </c>
      <c r="AG337" s="31">
        <v>0</v>
      </c>
      <c r="AH337" s="31">
        <v>0</v>
      </c>
      <c r="AI337" s="31">
        <v>0</v>
      </c>
      <c r="AJ337" s="31">
        <v>0</v>
      </c>
      <c r="AK337" s="31">
        <v>0</v>
      </c>
      <c r="AL337" s="31">
        <v>0</v>
      </c>
      <c r="AM337" s="31">
        <v>0</v>
      </c>
      <c r="AN337" s="31">
        <v>0</v>
      </c>
      <c r="AO337" s="31">
        <v>0</v>
      </c>
      <c r="AP337" s="31">
        <v>0</v>
      </c>
    </row>
    <row r="338" spans="1:42" x14ac:dyDescent="0.25">
      <c r="A338" s="31">
        <v>19</v>
      </c>
      <c r="B338" s="31">
        <v>24606</v>
      </c>
      <c r="C338" s="31">
        <v>1</v>
      </c>
      <c r="D338" s="31" t="s">
        <v>918</v>
      </c>
      <c r="E338" s="31"/>
      <c r="F338" s="31">
        <v>0</v>
      </c>
      <c r="G338" s="31">
        <v>0</v>
      </c>
      <c r="H338" s="31">
        <v>0</v>
      </c>
      <c r="I338" s="31">
        <v>0</v>
      </c>
      <c r="J338" s="31">
        <v>0</v>
      </c>
      <c r="K338" s="31" t="s">
        <v>882</v>
      </c>
      <c r="L338" s="2" t="str">
        <f t="shared" si="40"/>
        <v>Рихтовка</v>
      </c>
      <c r="M338" s="12">
        <f t="shared" si="41"/>
        <v>0</v>
      </c>
      <c r="N338" s="12">
        <f t="shared" si="42"/>
        <v>0</v>
      </c>
      <c r="O338" s="12">
        <f t="shared" si="43"/>
        <v>0</v>
      </c>
      <c r="P338" s="12">
        <f t="shared" si="44"/>
        <v>0</v>
      </c>
      <c r="Q338" s="12">
        <f t="shared" si="45"/>
        <v>0</v>
      </c>
      <c r="R338" s="12">
        <f t="shared" si="46"/>
        <v>0</v>
      </c>
      <c r="S338" s="12">
        <f t="shared" si="47"/>
        <v>0</v>
      </c>
      <c r="T338" s="31">
        <v>0</v>
      </c>
      <c r="U338" s="31">
        <v>0</v>
      </c>
      <c r="V338" s="31">
        <v>0</v>
      </c>
      <c r="W338" s="31">
        <v>0</v>
      </c>
      <c r="X338" s="31">
        <v>0</v>
      </c>
      <c r="Y338" s="31">
        <v>0</v>
      </c>
      <c r="Z338" s="31">
        <v>0</v>
      </c>
      <c r="AA338" s="31">
        <v>0</v>
      </c>
      <c r="AB338" s="31">
        <v>0</v>
      </c>
      <c r="AC338" s="31">
        <v>0</v>
      </c>
      <c r="AD338" s="31">
        <v>0</v>
      </c>
      <c r="AE338" s="31">
        <v>0</v>
      </c>
      <c r="AF338" s="31">
        <v>0</v>
      </c>
      <c r="AG338" s="31">
        <v>0</v>
      </c>
      <c r="AH338" s="31">
        <v>0</v>
      </c>
      <c r="AI338" s="31">
        <v>0</v>
      </c>
      <c r="AJ338" s="31">
        <v>0</v>
      </c>
      <c r="AK338" s="31">
        <v>0</v>
      </c>
      <c r="AL338" s="31">
        <v>0</v>
      </c>
      <c r="AM338" s="31">
        <v>0</v>
      </c>
      <c r="AN338" s="31">
        <v>0</v>
      </c>
      <c r="AO338" s="31">
        <v>0</v>
      </c>
      <c r="AP338" s="31">
        <v>0</v>
      </c>
    </row>
    <row r="339" spans="1:42" x14ac:dyDescent="0.25">
      <c r="A339" s="31">
        <v>19</v>
      </c>
      <c r="B339" s="31">
        <v>24606</v>
      </c>
      <c r="C339" s="31">
        <v>1</v>
      </c>
      <c r="D339" s="31" t="s">
        <v>919</v>
      </c>
      <c r="E339" s="31"/>
      <c r="F339" s="31">
        <v>0</v>
      </c>
      <c r="G339" s="31">
        <v>0</v>
      </c>
      <c r="H339" s="31">
        <v>0</v>
      </c>
      <c r="I339" s="31">
        <v>0</v>
      </c>
      <c r="J339" s="31">
        <v>0</v>
      </c>
      <c r="K339" s="31" t="s">
        <v>882</v>
      </c>
      <c r="L339" s="2" t="str">
        <f t="shared" si="40"/>
        <v>Рихтовка</v>
      </c>
      <c r="M339" s="12">
        <f t="shared" si="41"/>
        <v>0</v>
      </c>
      <c r="N339" s="12">
        <f t="shared" si="42"/>
        <v>0</v>
      </c>
      <c r="O339" s="12">
        <f t="shared" si="43"/>
        <v>0</v>
      </c>
      <c r="P339" s="12">
        <f t="shared" si="44"/>
        <v>0</v>
      </c>
      <c r="Q339" s="12">
        <f t="shared" si="45"/>
        <v>0</v>
      </c>
      <c r="R339" s="12">
        <f t="shared" si="46"/>
        <v>0</v>
      </c>
      <c r="S339" s="12">
        <f t="shared" si="47"/>
        <v>0</v>
      </c>
      <c r="T339" s="31">
        <v>0</v>
      </c>
      <c r="U339" s="31">
        <v>0</v>
      </c>
      <c r="V339" s="31">
        <v>0</v>
      </c>
      <c r="W339" s="31">
        <v>0</v>
      </c>
      <c r="X339" s="31">
        <v>0</v>
      </c>
      <c r="Y339" s="31">
        <v>0</v>
      </c>
      <c r="Z339" s="31">
        <v>0</v>
      </c>
      <c r="AA339" s="31">
        <v>0</v>
      </c>
      <c r="AB339" s="31">
        <v>0</v>
      </c>
      <c r="AC339" s="31">
        <v>0</v>
      </c>
      <c r="AD339" s="31">
        <v>0</v>
      </c>
      <c r="AE339" s="31">
        <v>0</v>
      </c>
      <c r="AF339" s="31">
        <v>0</v>
      </c>
      <c r="AG339" s="31">
        <v>0</v>
      </c>
      <c r="AH339" s="31">
        <v>0</v>
      </c>
      <c r="AI339" s="31">
        <v>0</v>
      </c>
      <c r="AJ339" s="31">
        <v>0</v>
      </c>
      <c r="AK339" s="31">
        <v>0</v>
      </c>
      <c r="AL339" s="31">
        <v>0</v>
      </c>
      <c r="AM339" s="31">
        <v>0</v>
      </c>
      <c r="AN339" s="31">
        <v>0</v>
      </c>
      <c r="AO339" s="31">
        <v>0</v>
      </c>
      <c r="AP339" s="31">
        <v>0</v>
      </c>
    </row>
    <row r="340" spans="1:42" x14ac:dyDescent="0.25">
      <c r="A340" s="31">
        <v>19</v>
      </c>
      <c r="B340" s="31">
        <v>24646</v>
      </c>
      <c r="C340" s="31">
        <v>1</v>
      </c>
      <c r="D340" s="31" t="s">
        <v>920</v>
      </c>
      <c r="E340" s="31"/>
      <c r="F340" s="31">
        <v>0</v>
      </c>
      <c r="G340" s="31">
        <v>0</v>
      </c>
      <c r="H340" s="31">
        <v>0</v>
      </c>
      <c r="I340" s="31">
        <v>0</v>
      </c>
      <c r="J340" s="31">
        <v>0</v>
      </c>
      <c r="K340" s="31" t="s">
        <v>882</v>
      </c>
      <c r="L340" s="2" t="str">
        <f t="shared" si="40"/>
        <v>Рихтовка</v>
      </c>
      <c r="M340" s="12">
        <f t="shared" si="41"/>
        <v>0</v>
      </c>
      <c r="N340" s="12">
        <f t="shared" si="42"/>
        <v>0</v>
      </c>
      <c r="O340" s="12">
        <f t="shared" si="43"/>
        <v>0</v>
      </c>
      <c r="P340" s="12">
        <f t="shared" si="44"/>
        <v>0</v>
      </c>
      <c r="Q340" s="12">
        <f t="shared" si="45"/>
        <v>0</v>
      </c>
      <c r="R340" s="12">
        <f t="shared" si="46"/>
        <v>0</v>
      </c>
      <c r="S340" s="12">
        <f t="shared" si="47"/>
        <v>0</v>
      </c>
      <c r="T340" s="31">
        <v>0</v>
      </c>
      <c r="U340" s="31">
        <v>0</v>
      </c>
      <c r="V340" s="31">
        <v>0</v>
      </c>
      <c r="W340" s="31">
        <v>0</v>
      </c>
      <c r="X340" s="31">
        <v>0</v>
      </c>
      <c r="Y340" s="31">
        <v>0</v>
      </c>
      <c r="Z340" s="31">
        <v>0</v>
      </c>
      <c r="AA340" s="31">
        <v>0</v>
      </c>
      <c r="AB340" s="31">
        <v>0</v>
      </c>
      <c r="AC340" s="31">
        <v>0</v>
      </c>
      <c r="AD340" s="31">
        <v>0</v>
      </c>
      <c r="AE340" s="31">
        <v>0</v>
      </c>
      <c r="AF340" s="31">
        <v>0</v>
      </c>
      <c r="AG340" s="31">
        <v>0</v>
      </c>
      <c r="AH340" s="31">
        <v>0</v>
      </c>
      <c r="AI340" s="31">
        <v>0</v>
      </c>
      <c r="AJ340" s="31">
        <v>0</v>
      </c>
      <c r="AK340" s="31">
        <v>0</v>
      </c>
      <c r="AL340" s="31">
        <v>0</v>
      </c>
      <c r="AM340" s="31">
        <v>0</v>
      </c>
      <c r="AN340" s="31">
        <v>0</v>
      </c>
      <c r="AO340" s="31">
        <v>0</v>
      </c>
      <c r="AP340" s="31">
        <v>0</v>
      </c>
    </row>
    <row r="341" spans="1:42" x14ac:dyDescent="0.25">
      <c r="A341" s="31">
        <v>19</v>
      </c>
      <c r="B341" s="31">
        <v>24646</v>
      </c>
      <c r="C341" s="31">
        <v>1</v>
      </c>
      <c r="D341" s="31" t="s">
        <v>731</v>
      </c>
      <c r="E341" s="31"/>
      <c r="F341" s="31">
        <v>0</v>
      </c>
      <c r="G341" s="31">
        <v>0</v>
      </c>
      <c r="H341" s="31">
        <v>0</v>
      </c>
      <c r="I341" s="31">
        <v>0</v>
      </c>
      <c r="J341" s="31">
        <v>0</v>
      </c>
      <c r="K341" s="31" t="s">
        <v>882</v>
      </c>
      <c r="L341" s="2" t="str">
        <f t="shared" si="40"/>
        <v>Рихтовка</v>
      </c>
      <c r="M341" s="12">
        <f t="shared" si="41"/>
        <v>0</v>
      </c>
      <c r="N341" s="12">
        <f t="shared" si="42"/>
        <v>0</v>
      </c>
      <c r="O341" s="12">
        <f t="shared" si="43"/>
        <v>0</v>
      </c>
      <c r="P341" s="12">
        <f t="shared" si="44"/>
        <v>0</v>
      </c>
      <c r="Q341" s="12">
        <f t="shared" si="45"/>
        <v>0</v>
      </c>
      <c r="R341" s="12">
        <f t="shared" si="46"/>
        <v>0</v>
      </c>
      <c r="S341" s="12">
        <f t="shared" si="47"/>
        <v>0</v>
      </c>
      <c r="T341" s="31">
        <v>0</v>
      </c>
      <c r="U341" s="31">
        <v>0</v>
      </c>
      <c r="V341" s="31">
        <v>0</v>
      </c>
      <c r="W341" s="31">
        <v>0</v>
      </c>
      <c r="X341" s="31">
        <v>0</v>
      </c>
      <c r="Y341" s="31">
        <v>0</v>
      </c>
      <c r="Z341" s="31">
        <v>0</v>
      </c>
      <c r="AA341" s="31">
        <v>0</v>
      </c>
      <c r="AB341" s="31">
        <v>0</v>
      </c>
      <c r="AC341" s="31">
        <v>0</v>
      </c>
      <c r="AD341" s="31">
        <v>0</v>
      </c>
      <c r="AE341" s="31">
        <v>0</v>
      </c>
      <c r="AF341" s="31">
        <v>0</v>
      </c>
      <c r="AG341" s="31">
        <v>0</v>
      </c>
      <c r="AH341" s="31">
        <v>0</v>
      </c>
      <c r="AI341" s="31">
        <v>0</v>
      </c>
      <c r="AJ341" s="31">
        <v>0</v>
      </c>
      <c r="AK341" s="31">
        <v>0</v>
      </c>
      <c r="AL341" s="31">
        <v>0</v>
      </c>
      <c r="AM341" s="31">
        <v>0</v>
      </c>
      <c r="AN341" s="31">
        <v>0</v>
      </c>
      <c r="AO341" s="31">
        <v>0</v>
      </c>
      <c r="AP341" s="31">
        <v>0</v>
      </c>
    </row>
    <row r="342" spans="1:42" x14ac:dyDescent="0.25">
      <c r="A342" s="31">
        <v>19</v>
      </c>
      <c r="B342" s="31">
        <v>24646</v>
      </c>
      <c r="C342" s="31">
        <v>1</v>
      </c>
      <c r="D342" s="31" t="s">
        <v>732</v>
      </c>
      <c r="E342" s="31"/>
      <c r="F342" s="31">
        <v>0</v>
      </c>
      <c r="G342" s="31">
        <v>0</v>
      </c>
      <c r="H342" s="31">
        <v>0</v>
      </c>
      <c r="I342" s="31">
        <v>0</v>
      </c>
      <c r="J342" s="31">
        <v>0</v>
      </c>
      <c r="K342" s="31" t="s">
        <v>882</v>
      </c>
      <c r="L342" s="2" t="str">
        <f t="shared" si="40"/>
        <v>Рихтовка</v>
      </c>
      <c r="M342" s="12">
        <f t="shared" si="41"/>
        <v>0</v>
      </c>
      <c r="N342" s="12">
        <f t="shared" si="42"/>
        <v>0</v>
      </c>
      <c r="O342" s="12">
        <f t="shared" si="43"/>
        <v>0</v>
      </c>
      <c r="P342" s="12">
        <f t="shared" si="44"/>
        <v>0</v>
      </c>
      <c r="Q342" s="12">
        <f t="shared" si="45"/>
        <v>0</v>
      </c>
      <c r="R342" s="12">
        <f t="shared" si="46"/>
        <v>0</v>
      </c>
      <c r="S342" s="12">
        <f t="shared" si="47"/>
        <v>0</v>
      </c>
      <c r="T342" s="31">
        <v>0</v>
      </c>
      <c r="U342" s="31">
        <v>0</v>
      </c>
      <c r="V342" s="31">
        <v>0</v>
      </c>
      <c r="W342" s="31">
        <v>0</v>
      </c>
      <c r="X342" s="31">
        <v>0</v>
      </c>
      <c r="Y342" s="31">
        <v>0</v>
      </c>
      <c r="Z342" s="31">
        <v>0</v>
      </c>
      <c r="AA342" s="31">
        <v>0</v>
      </c>
      <c r="AB342" s="31">
        <v>0</v>
      </c>
      <c r="AC342" s="31">
        <v>0</v>
      </c>
      <c r="AD342" s="31">
        <v>0</v>
      </c>
      <c r="AE342" s="31">
        <v>0</v>
      </c>
      <c r="AF342" s="31">
        <v>0</v>
      </c>
      <c r="AG342" s="31">
        <v>0</v>
      </c>
      <c r="AH342" s="31">
        <v>0</v>
      </c>
      <c r="AI342" s="31">
        <v>0</v>
      </c>
      <c r="AJ342" s="31">
        <v>0</v>
      </c>
      <c r="AK342" s="31">
        <v>0</v>
      </c>
      <c r="AL342" s="31">
        <v>0</v>
      </c>
      <c r="AM342" s="31">
        <v>0</v>
      </c>
      <c r="AN342" s="31">
        <v>0</v>
      </c>
      <c r="AO342" s="31">
        <v>0</v>
      </c>
      <c r="AP342" s="31">
        <v>0</v>
      </c>
    </row>
    <row r="343" spans="1:42" x14ac:dyDescent="0.25">
      <c r="A343" s="31">
        <v>5</v>
      </c>
      <c r="B343" s="31">
        <v>13808</v>
      </c>
      <c r="C343" s="31">
        <v>1</v>
      </c>
      <c r="D343" s="31" t="s">
        <v>734</v>
      </c>
      <c r="E343" s="31"/>
      <c r="F343" s="31">
        <v>0</v>
      </c>
      <c r="G343" s="31">
        <v>0</v>
      </c>
      <c r="H343" s="31">
        <v>0</v>
      </c>
      <c r="I343" s="31">
        <v>0</v>
      </c>
      <c r="J343" s="31">
        <v>0</v>
      </c>
      <c r="K343" s="31" t="s">
        <v>882</v>
      </c>
      <c r="L343" s="2" t="str">
        <f t="shared" si="40"/>
        <v>Рихтовка</v>
      </c>
      <c r="M343" s="12">
        <f t="shared" si="41"/>
        <v>0</v>
      </c>
      <c r="N343" s="12">
        <f t="shared" si="42"/>
        <v>0</v>
      </c>
      <c r="O343" s="12">
        <f t="shared" si="43"/>
        <v>0</v>
      </c>
      <c r="P343" s="12">
        <f t="shared" si="44"/>
        <v>0</v>
      </c>
      <c r="Q343" s="12">
        <f t="shared" si="45"/>
        <v>0</v>
      </c>
      <c r="R343" s="12">
        <f t="shared" si="46"/>
        <v>0</v>
      </c>
      <c r="S343" s="12">
        <f t="shared" si="47"/>
        <v>0</v>
      </c>
      <c r="T343" s="31">
        <v>0</v>
      </c>
      <c r="U343" s="31">
        <v>0</v>
      </c>
      <c r="V343" s="31">
        <v>0</v>
      </c>
      <c r="W343" s="31">
        <v>0</v>
      </c>
      <c r="X343" s="31">
        <v>0</v>
      </c>
      <c r="Y343" s="31">
        <v>0</v>
      </c>
      <c r="Z343" s="31">
        <v>0</v>
      </c>
      <c r="AA343" s="31">
        <v>0</v>
      </c>
      <c r="AB343" s="31">
        <v>0</v>
      </c>
      <c r="AC343" s="31">
        <v>0</v>
      </c>
      <c r="AD343" s="31">
        <v>0</v>
      </c>
      <c r="AE343" s="31">
        <v>0</v>
      </c>
      <c r="AF343" s="31">
        <v>0</v>
      </c>
      <c r="AG343" s="31">
        <v>0</v>
      </c>
      <c r="AH343" s="31">
        <v>0</v>
      </c>
      <c r="AI343" s="31">
        <v>0</v>
      </c>
      <c r="AJ343" s="31">
        <v>0</v>
      </c>
      <c r="AK343" s="31">
        <v>0</v>
      </c>
      <c r="AL343" s="31">
        <v>0</v>
      </c>
      <c r="AM343" s="31">
        <v>0</v>
      </c>
      <c r="AN343" s="31">
        <v>0</v>
      </c>
      <c r="AO343" s="31">
        <v>0</v>
      </c>
      <c r="AP343" s="31">
        <v>0</v>
      </c>
    </row>
    <row r="344" spans="1:42" x14ac:dyDescent="0.25">
      <c r="A344" s="31">
        <v>5</v>
      </c>
      <c r="B344" s="31">
        <v>13808</v>
      </c>
      <c r="C344" s="31">
        <v>1</v>
      </c>
      <c r="D344" s="31" t="s">
        <v>735</v>
      </c>
      <c r="E344" s="31"/>
      <c r="F344" s="31">
        <v>0</v>
      </c>
      <c r="G344" s="31">
        <v>0</v>
      </c>
      <c r="H344" s="31">
        <v>0</v>
      </c>
      <c r="I344" s="31">
        <v>0</v>
      </c>
      <c r="J344" s="31">
        <v>0</v>
      </c>
      <c r="K344" s="31" t="s">
        <v>882</v>
      </c>
      <c r="L344" s="2" t="str">
        <f t="shared" si="40"/>
        <v>Рихтовка</v>
      </c>
      <c r="M344" s="12">
        <f t="shared" si="41"/>
        <v>0</v>
      </c>
      <c r="N344" s="12">
        <f t="shared" si="42"/>
        <v>0</v>
      </c>
      <c r="O344" s="12">
        <f t="shared" si="43"/>
        <v>0</v>
      </c>
      <c r="P344" s="12">
        <f t="shared" si="44"/>
        <v>0</v>
      </c>
      <c r="Q344" s="12">
        <f t="shared" si="45"/>
        <v>0</v>
      </c>
      <c r="R344" s="12">
        <f t="shared" si="46"/>
        <v>0</v>
      </c>
      <c r="S344" s="12">
        <f t="shared" si="47"/>
        <v>0</v>
      </c>
      <c r="T344" s="31">
        <v>0</v>
      </c>
      <c r="U344" s="31">
        <v>0</v>
      </c>
      <c r="V344" s="31">
        <v>0</v>
      </c>
      <c r="W344" s="31">
        <v>0</v>
      </c>
      <c r="X344" s="31">
        <v>0</v>
      </c>
      <c r="Y344" s="31">
        <v>0</v>
      </c>
      <c r="Z344" s="31">
        <v>0</v>
      </c>
      <c r="AA344" s="31">
        <v>0</v>
      </c>
      <c r="AB344" s="31">
        <v>0</v>
      </c>
      <c r="AC344" s="31">
        <v>0</v>
      </c>
      <c r="AD344" s="31">
        <v>0</v>
      </c>
      <c r="AE344" s="31">
        <v>0</v>
      </c>
      <c r="AF344" s="31">
        <v>0</v>
      </c>
      <c r="AG344" s="31">
        <v>0</v>
      </c>
      <c r="AH344" s="31">
        <v>0</v>
      </c>
      <c r="AI344" s="31">
        <v>0</v>
      </c>
      <c r="AJ344" s="31">
        <v>0</v>
      </c>
      <c r="AK344" s="31">
        <v>0</v>
      </c>
      <c r="AL344" s="31">
        <v>0</v>
      </c>
      <c r="AM344" s="31">
        <v>0</v>
      </c>
      <c r="AN344" s="31">
        <v>0</v>
      </c>
      <c r="AO344" s="31">
        <v>0</v>
      </c>
      <c r="AP344" s="31">
        <v>0</v>
      </c>
    </row>
    <row r="345" spans="1:42" x14ac:dyDescent="0.25">
      <c r="A345" s="31">
        <v>5</v>
      </c>
      <c r="B345" s="31">
        <v>13808</v>
      </c>
      <c r="C345" s="31">
        <v>1</v>
      </c>
      <c r="D345" s="31" t="s">
        <v>736</v>
      </c>
      <c r="E345" s="31"/>
      <c r="F345" s="31">
        <v>0</v>
      </c>
      <c r="G345" s="31">
        <v>0</v>
      </c>
      <c r="H345" s="31">
        <v>0</v>
      </c>
      <c r="I345" s="31">
        <v>0</v>
      </c>
      <c r="J345" s="31">
        <v>0</v>
      </c>
      <c r="K345" s="31" t="s">
        <v>882</v>
      </c>
      <c r="L345" s="2" t="str">
        <f t="shared" si="40"/>
        <v>Рихтовка</v>
      </c>
      <c r="M345" s="12">
        <f t="shared" si="41"/>
        <v>0</v>
      </c>
      <c r="N345" s="12">
        <f t="shared" si="42"/>
        <v>0</v>
      </c>
      <c r="O345" s="12">
        <f t="shared" si="43"/>
        <v>0</v>
      </c>
      <c r="P345" s="12">
        <f t="shared" si="44"/>
        <v>0</v>
      </c>
      <c r="Q345" s="12">
        <f t="shared" si="45"/>
        <v>0</v>
      </c>
      <c r="R345" s="12">
        <f t="shared" si="46"/>
        <v>0</v>
      </c>
      <c r="S345" s="12">
        <f t="shared" si="47"/>
        <v>0</v>
      </c>
      <c r="T345" s="31">
        <v>0</v>
      </c>
      <c r="U345" s="31">
        <v>0</v>
      </c>
      <c r="V345" s="31">
        <v>0</v>
      </c>
      <c r="W345" s="31">
        <v>0</v>
      </c>
      <c r="X345" s="31">
        <v>0</v>
      </c>
      <c r="Y345" s="31">
        <v>0</v>
      </c>
      <c r="Z345" s="31">
        <v>0</v>
      </c>
      <c r="AA345" s="31">
        <v>0</v>
      </c>
      <c r="AB345" s="31">
        <v>0</v>
      </c>
      <c r="AC345" s="31">
        <v>0</v>
      </c>
      <c r="AD345" s="31">
        <v>0</v>
      </c>
      <c r="AE345" s="31">
        <v>0</v>
      </c>
      <c r="AF345" s="31">
        <v>0</v>
      </c>
      <c r="AG345" s="31">
        <v>0</v>
      </c>
      <c r="AH345" s="31">
        <v>0</v>
      </c>
      <c r="AI345" s="31">
        <v>0</v>
      </c>
      <c r="AJ345" s="31">
        <v>0</v>
      </c>
      <c r="AK345" s="31">
        <v>0</v>
      </c>
      <c r="AL345" s="31">
        <v>0</v>
      </c>
      <c r="AM345" s="31">
        <v>0</v>
      </c>
      <c r="AN345" s="31">
        <v>0</v>
      </c>
      <c r="AO345" s="31">
        <v>0</v>
      </c>
      <c r="AP345" s="31">
        <v>0</v>
      </c>
    </row>
    <row r="346" spans="1:42" x14ac:dyDescent="0.25">
      <c r="A346" s="31">
        <v>5</v>
      </c>
      <c r="B346" s="31">
        <v>13808</v>
      </c>
      <c r="C346" s="31">
        <v>1</v>
      </c>
      <c r="D346" s="31" t="s">
        <v>737</v>
      </c>
      <c r="E346" s="31"/>
      <c r="F346" s="31">
        <v>0</v>
      </c>
      <c r="G346" s="31">
        <v>0</v>
      </c>
      <c r="H346" s="31">
        <v>0</v>
      </c>
      <c r="I346" s="31">
        <v>0</v>
      </c>
      <c r="J346" s="31">
        <v>0</v>
      </c>
      <c r="K346" s="31" t="s">
        <v>882</v>
      </c>
      <c r="L346" s="2" t="str">
        <f t="shared" si="40"/>
        <v>Рихтовка</v>
      </c>
      <c r="M346" s="12">
        <f t="shared" si="41"/>
        <v>0</v>
      </c>
      <c r="N346" s="12">
        <f t="shared" si="42"/>
        <v>0</v>
      </c>
      <c r="O346" s="12">
        <f t="shared" si="43"/>
        <v>0</v>
      </c>
      <c r="P346" s="12">
        <f t="shared" si="44"/>
        <v>0</v>
      </c>
      <c r="Q346" s="12">
        <f t="shared" si="45"/>
        <v>0</v>
      </c>
      <c r="R346" s="12">
        <f t="shared" si="46"/>
        <v>0</v>
      </c>
      <c r="S346" s="12">
        <f t="shared" si="47"/>
        <v>0</v>
      </c>
      <c r="T346" s="31">
        <v>0</v>
      </c>
      <c r="U346" s="31">
        <v>0</v>
      </c>
      <c r="V346" s="31">
        <v>0</v>
      </c>
      <c r="W346" s="31">
        <v>0</v>
      </c>
      <c r="X346" s="31">
        <v>0</v>
      </c>
      <c r="Y346" s="31">
        <v>0</v>
      </c>
      <c r="Z346" s="31">
        <v>0</v>
      </c>
      <c r="AA346" s="31">
        <v>0</v>
      </c>
      <c r="AB346" s="31">
        <v>0</v>
      </c>
      <c r="AC346" s="31">
        <v>0</v>
      </c>
      <c r="AD346" s="31">
        <v>0</v>
      </c>
      <c r="AE346" s="31">
        <v>0</v>
      </c>
      <c r="AF346" s="31">
        <v>0</v>
      </c>
      <c r="AG346" s="31">
        <v>0</v>
      </c>
      <c r="AH346" s="31">
        <v>0</v>
      </c>
      <c r="AI346" s="31">
        <v>0</v>
      </c>
      <c r="AJ346" s="31">
        <v>0</v>
      </c>
      <c r="AK346" s="31">
        <v>0</v>
      </c>
      <c r="AL346" s="31">
        <v>0</v>
      </c>
      <c r="AM346" s="31">
        <v>0</v>
      </c>
      <c r="AN346" s="31">
        <v>0</v>
      </c>
      <c r="AO346" s="31">
        <v>0</v>
      </c>
      <c r="AP346" s="31">
        <v>0</v>
      </c>
    </row>
    <row r="347" spans="1:42" x14ac:dyDescent="0.25">
      <c r="A347" s="31">
        <v>5</v>
      </c>
      <c r="B347" s="31">
        <v>13808</v>
      </c>
      <c r="C347" s="31">
        <v>1</v>
      </c>
      <c r="D347" s="31" t="s">
        <v>738</v>
      </c>
      <c r="E347" s="31"/>
      <c r="F347" s="31">
        <v>0</v>
      </c>
      <c r="G347" s="31">
        <v>0</v>
      </c>
      <c r="H347" s="31">
        <v>0</v>
      </c>
      <c r="I347" s="31">
        <v>0</v>
      </c>
      <c r="J347" s="31">
        <v>0</v>
      </c>
      <c r="K347" s="31" t="s">
        <v>882</v>
      </c>
      <c r="L347" s="2" t="str">
        <f t="shared" si="40"/>
        <v>Рихтовка</v>
      </c>
      <c r="M347" s="12">
        <f t="shared" si="41"/>
        <v>0</v>
      </c>
      <c r="N347" s="12">
        <f t="shared" si="42"/>
        <v>0</v>
      </c>
      <c r="O347" s="12">
        <f t="shared" si="43"/>
        <v>0</v>
      </c>
      <c r="P347" s="12">
        <f t="shared" si="44"/>
        <v>0</v>
      </c>
      <c r="Q347" s="12">
        <f t="shared" si="45"/>
        <v>0</v>
      </c>
      <c r="R347" s="12">
        <f t="shared" si="46"/>
        <v>0</v>
      </c>
      <c r="S347" s="12">
        <f t="shared" si="47"/>
        <v>0</v>
      </c>
      <c r="T347" s="31">
        <v>0</v>
      </c>
      <c r="U347" s="31">
        <v>0</v>
      </c>
      <c r="V347" s="31">
        <v>0</v>
      </c>
      <c r="W347" s="31">
        <v>0</v>
      </c>
      <c r="X347" s="31">
        <v>0</v>
      </c>
      <c r="Y347" s="31">
        <v>0</v>
      </c>
      <c r="Z347" s="31">
        <v>0</v>
      </c>
      <c r="AA347" s="31">
        <v>0</v>
      </c>
      <c r="AB347" s="31">
        <v>0</v>
      </c>
      <c r="AC347" s="31">
        <v>0</v>
      </c>
      <c r="AD347" s="31">
        <v>0</v>
      </c>
      <c r="AE347" s="31">
        <v>0</v>
      </c>
      <c r="AF347" s="31">
        <v>0</v>
      </c>
      <c r="AG347" s="31">
        <v>0</v>
      </c>
      <c r="AH347" s="31">
        <v>0</v>
      </c>
      <c r="AI347" s="31">
        <v>0</v>
      </c>
      <c r="AJ347" s="31">
        <v>0</v>
      </c>
      <c r="AK347" s="31">
        <v>0</v>
      </c>
      <c r="AL347" s="31">
        <v>0</v>
      </c>
      <c r="AM347" s="31">
        <v>0</v>
      </c>
      <c r="AN347" s="31">
        <v>0</v>
      </c>
      <c r="AO347" s="31">
        <v>0</v>
      </c>
      <c r="AP347" s="31">
        <v>0</v>
      </c>
    </row>
    <row r="348" spans="1:42" x14ac:dyDescent="0.25">
      <c r="A348" s="31">
        <v>5</v>
      </c>
      <c r="B348" s="31">
        <v>13808</v>
      </c>
      <c r="C348" s="31">
        <v>1</v>
      </c>
      <c r="D348" s="31" t="s">
        <v>739</v>
      </c>
      <c r="E348" s="31"/>
      <c r="F348" s="31">
        <v>0</v>
      </c>
      <c r="G348" s="31">
        <v>0</v>
      </c>
      <c r="H348" s="31">
        <v>0</v>
      </c>
      <c r="I348" s="31">
        <v>0</v>
      </c>
      <c r="J348" s="31">
        <v>0</v>
      </c>
      <c r="K348" s="31" t="s">
        <v>882</v>
      </c>
      <c r="L348" s="2" t="str">
        <f t="shared" si="40"/>
        <v>Рихтовка</v>
      </c>
      <c r="M348" s="12">
        <f t="shared" si="41"/>
        <v>0</v>
      </c>
      <c r="N348" s="12">
        <f t="shared" si="42"/>
        <v>0</v>
      </c>
      <c r="O348" s="12">
        <f t="shared" si="43"/>
        <v>0</v>
      </c>
      <c r="P348" s="12">
        <f t="shared" si="44"/>
        <v>0</v>
      </c>
      <c r="Q348" s="12">
        <f t="shared" si="45"/>
        <v>0</v>
      </c>
      <c r="R348" s="12">
        <f t="shared" si="46"/>
        <v>0</v>
      </c>
      <c r="S348" s="12">
        <f t="shared" si="47"/>
        <v>0</v>
      </c>
      <c r="T348" s="31">
        <v>0</v>
      </c>
      <c r="U348" s="31">
        <v>0</v>
      </c>
      <c r="V348" s="31">
        <v>0</v>
      </c>
      <c r="W348" s="31">
        <v>0</v>
      </c>
      <c r="X348" s="31">
        <v>0</v>
      </c>
      <c r="Y348" s="31">
        <v>0</v>
      </c>
      <c r="Z348" s="31">
        <v>0</v>
      </c>
      <c r="AA348" s="31">
        <v>0</v>
      </c>
      <c r="AB348" s="31">
        <v>0</v>
      </c>
      <c r="AC348" s="31">
        <v>0</v>
      </c>
      <c r="AD348" s="31">
        <v>0</v>
      </c>
      <c r="AE348" s="31">
        <v>0</v>
      </c>
      <c r="AF348" s="31">
        <v>0</v>
      </c>
      <c r="AG348" s="31">
        <v>0</v>
      </c>
      <c r="AH348" s="31">
        <v>0</v>
      </c>
      <c r="AI348" s="31">
        <v>0</v>
      </c>
      <c r="AJ348" s="31">
        <v>0</v>
      </c>
      <c r="AK348" s="31">
        <v>0</v>
      </c>
      <c r="AL348" s="31">
        <v>0</v>
      </c>
      <c r="AM348" s="31">
        <v>0</v>
      </c>
      <c r="AN348" s="31">
        <v>0</v>
      </c>
      <c r="AO348" s="31">
        <v>0</v>
      </c>
      <c r="AP348" s="31">
        <v>0</v>
      </c>
    </row>
    <row r="349" spans="1:42" x14ac:dyDescent="0.25">
      <c r="A349" s="31">
        <v>5</v>
      </c>
      <c r="B349" s="31">
        <v>13808</v>
      </c>
      <c r="C349" s="31">
        <v>1</v>
      </c>
      <c r="D349" s="31" t="s">
        <v>740</v>
      </c>
      <c r="E349" s="31"/>
      <c r="F349" s="31">
        <v>0</v>
      </c>
      <c r="G349" s="31">
        <v>0</v>
      </c>
      <c r="H349" s="31">
        <v>0</v>
      </c>
      <c r="I349" s="31">
        <v>0</v>
      </c>
      <c r="J349" s="31">
        <v>0</v>
      </c>
      <c r="K349" s="31" t="s">
        <v>882</v>
      </c>
      <c r="L349" s="2" t="str">
        <f t="shared" si="40"/>
        <v>Рихтовка</v>
      </c>
      <c r="M349" s="12">
        <f t="shared" si="41"/>
        <v>0</v>
      </c>
      <c r="N349" s="12">
        <f t="shared" si="42"/>
        <v>0</v>
      </c>
      <c r="O349" s="12">
        <f t="shared" si="43"/>
        <v>0</v>
      </c>
      <c r="P349" s="12">
        <f t="shared" si="44"/>
        <v>0</v>
      </c>
      <c r="Q349" s="12">
        <f t="shared" si="45"/>
        <v>0</v>
      </c>
      <c r="R349" s="12">
        <f t="shared" si="46"/>
        <v>0</v>
      </c>
      <c r="S349" s="12">
        <f t="shared" si="47"/>
        <v>0</v>
      </c>
      <c r="T349" s="31">
        <v>0</v>
      </c>
      <c r="U349" s="31">
        <v>0</v>
      </c>
      <c r="V349" s="31">
        <v>0</v>
      </c>
      <c r="W349" s="31">
        <v>0</v>
      </c>
      <c r="X349" s="31">
        <v>0</v>
      </c>
      <c r="Y349" s="31">
        <v>0</v>
      </c>
      <c r="Z349" s="31">
        <v>0</v>
      </c>
      <c r="AA349" s="31">
        <v>0</v>
      </c>
      <c r="AB349" s="31">
        <v>0</v>
      </c>
      <c r="AC349" s="31">
        <v>0</v>
      </c>
      <c r="AD349" s="31">
        <v>0</v>
      </c>
      <c r="AE349" s="31">
        <v>0</v>
      </c>
      <c r="AF349" s="31">
        <v>0</v>
      </c>
      <c r="AG349" s="31">
        <v>0</v>
      </c>
      <c r="AH349" s="31">
        <v>0</v>
      </c>
      <c r="AI349" s="31">
        <v>0</v>
      </c>
      <c r="AJ349" s="31">
        <v>0</v>
      </c>
      <c r="AK349" s="31">
        <v>0</v>
      </c>
      <c r="AL349" s="31">
        <v>0</v>
      </c>
      <c r="AM349" s="31">
        <v>0</v>
      </c>
      <c r="AN349" s="31">
        <v>0</v>
      </c>
      <c r="AO349" s="31">
        <v>0</v>
      </c>
      <c r="AP349" s="31">
        <v>0</v>
      </c>
    </row>
    <row r="350" spans="1:42" x14ac:dyDescent="0.25">
      <c r="A350" s="31">
        <v>5</v>
      </c>
      <c r="B350" s="31">
        <v>13808</v>
      </c>
      <c r="C350" s="31">
        <v>1</v>
      </c>
      <c r="D350" s="31" t="s">
        <v>741</v>
      </c>
      <c r="E350" s="31"/>
      <c r="F350" s="31">
        <v>0</v>
      </c>
      <c r="G350" s="31">
        <v>0</v>
      </c>
      <c r="H350" s="31">
        <v>0</v>
      </c>
      <c r="I350" s="31">
        <v>0</v>
      </c>
      <c r="J350" s="31">
        <v>0</v>
      </c>
      <c r="K350" s="31" t="s">
        <v>882</v>
      </c>
      <c r="L350" s="2" t="str">
        <f t="shared" si="40"/>
        <v>Рихтовка</v>
      </c>
      <c r="M350" s="12">
        <f t="shared" si="41"/>
        <v>0</v>
      </c>
      <c r="N350" s="12">
        <f t="shared" si="42"/>
        <v>0</v>
      </c>
      <c r="O350" s="12">
        <f t="shared" si="43"/>
        <v>0</v>
      </c>
      <c r="P350" s="12">
        <f t="shared" si="44"/>
        <v>0</v>
      </c>
      <c r="Q350" s="12">
        <f t="shared" si="45"/>
        <v>0</v>
      </c>
      <c r="R350" s="12">
        <f t="shared" si="46"/>
        <v>0</v>
      </c>
      <c r="S350" s="12">
        <f t="shared" si="47"/>
        <v>0</v>
      </c>
      <c r="T350" s="31">
        <v>0</v>
      </c>
      <c r="U350" s="31">
        <v>0</v>
      </c>
      <c r="V350" s="31">
        <v>0</v>
      </c>
      <c r="W350" s="31">
        <v>0</v>
      </c>
      <c r="X350" s="31">
        <v>0</v>
      </c>
      <c r="Y350" s="31">
        <v>0</v>
      </c>
      <c r="Z350" s="31">
        <v>0</v>
      </c>
      <c r="AA350" s="31">
        <v>0</v>
      </c>
      <c r="AB350" s="31">
        <v>0</v>
      </c>
      <c r="AC350" s="31">
        <v>0</v>
      </c>
      <c r="AD350" s="31">
        <v>0</v>
      </c>
      <c r="AE350" s="31">
        <v>0</v>
      </c>
      <c r="AF350" s="31">
        <v>0</v>
      </c>
      <c r="AG350" s="31">
        <v>0</v>
      </c>
      <c r="AH350" s="31">
        <v>0</v>
      </c>
      <c r="AI350" s="31">
        <v>0</v>
      </c>
      <c r="AJ350" s="31">
        <v>0</v>
      </c>
      <c r="AK350" s="31">
        <v>0</v>
      </c>
      <c r="AL350" s="31">
        <v>0</v>
      </c>
      <c r="AM350" s="31">
        <v>0</v>
      </c>
      <c r="AN350" s="31">
        <v>0</v>
      </c>
      <c r="AO350" s="31">
        <v>0</v>
      </c>
      <c r="AP350" s="31">
        <v>0</v>
      </c>
    </row>
    <row r="351" spans="1:42" x14ac:dyDescent="0.25">
      <c r="A351" s="31">
        <v>5</v>
      </c>
      <c r="B351" s="31">
        <v>13808</v>
      </c>
      <c r="C351" s="31">
        <v>1</v>
      </c>
      <c r="D351" s="31" t="s">
        <v>742</v>
      </c>
      <c r="E351" s="31"/>
      <c r="F351" s="31">
        <v>0</v>
      </c>
      <c r="G351" s="31">
        <v>0</v>
      </c>
      <c r="H351" s="31">
        <v>0</v>
      </c>
      <c r="I351" s="31">
        <v>0</v>
      </c>
      <c r="J351" s="31">
        <v>0</v>
      </c>
      <c r="K351" s="31" t="s">
        <v>882</v>
      </c>
      <c r="L351" s="2" t="str">
        <f t="shared" si="40"/>
        <v>Рихтовка</v>
      </c>
      <c r="M351" s="12">
        <f t="shared" si="41"/>
        <v>0</v>
      </c>
      <c r="N351" s="12">
        <f t="shared" si="42"/>
        <v>0</v>
      </c>
      <c r="O351" s="12">
        <f t="shared" si="43"/>
        <v>0</v>
      </c>
      <c r="P351" s="12">
        <f t="shared" si="44"/>
        <v>0</v>
      </c>
      <c r="Q351" s="12">
        <f t="shared" si="45"/>
        <v>0</v>
      </c>
      <c r="R351" s="12">
        <f t="shared" si="46"/>
        <v>0</v>
      </c>
      <c r="S351" s="12">
        <f t="shared" si="47"/>
        <v>0</v>
      </c>
      <c r="T351" s="31">
        <v>0</v>
      </c>
      <c r="U351" s="31">
        <v>0</v>
      </c>
      <c r="V351" s="31">
        <v>0</v>
      </c>
      <c r="W351" s="31">
        <v>0</v>
      </c>
      <c r="X351" s="31">
        <v>0</v>
      </c>
      <c r="Y351" s="31">
        <v>0</v>
      </c>
      <c r="Z351" s="31">
        <v>0</v>
      </c>
      <c r="AA351" s="31">
        <v>0</v>
      </c>
      <c r="AB351" s="31">
        <v>0</v>
      </c>
      <c r="AC351" s="31">
        <v>0</v>
      </c>
      <c r="AD351" s="31">
        <v>0</v>
      </c>
      <c r="AE351" s="31">
        <v>0</v>
      </c>
      <c r="AF351" s="31">
        <v>0</v>
      </c>
      <c r="AG351" s="31">
        <v>0</v>
      </c>
      <c r="AH351" s="31">
        <v>0</v>
      </c>
      <c r="AI351" s="31">
        <v>0</v>
      </c>
      <c r="AJ351" s="31">
        <v>0</v>
      </c>
      <c r="AK351" s="31">
        <v>0</v>
      </c>
      <c r="AL351" s="31">
        <v>0</v>
      </c>
      <c r="AM351" s="31">
        <v>0</v>
      </c>
      <c r="AN351" s="31">
        <v>0</v>
      </c>
      <c r="AO351" s="31">
        <v>0</v>
      </c>
      <c r="AP351" s="31">
        <v>0</v>
      </c>
    </row>
    <row r="352" spans="1:42" x14ac:dyDescent="0.25">
      <c r="A352" s="31">
        <v>5</v>
      </c>
      <c r="B352" s="31">
        <v>13808</v>
      </c>
      <c r="C352" s="31">
        <v>1</v>
      </c>
      <c r="D352" s="31" t="s">
        <v>743</v>
      </c>
      <c r="E352" s="31"/>
      <c r="F352" s="31">
        <v>0</v>
      </c>
      <c r="G352" s="31">
        <v>0</v>
      </c>
      <c r="H352" s="31">
        <v>0</v>
      </c>
      <c r="I352" s="31">
        <v>0</v>
      </c>
      <c r="J352" s="31">
        <v>0</v>
      </c>
      <c r="K352" s="31" t="s">
        <v>882</v>
      </c>
      <c r="L352" s="2" t="str">
        <f t="shared" si="40"/>
        <v>Рихтовка</v>
      </c>
      <c r="M352" s="12">
        <f t="shared" si="41"/>
        <v>0</v>
      </c>
      <c r="N352" s="12">
        <f t="shared" si="42"/>
        <v>0</v>
      </c>
      <c r="O352" s="12">
        <f t="shared" si="43"/>
        <v>0</v>
      </c>
      <c r="P352" s="12">
        <f t="shared" si="44"/>
        <v>0</v>
      </c>
      <c r="Q352" s="12">
        <f t="shared" si="45"/>
        <v>0</v>
      </c>
      <c r="R352" s="12">
        <f t="shared" si="46"/>
        <v>0</v>
      </c>
      <c r="S352" s="12">
        <f t="shared" si="47"/>
        <v>0</v>
      </c>
      <c r="T352" s="31">
        <v>0</v>
      </c>
      <c r="U352" s="31">
        <v>0</v>
      </c>
      <c r="V352" s="31">
        <v>0</v>
      </c>
      <c r="W352" s="31">
        <v>0</v>
      </c>
      <c r="X352" s="31">
        <v>0</v>
      </c>
      <c r="Y352" s="31">
        <v>0</v>
      </c>
      <c r="Z352" s="31">
        <v>0</v>
      </c>
      <c r="AA352" s="31">
        <v>0</v>
      </c>
      <c r="AB352" s="31">
        <v>0</v>
      </c>
      <c r="AC352" s="31">
        <v>0</v>
      </c>
      <c r="AD352" s="31">
        <v>0</v>
      </c>
      <c r="AE352" s="31">
        <v>0</v>
      </c>
      <c r="AF352" s="31">
        <v>0</v>
      </c>
      <c r="AG352" s="31">
        <v>0</v>
      </c>
      <c r="AH352" s="31">
        <v>0</v>
      </c>
      <c r="AI352" s="31">
        <v>0</v>
      </c>
      <c r="AJ352" s="31">
        <v>0</v>
      </c>
      <c r="AK352" s="31">
        <v>0</v>
      </c>
      <c r="AL352" s="31">
        <v>0</v>
      </c>
      <c r="AM352" s="31">
        <v>0</v>
      </c>
      <c r="AN352" s="31">
        <v>0</v>
      </c>
      <c r="AO352" s="31">
        <v>0</v>
      </c>
      <c r="AP352" s="31">
        <v>0</v>
      </c>
    </row>
    <row r="353" spans="1:42" x14ac:dyDescent="0.25">
      <c r="A353" s="31">
        <v>5</v>
      </c>
      <c r="B353" s="31">
        <v>13808</v>
      </c>
      <c r="C353" s="31">
        <v>1</v>
      </c>
      <c r="D353" s="31" t="s">
        <v>744</v>
      </c>
      <c r="E353" s="31"/>
      <c r="F353" s="31">
        <v>0</v>
      </c>
      <c r="G353" s="31">
        <v>0</v>
      </c>
      <c r="H353" s="31">
        <v>0</v>
      </c>
      <c r="I353" s="31">
        <v>0</v>
      </c>
      <c r="J353" s="31">
        <v>0</v>
      </c>
      <c r="K353" s="31" t="s">
        <v>882</v>
      </c>
      <c r="L353" s="2" t="str">
        <f t="shared" si="40"/>
        <v>Рихтовка</v>
      </c>
      <c r="M353" s="12">
        <f t="shared" si="41"/>
        <v>0</v>
      </c>
      <c r="N353" s="12">
        <f t="shared" si="42"/>
        <v>0</v>
      </c>
      <c r="O353" s="12">
        <f t="shared" si="43"/>
        <v>0</v>
      </c>
      <c r="P353" s="12">
        <f t="shared" si="44"/>
        <v>0</v>
      </c>
      <c r="Q353" s="12">
        <f t="shared" si="45"/>
        <v>0</v>
      </c>
      <c r="R353" s="12">
        <f t="shared" si="46"/>
        <v>0</v>
      </c>
      <c r="S353" s="12">
        <f t="shared" si="47"/>
        <v>0</v>
      </c>
      <c r="T353" s="31">
        <v>0</v>
      </c>
      <c r="U353" s="31">
        <v>0</v>
      </c>
      <c r="V353" s="31">
        <v>0</v>
      </c>
      <c r="W353" s="31">
        <v>0</v>
      </c>
      <c r="X353" s="31">
        <v>0</v>
      </c>
      <c r="Y353" s="31">
        <v>0</v>
      </c>
      <c r="Z353" s="31">
        <v>0</v>
      </c>
      <c r="AA353" s="31">
        <v>0</v>
      </c>
      <c r="AB353" s="31">
        <v>0</v>
      </c>
      <c r="AC353" s="31">
        <v>0</v>
      </c>
      <c r="AD353" s="31">
        <v>0</v>
      </c>
      <c r="AE353" s="31">
        <v>0</v>
      </c>
      <c r="AF353" s="31">
        <v>0</v>
      </c>
      <c r="AG353" s="31">
        <v>0</v>
      </c>
      <c r="AH353" s="31">
        <v>0</v>
      </c>
      <c r="AI353" s="31">
        <v>0</v>
      </c>
      <c r="AJ353" s="31">
        <v>0</v>
      </c>
      <c r="AK353" s="31">
        <v>0</v>
      </c>
      <c r="AL353" s="31">
        <v>0</v>
      </c>
      <c r="AM353" s="31">
        <v>0</v>
      </c>
      <c r="AN353" s="31">
        <v>0</v>
      </c>
      <c r="AO353" s="31">
        <v>0</v>
      </c>
      <c r="AP353" s="31">
        <v>0</v>
      </c>
    </row>
    <row r="354" spans="1:42" x14ac:dyDescent="0.25">
      <c r="A354" s="31">
        <v>5</v>
      </c>
      <c r="B354" s="31">
        <v>13808</v>
      </c>
      <c r="C354" s="31">
        <v>1</v>
      </c>
      <c r="D354" s="31" t="s">
        <v>745</v>
      </c>
      <c r="E354" s="31"/>
      <c r="F354" s="31">
        <v>0</v>
      </c>
      <c r="G354" s="31">
        <v>0</v>
      </c>
      <c r="H354" s="31">
        <v>0</v>
      </c>
      <c r="I354" s="31">
        <v>0</v>
      </c>
      <c r="J354" s="31">
        <v>0</v>
      </c>
      <c r="K354" s="31" t="s">
        <v>882</v>
      </c>
      <c r="L354" s="2" t="str">
        <f t="shared" si="40"/>
        <v>Рихтовка</v>
      </c>
      <c r="M354" s="12">
        <f t="shared" si="41"/>
        <v>0</v>
      </c>
      <c r="N354" s="12">
        <f t="shared" si="42"/>
        <v>0</v>
      </c>
      <c r="O354" s="12">
        <f t="shared" si="43"/>
        <v>0</v>
      </c>
      <c r="P354" s="12">
        <f t="shared" si="44"/>
        <v>0</v>
      </c>
      <c r="Q354" s="12">
        <f t="shared" si="45"/>
        <v>0</v>
      </c>
      <c r="R354" s="12">
        <f t="shared" si="46"/>
        <v>0</v>
      </c>
      <c r="S354" s="12">
        <f t="shared" si="47"/>
        <v>0</v>
      </c>
      <c r="T354" s="31">
        <v>0</v>
      </c>
      <c r="U354" s="31">
        <v>0</v>
      </c>
      <c r="V354" s="31">
        <v>0</v>
      </c>
      <c r="W354" s="31">
        <v>0</v>
      </c>
      <c r="X354" s="31">
        <v>0</v>
      </c>
      <c r="Y354" s="31">
        <v>0</v>
      </c>
      <c r="Z354" s="31">
        <v>0</v>
      </c>
      <c r="AA354" s="31">
        <v>0</v>
      </c>
      <c r="AB354" s="31">
        <v>0</v>
      </c>
      <c r="AC354" s="31">
        <v>0</v>
      </c>
      <c r="AD354" s="31">
        <v>0</v>
      </c>
      <c r="AE354" s="31">
        <v>0</v>
      </c>
      <c r="AF354" s="31">
        <v>0</v>
      </c>
      <c r="AG354" s="31">
        <v>0</v>
      </c>
      <c r="AH354" s="31">
        <v>0</v>
      </c>
      <c r="AI354" s="31">
        <v>0</v>
      </c>
      <c r="AJ354" s="31">
        <v>0</v>
      </c>
      <c r="AK354" s="31">
        <v>0</v>
      </c>
      <c r="AL354" s="31">
        <v>0</v>
      </c>
      <c r="AM354" s="31">
        <v>0</v>
      </c>
      <c r="AN354" s="31">
        <v>0</v>
      </c>
      <c r="AO354" s="31">
        <v>0</v>
      </c>
      <c r="AP354" s="31">
        <v>0</v>
      </c>
    </row>
    <row r="355" spans="1:42" x14ac:dyDescent="0.25">
      <c r="A355" s="31">
        <v>5</v>
      </c>
      <c r="B355" s="31">
        <v>13808</v>
      </c>
      <c r="C355" s="31">
        <v>2</v>
      </c>
      <c r="D355" s="31" t="s">
        <v>734</v>
      </c>
      <c r="E355" s="31"/>
      <c r="F355" s="31">
        <v>0</v>
      </c>
      <c r="G355" s="31">
        <v>0</v>
      </c>
      <c r="H355" s="31">
        <v>0</v>
      </c>
      <c r="I355" s="31">
        <v>0</v>
      </c>
      <c r="J355" s="31">
        <v>0</v>
      </c>
      <c r="K355" s="31" t="s">
        <v>882</v>
      </c>
      <c r="L355" s="2" t="str">
        <f t="shared" si="40"/>
        <v>Рихтовка</v>
      </c>
      <c r="M355" s="12">
        <f t="shared" si="41"/>
        <v>0</v>
      </c>
      <c r="N355" s="12">
        <f t="shared" si="42"/>
        <v>0</v>
      </c>
      <c r="O355" s="12">
        <f t="shared" si="43"/>
        <v>0</v>
      </c>
      <c r="P355" s="12">
        <f t="shared" si="44"/>
        <v>0</v>
      </c>
      <c r="Q355" s="12">
        <f t="shared" si="45"/>
        <v>0</v>
      </c>
      <c r="R355" s="12">
        <f t="shared" si="46"/>
        <v>0</v>
      </c>
      <c r="S355" s="12">
        <f t="shared" si="47"/>
        <v>0</v>
      </c>
      <c r="T355" s="31">
        <v>0</v>
      </c>
      <c r="U355" s="31">
        <v>0</v>
      </c>
      <c r="V355" s="31">
        <v>0</v>
      </c>
      <c r="W355" s="31">
        <v>0</v>
      </c>
      <c r="X355" s="31">
        <v>0</v>
      </c>
      <c r="Y355" s="31">
        <v>0</v>
      </c>
      <c r="Z355" s="31">
        <v>0</v>
      </c>
      <c r="AA355" s="31">
        <v>0</v>
      </c>
      <c r="AB355" s="31">
        <v>0</v>
      </c>
      <c r="AC355" s="31">
        <v>0</v>
      </c>
      <c r="AD355" s="31">
        <v>0</v>
      </c>
      <c r="AE355" s="31">
        <v>0</v>
      </c>
      <c r="AF355" s="31">
        <v>0</v>
      </c>
      <c r="AG355" s="31">
        <v>0</v>
      </c>
      <c r="AH355" s="31">
        <v>0</v>
      </c>
      <c r="AI355" s="31">
        <v>0</v>
      </c>
      <c r="AJ355" s="31">
        <v>0</v>
      </c>
      <c r="AK355" s="31">
        <v>0</v>
      </c>
      <c r="AL355" s="31">
        <v>0</v>
      </c>
      <c r="AM355" s="31">
        <v>0</v>
      </c>
      <c r="AN355" s="31">
        <v>0</v>
      </c>
      <c r="AO355" s="31">
        <v>0</v>
      </c>
      <c r="AP355" s="31">
        <v>0</v>
      </c>
    </row>
    <row r="356" spans="1:42" x14ac:dyDescent="0.25">
      <c r="A356" s="31">
        <v>5</v>
      </c>
      <c r="B356" s="31">
        <v>13808</v>
      </c>
      <c r="C356" s="31">
        <v>2</v>
      </c>
      <c r="D356" s="31" t="s">
        <v>735</v>
      </c>
      <c r="E356" s="31"/>
      <c r="F356" s="31">
        <v>0</v>
      </c>
      <c r="G356" s="31">
        <v>0</v>
      </c>
      <c r="H356" s="31">
        <v>0</v>
      </c>
      <c r="I356" s="31">
        <v>0</v>
      </c>
      <c r="J356" s="31">
        <v>0</v>
      </c>
      <c r="K356" s="31" t="s">
        <v>882</v>
      </c>
      <c r="L356" s="2" t="str">
        <f t="shared" si="40"/>
        <v>Рихтовка</v>
      </c>
      <c r="M356" s="12">
        <f t="shared" si="41"/>
        <v>0</v>
      </c>
      <c r="N356" s="12">
        <f t="shared" si="42"/>
        <v>0</v>
      </c>
      <c r="O356" s="12">
        <f t="shared" si="43"/>
        <v>0</v>
      </c>
      <c r="P356" s="12">
        <f t="shared" si="44"/>
        <v>0</v>
      </c>
      <c r="Q356" s="12">
        <f t="shared" si="45"/>
        <v>0</v>
      </c>
      <c r="R356" s="12">
        <f t="shared" si="46"/>
        <v>0</v>
      </c>
      <c r="S356" s="12">
        <f t="shared" si="47"/>
        <v>0</v>
      </c>
      <c r="T356" s="31">
        <v>0</v>
      </c>
      <c r="U356" s="31">
        <v>0</v>
      </c>
      <c r="V356" s="31">
        <v>0</v>
      </c>
      <c r="W356" s="31">
        <v>0</v>
      </c>
      <c r="X356" s="31">
        <v>0</v>
      </c>
      <c r="Y356" s="31">
        <v>0</v>
      </c>
      <c r="Z356" s="31">
        <v>0</v>
      </c>
      <c r="AA356" s="31">
        <v>0</v>
      </c>
      <c r="AB356" s="31">
        <v>0</v>
      </c>
      <c r="AC356" s="31">
        <v>0</v>
      </c>
      <c r="AD356" s="31">
        <v>0</v>
      </c>
      <c r="AE356" s="31">
        <v>0</v>
      </c>
      <c r="AF356" s="31">
        <v>0</v>
      </c>
      <c r="AG356" s="31">
        <v>0</v>
      </c>
      <c r="AH356" s="31">
        <v>0</v>
      </c>
      <c r="AI356" s="31">
        <v>0</v>
      </c>
      <c r="AJ356" s="31">
        <v>0</v>
      </c>
      <c r="AK356" s="31">
        <v>0</v>
      </c>
      <c r="AL356" s="31">
        <v>0</v>
      </c>
      <c r="AM356" s="31">
        <v>0</v>
      </c>
      <c r="AN356" s="31">
        <v>0</v>
      </c>
      <c r="AO356" s="31">
        <v>0</v>
      </c>
      <c r="AP356" s="31">
        <v>0</v>
      </c>
    </row>
    <row r="357" spans="1:42" x14ac:dyDescent="0.25">
      <c r="A357" s="31">
        <v>5</v>
      </c>
      <c r="B357" s="31">
        <v>13808</v>
      </c>
      <c r="C357" s="31">
        <v>2</v>
      </c>
      <c r="D357" s="31" t="s">
        <v>736</v>
      </c>
      <c r="E357" s="31"/>
      <c r="F357" s="31">
        <v>0</v>
      </c>
      <c r="G357" s="31">
        <v>0</v>
      </c>
      <c r="H357" s="31">
        <v>0</v>
      </c>
      <c r="I357" s="31">
        <v>0</v>
      </c>
      <c r="J357" s="31">
        <v>0</v>
      </c>
      <c r="K357" s="31" t="s">
        <v>882</v>
      </c>
      <c r="L357" s="2" t="str">
        <f t="shared" si="40"/>
        <v>Рихтовка</v>
      </c>
      <c r="M357" s="12">
        <f t="shared" si="41"/>
        <v>0</v>
      </c>
      <c r="N357" s="12">
        <f t="shared" si="42"/>
        <v>0</v>
      </c>
      <c r="O357" s="12">
        <f t="shared" si="43"/>
        <v>0</v>
      </c>
      <c r="P357" s="12">
        <f t="shared" si="44"/>
        <v>0</v>
      </c>
      <c r="Q357" s="12">
        <f t="shared" si="45"/>
        <v>0</v>
      </c>
      <c r="R357" s="12">
        <f t="shared" si="46"/>
        <v>0</v>
      </c>
      <c r="S357" s="12">
        <f t="shared" si="47"/>
        <v>0</v>
      </c>
      <c r="T357" s="31">
        <v>0</v>
      </c>
      <c r="U357" s="31">
        <v>0</v>
      </c>
      <c r="V357" s="31">
        <v>0</v>
      </c>
      <c r="W357" s="31">
        <v>0</v>
      </c>
      <c r="X357" s="31">
        <v>0</v>
      </c>
      <c r="Y357" s="31">
        <v>0</v>
      </c>
      <c r="Z357" s="31">
        <v>0</v>
      </c>
      <c r="AA357" s="31">
        <v>0</v>
      </c>
      <c r="AB357" s="31">
        <v>0</v>
      </c>
      <c r="AC357" s="31">
        <v>0</v>
      </c>
      <c r="AD357" s="31">
        <v>0</v>
      </c>
      <c r="AE357" s="31">
        <v>0</v>
      </c>
      <c r="AF357" s="31">
        <v>0</v>
      </c>
      <c r="AG357" s="31">
        <v>0</v>
      </c>
      <c r="AH357" s="31">
        <v>0</v>
      </c>
      <c r="AI357" s="31">
        <v>0</v>
      </c>
      <c r="AJ357" s="31">
        <v>0</v>
      </c>
      <c r="AK357" s="31">
        <v>0</v>
      </c>
      <c r="AL357" s="31">
        <v>0</v>
      </c>
      <c r="AM357" s="31">
        <v>0</v>
      </c>
      <c r="AN357" s="31">
        <v>0</v>
      </c>
      <c r="AO357" s="31">
        <v>0</v>
      </c>
      <c r="AP357" s="31">
        <v>0</v>
      </c>
    </row>
    <row r="358" spans="1:42" x14ac:dyDescent="0.25">
      <c r="A358" s="31">
        <v>5</v>
      </c>
      <c r="B358" s="31">
        <v>13808</v>
      </c>
      <c r="C358" s="31">
        <v>2</v>
      </c>
      <c r="D358" s="31" t="s">
        <v>737</v>
      </c>
      <c r="E358" s="31"/>
      <c r="F358" s="31">
        <v>0</v>
      </c>
      <c r="G358" s="31">
        <v>0</v>
      </c>
      <c r="H358" s="31">
        <v>0</v>
      </c>
      <c r="I358" s="31">
        <v>0</v>
      </c>
      <c r="J358" s="31">
        <v>0</v>
      </c>
      <c r="K358" s="31" t="s">
        <v>882</v>
      </c>
      <c r="L358" s="2" t="str">
        <f t="shared" si="40"/>
        <v>Рихтовка</v>
      </c>
      <c r="M358" s="12">
        <f t="shared" si="41"/>
        <v>0</v>
      </c>
      <c r="N358" s="12">
        <f t="shared" si="42"/>
        <v>0</v>
      </c>
      <c r="O358" s="12">
        <f t="shared" si="43"/>
        <v>0</v>
      </c>
      <c r="P358" s="12">
        <f t="shared" si="44"/>
        <v>0</v>
      </c>
      <c r="Q358" s="12">
        <f t="shared" si="45"/>
        <v>0</v>
      </c>
      <c r="R358" s="12">
        <f t="shared" si="46"/>
        <v>0</v>
      </c>
      <c r="S358" s="12">
        <f t="shared" si="47"/>
        <v>0</v>
      </c>
      <c r="T358" s="31">
        <v>0</v>
      </c>
      <c r="U358" s="31">
        <v>0</v>
      </c>
      <c r="V358" s="31">
        <v>0</v>
      </c>
      <c r="W358" s="31">
        <v>0</v>
      </c>
      <c r="X358" s="31">
        <v>0</v>
      </c>
      <c r="Y358" s="31">
        <v>0</v>
      </c>
      <c r="Z358" s="31">
        <v>0</v>
      </c>
      <c r="AA358" s="31">
        <v>0</v>
      </c>
      <c r="AB358" s="31">
        <v>0</v>
      </c>
      <c r="AC358" s="31">
        <v>0</v>
      </c>
      <c r="AD358" s="31">
        <v>0</v>
      </c>
      <c r="AE358" s="31">
        <v>0</v>
      </c>
      <c r="AF358" s="31">
        <v>0</v>
      </c>
      <c r="AG358" s="31">
        <v>0</v>
      </c>
      <c r="AH358" s="31">
        <v>0</v>
      </c>
      <c r="AI358" s="31">
        <v>0</v>
      </c>
      <c r="AJ358" s="31">
        <v>0</v>
      </c>
      <c r="AK358" s="31">
        <v>0</v>
      </c>
      <c r="AL358" s="31">
        <v>0</v>
      </c>
      <c r="AM358" s="31">
        <v>0</v>
      </c>
      <c r="AN358" s="31">
        <v>0</v>
      </c>
      <c r="AO358" s="31">
        <v>0</v>
      </c>
      <c r="AP358" s="31">
        <v>0</v>
      </c>
    </row>
    <row r="359" spans="1:42" x14ac:dyDescent="0.25">
      <c r="A359" s="31">
        <v>5</v>
      </c>
      <c r="B359" s="31">
        <v>13808</v>
      </c>
      <c r="C359" s="31">
        <v>2</v>
      </c>
      <c r="D359" s="31" t="s">
        <v>738</v>
      </c>
      <c r="E359" s="31"/>
      <c r="F359" s="31">
        <v>0</v>
      </c>
      <c r="G359" s="31">
        <v>0</v>
      </c>
      <c r="H359" s="31">
        <v>0</v>
      </c>
      <c r="I359" s="31">
        <v>0</v>
      </c>
      <c r="J359" s="31">
        <v>0</v>
      </c>
      <c r="K359" s="31" t="s">
        <v>882</v>
      </c>
      <c r="L359" s="2" t="str">
        <f t="shared" si="40"/>
        <v>Рихтовка</v>
      </c>
      <c r="M359" s="12">
        <f t="shared" si="41"/>
        <v>0</v>
      </c>
      <c r="N359" s="12">
        <f t="shared" si="42"/>
        <v>0</v>
      </c>
      <c r="O359" s="12">
        <f t="shared" si="43"/>
        <v>0</v>
      </c>
      <c r="P359" s="12">
        <f t="shared" si="44"/>
        <v>0</v>
      </c>
      <c r="Q359" s="12">
        <f t="shared" si="45"/>
        <v>0</v>
      </c>
      <c r="R359" s="12">
        <f t="shared" si="46"/>
        <v>0</v>
      </c>
      <c r="S359" s="12">
        <f t="shared" si="47"/>
        <v>0</v>
      </c>
      <c r="T359" s="31">
        <v>0</v>
      </c>
      <c r="U359" s="31">
        <v>0</v>
      </c>
      <c r="V359" s="31">
        <v>0</v>
      </c>
      <c r="W359" s="31">
        <v>0</v>
      </c>
      <c r="X359" s="31">
        <v>0</v>
      </c>
      <c r="Y359" s="31">
        <v>0</v>
      </c>
      <c r="Z359" s="31">
        <v>0</v>
      </c>
      <c r="AA359" s="31">
        <v>0</v>
      </c>
      <c r="AB359" s="31">
        <v>0</v>
      </c>
      <c r="AC359" s="31">
        <v>0</v>
      </c>
      <c r="AD359" s="31">
        <v>0</v>
      </c>
      <c r="AE359" s="31">
        <v>0</v>
      </c>
      <c r="AF359" s="31">
        <v>0</v>
      </c>
      <c r="AG359" s="31">
        <v>0</v>
      </c>
      <c r="AH359" s="31">
        <v>0</v>
      </c>
      <c r="AI359" s="31">
        <v>0</v>
      </c>
      <c r="AJ359" s="31">
        <v>0</v>
      </c>
      <c r="AK359" s="31">
        <v>0</v>
      </c>
      <c r="AL359" s="31">
        <v>0</v>
      </c>
      <c r="AM359" s="31">
        <v>0</v>
      </c>
      <c r="AN359" s="31">
        <v>0</v>
      </c>
      <c r="AO359" s="31">
        <v>0</v>
      </c>
      <c r="AP359" s="31">
        <v>0</v>
      </c>
    </row>
    <row r="360" spans="1:42" x14ac:dyDescent="0.25">
      <c r="A360" s="31">
        <v>5</v>
      </c>
      <c r="B360" s="31">
        <v>13808</v>
      </c>
      <c r="C360" s="31">
        <v>2</v>
      </c>
      <c r="D360" s="31" t="s">
        <v>739</v>
      </c>
      <c r="E360" s="31"/>
      <c r="F360" s="31">
        <v>0</v>
      </c>
      <c r="G360" s="31">
        <v>0</v>
      </c>
      <c r="H360" s="31">
        <v>0</v>
      </c>
      <c r="I360" s="31">
        <v>0</v>
      </c>
      <c r="J360" s="31">
        <v>0</v>
      </c>
      <c r="K360" s="31" t="s">
        <v>882</v>
      </c>
      <c r="L360" s="2" t="str">
        <f t="shared" si="40"/>
        <v>Рихтовка</v>
      </c>
      <c r="M360" s="12">
        <f t="shared" si="41"/>
        <v>0</v>
      </c>
      <c r="N360" s="12">
        <f t="shared" si="42"/>
        <v>0</v>
      </c>
      <c r="O360" s="12">
        <f t="shared" si="43"/>
        <v>0</v>
      </c>
      <c r="P360" s="12">
        <f t="shared" si="44"/>
        <v>0</v>
      </c>
      <c r="Q360" s="12">
        <f t="shared" si="45"/>
        <v>0</v>
      </c>
      <c r="R360" s="12">
        <f t="shared" si="46"/>
        <v>0</v>
      </c>
      <c r="S360" s="12">
        <f t="shared" si="47"/>
        <v>0</v>
      </c>
      <c r="T360" s="31">
        <v>0</v>
      </c>
      <c r="U360" s="31">
        <v>0</v>
      </c>
      <c r="V360" s="31">
        <v>0</v>
      </c>
      <c r="W360" s="31">
        <v>0</v>
      </c>
      <c r="X360" s="31">
        <v>0</v>
      </c>
      <c r="Y360" s="31">
        <v>0</v>
      </c>
      <c r="Z360" s="31">
        <v>0</v>
      </c>
      <c r="AA360" s="31">
        <v>0</v>
      </c>
      <c r="AB360" s="31">
        <v>0</v>
      </c>
      <c r="AC360" s="31">
        <v>0</v>
      </c>
      <c r="AD360" s="31">
        <v>0</v>
      </c>
      <c r="AE360" s="31">
        <v>0</v>
      </c>
      <c r="AF360" s="31">
        <v>0</v>
      </c>
      <c r="AG360" s="31">
        <v>0</v>
      </c>
      <c r="AH360" s="31">
        <v>0</v>
      </c>
      <c r="AI360" s="31">
        <v>0</v>
      </c>
      <c r="AJ360" s="31">
        <v>0</v>
      </c>
      <c r="AK360" s="31">
        <v>0</v>
      </c>
      <c r="AL360" s="31">
        <v>0</v>
      </c>
      <c r="AM360" s="31">
        <v>0</v>
      </c>
      <c r="AN360" s="31">
        <v>0</v>
      </c>
      <c r="AO360" s="31">
        <v>0</v>
      </c>
      <c r="AP360" s="31">
        <v>0</v>
      </c>
    </row>
    <row r="361" spans="1:42" x14ac:dyDescent="0.25">
      <c r="A361" s="31">
        <v>5</v>
      </c>
      <c r="B361" s="31">
        <v>13808</v>
      </c>
      <c r="C361" s="31">
        <v>2</v>
      </c>
      <c r="D361" s="31" t="s">
        <v>740</v>
      </c>
      <c r="E361" s="31"/>
      <c r="F361" s="31">
        <v>0</v>
      </c>
      <c r="G361" s="31">
        <v>0</v>
      </c>
      <c r="H361" s="31">
        <v>0</v>
      </c>
      <c r="I361" s="31">
        <v>0</v>
      </c>
      <c r="J361" s="31">
        <v>0</v>
      </c>
      <c r="K361" s="31" t="s">
        <v>882</v>
      </c>
      <c r="L361" s="2" t="str">
        <f t="shared" si="40"/>
        <v>Рихтовка</v>
      </c>
      <c r="M361" s="12">
        <f t="shared" si="41"/>
        <v>0</v>
      </c>
      <c r="N361" s="12">
        <f t="shared" si="42"/>
        <v>0</v>
      </c>
      <c r="O361" s="12">
        <f t="shared" si="43"/>
        <v>0</v>
      </c>
      <c r="P361" s="12">
        <f t="shared" si="44"/>
        <v>0</v>
      </c>
      <c r="Q361" s="12">
        <f t="shared" si="45"/>
        <v>0</v>
      </c>
      <c r="R361" s="12">
        <f t="shared" si="46"/>
        <v>0</v>
      </c>
      <c r="S361" s="12">
        <f t="shared" si="47"/>
        <v>0</v>
      </c>
      <c r="T361" s="31">
        <v>0</v>
      </c>
      <c r="U361" s="31">
        <v>0</v>
      </c>
      <c r="V361" s="31">
        <v>0</v>
      </c>
      <c r="W361" s="31">
        <v>0</v>
      </c>
      <c r="X361" s="31">
        <v>0</v>
      </c>
      <c r="Y361" s="31">
        <v>0</v>
      </c>
      <c r="Z361" s="31">
        <v>0</v>
      </c>
      <c r="AA361" s="31">
        <v>0</v>
      </c>
      <c r="AB361" s="31">
        <v>0</v>
      </c>
      <c r="AC361" s="31">
        <v>0</v>
      </c>
      <c r="AD361" s="31">
        <v>0</v>
      </c>
      <c r="AE361" s="31">
        <v>0</v>
      </c>
      <c r="AF361" s="31">
        <v>0</v>
      </c>
      <c r="AG361" s="31">
        <v>0</v>
      </c>
      <c r="AH361" s="31">
        <v>0</v>
      </c>
      <c r="AI361" s="31">
        <v>0</v>
      </c>
      <c r="AJ361" s="31">
        <v>0</v>
      </c>
      <c r="AK361" s="31">
        <v>0</v>
      </c>
      <c r="AL361" s="31">
        <v>0</v>
      </c>
      <c r="AM361" s="31">
        <v>0</v>
      </c>
      <c r="AN361" s="31">
        <v>0</v>
      </c>
      <c r="AO361" s="31">
        <v>0</v>
      </c>
      <c r="AP361" s="31">
        <v>0</v>
      </c>
    </row>
    <row r="362" spans="1:42" x14ac:dyDescent="0.25">
      <c r="A362" s="31">
        <v>5</v>
      </c>
      <c r="B362" s="31">
        <v>13808</v>
      </c>
      <c r="C362" s="31">
        <v>2</v>
      </c>
      <c r="D362" s="31" t="s">
        <v>741</v>
      </c>
      <c r="E362" s="31"/>
      <c r="F362" s="31">
        <v>0</v>
      </c>
      <c r="G362" s="31">
        <v>0</v>
      </c>
      <c r="H362" s="31">
        <v>0</v>
      </c>
      <c r="I362" s="31">
        <v>0</v>
      </c>
      <c r="J362" s="31">
        <v>0</v>
      </c>
      <c r="K362" s="31" t="s">
        <v>882</v>
      </c>
      <c r="L362" s="2" t="str">
        <f t="shared" si="40"/>
        <v>Рихтовка</v>
      </c>
      <c r="M362" s="12">
        <f t="shared" si="41"/>
        <v>0</v>
      </c>
      <c r="N362" s="12">
        <f t="shared" si="42"/>
        <v>0</v>
      </c>
      <c r="O362" s="12">
        <f t="shared" si="43"/>
        <v>0</v>
      </c>
      <c r="P362" s="12">
        <f t="shared" si="44"/>
        <v>0</v>
      </c>
      <c r="Q362" s="12">
        <f t="shared" si="45"/>
        <v>0</v>
      </c>
      <c r="R362" s="12">
        <f t="shared" si="46"/>
        <v>0</v>
      </c>
      <c r="S362" s="12">
        <f t="shared" si="47"/>
        <v>0</v>
      </c>
      <c r="T362" s="31">
        <v>0</v>
      </c>
      <c r="U362" s="31">
        <v>0</v>
      </c>
      <c r="V362" s="31">
        <v>0</v>
      </c>
      <c r="W362" s="31">
        <v>0</v>
      </c>
      <c r="X362" s="31">
        <v>0</v>
      </c>
      <c r="Y362" s="31">
        <v>0</v>
      </c>
      <c r="Z362" s="31">
        <v>0</v>
      </c>
      <c r="AA362" s="31">
        <v>0</v>
      </c>
      <c r="AB362" s="31">
        <v>0</v>
      </c>
      <c r="AC362" s="31">
        <v>0</v>
      </c>
      <c r="AD362" s="31">
        <v>0</v>
      </c>
      <c r="AE362" s="31">
        <v>0</v>
      </c>
      <c r="AF362" s="31">
        <v>0</v>
      </c>
      <c r="AG362" s="31">
        <v>0</v>
      </c>
      <c r="AH362" s="31">
        <v>0</v>
      </c>
      <c r="AI362" s="31">
        <v>0</v>
      </c>
      <c r="AJ362" s="31">
        <v>0</v>
      </c>
      <c r="AK362" s="31">
        <v>0</v>
      </c>
      <c r="AL362" s="31">
        <v>0</v>
      </c>
      <c r="AM362" s="31">
        <v>0</v>
      </c>
      <c r="AN362" s="31">
        <v>0</v>
      </c>
      <c r="AO362" s="31">
        <v>0</v>
      </c>
      <c r="AP362" s="31">
        <v>0</v>
      </c>
    </row>
    <row r="363" spans="1:42" x14ac:dyDescent="0.25">
      <c r="A363" s="31">
        <v>5</v>
      </c>
      <c r="B363" s="31">
        <v>13808</v>
      </c>
      <c r="C363" s="31">
        <v>2</v>
      </c>
      <c r="D363" s="31" t="s">
        <v>742</v>
      </c>
      <c r="E363" s="31"/>
      <c r="F363" s="31">
        <v>0</v>
      </c>
      <c r="G363" s="31">
        <v>0</v>
      </c>
      <c r="H363" s="31">
        <v>0</v>
      </c>
      <c r="I363" s="31">
        <v>0</v>
      </c>
      <c r="J363" s="31">
        <v>0</v>
      </c>
      <c r="K363" s="31" t="s">
        <v>882</v>
      </c>
      <c r="L363" s="2" t="str">
        <f t="shared" si="40"/>
        <v>Рихтовка</v>
      </c>
      <c r="M363" s="12">
        <f t="shared" si="41"/>
        <v>0</v>
      </c>
      <c r="N363" s="12">
        <f t="shared" si="42"/>
        <v>0</v>
      </c>
      <c r="O363" s="12">
        <f t="shared" si="43"/>
        <v>0</v>
      </c>
      <c r="P363" s="12">
        <f t="shared" si="44"/>
        <v>0</v>
      </c>
      <c r="Q363" s="12">
        <f t="shared" si="45"/>
        <v>0</v>
      </c>
      <c r="R363" s="12">
        <f t="shared" si="46"/>
        <v>0</v>
      </c>
      <c r="S363" s="12">
        <f t="shared" si="47"/>
        <v>0</v>
      </c>
      <c r="T363" s="31">
        <v>0</v>
      </c>
      <c r="U363" s="31">
        <v>0</v>
      </c>
      <c r="V363" s="31">
        <v>0</v>
      </c>
      <c r="W363" s="31">
        <v>0</v>
      </c>
      <c r="X363" s="31">
        <v>0</v>
      </c>
      <c r="Y363" s="31">
        <v>0</v>
      </c>
      <c r="Z363" s="31">
        <v>0</v>
      </c>
      <c r="AA363" s="31">
        <v>0</v>
      </c>
      <c r="AB363" s="31">
        <v>0</v>
      </c>
      <c r="AC363" s="31">
        <v>0</v>
      </c>
      <c r="AD363" s="31">
        <v>0</v>
      </c>
      <c r="AE363" s="31">
        <v>0</v>
      </c>
      <c r="AF363" s="31">
        <v>0</v>
      </c>
      <c r="AG363" s="31">
        <v>0</v>
      </c>
      <c r="AH363" s="31">
        <v>0</v>
      </c>
      <c r="AI363" s="31">
        <v>0</v>
      </c>
      <c r="AJ363" s="31">
        <v>0</v>
      </c>
      <c r="AK363" s="31">
        <v>0</v>
      </c>
      <c r="AL363" s="31">
        <v>0</v>
      </c>
      <c r="AM363" s="31">
        <v>0</v>
      </c>
      <c r="AN363" s="31">
        <v>0</v>
      </c>
      <c r="AO363" s="31">
        <v>0</v>
      </c>
      <c r="AP363" s="31">
        <v>0</v>
      </c>
    </row>
    <row r="364" spans="1:42" x14ac:dyDescent="0.25">
      <c r="A364" s="31">
        <v>5</v>
      </c>
      <c r="B364" s="31">
        <v>13808</v>
      </c>
      <c r="C364" s="31">
        <v>2</v>
      </c>
      <c r="D364" s="31" t="s">
        <v>743</v>
      </c>
      <c r="E364" s="31"/>
      <c r="F364" s="31">
        <v>0</v>
      </c>
      <c r="G364" s="31">
        <v>0</v>
      </c>
      <c r="H364" s="31">
        <v>0</v>
      </c>
      <c r="I364" s="31">
        <v>0</v>
      </c>
      <c r="J364" s="31">
        <v>0</v>
      </c>
      <c r="K364" s="31" t="s">
        <v>882</v>
      </c>
      <c r="L364" s="2" t="str">
        <f t="shared" si="40"/>
        <v>Рихтовка</v>
      </c>
      <c r="M364" s="12">
        <f t="shared" si="41"/>
        <v>0</v>
      </c>
      <c r="N364" s="12">
        <f t="shared" si="42"/>
        <v>0</v>
      </c>
      <c r="O364" s="12">
        <f t="shared" si="43"/>
        <v>0</v>
      </c>
      <c r="P364" s="12">
        <f t="shared" si="44"/>
        <v>0</v>
      </c>
      <c r="Q364" s="12">
        <f t="shared" si="45"/>
        <v>0</v>
      </c>
      <c r="R364" s="12">
        <f t="shared" si="46"/>
        <v>0</v>
      </c>
      <c r="S364" s="12">
        <f t="shared" si="47"/>
        <v>0</v>
      </c>
      <c r="T364" s="31">
        <v>0</v>
      </c>
      <c r="U364" s="31">
        <v>0</v>
      </c>
      <c r="V364" s="31">
        <v>0</v>
      </c>
      <c r="W364" s="31">
        <v>0</v>
      </c>
      <c r="X364" s="31">
        <v>0</v>
      </c>
      <c r="Y364" s="31">
        <v>0</v>
      </c>
      <c r="Z364" s="31">
        <v>0</v>
      </c>
      <c r="AA364" s="31">
        <v>0</v>
      </c>
      <c r="AB364" s="31">
        <v>0</v>
      </c>
      <c r="AC364" s="31">
        <v>0</v>
      </c>
      <c r="AD364" s="31">
        <v>0</v>
      </c>
      <c r="AE364" s="31">
        <v>0</v>
      </c>
      <c r="AF364" s="31">
        <v>0</v>
      </c>
      <c r="AG364" s="31">
        <v>0</v>
      </c>
      <c r="AH364" s="31">
        <v>0</v>
      </c>
      <c r="AI364" s="31">
        <v>0</v>
      </c>
      <c r="AJ364" s="31">
        <v>0</v>
      </c>
      <c r="AK364" s="31">
        <v>0</v>
      </c>
      <c r="AL364" s="31">
        <v>0</v>
      </c>
      <c r="AM364" s="31">
        <v>0</v>
      </c>
      <c r="AN364" s="31">
        <v>0</v>
      </c>
      <c r="AO364" s="31">
        <v>0</v>
      </c>
      <c r="AP364" s="31">
        <v>0</v>
      </c>
    </row>
    <row r="365" spans="1:42" x14ac:dyDescent="0.25">
      <c r="A365" s="31">
        <v>5</v>
      </c>
      <c r="B365" s="31">
        <v>13808</v>
      </c>
      <c r="C365" s="31">
        <v>2</v>
      </c>
      <c r="D365" s="31" t="s">
        <v>744</v>
      </c>
      <c r="E365" s="31"/>
      <c r="F365" s="31">
        <v>0</v>
      </c>
      <c r="G365" s="31">
        <v>0</v>
      </c>
      <c r="H365" s="31">
        <v>0</v>
      </c>
      <c r="I365" s="31">
        <v>0</v>
      </c>
      <c r="J365" s="31">
        <v>0</v>
      </c>
      <c r="K365" s="31" t="s">
        <v>882</v>
      </c>
      <c r="L365" s="2" t="str">
        <f t="shared" si="40"/>
        <v>Рихтовка</v>
      </c>
      <c r="M365" s="12">
        <f t="shared" si="41"/>
        <v>0</v>
      </c>
      <c r="N365" s="12">
        <f t="shared" si="42"/>
        <v>0</v>
      </c>
      <c r="O365" s="12">
        <f t="shared" si="43"/>
        <v>0</v>
      </c>
      <c r="P365" s="12">
        <f t="shared" si="44"/>
        <v>0</v>
      </c>
      <c r="Q365" s="12">
        <f t="shared" si="45"/>
        <v>0</v>
      </c>
      <c r="R365" s="12">
        <f t="shared" si="46"/>
        <v>0</v>
      </c>
      <c r="S365" s="12">
        <f t="shared" si="47"/>
        <v>0</v>
      </c>
      <c r="T365" s="31">
        <v>0</v>
      </c>
      <c r="U365" s="31">
        <v>0</v>
      </c>
      <c r="V365" s="31">
        <v>0</v>
      </c>
      <c r="W365" s="31">
        <v>0</v>
      </c>
      <c r="X365" s="31">
        <v>0</v>
      </c>
      <c r="Y365" s="31">
        <v>0</v>
      </c>
      <c r="Z365" s="31">
        <v>0</v>
      </c>
      <c r="AA365" s="31">
        <v>0</v>
      </c>
      <c r="AB365" s="31">
        <v>0</v>
      </c>
      <c r="AC365" s="31">
        <v>0</v>
      </c>
      <c r="AD365" s="31">
        <v>0</v>
      </c>
      <c r="AE365" s="31">
        <v>0</v>
      </c>
      <c r="AF365" s="31">
        <v>0</v>
      </c>
      <c r="AG365" s="31">
        <v>0</v>
      </c>
      <c r="AH365" s="31">
        <v>0</v>
      </c>
      <c r="AI365" s="31">
        <v>0</v>
      </c>
      <c r="AJ365" s="31">
        <v>0</v>
      </c>
      <c r="AK365" s="31">
        <v>0</v>
      </c>
      <c r="AL365" s="31">
        <v>0</v>
      </c>
      <c r="AM365" s="31">
        <v>0</v>
      </c>
      <c r="AN365" s="31">
        <v>0</v>
      </c>
      <c r="AO365" s="31">
        <v>0</v>
      </c>
      <c r="AP365" s="31">
        <v>0</v>
      </c>
    </row>
    <row r="366" spans="1:42" x14ac:dyDescent="0.25">
      <c r="A366" s="31">
        <v>5</v>
      </c>
      <c r="B366" s="31">
        <v>13808</v>
      </c>
      <c r="C366" s="31">
        <v>2</v>
      </c>
      <c r="D366" s="31" t="s">
        <v>745</v>
      </c>
      <c r="E366" s="31"/>
      <c r="F366" s="31">
        <v>0</v>
      </c>
      <c r="G366" s="31">
        <v>0</v>
      </c>
      <c r="H366" s="31">
        <v>0</v>
      </c>
      <c r="I366" s="31">
        <v>0</v>
      </c>
      <c r="J366" s="31">
        <v>0</v>
      </c>
      <c r="K366" s="31" t="s">
        <v>882</v>
      </c>
      <c r="L366" s="2" t="str">
        <f t="shared" si="40"/>
        <v>Рихтовка</v>
      </c>
      <c r="M366" s="12">
        <f t="shared" si="41"/>
        <v>0</v>
      </c>
      <c r="N366" s="12">
        <f t="shared" si="42"/>
        <v>0</v>
      </c>
      <c r="O366" s="12">
        <f t="shared" si="43"/>
        <v>0</v>
      </c>
      <c r="P366" s="12">
        <f t="shared" si="44"/>
        <v>0</v>
      </c>
      <c r="Q366" s="12">
        <f t="shared" si="45"/>
        <v>0</v>
      </c>
      <c r="R366" s="12">
        <f t="shared" si="46"/>
        <v>0</v>
      </c>
      <c r="S366" s="12">
        <f t="shared" si="47"/>
        <v>0</v>
      </c>
      <c r="T366" s="31">
        <v>0</v>
      </c>
      <c r="U366" s="31">
        <v>0</v>
      </c>
      <c r="V366" s="31">
        <v>0</v>
      </c>
      <c r="W366" s="31">
        <v>0</v>
      </c>
      <c r="X366" s="31">
        <v>0</v>
      </c>
      <c r="Y366" s="31">
        <v>0</v>
      </c>
      <c r="Z366" s="31">
        <v>0</v>
      </c>
      <c r="AA366" s="31">
        <v>0</v>
      </c>
      <c r="AB366" s="31">
        <v>0</v>
      </c>
      <c r="AC366" s="31">
        <v>0</v>
      </c>
      <c r="AD366" s="31">
        <v>0</v>
      </c>
      <c r="AE366" s="31">
        <v>0</v>
      </c>
      <c r="AF366" s="31">
        <v>0</v>
      </c>
      <c r="AG366" s="31">
        <v>0</v>
      </c>
      <c r="AH366" s="31">
        <v>0</v>
      </c>
      <c r="AI366" s="31">
        <v>0</v>
      </c>
      <c r="AJ366" s="31">
        <v>0</v>
      </c>
      <c r="AK366" s="31">
        <v>0</v>
      </c>
      <c r="AL366" s="31">
        <v>0</v>
      </c>
      <c r="AM366" s="31">
        <v>0</v>
      </c>
      <c r="AN366" s="31">
        <v>0</v>
      </c>
      <c r="AO366" s="31">
        <v>0</v>
      </c>
      <c r="AP366" s="31">
        <v>0</v>
      </c>
    </row>
    <row r="367" spans="1:42" x14ac:dyDescent="0.25">
      <c r="A367" s="31">
        <v>5</v>
      </c>
      <c r="B367" s="31">
        <v>13808</v>
      </c>
      <c r="C367" s="31" t="s">
        <v>421</v>
      </c>
      <c r="D367" s="31" t="s">
        <v>746</v>
      </c>
      <c r="E367" s="31"/>
      <c r="F367" s="31">
        <v>0</v>
      </c>
      <c r="G367" s="31">
        <v>0</v>
      </c>
      <c r="H367" s="31">
        <v>0</v>
      </c>
      <c r="I367" s="31">
        <v>0</v>
      </c>
      <c r="J367" s="31">
        <v>0</v>
      </c>
      <c r="K367" s="31" t="s">
        <v>882</v>
      </c>
      <c r="L367" s="2" t="str">
        <f t="shared" si="40"/>
        <v>Рихтовка</v>
      </c>
      <c r="M367" s="12">
        <f t="shared" si="41"/>
        <v>0</v>
      </c>
      <c r="N367" s="12">
        <f t="shared" si="42"/>
        <v>0</v>
      </c>
      <c r="O367" s="12">
        <f t="shared" si="43"/>
        <v>0</v>
      </c>
      <c r="P367" s="12">
        <f t="shared" si="44"/>
        <v>0</v>
      </c>
      <c r="Q367" s="12">
        <f t="shared" si="45"/>
        <v>0</v>
      </c>
      <c r="R367" s="12">
        <f t="shared" si="46"/>
        <v>0</v>
      </c>
      <c r="S367" s="12">
        <f t="shared" si="47"/>
        <v>0</v>
      </c>
      <c r="T367" s="31">
        <v>0</v>
      </c>
      <c r="U367" s="31">
        <v>0</v>
      </c>
      <c r="V367" s="31">
        <v>0</v>
      </c>
      <c r="W367" s="31">
        <v>0</v>
      </c>
      <c r="X367" s="31">
        <v>0</v>
      </c>
      <c r="Y367" s="31">
        <v>0</v>
      </c>
      <c r="Z367" s="31">
        <v>0</v>
      </c>
      <c r="AA367" s="31">
        <v>0</v>
      </c>
      <c r="AB367" s="31">
        <v>0</v>
      </c>
      <c r="AC367" s="31">
        <v>0</v>
      </c>
      <c r="AD367" s="31">
        <v>0</v>
      </c>
      <c r="AE367" s="31">
        <v>0</v>
      </c>
      <c r="AF367" s="31">
        <v>0</v>
      </c>
      <c r="AG367" s="31">
        <v>0</v>
      </c>
      <c r="AH367" s="31">
        <v>0</v>
      </c>
      <c r="AI367" s="31">
        <v>0</v>
      </c>
      <c r="AJ367" s="31">
        <v>0</v>
      </c>
      <c r="AK367" s="31">
        <v>0</v>
      </c>
      <c r="AL367" s="31">
        <v>0</v>
      </c>
      <c r="AM367" s="31">
        <v>0</v>
      </c>
      <c r="AN367" s="31">
        <v>0</v>
      </c>
      <c r="AO367" s="31">
        <v>0</v>
      </c>
      <c r="AP367" s="31">
        <v>0</v>
      </c>
    </row>
    <row r="368" spans="1:42" x14ac:dyDescent="0.25">
      <c r="A368" s="31">
        <v>5</v>
      </c>
      <c r="B368" s="31">
        <v>13877</v>
      </c>
      <c r="C368" s="31" t="s">
        <v>421</v>
      </c>
      <c r="D368" s="31" t="s">
        <v>921</v>
      </c>
      <c r="E368" s="31"/>
      <c r="F368" s="31">
        <v>0</v>
      </c>
      <c r="G368" s="31">
        <v>0</v>
      </c>
      <c r="H368" s="31">
        <v>0</v>
      </c>
      <c r="I368" s="31">
        <v>0</v>
      </c>
      <c r="J368" s="31">
        <v>0</v>
      </c>
      <c r="K368" s="31" t="s">
        <v>882</v>
      </c>
      <c r="L368" s="2" t="str">
        <f t="shared" si="40"/>
        <v>Рихтовка</v>
      </c>
      <c r="M368" s="12">
        <f t="shared" si="41"/>
        <v>0</v>
      </c>
      <c r="N368" s="12">
        <f t="shared" si="42"/>
        <v>0</v>
      </c>
      <c r="O368" s="12">
        <f t="shared" si="43"/>
        <v>0</v>
      </c>
      <c r="P368" s="12">
        <f t="shared" si="44"/>
        <v>0</v>
      </c>
      <c r="Q368" s="12">
        <f t="shared" si="45"/>
        <v>0</v>
      </c>
      <c r="R368" s="12">
        <f t="shared" si="46"/>
        <v>0</v>
      </c>
      <c r="S368" s="12">
        <f t="shared" si="47"/>
        <v>0</v>
      </c>
      <c r="T368" s="31">
        <v>0</v>
      </c>
      <c r="U368" s="31">
        <v>0</v>
      </c>
      <c r="V368" s="31">
        <v>0</v>
      </c>
      <c r="W368" s="31">
        <v>0</v>
      </c>
      <c r="X368" s="31">
        <v>0</v>
      </c>
      <c r="Y368" s="31">
        <v>0</v>
      </c>
      <c r="Z368" s="31">
        <v>0</v>
      </c>
      <c r="AA368" s="31">
        <v>0</v>
      </c>
      <c r="AB368" s="31">
        <v>0</v>
      </c>
      <c r="AC368" s="31">
        <v>0</v>
      </c>
      <c r="AD368" s="31">
        <v>0</v>
      </c>
      <c r="AE368" s="31">
        <v>0</v>
      </c>
      <c r="AF368" s="31">
        <v>0</v>
      </c>
      <c r="AG368" s="31">
        <v>0</v>
      </c>
      <c r="AH368" s="31">
        <v>0</v>
      </c>
      <c r="AI368" s="31">
        <v>0</v>
      </c>
      <c r="AJ368" s="31">
        <v>0</v>
      </c>
      <c r="AK368" s="31">
        <v>0</v>
      </c>
      <c r="AL368" s="31">
        <v>0</v>
      </c>
      <c r="AM368" s="31">
        <v>0</v>
      </c>
      <c r="AN368" s="31">
        <v>0</v>
      </c>
      <c r="AO368" s="31">
        <v>0</v>
      </c>
      <c r="AP368" s="31">
        <v>0</v>
      </c>
    </row>
    <row r="369" spans="1:42" x14ac:dyDescent="0.25">
      <c r="A369" s="31">
        <v>5</v>
      </c>
      <c r="B369" s="31">
        <v>13878</v>
      </c>
      <c r="C369" s="31">
        <v>1</v>
      </c>
      <c r="D369" s="31" t="s">
        <v>922</v>
      </c>
      <c r="E369" s="31"/>
      <c r="F369" s="31">
        <v>0</v>
      </c>
      <c r="G369" s="31">
        <v>0</v>
      </c>
      <c r="H369" s="31">
        <v>0</v>
      </c>
      <c r="I369" s="31">
        <v>0</v>
      </c>
      <c r="J369" s="31">
        <v>0</v>
      </c>
      <c r="K369" s="31" t="s">
        <v>882</v>
      </c>
      <c r="L369" s="2" t="str">
        <f t="shared" si="40"/>
        <v>Рихтовка</v>
      </c>
      <c r="M369" s="12">
        <f t="shared" si="41"/>
        <v>0</v>
      </c>
      <c r="N369" s="12">
        <f t="shared" si="42"/>
        <v>0</v>
      </c>
      <c r="O369" s="12">
        <f t="shared" si="43"/>
        <v>0</v>
      </c>
      <c r="P369" s="12">
        <f t="shared" si="44"/>
        <v>0</v>
      </c>
      <c r="Q369" s="12">
        <f t="shared" si="45"/>
        <v>0</v>
      </c>
      <c r="R369" s="12">
        <f t="shared" si="46"/>
        <v>0</v>
      </c>
      <c r="S369" s="12">
        <f t="shared" si="47"/>
        <v>0</v>
      </c>
      <c r="T369" s="31">
        <v>0</v>
      </c>
      <c r="U369" s="31">
        <v>0</v>
      </c>
      <c r="V369" s="31">
        <v>0</v>
      </c>
      <c r="W369" s="31">
        <v>0</v>
      </c>
      <c r="X369" s="31">
        <v>0</v>
      </c>
      <c r="Y369" s="31">
        <v>0</v>
      </c>
      <c r="Z369" s="31">
        <v>0</v>
      </c>
      <c r="AA369" s="31">
        <v>0</v>
      </c>
      <c r="AB369" s="31">
        <v>0</v>
      </c>
      <c r="AC369" s="31">
        <v>0</v>
      </c>
      <c r="AD369" s="31">
        <v>0</v>
      </c>
      <c r="AE369" s="31">
        <v>0</v>
      </c>
      <c r="AF369" s="31">
        <v>0</v>
      </c>
      <c r="AG369" s="31">
        <v>0</v>
      </c>
      <c r="AH369" s="31">
        <v>0</v>
      </c>
      <c r="AI369" s="31">
        <v>0</v>
      </c>
      <c r="AJ369" s="31">
        <v>0</v>
      </c>
      <c r="AK369" s="31">
        <v>0</v>
      </c>
      <c r="AL369" s="31">
        <v>0</v>
      </c>
      <c r="AM369" s="31">
        <v>0</v>
      </c>
      <c r="AN369" s="31">
        <v>0</v>
      </c>
      <c r="AO369" s="31">
        <v>0</v>
      </c>
      <c r="AP369" s="31">
        <v>0</v>
      </c>
    </row>
    <row r="370" spans="1:42" x14ac:dyDescent="0.25">
      <c r="A370" s="31">
        <v>5</v>
      </c>
      <c r="B370" s="31">
        <v>13808</v>
      </c>
      <c r="C370" s="31">
        <v>1</v>
      </c>
      <c r="D370" s="31" t="s">
        <v>747</v>
      </c>
      <c r="E370" s="31"/>
      <c r="F370" s="31">
        <v>0</v>
      </c>
      <c r="G370" s="31">
        <v>0</v>
      </c>
      <c r="H370" s="31">
        <v>0</v>
      </c>
      <c r="I370" s="31">
        <v>0</v>
      </c>
      <c r="J370" s="31">
        <v>0</v>
      </c>
      <c r="K370" s="31" t="s">
        <v>882</v>
      </c>
      <c r="L370" s="2" t="str">
        <f t="shared" si="40"/>
        <v>Рихтовка</v>
      </c>
      <c r="M370" s="12">
        <f t="shared" si="41"/>
        <v>0</v>
      </c>
      <c r="N370" s="12">
        <f t="shared" si="42"/>
        <v>0</v>
      </c>
      <c r="O370" s="12">
        <f t="shared" si="43"/>
        <v>0</v>
      </c>
      <c r="P370" s="12">
        <f t="shared" si="44"/>
        <v>0</v>
      </c>
      <c r="Q370" s="12">
        <f t="shared" si="45"/>
        <v>0</v>
      </c>
      <c r="R370" s="12">
        <f t="shared" si="46"/>
        <v>0</v>
      </c>
      <c r="S370" s="12">
        <f t="shared" si="47"/>
        <v>0</v>
      </c>
      <c r="T370" s="31">
        <v>0</v>
      </c>
      <c r="U370" s="31">
        <v>0</v>
      </c>
      <c r="V370" s="31">
        <v>0</v>
      </c>
      <c r="W370" s="31">
        <v>0</v>
      </c>
      <c r="X370" s="31">
        <v>0</v>
      </c>
      <c r="Y370" s="31">
        <v>0</v>
      </c>
      <c r="Z370" s="31">
        <v>0</v>
      </c>
      <c r="AA370" s="31">
        <v>0</v>
      </c>
      <c r="AB370" s="31">
        <v>0</v>
      </c>
      <c r="AC370" s="31">
        <v>0</v>
      </c>
      <c r="AD370" s="31">
        <v>0</v>
      </c>
      <c r="AE370" s="31">
        <v>0</v>
      </c>
      <c r="AF370" s="31">
        <v>0</v>
      </c>
      <c r="AG370" s="31">
        <v>0</v>
      </c>
      <c r="AH370" s="31">
        <v>0</v>
      </c>
      <c r="AI370" s="31">
        <v>0</v>
      </c>
      <c r="AJ370" s="31">
        <v>0</v>
      </c>
      <c r="AK370" s="31">
        <v>0</v>
      </c>
      <c r="AL370" s="31">
        <v>0</v>
      </c>
      <c r="AM370" s="31">
        <v>0</v>
      </c>
      <c r="AN370" s="31">
        <v>0</v>
      </c>
      <c r="AO370" s="31">
        <v>0</v>
      </c>
      <c r="AP370" s="31">
        <v>0</v>
      </c>
    </row>
    <row r="371" spans="1:42" x14ac:dyDescent="0.25">
      <c r="A371" s="31">
        <v>5</v>
      </c>
      <c r="B371" s="31">
        <v>13808</v>
      </c>
      <c r="C371" s="31">
        <v>2</v>
      </c>
      <c r="D371" s="31" t="s">
        <v>747</v>
      </c>
      <c r="E371" s="31"/>
      <c r="F371" s="31">
        <v>0</v>
      </c>
      <c r="G371" s="31">
        <v>0</v>
      </c>
      <c r="H371" s="31">
        <v>0</v>
      </c>
      <c r="I371" s="31">
        <v>0</v>
      </c>
      <c r="J371" s="31">
        <v>0</v>
      </c>
      <c r="K371" s="31" t="s">
        <v>882</v>
      </c>
      <c r="L371" s="2" t="str">
        <f t="shared" si="40"/>
        <v>Рихтовка</v>
      </c>
      <c r="M371" s="12">
        <f t="shared" si="41"/>
        <v>0</v>
      </c>
      <c r="N371" s="12">
        <f t="shared" si="42"/>
        <v>0</v>
      </c>
      <c r="O371" s="12">
        <f t="shared" si="43"/>
        <v>0</v>
      </c>
      <c r="P371" s="12">
        <f t="shared" si="44"/>
        <v>0</v>
      </c>
      <c r="Q371" s="12">
        <f t="shared" si="45"/>
        <v>0</v>
      </c>
      <c r="R371" s="12">
        <f t="shared" si="46"/>
        <v>0</v>
      </c>
      <c r="S371" s="12">
        <f t="shared" si="47"/>
        <v>0</v>
      </c>
      <c r="T371" s="31">
        <v>0</v>
      </c>
      <c r="U371" s="31">
        <v>0</v>
      </c>
      <c r="V371" s="31">
        <v>0</v>
      </c>
      <c r="W371" s="31">
        <v>0</v>
      </c>
      <c r="X371" s="31">
        <v>0</v>
      </c>
      <c r="Y371" s="31">
        <v>0</v>
      </c>
      <c r="Z371" s="31">
        <v>0</v>
      </c>
      <c r="AA371" s="31">
        <v>0</v>
      </c>
      <c r="AB371" s="31">
        <v>0</v>
      </c>
      <c r="AC371" s="31">
        <v>0</v>
      </c>
      <c r="AD371" s="31">
        <v>0</v>
      </c>
      <c r="AE371" s="31">
        <v>0</v>
      </c>
      <c r="AF371" s="31">
        <v>0</v>
      </c>
      <c r="AG371" s="31">
        <v>0</v>
      </c>
      <c r="AH371" s="31">
        <v>0</v>
      </c>
      <c r="AI371" s="31">
        <v>0</v>
      </c>
      <c r="AJ371" s="31">
        <v>0</v>
      </c>
      <c r="AK371" s="31">
        <v>0</v>
      </c>
      <c r="AL371" s="31">
        <v>0</v>
      </c>
      <c r="AM371" s="31">
        <v>0</v>
      </c>
      <c r="AN371" s="31">
        <v>0</v>
      </c>
      <c r="AO371" s="31">
        <v>0</v>
      </c>
      <c r="AP371" s="31">
        <v>0</v>
      </c>
    </row>
    <row r="372" spans="1:42" x14ac:dyDescent="0.25">
      <c r="A372" s="31">
        <v>6</v>
      </c>
      <c r="B372" s="31">
        <v>13809</v>
      </c>
      <c r="C372" s="31">
        <v>1</v>
      </c>
      <c r="D372" s="31" t="s">
        <v>747</v>
      </c>
      <c r="E372" s="31"/>
      <c r="F372" s="31">
        <v>0</v>
      </c>
      <c r="G372" s="31">
        <v>0</v>
      </c>
      <c r="H372" s="31">
        <v>0</v>
      </c>
      <c r="I372" s="31">
        <v>0</v>
      </c>
      <c r="J372" s="31">
        <v>0</v>
      </c>
      <c r="K372" s="31" t="s">
        <v>882</v>
      </c>
      <c r="L372" s="2" t="str">
        <f t="shared" si="40"/>
        <v>Рихтовка</v>
      </c>
      <c r="M372" s="12">
        <f t="shared" si="41"/>
        <v>0</v>
      </c>
      <c r="N372" s="12">
        <f t="shared" si="42"/>
        <v>0</v>
      </c>
      <c r="O372" s="12">
        <f t="shared" si="43"/>
        <v>0</v>
      </c>
      <c r="P372" s="12">
        <f t="shared" si="44"/>
        <v>0</v>
      </c>
      <c r="Q372" s="12">
        <f t="shared" si="45"/>
        <v>0</v>
      </c>
      <c r="R372" s="12">
        <f t="shared" si="46"/>
        <v>0</v>
      </c>
      <c r="S372" s="12">
        <f t="shared" si="47"/>
        <v>0</v>
      </c>
      <c r="T372" s="31">
        <v>0</v>
      </c>
      <c r="U372" s="31">
        <v>0</v>
      </c>
      <c r="V372" s="31">
        <v>0</v>
      </c>
      <c r="W372" s="31">
        <v>0</v>
      </c>
      <c r="X372" s="31">
        <v>0</v>
      </c>
      <c r="Y372" s="31">
        <v>0</v>
      </c>
      <c r="Z372" s="31">
        <v>0</v>
      </c>
      <c r="AA372" s="31">
        <v>0</v>
      </c>
      <c r="AB372" s="31">
        <v>0</v>
      </c>
      <c r="AC372" s="31">
        <v>0</v>
      </c>
      <c r="AD372" s="31">
        <v>0</v>
      </c>
      <c r="AE372" s="31">
        <v>0</v>
      </c>
      <c r="AF372" s="31">
        <v>0</v>
      </c>
      <c r="AG372" s="31">
        <v>0</v>
      </c>
      <c r="AH372" s="31">
        <v>0</v>
      </c>
      <c r="AI372" s="31">
        <v>0</v>
      </c>
      <c r="AJ372" s="31">
        <v>0</v>
      </c>
      <c r="AK372" s="31">
        <v>0</v>
      </c>
      <c r="AL372" s="31">
        <v>0</v>
      </c>
      <c r="AM372" s="31">
        <v>0</v>
      </c>
      <c r="AN372" s="31">
        <v>0</v>
      </c>
      <c r="AO372" s="31">
        <v>0</v>
      </c>
      <c r="AP372" s="31">
        <v>0</v>
      </c>
    </row>
    <row r="373" spans="1:42" x14ac:dyDescent="0.25">
      <c r="A373" s="31">
        <v>6</v>
      </c>
      <c r="B373" s="31">
        <v>13809</v>
      </c>
      <c r="C373" s="31">
        <v>2</v>
      </c>
      <c r="D373" s="31" t="s">
        <v>747</v>
      </c>
      <c r="E373" s="31"/>
      <c r="F373" s="31">
        <v>0</v>
      </c>
      <c r="G373" s="31">
        <v>0</v>
      </c>
      <c r="H373" s="31">
        <v>0</v>
      </c>
      <c r="I373" s="31">
        <v>0</v>
      </c>
      <c r="J373" s="31">
        <v>0</v>
      </c>
      <c r="K373" s="31" t="s">
        <v>882</v>
      </c>
      <c r="L373" s="2" t="str">
        <f t="shared" si="40"/>
        <v>Рихтовка</v>
      </c>
      <c r="M373" s="12">
        <f t="shared" si="41"/>
        <v>0</v>
      </c>
      <c r="N373" s="12">
        <f t="shared" si="42"/>
        <v>0</v>
      </c>
      <c r="O373" s="12">
        <f t="shared" si="43"/>
        <v>0</v>
      </c>
      <c r="P373" s="12">
        <f t="shared" si="44"/>
        <v>0</v>
      </c>
      <c r="Q373" s="12">
        <f t="shared" si="45"/>
        <v>0</v>
      </c>
      <c r="R373" s="12">
        <f t="shared" si="46"/>
        <v>0</v>
      </c>
      <c r="S373" s="12">
        <f t="shared" si="47"/>
        <v>0</v>
      </c>
      <c r="T373" s="31">
        <v>0</v>
      </c>
      <c r="U373" s="31">
        <v>0</v>
      </c>
      <c r="V373" s="31">
        <v>0</v>
      </c>
      <c r="W373" s="31">
        <v>0</v>
      </c>
      <c r="X373" s="31">
        <v>0</v>
      </c>
      <c r="Y373" s="31">
        <v>0</v>
      </c>
      <c r="Z373" s="31">
        <v>0</v>
      </c>
      <c r="AA373" s="31">
        <v>0</v>
      </c>
      <c r="AB373" s="31">
        <v>0</v>
      </c>
      <c r="AC373" s="31">
        <v>0</v>
      </c>
      <c r="AD373" s="31">
        <v>0</v>
      </c>
      <c r="AE373" s="31">
        <v>0</v>
      </c>
      <c r="AF373" s="31">
        <v>0</v>
      </c>
      <c r="AG373" s="31">
        <v>0</v>
      </c>
      <c r="AH373" s="31">
        <v>0</v>
      </c>
      <c r="AI373" s="31">
        <v>0</v>
      </c>
      <c r="AJ373" s="31">
        <v>0</v>
      </c>
      <c r="AK373" s="31">
        <v>0</v>
      </c>
      <c r="AL373" s="31">
        <v>0</v>
      </c>
      <c r="AM373" s="31">
        <v>0</v>
      </c>
      <c r="AN373" s="31">
        <v>0</v>
      </c>
      <c r="AO373" s="31">
        <v>0</v>
      </c>
      <c r="AP373" s="31">
        <v>0</v>
      </c>
    </row>
    <row r="374" spans="1:42" x14ac:dyDescent="0.25">
      <c r="A374" s="31">
        <v>6</v>
      </c>
      <c r="B374" s="31">
        <v>13809</v>
      </c>
      <c r="C374" s="31">
        <v>1</v>
      </c>
      <c r="D374" s="31" t="s">
        <v>748</v>
      </c>
      <c r="E374" s="31"/>
      <c r="F374" s="31">
        <v>0</v>
      </c>
      <c r="G374" s="31">
        <v>0</v>
      </c>
      <c r="H374" s="31">
        <v>0</v>
      </c>
      <c r="I374" s="31">
        <v>0</v>
      </c>
      <c r="J374" s="31">
        <v>0</v>
      </c>
      <c r="K374" s="31" t="s">
        <v>882</v>
      </c>
      <c r="L374" s="2" t="str">
        <f t="shared" si="40"/>
        <v>Рихтовка</v>
      </c>
      <c r="M374" s="12">
        <f t="shared" si="41"/>
        <v>0</v>
      </c>
      <c r="N374" s="12">
        <f t="shared" si="42"/>
        <v>0</v>
      </c>
      <c r="O374" s="12">
        <f t="shared" si="43"/>
        <v>0</v>
      </c>
      <c r="P374" s="12">
        <f t="shared" si="44"/>
        <v>0</v>
      </c>
      <c r="Q374" s="12">
        <f t="shared" si="45"/>
        <v>0</v>
      </c>
      <c r="R374" s="12">
        <f t="shared" si="46"/>
        <v>0</v>
      </c>
      <c r="S374" s="12">
        <f t="shared" si="47"/>
        <v>0</v>
      </c>
      <c r="T374" s="31">
        <v>0</v>
      </c>
      <c r="U374" s="31">
        <v>0</v>
      </c>
      <c r="V374" s="31">
        <v>0</v>
      </c>
      <c r="W374" s="31">
        <v>0</v>
      </c>
      <c r="X374" s="31">
        <v>0</v>
      </c>
      <c r="Y374" s="31">
        <v>0</v>
      </c>
      <c r="Z374" s="31">
        <v>0</v>
      </c>
      <c r="AA374" s="31">
        <v>0</v>
      </c>
      <c r="AB374" s="31">
        <v>0</v>
      </c>
      <c r="AC374" s="31">
        <v>0</v>
      </c>
      <c r="AD374" s="31">
        <v>0</v>
      </c>
      <c r="AE374" s="31">
        <v>0</v>
      </c>
      <c r="AF374" s="31">
        <v>0</v>
      </c>
      <c r="AG374" s="31">
        <v>0</v>
      </c>
      <c r="AH374" s="31">
        <v>0</v>
      </c>
      <c r="AI374" s="31">
        <v>0</v>
      </c>
      <c r="AJ374" s="31">
        <v>0</v>
      </c>
      <c r="AK374" s="31">
        <v>0</v>
      </c>
      <c r="AL374" s="31">
        <v>0</v>
      </c>
      <c r="AM374" s="31">
        <v>0</v>
      </c>
      <c r="AN374" s="31">
        <v>0</v>
      </c>
      <c r="AO374" s="31">
        <v>0</v>
      </c>
      <c r="AP374" s="31">
        <v>0</v>
      </c>
    </row>
    <row r="375" spans="1:42" x14ac:dyDescent="0.25">
      <c r="A375" s="31">
        <v>6</v>
      </c>
      <c r="B375" s="31">
        <v>13809</v>
      </c>
      <c r="C375" s="31">
        <v>2</v>
      </c>
      <c r="D375" s="31" t="s">
        <v>748</v>
      </c>
      <c r="E375" s="31"/>
      <c r="F375" s="31">
        <v>0</v>
      </c>
      <c r="G375" s="31">
        <v>0</v>
      </c>
      <c r="H375" s="31">
        <v>0</v>
      </c>
      <c r="I375" s="31">
        <v>0</v>
      </c>
      <c r="J375" s="31">
        <v>0</v>
      </c>
      <c r="K375" s="31" t="s">
        <v>882</v>
      </c>
      <c r="L375" s="2" t="str">
        <f t="shared" si="40"/>
        <v>Рихтовка</v>
      </c>
      <c r="M375" s="12">
        <f t="shared" si="41"/>
        <v>0</v>
      </c>
      <c r="N375" s="12">
        <f t="shared" si="42"/>
        <v>0</v>
      </c>
      <c r="O375" s="12">
        <f t="shared" si="43"/>
        <v>0</v>
      </c>
      <c r="P375" s="12">
        <f t="shared" si="44"/>
        <v>0</v>
      </c>
      <c r="Q375" s="12">
        <f t="shared" si="45"/>
        <v>0</v>
      </c>
      <c r="R375" s="12">
        <f t="shared" si="46"/>
        <v>0</v>
      </c>
      <c r="S375" s="12">
        <f t="shared" si="47"/>
        <v>0</v>
      </c>
      <c r="T375" s="31">
        <v>0</v>
      </c>
      <c r="U375" s="31">
        <v>0</v>
      </c>
      <c r="V375" s="31">
        <v>0</v>
      </c>
      <c r="W375" s="31">
        <v>0</v>
      </c>
      <c r="X375" s="31">
        <v>0</v>
      </c>
      <c r="Y375" s="31">
        <v>0</v>
      </c>
      <c r="Z375" s="31">
        <v>0</v>
      </c>
      <c r="AA375" s="31">
        <v>0</v>
      </c>
      <c r="AB375" s="31">
        <v>0</v>
      </c>
      <c r="AC375" s="31">
        <v>0</v>
      </c>
      <c r="AD375" s="31">
        <v>0</v>
      </c>
      <c r="AE375" s="31">
        <v>0</v>
      </c>
      <c r="AF375" s="31">
        <v>0</v>
      </c>
      <c r="AG375" s="31">
        <v>0</v>
      </c>
      <c r="AH375" s="31">
        <v>0</v>
      </c>
      <c r="AI375" s="31">
        <v>0</v>
      </c>
      <c r="AJ375" s="31">
        <v>0</v>
      </c>
      <c r="AK375" s="31">
        <v>0</v>
      </c>
      <c r="AL375" s="31">
        <v>0</v>
      </c>
      <c r="AM375" s="31">
        <v>0</v>
      </c>
      <c r="AN375" s="31">
        <v>0</v>
      </c>
      <c r="AO375" s="31">
        <v>0</v>
      </c>
      <c r="AP375" s="31">
        <v>0</v>
      </c>
    </row>
    <row r="376" spans="1:42" x14ac:dyDescent="0.25">
      <c r="A376" s="31">
        <v>6</v>
      </c>
      <c r="B376" s="31">
        <v>13809</v>
      </c>
      <c r="C376" s="31">
        <v>3</v>
      </c>
      <c r="D376" s="31" t="s">
        <v>748</v>
      </c>
      <c r="E376" s="31"/>
      <c r="F376" s="31">
        <v>0</v>
      </c>
      <c r="G376" s="31">
        <v>0</v>
      </c>
      <c r="H376" s="31">
        <v>0</v>
      </c>
      <c r="I376" s="31">
        <v>0</v>
      </c>
      <c r="J376" s="31">
        <v>0</v>
      </c>
      <c r="K376" s="31" t="s">
        <v>882</v>
      </c>
      <c r="L376" s="2" t="str">
        <f t="shared" si="40"/>
        <v>Рихтовка</v>
      </c>
      <c r="M376" s="12">
        <f t="shared" si="41"/>
        <v>0</v>
      </c>
      <c r="N376" s="12">
        <f t="shared" si="42"/>
        <v>0</v>
      </c>
      <c r="O376" s="12">
        <f t="shared" si="43"/>
        <v>0</v>
      </c>
      <c r="P376" s="12">
        <f t="shared" si="44"/>
        <v>0</v>
      </c>
      <c r="Q376" s="12">
        <f t="shared" si="45"/>
        <v>0</v>
      </c>
      <c r="R376" s="12">
        <f t="shared" si="46"/>
        <v>0</v>
      </c>
      <c r="S376" s="12">
        <f t="shared" si="47"/>
        <v>0</v>
      </c>
      <c r="T376" s="31">
        <v>0</v>
      </c>
      <c r="U376" s="31">
        <v>0</v>
      </c>
      <c r="V376" s="31">
        <v>0</v>
      </c>
      <c r="W376" s="31">
        <v>0</v>
      </c>
      <c r="X376" s="31">
        <v>0</v>
      </c>
      <c r="Y376" s="31">
        <v>0</v>
      </c>
      <c r="Z376" s="31">
        <v>0</v>
      </c>
      <c r="AA376" s="31">
        <v>0</v>
      </c>
      <c r="AB376" s="31">
        <v>0</v>
      </c>
      <c r="AC376" s="31">
        <v>0</v>
      </c>
      <c r="AD376" s="31">
        <v>0</v>
      </c>
      <c r="AE376" s="31">
        <v>0</v>
      </c>
      <c r="AF376" s="31">
        <v>0</v>
      </c>
      <c r="AG376" s="31">
        <v>0</v>
      </c>
      <c r="AH376" s="31">
        <v>0</v>
      </c>
      <c r="AI376" s="31">
        <v>0</v>
      </c>
      <c r="AJ376" s="31">
        <v>0</v>
      </c>
      <c r="AK376" s="31">
        <v>0</v>
      </c>
      <c r="AL376" s="31">
        <v>0</v>
      </c>
      <c r="AM376" s="31">
        <v>0</v>
      </c>
      <c r="AN376" s="31">
        <v>0</v>
      </c>
      <c r="AO376" s="31">
        <v>0</v>
      </c>
      <c r="AP376" s="31">
        <v>0</v>
      </c>
    </row>
    <row r="377" spans="1:42" x14ac:dyDescent="0.25">
      <c r="A377" s="31">
        <v>6</v>
      </c>
      <c r="B377" s="31">
        <v>13809</v>
      </c>
      <c r="C377" s="31">
        <v>1</v>
      </c>
      <c r="D377" s="31" t="s">
        <v>749</v>
      </c>
      <c r="E377" s="31"/>
      <c r="F377" s="31">
        <v>0</v>
      </c>
      <c r="G377" s="31">
        <v>0</v>
      </c>
      <c r="H377" s="31">
        <v>0</v>
      </c>
      <c r="I377" s="31">
        <v>0</v>
      </c>
      <c r="J377" s="31">
        <v>0</v>
      </c>
      <c r="K377" s="31" t="s">
        <v>882</v>
      </c>
      <c r="L377" s="2" t="str">
        <f t="shared" si="40"/>
        <v>Рихтовка</v>
      </c>
      <c r="M377" s="12">
        <f t="shared" si="41"/>
        <v>0</v>
      </c>
      <c r="N377" s="12">
        <f t="shared" si="42"/>
        <v>0</v>
      </c>
      <c r="O377" s="12">
        <f t="shared" si="43"/>
        <v>0</v>
      </c>
      <c r="P377" s="12">
        <f t="shared" si="44"/>
        <v>0</v>
      </c>
      <c r="Q377" s="12">
        <f t="shared" si="45"/>
        <v>0</v>
      </c>
      <c r="R377" s="12">
        <f t="shared" si="46"/>
        <v>0</v>
      </c>
      <c r="S377" s="12">
        <f t="shared" si="47"/>
        <v>0</v>
      </c>
      <c r="T377" s="31">
        <v>0</v>
      </c>
      <c r="U377" s="31">
        <v>0</v>
      </c>
      <c r="V377" s="31">
        <v>0</v>
      </c>
      <c r="W377" s="31">
        <v>0</v>
      </c>
      <c r="X377" s="31">
        <v>0</v>
      </c>
      <c r="Y377" s="31">
        <v>0</v>
      </c>
      <c r="Z377" s="31">
        <v>0</v>
      </c>
      <c r="AA377" s="31">
        <v>0</v>
      </c>
      <c r="AB377" s="31">
        <v>0</v>
      </c>
      <c r="AC377" s="31">
        <v>0</v>
      </c>
      <c r="AD377" s="31">
        <v>0</v>
      </c>
      <c r="AE377" s="31">
        <v>0</v>
      </c>
      <c r="AF377" s="31">
        <v>0</v>
      </c>
      <c r="AG377" s="31">
        <v>0</v>
      </c>
      <c r="AH377" s="31">
        <v>0</v>
      </c>
      <c r="AI377" s="31">
        <v>0</v>
      </c>
      <c r="AJ377" s="31">
        <v>0</v>
      </c>
      <c r="AK377" s="31">
        <v>0</v>
      </c>
      <c r="AL377" s="31">
        <v>0</v>
      </c>
      <c r="AM377" s="31">
        <v>0</v>
      </c>
      <c r="AN377" s="31">
        <v>0</v>
      </c>
      <c r="AO377" s="31">
        <v>0</v>
      </c>
      <c r="AP377" s="31">
        <v>0</v>
      </c>
    </row>
    <row r="378" spans="1:42" x14ac:dyDescent="0.25">
      <c r="A378" s="31">
        <v>6</v>
      </c>
      <c r="B378" s="31">
        <v>13809</v>
      </c>
      <c r="C378" s="31">
        <v>1</v>
      </c>
      <c r="D378" s="31" t="s">
        <v>750</v>
      </c>
      <c r="E378" s="31"/>
      <c r="F378" s="31">
        <v>0</v>
      </c>
      <c r="G378" s="31">
        <v>0</v>
      </c>
      <c r="H378" s="31">
        <v>0</v>
      </c>
      <c r="I378" s="31">
        <v>0</v>
      </c>
      <c r="J378" s="31">
        <v>0</v>
      </c>
      <c r="K378" s="31" t="s">
        <v>882</v>
      </c>
      <c r="L378" s="2" t="str">
        <f t="shared" si="40"/>
        <v>Рихтовка</v>
      </c>
      <c r="M378" s="12">
        <f t="shared" si="41"/>
        <v>0</v>
      </c>
      <c r="N378" s="12">
        <f t="shared" si="42"/>
        <v>0</v>
      </c>
      <c r="O378" s="12">
        <f t="shared" si="43"/>
        <v>0</v>
      </c>
      <c r="P378" s="12">
        <f t="shared" si="44"/>
        <v>0</v>
      </c>
      <c r="Q378" s="12">
        <f t="shared" si="45"/>
        <v>0</v>
      </c>
      <c r="R378" s="12">
        <f t="shared" si="46"/>
        <v>0</v>
      </c>
      <c r="S378" s="12">
        <f t="shared" si="47"/>
        <v>0</v>
      </c>
      <c r="T378" s="31">
        <v>0</v>
      </c>
      <c r="U378" s="31">
        <v>0</v>
      </c>
      <c r="V378" s="31">
        <v>0</v>
      </c>
      <c r="W378" s="31">
        <v>0</v>
      </c>
      <c r="X378" s="31">
        <v>0</v>
      </c>
      <c r="Y378" s="31">
        <v>0</v>
      </c>
      <c r="Z378" s="31">
        <v>0</v>
      </c>
      <c r="AA378" s="31">
        <v>0</v>
      </c>
      <c r="AB378" s="31">
        <v>0</v>
      </c>
      <c r="AC378" s="31">
        <v>0</v>
      </c>
      <c r="AD378" s="31">
        <v>0</v>
      </c>
      <c r="AE378" s="31">
        <v>0</v>
      </c>
      <c r="AF378" s="31">
        <v>0</v>
      </c>
      <c r="AG378" s="31">
        <v>0</v>
      </c>
      <c r="AH378" s="31">
        <v>0</v>
      </c>
      <c r="AI378" s="31">
        <v>0</v>
      </c>
      <c r="AJ378" s="31">
        <v>0</v>
      </c>
      <c r="AK378" s="31">
        <v>0</v>
      </c>
      <c r="AL378" s="31">
        <v>0</v>
      </c>
      <c r="AM378" s="31">
        <v>0</v>
      </c>
      <c r="AN378" s="31">
        <v>0</v>
      </c>
      <c r="AO378" s="31">
        <v>0</v>
      </c>
      <c r="AP378" s="31">
        <v>0</v>
      </c>
    </row>
    <row r="379" spans="1:42" x14ac:dyDescent="0.25">
      <c r="A379" s="31">
        <v>6</v>
      </c>
      <c r="B379" s="31">
        <v>13809</v>
      </c>
      <c r="C379" s="31">
        <v>1</v>
      </c>
      <c r="D379" s="31" t="s">
        <v>751</v>
      </c>
      <c r="E379" s="31"/>
      <c r="F379" s="31">
        <v>0</v>
      </c>
      <c r="G379" s="31">
        <v>0</v>
      </c>
      <c r="H379" s="31">
        <v>0</v>
      </c>
      <c r="I379" s="31">
        <v>0</v>
      </c>
      <c r="J379" s="31">
        <v>0</v>
      </c>
      <c r="K379" s="31" t="s">
        <v>882</v>
      </c>
      <c r="L379" s="2" t="str">
        <f t="shared" si="40"/>
        <v>Рихтовка</v>
      </c>
      <c r="M379" s="12">
        <f t="shared" si="41"/>
        <v>0</v>
      </c>
      <c r="N379" s="12">
        <f t="shared" si="42"/>
        <v>0</v>
      </c>
      <c r="O379" s="12">
        <f t="shared" si="43"/>
        <v>0</v>
      </c>
      <c r="P379" s="12">
        <f t="shared" si="44"/>
        <v>0</v>
      </c>
      <c r="Q379" s="12">
        <f t="shared" si="45"/>
        <v>0</v>
      </c>
      <c r="R379" s="12">
        <f t="shared" si="46"/>
        <v>0</v>
      </c>
      <c r="S379" s="12">
        <f t="shared" si="47"/>
        <v>0</v>
      </c>
      <c r="T379" s="31">
        <v>0</v>
      </c>
      <c r="U379" s="31">
        <v>0</v>
      </c>
      <c r="V379" s="31">
        <v>0</v>
      </c>
      <c r="W379" s="31">
        <v>0</v>
      </c>
      <c r="X379" s="31">
        <v>0</v>
      </c>
      <c r="Y379" s="31">
        <v>0</v>
      </c>
      <c r="Z379" s="31">
        <v>0</v>
      </c>
      <c r="AA379" s="31">
        <v>0</v>
      </c>
      <c r="AB379" s="31">
        <v>0</v>
      </c>
      <c r="AC379" s="31">
        <v>0</v>
      </c>
      <c r="AD379" s="31">
        <v>0</v>
      </c>
      <c r="AE379" s="31">
        <v>0</v>
      </c>
      <c r="AF379" s="31">
        <v>0</v>
      </c>
      <c r="AG379" s="31">
        <v>0</v>
      </c>
      <c r="AH379" s="31">
        <v>0</v>
      </c>
      <c r="AI379" s="31">
        <v>0</v>
      </c>
      <c r="AJ379" s="31">
        <v>0</v>
      </c>
      <c r="AK379" s="31">
        <v>0</v>
      </c>
      <c r="AL379" s="31">
        <v>0</v>
      </c>
      <c r="AM379" s="31">
        <v>0</v>
      </c>
      <c r="AN379" s="31">
        <v>0</v>
      </c>
      <c r="AO379" s="31">
        <v>0</v>
      </c>
      <c r="AP379" s="31">
        <v>0</v>
      </c>
    </row>
    <row r="380" spans="1:42" x14ac:dyDescent="0.25">
      <c r="A380" s="31">
        <v>6</v>
      </c>
      <c r="B380" s="31">
        <v>13809</v>
      </c>
      <c r="C380" s="31">
        <v>1</v>
      </c>
      <c r="D380" s="31" t="s">
        <v>752</v>
      </c>
      <c r="E380" s="31"/>
      <c r="F380" s="31">
        <v>0</v>
      </c>
      <c r="G380" s="31">
        <v>0</v>
      </c>
      <c r="H380" s="31">
        <v>0</v>
      </c>
      <c r="I380" s="31">
        <v>0</v>
      </c>
      <c r="J380" s="31">
        <v>0</v>
      </c>
      <c r="K380" s="31" t="s">
        <v>882</v>
      </c>
      <c r="L380" s="2" t="str">
        <f t="shared" si="40"/>
        <v>Рихтовка</v>
      </c>
      <c r="M380" s="12">
        <f t="shared" si="41"/>
        <v>0</v>
      </c>
      <c r="N380" s="12">
        <f t="shared" si="42"/>
        <v>0</v>
      </c>
      <c r="O380" s="12">
        <f t="shared" si="43"/>
        <v>0</v>
      </c>
      <c r="P380" s="12">
        <f t="shared" si="44"/>
        <v>0</v>
      </c>
      <c r="Q380" s="12">
        <f t="shared" si="45"/>
        <v>0</v>
      </c>
      <c r="R380" s="12">
        <f t="shared" si="46"/>
        <v>0</v>
      </c>
      <c r="S380" s="12">
        <f t="shared" si="47"/>
        <v>0</v>
      </c>
      <c r="T380" s="31">
        <v>0</v>
      </c>
      <c r="U380" s="31">
        <v>0</v>
      </c>
      <c r="V380" s="31">
        <v>0</v>
      </c>
      <c r="W380" s="31">
        <v>0</v>
      </c>
      <c r="X380" s="31">
        <v>0</v>
      </c>
      <c r="Y380" s="31">
        <v>0</v>
      </c>
      <c r="Z380" s="31">
        <v>0</v>
      </c>
      <c r="AA380" s="31">
        <v>0</v>
      </c>
      <c r="AB380" s="31">
        <v>0</v>
      </c>
      <c r="AC380" s="31">
        <v>0</v>
      </c>
      <c r="AD380" s="31">
        <v>0</v>
      </c>
      <c r="AE380" s="31">
        <v>0</v>
      </c>
      <c r="AF380" s="31">
        <v>0</v>
      </c>
      <c r="AG380" s="31">
        <v>0</v>
      </c>
      <c r="AH380" s="31">
        <v>0</v>
      </c>
      <c r="AI380" s="31">
        <v>0</v>
      </c>
      <c r="AJ380" s="31">
        <v>0</v>
      </c>
      <c r="AK380" s="31">
        <v>0</v>
      </c>
      <c r="AL380" s="31">
        <v>0</v>
      </c>
      <c r="AM380" s="31">
        <v>0</v>
      </c>
      <c r="AN380" s="31">
        <v>0</v>
      </c>
      <c r="AO380" s="31">
        <v>0</v>
      </c>
      <c r="AP380" s="31">
        <v>0</v>
      </c>
    </row>
    <row r="381" spans="1:42" x14ac:dyDescent="0.25">
      <c r="A381" s="31">
        <v>6</v>
      </c>
      <c r="B381" s="31">
        <v>13809</v>
      </c>
      <c r="C381" s="31">
        <v>1</v>
      </c>
      <c r="D381" s="31" t="s">
        <v>753</v>
      </c>
      <c r="E381" s="31"/>
      <c r="F381" s="31">
        <v>0</v>
      </c>
      <c r="G381" s="31">
        <v>0</v>
      </c>
      <c r="H381" s="31">
        <v>0</v>
      </c>
      <c r="I381" s="31">
        <v>0</v>
      </c>
      <c r="J381" s="31">
        <v>0</v>
      </c>
      <c r="K381" s="31" t="s">
        <v>882</v>
      </c>
      <c r="L381" s="2" t="str">
        <f t="shared" si="40"/>
        <v>Рихтовка</v>
      </c>
      <c r="M381" s="12">
        <f t="shared" si="41"/>
        <v>0</v>
      </c>
      <c r="N381" s="12">
        <f t="shared" si="42"/>
        <v>0</v>
      </c>
      <c r="O381" s="12">
        <f t="shared" si="43"/>
        <v>0</v>
      </c>
      <c r="P381" s="12">
        <f t="shared" si="44"/>
        <v>0</v>
      </c>
      <c r="Q381" s="12">
        <f t="shared" si="45"/>
        <v>0</v>
      </c>
      <c r="R381" s="12">
        <f t="shared" si="46"/>
        <v>0</v>
      </c>
      <c r="S381" s="12">
        <f t="shared" si="47"/>
        <v>0</v>
      </c>
      <c r="T381" s="31">
        <v>0</v>
      </c>
      <c r="U381" s="31">
        <v>0</v>
      </c>
      <c r="V381" s="31">
        <v>0</v>
      </c>
      <c r="W381" s="31">
        <v>0</v>
      </c>
      <c r="X381" s="31">
        <v>0</v>
      </c>
      <c r="Y381" s="31">
        <v>0</v>
      </c>
      <c r="Z381" s="31">
        <v>0</v>
      </c>
      <c r="AA381" s="31">
        <v>0</v>
      </c>
      <c r="AB381" s="31">
        <v>0</v>
      </c>
      <c r="AC381" s="31">
        <v>0</v>
      </c>
      <c r="AD381" s="31">
        <v>0</v>
      </c>
      <c r="AE381" s="31">
        <v>0</v>
      </c>
      <c r="AF381" s="31">
        <v>0</v>
      </c>
      <c r="AG381" s="31">
        <v>0</v>
      </c>
      <c r="AH381" s="31">
        <v>0</v>
      </c>
      <c r="AI381" s="31">
        <v>0</v>
      </c>
      <c r="AJ381" s="31">
        <v>0</v>
      </c>
      <c r="AK381" s="31">
        <v>0</v>
      </c>
      <c r="AL381" s="31">
        <v>0</v>
      </c>
      <c r="AM381" s="31">
        <v>0</v>
      </c>
      <c r="AN381" s="31">
        <v>0</v>
      </c>
      <c r="AO381" s="31">
        <v>0</v>
      </c>
      <c r="AP381" s="31">
        <v>0</v>
      </c>
    </row>
    <row r="382" spans="1:42" x14ac:dyDescent="0.25">
      <c r="A382" s="31">
        <v>6</v>
      </c>
      <c r="B382" s="31">
        <v>13806</v>
      </c>
      <c r="C382" s="31" t="s">
        <v>422</v>
      </c>
      <c r="D382" s="31" t="s">
        <v>754</v>
      </c>
      <c r="E382" s="31"/>
      <c r="F382" s="31">
        <v>0</v>
      </c>
      <c r="G382" s="31">
        <v>0</v>
      </c>
      <c r="H382" s="31">
        <v>0</v>
      </c>
      <c r="I382" s="31">
        <v>0</v>
      </c>
      <c r="J382" s="31">
        <v>0</v>
      </c>
      <c r="K382" s="31" t="s">
        <v>882</v>
      </c>
      <c r="L382" s="2" t="str">
        <f t="shared" si="40"/>
        <v>Рихтовка</v>
      </c>
      <c r="M382" s="12">
        <f t="shared" si="41"/>
        <v>0</v>
      </c>
      <c r="N382" s="12">
        <f t="shared" si="42"/>
        <v>0</v>
      </c>
      <c r="O382" s="12">
        <f t="shared" si="43"/>
        <v>0</v>
      </c>
      <c r="P382" s="12">
        <f t="shared" si="44"/>
        <v>0</v>
      </c>
      <c r="Q382" s="12">
        <f t="shared" si="45"/>
        <v>0</v>
      </c>
      <c r="R382" s="12">
        <f t="shared" si="46"/>
        <v>0</v>
      </c>
      <c r="S382" s="12">
        <f t="shared" si="47"/>
        <v>0</v>
      </c>
      <c r="T382" s="31">
        <v>0</v>
      </c>
      <c r="U382" s="31">
        <v>0</v>
      </c>
      <c r="V382" s="31">
        <v>0</v>
      </c>
      <c r="W382" s="31">
        <v>0</v>
      </c>
      <c r="X382" s="31">
        <v>0</v>
      </c>
      <c r="Y382" s="31">
        <v>0</v>
      </c>
      <c r="Z382" s="31">
        <v>0</v>
      </c>
      <c r="AA382" s="31">
        <v>0</v>
      </c>
      <c r="AB382" s="31">
        <v>0</v>
      </c>
      <c r="AC382" s="31">
        <v>0</v>
      </c>
      <c r="AD382" s="31">
        <v>0</v>
      </c>
      <c r="AE382" s="31">
        <v>0</v>
      </c>
      <c r="AF382" s="31">
        <v>0</v>
      </c>
      <c r="AG382" s="31">
        <v>0</v>
      </c>
      <c r="AH382" s="31">
        <v>0</v>
      </c>
      <c r="AI382" s="31">
        <v>0</v>
      </c>
      <c r="AJ382" s="31">
        <v>0</v>
      </c>
      <c r="AK382" s="31">
        <v>0</v>
      </c>
      <c r="AL382" s="31">
        <v>0</v>
      </c>
      <c r="AM382" s="31">
        <v>0</v>
      </c>
      <c r="AN382" s="31">
        <v>0</v>
      </c>
      <c r="AO382" s="31">
        <v>0</v>
      </c>
      <c r="AP382" s="31">
        <v>0</v>
      </c>
    </row>
    <row r="383" spans="1:42" x14ac:dyDescent="0.25">
      <c r="A383" s="31">
        <v>6</v>
      </c>
      <c r="B383" s="31">
        <v>13809</v>
      </c>
      <c r="C383" s="31">
        <v>1</v>
      </c>
      <c r="D383" s="31" t="s">
        <v>756</v>
      </c>
      <c r="E383" s="31"/>
      <c r="F383" s="31">
        <v>0</v>
      </c>
      <c r="G383" s="31">
        <v>0</v>
      </c>
      <c r="H383" s="31">
        <v>0</v>
      </c>
      <c r="I383" s="31">
        <v>0</v>
      </c>
      <c r="J383" s="31">
        <v>0</v>
      </c>
      <c r="K383" s="31" t="s">
        <v>882</v>
      </c>
      <c r="L383" s="2" t="str">
        <f t="shared" si="40"/>
        <v>Рихтовка</v>
      </c>
      <c r="M383" s="12">
        <f t="shared" si="41"/>
        <v>0</v>
      </c>
      <c r="N383" s="12">
        <f t="shared" si="42"/>
        <v>0</v>
      </c>
      <c r="O383" s="12">
        <f t="shared" si="43"/>
        <v>0</v>
      </c>
      <c r="P383" s="12">
        <f t="shared" si="44"/>
        <v>0</v>
      </c>
      <c r="Q383" s="12">
        <f t="shared" si="45"/>
        <v>0</v>
      </c>
      <c r="R383" s="12">
        <f t="shared" si="46"/>
        <v>0</v>
      </c>
      <c r="S383" s="12">
        <f t="shared" si="47"/>
        <v>0</v>
      </c>
      <c r="T383" s="31">
        <v>0</v>
      </c>
      <c r="U383" s="31">
        <v>0</v>
      </c>
      <c r="V383" s="31">
        <v>0</v>
      </c>
      <c r="W383" s="31">
        <v>0</v>
      </c>
      <c r="X383" s="31">
        <v>0</v>
      </c>
      <c r="Y383" s="31">
        <v>0</v>
      </c>
      <c r="Z383" s="31">
        <v>0</v>
      </c>
      <c r="AA383" s="31">
        <v>0</v>
      </c>
      <c r="AB383" s="31">
        <v>0</v>
      </c>
      <c r="AC383" s="31">
        <v>0</v>
      </c>
      <c r="AD383" s="31">
        <v>0</v>
      </c>
      <c r="AE383" s="31">
        <v>0</v>
      </c>
      <c r="AF383" s="31">
        <v>0</v>
      </c>
      <c r="AG383" s="31">
        <v>0</v>
      </c>
      <c r="AH383" s="31">
        <v>0</v>
      </c>
      <c r="AI383" s="31">
        <v>0</v>
      </c>
      <c r="AJ383" s="31">
        <v>0</v>
      </c>
      <c r="AK383" s="31">
        <v>0</v>
      </c>
      <c r="AL383" s="31">
        <v>0</v>
      </c>
      <c r="AM383" s="31">
        <v>0</v>
      </c>
      <c r="AN383" s="31">
        <v>0</v>
      </c>
      <c r="AO383" s="31">
        <v>0</v>
      </c>
      <c r="AP383" s="31">
        <v>0</v>
      </c>
    </row>
    <row r="384" spans="1:42" x14ac:dyDescent="0.25">
      <c r="A384" s="31">
        <v>6</v>
      </c>
      <c r="B384" s="31">
        <v>13809</v>
      </c>
      <c r="C384" s="31">
        <v>1</v>
      </c>
      <c r="D384" s="31" t="s">
        <v>757</v>
      </c>
      <c r="E384" s="31"/>
      <c r="F384" s="31">
        <v>0</v>
      </c>
      <c r="G384" s="31">
        <v>0</v>
      </c>
      <c r="H384" s="31">
        <v>0</v>
      </c>
      <c r="I384" s="31">
        <v>0</v>
      </c>
      <c r="J384" s="31">
        <v>0</v>
      </c>
      <c r="K384" s="31" t="s">
        <v>882</v>
      </c>
      <c r="L384" s="2" t="str">
        <f t="shared" si="40"/>
        <v>Рихтовка</v>
      </c>
      <c r="M384" s="12">
        <f t="shared" si="41"/>
        <v>0</v>
      </c>
      <c r="N384" s="12">
        <f t="shared" si="42"/>
        <v>0</v>
      </c>
      <c r="O384" s="12">
        <f t="shared" si="43"/>
        <v>0</v>
      </c>
      <c r="P384" s="12">
        <f t="shared" si="44"/>
        <v>0</v>
      </c>
      <c r="Q384" s="12">
        <f t="shared" si="45"/>
        <v>0</v>
      </c>
      <c r="R384" s="12">
        <f t="shared" si="46"/>
        <v>0</v>
      </c>
      <c r="S384" s="12">
        <f t="shared" si="47"/>
        <v>0</v>
      </c>
      <c r="T384" s="31">
        <v>0</v>
      </c>
      <c r="U384" s="31">
        <v>0</v>
      </c>
      <c r="V384" s="31">
        <v>0</v>
      </c>
      <c r="W384" s="31">
        <v>0</v>
      </c>
      <c r="X384" s="31">
        <v>0</v>
      </c>
      <c r="Y384" s="31">
        <v>0</v>
      </c>
      <c r="Z384" s="31">
        <v>0</v>
      </c>
      <c r="AA384" s="31">
        <v>0</v>
      </c>
      <c r="AB384" s="31">
        <v>0</v>
      </c>
      <c r="AC384" s="31">
        <v>0</v>
      </c>
      <c r="AD384" s="31">
        <v>0</v>
      </c>
      <c r="AE384" s="31">
        <v>0</v>
      </c>
      <c r="AF384" s="31">
        <v>0</v>
      </c>
      <c r="AG384" s="31">
        <v>0</v>
      </c>
      <c r="AH384" s="31">
        <v>0</v>
      </c>
      <c r="AI384" s="31">
        <v>0</v>
      </c>
      <c r="AJ384" s="31">
        <v>0</v>
      </c>
      <c r="AK384" s="31">
        <v>0</v>
      </c>
      <c r="AL384" s="31">
        <v>0</v>
      </c>
      <c r="AM384" s="31">
        <v>0</v>
      </c>
      <c r="AN384" s="31">
        <v>0</v>
      </c>
      <c r="AO384" s="31">
        <v>0</v>
      </c>
      <c r="AP384" s="31">
        <v>0</v>
      </c>
    </row>
    <row r="385" spans="1:42" x14ac:dyDescent="0.25">
      <c r="A385" s="31">
        <v>6</v>
      </c>
      <c r="B385" s="31">
        <v>13809</v>
      </c>
      <c r="C385" s="31">
        <v>1</v>
      </c>
      <c r="D385" s="31" t="s">
        <v>758</v>
      </c>
      <c r="E385" s="31"/>
      <c r="F385" s="31">
        <v>0</v>
      </c>
      <c r="G385" s="31">
        <v>0</v>
      </c>
      <c r="H385" s="31">
        <v>0</v>
      </c>
      <c r="I385" s="31">
        <v>0</v>
      </c>
      <c r="J385" s="31">
        <v>0</v>
      </c>
      <c r="K385" s="31" t="s">
        <v>882</v>
      </c>
      <c r="L385" s="2" t="str">
        <f t="shared" si="40"/>
        <v>Рихтовка</v>
      </c>
      <c r="M385" s="12">
        <f t="shared" si="41"/>
        <v>0</v>
      </c>
      <c r="N385" s="12">
        <f t="shared" si="42"/>
        <v>0</v>
      </c>
      <c r="O385" s="12">
        <f t="shared" si="43"/>
        <v>0</v>
      </c>
      <c r="P385" s="12">
        <f t="shared" si="44"/>
        <v>0</v>
      </c>
      <c r="Q385" s="12">
        <f t="shared" si="45"/>
        <v>0</v>
      </c>
      <c r="R385" s="12">
        <f t="shared" si="46"/>
        <v>0</v>
      </c>
      <c r="S385" s="12">
        <f t="shared" si="47"/>
        <v>0</v>
      </c>
      <c r="T385" s="31">
        <v>0</v>
      </c>
      <c r="U385" s="31">
        <v>0</v>
      </c>
      <c r="V385" s="31">
        <v>0</v>
      </c>
      <c r="W385" s="31">
        <v>0</v>
      </c>
      <c r="X385" s="31">
        <v>0</v>
      </c>
      <c r="Y385" s="31">
        <v>0</v>
      </c>
      <c r="Z385" s="31">
        <v>0</v>
      </c>
      <c r="AA385" s="31">
        <v>0</v>
      </c>
      <c r="AB385" s="31">
        <v>0</v>
      </c>
      <c r="AC385" s="31">
        <v>0</v>
      </c>
      <c r="AD385" s="31">
        <v>0</v>
      </c>
      <c r="AE385" s="31">
        <v>0</v>
      </c>
      <c r="AF385" s="31">
        <v>0</v>
      </c>
      <c r="AG385" s="31">
        <v>0</v>
      </c>
      <c r="AH385" s="31">
        <v>0</v>
      </c>
      <c r="AI385" s="31">
        <v>0</v>
      </c>
      <c r="AJ385" s="31">
        <v>0</v>
      </c>
      <c r="AK385" s="31">
        <v>0</v>
      </c>
      <c r="AL385" s="31">
        <v>0</v>
      </c>
      <c r="AM385" s="31">
        <v>0</v>
      </c>
      <c r="AN385" s="31">
        <v>0</v>
      </c>
      <c r="AO385" s="31">
        <v>0</v>
      </c>
      <c r="AP385" s="31">
        <v>0</v>
      </c>
    </row>
    <row r="386" spans="1:42" x14ac:dyDescent="0.25">
      <c r="A386" s="31">
        <v>6</v>
      </c>
      <c r="B386" s="31">
        <v>13809</v>
      </c>
      <c r="C386" s="31">
        <v>2</v>
      </c>
      <c r="D386" s="31" t="s">
        <v>749</v>
      </c>
      <c r="E386" s="31"/>
      <c r="F386" s="31">
        <v>0</v>
      </c>
      <c r="G386" s="31">
        <v>0</v>
      </c>
      <c r="H386" s="31">
        <v>0</v>
      </c>
      <c r="I386" s="31">
        <v>0</v>
      </c>
      <c r="J386" s="31">
        <v>0</v>
      </c>
      <c r="K386" s="31" t="s">
        <v>882</v>
      </c>
      <c r="L386" s="2" t="str">
        <f t="shared" ref="L386:L449" si="48">IF($M386=N386,$N$1,IF($M386=O386,$O$1,IF($M386=P386,$P$1,IF($M386=Q386,$Q$1,IF($M386=R386,$R$1,$S$1)))))</f>
        <v>Рихтовка</v>
      </c>
      <c r="M386" s="12">
        <f t="shared" ref="M386:M449" si="49">MAX(N386,O386,P386,Q386,R386,S386)</f>
        <v>0</v>
      </c>
      <c r="N386" s="12">
        <f t="shared" ref="N386:N449" si="50">T386+U386+V386</f>
        <v>0</v>
      </c>
      <c r="O386" s="12">
        <f t="shared" ref="O386:O449" si="51">W386+X386+Y386</f>
        <v>0</v>
      </c>
      <c r="P386" s="12">
        <f t="shared" ref="P386:P449" si="52">Z386+AA386+AB386</f>
        <v>0</v>
      </c>
      <c r="Q386" s="12">
        <f t="shared" ref="Q386:Q449" si="53">AC386+AD386+AE386</f>
        <v>0</v>
      </c>
      <c r="R386" s="12">
        <f t="shared" ref="R386:R449" si="54">AF386+AG386+AH386</f>
        <v>0</v>
      </c>
      <c r="S386" s="12">
        <f t="shared" ref="S386:S449" si="55">AI386+AJ386+AK386</f>
        <v>0</v>
      </c>
      <c r="T386" s="31">
        <v>0</v>
      </c>
      <c r="U386" s="31">
        <v>0</v>
      </c>
      <c r="V386" s="31">
        <v>0</v>
      </c>
      <c r="W386" s="31">
        <v>0</v>
      </c>
      <c r="X386" s="31">
        <v>0</v>
      </c>
      <c r="Y386" s="31">
        <v>0</v>
      </c>
      <c r="Z386" s="31">
        <v>0</v>
      </c>
      <c r="AA386" s="31">
        <v>0</v>
      </c>
      <c r="AB386" s="31">
        <v>0</v>
      </c>
      <c r="AC386" s="31">
        <v>0</v>
      </c>
      <c r="AD386" s="31">
        <v>0</v>
      </c>
      <c r="AE386" s="31">
        <v>0</v>
      </c>
      <c r="AF386" s="31">
        <v>0</v>
      </c>
      <c r="AG386" s="31">
        <v>0</v>
      </c>
      <c r="AH386" s="31">
        <v>0</v>
      </c>
      <c r="AI386" s="31">
        <v>0</v>
      </c>
      <c r="AJ386" s="31">
        <v>0</v>
      </c>
      <c r="AK386" s="31">
        <v>0</v>
      </c>
      <c r="AL386" s="31">
        <v>0</v>
      </c>
      <c r="AM386" s="31">
        <v>0</v>
      </c>
      <c r="AN386" s="31">
        <v>0</v>
      </c>
      <c r="AO386" s="31">
        <v>0</v>
      </c>
      <c r="AP386" s="31">
        <v>0</v>
      </c>
    </row>
    <row r="387" spans="1:42" x14ac:dyDescent="0.25">
      <c r="A387" s="31">
        <v>6</v>
      </c>
      <c r="B387" s="31">
        <v>13809</v>
      </c>
      <c r="C387" s="31">
        <v>2</v>
      </c>
      <c r="D387" s="31" t="s">
        <v>750</v>
      </c>
      <c r="E387" s="31"/>
      <c r="F387" s="31">
        <v>0</v>
      </c>
      <c r="G387" s="31">
        <v>0</v>
      </c>
      <c r="H387" s="31">
        <v>0</v>
      </c>
      <c r="I387" s="31">
        <v>0</v>
      </c>
      <c r="J387" s="31">
        <v>0</v>
      </c>
      <c r="K387" s="31" t="s">
        <v>882</v>
      </c>
      <c r="L387" s="2" t="str">
        <f t="shared" si="48"/>
        <v>Рихтовка</v>
      </c>
      <c r="M387" s="12">
        <f t="shared" si="49"/>
        <v>0</v>
      </c>
      <c r="N387" s="12">
        <f t="shared" si="50"/>
        <v>0</v>
      </c>
      <c r="O387" s="12">
        <f t="shared" si="51"/>
        <v>0</v>
      </c>
      <c r="P387" s="12">
        <f t="shared" si="52"/>
        <v>0</v>
      </c>
      <c r="Q387" s="12">
        <f t="shared" si="53"/>
        <v>0</v>
      </c>
      <c r="R387" s="12">
        <f t="shared" si="54"/>
        <v>0</v>
      </c>
      <c r="S387" s="12">
        <f t="shared" si="55"/>
        <v>0</v>
      </c>
      <c r="T387" s="31">
        <v>0</v>
      </c>
      <c r="U387" s="31">
        <v>0</v>
      </c>
      <c r="V387" s="31">
        <v>0</v>
      </c>
      <c r="W387" s="31">
        <v>0</v>
      </c>
      <c r="X387" s="31">
        <v>0</v>
      </c>
      <c r="Y387" s="31">
        <v>0</v>
      </c>
      <c r="Z387" s="31">
        <v>0</v>
      </c>
      <c r="AA387" s="31">
        <v>0</v>
      </c>
      <c r="AB387" s="31">
        <v>0</v>
      </c>
      <c r="AC387" s="31">
        <v>0</v>
      </c>
      <c r="AD387" s="31">
        <v>0</v>
      </c>
      <c r="AE387" s="31">
        <v>0</v>
      </c>
      <c r="AF387" s="31">
        <v>0</v>
      </c>
      <c r="AG387" s="31">
        <v>0</v>
      </c>
      <c r="AH387" s="31">
        <v>0</v>
      </c>
      <c r="AI387" s="31">
        <v>0</v>
      </c>
      <c r="AJ387" s="31">
        <v>0</v>
      </c>
      <c r="AK387" s="31">
        <v>0</v>
      </c>
      <c r="AL387" s="31">
        <v>0</v>
      </c>
      <c r="AM387" s="31">
        <v>0</v>
      </c>
      <c r="AN387" s="31">
        <v>0</v>
      </c>
      <c r="AO387" s="31">
        <v>0</v>
      </c>
      <c r="AP387" s="31">
        <v>0</v>
      </c>
    </row>
    <row r="388" spans="1:42" x14ac:dyDescent="0.25">
      <c r="A388" s="31">
        <v>6</v>
      </c>
      <c r="B388" s="31">
        <v>13809</v>
      </c>
      <c r="C388" s="31">
        <v>2</v>
      </c>
      <c r="D388" s="31" t="s">
        <v>751</v>
      </c>
      <c r="E388" s="31"/>
      <c r="F388" s="31">
        <v>0</v>
      </c>
      <c r="G388" s="31">
        <v>0</v>
      </c>
      <c r="H388" s="31">
        <v>0</v>
      </c>
      <c r="I388" s="31">
        <v>0</v>
      </c>
      <c r="J388" s="31">
        <v>0</v>
      </c>
      <c r="K388" s="31" t="s">
        <v>882</v>
      </c>
      <c r="L388" s="2" t="str">
        <f t="shared" si="48"/>
        <v>Рихтовка</v>
      </c>
      <c r="M388" s="12">
        <f t="shared" si="49"/>
        <v>0</v>
      </c>
      <c r="N388" s="12">
        <f t="shared" si="50"/>
        <v>0</v>
      </c>
      <c r="O388" s="12">
        <f t="shared" si="51"/>
        <v>0</v>
      </c>
      <c r="P388" s="12">
        <f t="shared" si="52"/>
        <v>0</v>
      </c>
      <c r="Q388" s="12">
        <f t="shared" si="53"/>
        <v>0</v>
      </c>
      <c r="R388" s="12">
        <f t="shared" si="54"/>
        <v>0</v>
      </c>
      <c r="S388" s="12">
        <f t="shared" si="55"/>
        <v>0</v>
      </c>
      <c r="T388" s="31">
        <v>0</v>
      </c>
      <c r="U388" s="31">
        <v>0</v>
      </c>
      <c r="V388" s="31">
        <v>0</v>
      </c>
      <c r="W388" s="31">
        <v>0</v>
      </c>
      <c r="X388" s="31">
        <v>0</v>
      </c>
      <c r="Y388" s="31">
        <v>0</v>
      </c>
      <c r="Z388" s="31">
        <v>0</v>
      </c>
      <c r="AA388" s="31">
        <v>0</v>
      </c>
      <c r="AB388" s="31">
        <v>0</v>
      </c>
      <c r="AC388" s="31">
        <v>0</v>
      </c>
      <c r="AD388" s="31">
        <v>0</v>
      </c>
      <c r="AE388" s="31">
        <v>0</v>
      </c>
      <c r="AF388" s="31">
        <v>0</v>
      </c>
      <c r="AG388" s="31">
        <v>0</v>
      </c>
      <c r="AH388" s="31">
        <v>0</v>
      </c>
      <c r="AI388" s="31">
        <v>0</v>
      </c>
      <c r="AJ388" s="31">
        <v>0</v>
      </c>
      <c r="AK388" s="31">
        <v>0</v>
      </c>
      <c r="AL388" s="31">
        <v>0</v>
      </c>
      <c r="AM388" s="31">
        <v>0</v>
      </c>
      <c r="AN388" s="31">
        <v>0</v>
      </c>
      <c r="AO388" s="31">
        <v>0</v>
      </c>
      <c r="AP388" s="31">
        <v>0</v>
      </c>
    </row>
    <row r="389" spans="1:42" x14ac:dyDescent="0.25">
      <c r="A389" s="31">
        <v>6</v>
      </c>
      <c r="B389" s="31">
        <v>13809</v>
      </c>
      <c r="C389" s="31">
        <v>2</v>
      </c>
      <c r="D389" s="31" t="s">
        <v>752</v>
      </c>
      <c r="E389" s="31"/>
      <c r="F389" s="31">
        <v>0</v>
      </c>
      <c r="G389" s="31">
        <v>0</v>
      </c>
      <c r="H389" s="31">
        <v>0</v>
      </c>
      <c r="I389" s="31">
        <v>0</v>
      </c>
      <c r="J389" s="31">
        <v>0</v>
      </c>
      <c r="K389" s="31" t="s">
        <v>882</v>
      </c>
      <c r="L389" s="2" t="str">
        <f t="shared" si="48"/>
        <v>Рихтовка</v>
      </c>
      <c r="M389" s="12">
        <f t="shared" si="49"/>
        <v>0</v>
      </c>
      <c r="N389" s="12">
        <f t="shared" si="50"/>
        <v>0</v>
      </c>
      <c r="O389" s="12">
        <f t="shared" si="51"/>
        <v>0</v>
      </c>
      <c r="P389" s="12">
        <f t="shared" si="52"/>
        <v>0</v>
      </c>
      <c r="Q389" s="12">
        <f t="shared" si="53"/>
        <v>0</v>
      </c>
      <c r="R389" s="12">
        <f t="shared" si="54"/>
        <v>0</v>
      </c>
      <c r="S389" s="12">
        <f t="shared" si="55"/>
        <v>0</v>
      </c>
      <c r="T389" s="31">
        <v>0</v>
      </c>
      <c r="U389" s="31">
        <v>0</v>
      </c>
      <c r="V389" s="31">
        <v>0</v>
      </c>
      <c r="W389" s="31">
        <v>0</v>
      </c>
      <c r="X389" s="31">
        <v>0</v>
      </c>
      <c r="Y389" s="31">
        <v>0</v>
      </c>
      <c r="Z389" s="31">
        <v>0</v>
      </c>
      <c r="AA389" s="31">
        <v>0</v>
      </c>
      <c r="AB389" s="31">
        <v>0</v>
      </c>
      <c r="AC389" s="31">
        <v>0</v>
      </c>
      <c r="AD389" s="31">
        <v>0</v>
      </c>
      <c r="AE389" s="31">
        <v>0</v>
      </c>
      <c r="AF389" s="31">
        <v>0</v>
      </c>
      <c r="AG389" s="31">
        <v>0</v>
      </c>
      <c r="AH389" s="31">
        <v>0</v>
      </c>
      <c r="AI389" s="31">
        <v>0</v>
      </c>
      <c r="AJ389" s="31">
        <v>0</v>
      </c>
      <c r="AK389" s="31">
        <v>0</v>
      </c>
      <c r="AL389" s="31">
        <v>0</v>
      </c>
      <c r="AM389" s="31">
        <v>0</v>
      </c>
      <c r="AN389" s="31">
        <v>0</v>
      </c>
      <c r="AO389" s="31">
        <v>0</v>
      </c>
      <c r="AP389" s="31">
        <v>0</v>
      </c>
    </row>
    <row r="390" spans="1:42" x14ac:dyDescent="0.25">
      <c r="A390" s="31">
        <v>6</v>
      </c>
      <c r="B390" s="31">
        <v>13809</v>
      </c>
      <c r="C390" s="31">
        <v>2</v>
      </c>
      <c r="D390" s="31" t="s">
        <v>753</v>
      </c>
      <c r="E390" s="31"/>
      <c r="F390" s="31">
        <v>0</v>
      </c>
      <c r="G390" s="31">
        <v>0</v>
      </c>
      <c r="H390" s="31">
        <v>0</v>
      </c>
      <c r="I390" s="31">
        <v>0</v>
      </c>
      <c r="J390" s="31">
        <v>0</v>
      </c>
      <c r="K390" s="31" t="s">
        <v>882</v>
      </c>
      <c r="L390" s="2" t="str">
        <f t="shared" si="48"/>
        <v>Рихтовка</v>
      </c>
      <c r="M390" s="12">
        <f t="shared" si="49"/>
        <v>0</v>
      </c>
      <c r="N390" s="12">
        <f t="shared" si="50"/>
        <v>0</v>
      </c>
      <c r="O390" s="12">
        <f t="shared" si="51"/>
        <v>0</v>
      </c>
      <c r="P390" s="12">
        <f t="shared" si="52"/>
        <v>0</v>
      </c>
      <c r="Q390" s="12">
        <f t="shared" si="53"/>
        <v>0</v>
      </c>
      <c r="R390" s="12">
        <f t="shared" si="54"/>
        <v>0</v>
      </c>
      <c r="S390" s="12">
        <f t="shared" si="55"/>
        <v>0</v>
      </c>
      <c r="T390" s="31">
        <v>0</v>
      </c>
      <c r="U390" s="31">
        <v>0</v>
      </c>
      <c r="V390" s="31">
        <v>0</v>
      </c>
      <c r="W390" s="31">
        <v>0</v>
      </c>
      <c r="X390" s="31">
        <v>0</v>
      </c>
      <c r="Y390" s="31">
        <v>0</v>
      </c>
      <c r="Z390" s="31">
        <v>0</v>
      </c>
      <c r="AA390" s="31">
        <v>0</v>
      </c>
      <c r="AB390" s="31">
        <v>0</v>
      </c>
      <c r="AC390" s="31">
        <v>0</v>
      </c>
      <c r="AD390" s="31">
        <v>0</v>
      </c>
      <c r="AE390" s="31">
        <v>0</v>
      </c>
      <c r="AF390" s="31">
        <v>0</v>
      </c>
      <c r="AG390" s="31">
        <v>0</v>
      </c>
      <c r="AH390" s="31">
        <v>0</v>
      </c>
      <c r="AI390" s="31">
        <v>0</v>
      </c>
      <c r="AJ390" s="31">
        <v>0</v>
      </c>
      <c r="AK390" s="31">
        <v>0</v>
      </c>
      <c r="AL390" s="31">
        <v>0</v>
      </c>
      <c r="AM390" s="31">
        <v>0</v>
      </c>
      <c r="AN390" s="31">
        <v>0</v>
      </c>
      <c r="AO390" s="31">
        <v>0</v>
      </c>
      <c r="AP390" s="31">
        <v>0</v>
      </c>
    </row>
    <row r="391" spans="1:42" x14ac:dyDescent="0.25">
      <c r="A391" s="31">
        <v>6</v>
      </c>
      <c r="B391" s="31">
        <v>13809</v>
      </c>
      <c r="C391" s="31">
        <v>2</v>
      </c>
      <c r="D391" s="31" t="s">
        <v>755</v>
      </c>
      <c r="E391" s="31"/>
      <c r="F391" s="31">
        <v>0</v>
      </c>
      <c r="G391" s="31">
        <v>0</v>
      </c>
      <c r="H391" s="31">
        <v>0</v>
      </c>
      <c r="I391" s="31">
        <v>0</v>
      </c>
      <c r="J391" s="31">
        <v>0</v>
      </c>
      <c r="K391" s="31" t="s">
        <v>882</v>
      </c>
      <c r="L391" s="2" t="str">
        <f t="shared" si="48"/>
        <v>Рихтовка</v>
      </c>
      <c r="M391" s="12">
        <f t="shared" si="49"/>
        <v>0</v>
      </c>
      <c r="N391" s="12">
        <f t="shared" si="50"/>
        <v>0</v>
      </c>
      <c r="O391" s="12">
        <f t="shared" si="51"/>
        <v>0</v>
      </c>
      <c r="P391" s="12">
        <f t="shared" si="52"/>
        <v>0</v>
      </c>
      <c r="Q391" s="12">
        <f t="shared" si="53"/>
        <v>0</v>
      </c>
      <c r="R391" s="12">
        <f t="shared" si="54"/>
        <v>0</v>
      </c>
      <c r="S391" s="12">
        <f t="shared" si="55"/>
        <v>0</v>
      </c>
      <c r="T391" s="31">
        <v>0</v>
      </c>
      <c r="U391" s="31">
        <v>0</v>
      </c>
      <c r="V391" s="31">
        <v>0</v>
      </c>
      <c r="W391" s="31">
        <v>0</v>
      </c>
      <c r="X391" s="31">
        <v>0</v>
      </c>
      <c r="Y391" s="31">
        <v>0</v>
      </c>
      <c r="Z391" s="31">
        <v>0</v>
      </c>
      <c r="AA391" s="31">
        <v>0</v>
      </c>
      <c r="AB391" s="31">
        <v>0</v>
      </c>
      <c r="AC391" s="31">
        <v>0</v>
      </c>
      <c r="AD391" s="31">
        <v>0</v>
      </c>
      <c r="AE391" s="31">
        <v>0</v>
      </c>
      <c r="AF391" s="31">
        <v>0</v>
      </c>
      <c r="AG391" s="31">
        <v>0</v>
      </c>
      <c r="AH391" s="31">
        <v>0</v>
      </c>
      <c r="AI391" s="31">
        <v>0</v>
      </c>
      <c r="AJ391" s="31">
        <v>0</v>
      </c>
      <c r="AK391" s="31">
        <v>0</v>
      </c>
      <c r="AL391" s="31">
        <v>0</v>
      </c>
      <c r="AM391" s="31">
        <v>0</v>
      </c>
      <c r="AN391" s="31">
        <v>0</v>
      </c>
      <c r="AO391" s="31">
        <v>0</v>
      </c>
      <c r="AP391" s="31">
        <v>0</v>
      </c>
    </row>
    <row r="392" spans="1:42" x14ac:dyDescent="0.25">
      <c r="A392" s="31">
        <v>6</v>
      </c>
      <c r="B392" s="31">
        <v>13809</v>
      </c>
      <c r="C392" s="31">
        <v>2</v>
      </c>
      <c r="D392" s="31" t="s">
        <v>756</v>
      </c>
      <c r="E392" s="31"/>
      <c r="F392" s="31">
        <v>0</v>
      </c>
      <c r="G392" s="31">
        <v>0</v>
      </c>
      <c r="H392" s="31">
        <v>0</v>
      </c>
      <c r="I392" s="31">
        <v>0</v>
      </c>
      <c r="J392" s="31">
        <v>0</v>
      </c>
      <c r="K392" s="31" t="s">
        <v>882</v>
      </c>
      <c r="L392" s="2" t="str">
        <f t="shared" si="48"/>
        <v>Рихтовка</v>
      </c>
      <c r="M392" s="12">
        <f t="shared" si="49"/>
        <v>0</v>
      </c>
      <c r="N392" s="12">
        <f t="shared" si="50"/>
        <v>0</v>
      </c>
      <c r="O392" s="12">
        <f t="shared" si="51"/>
        <v>0</v>
      </c>
      <c r="P392" s="12">
        <f t="shared" si="52"/>
        <v>0</v>
      </c>
      <c r="Q392" s="12">
        <f t="shared" si="53"/>
        <v>0</v>
      </c>
      <c r="R392" s="12">
        <f t="shared" si="54"/>
        <v>0</v>
      </c>
      <c r="S392" s="12">
        <f t="shared" si="55"/>
        <v>0</v>
      </c>
      <c r="T392" s="31">
        <v>0</v>
      </c>
      <c r="U392" s="31">
        <v>0</v>
      </c>
      <c r="V392" s="31">
        <v>0</v>
      </c>
      <c r="W392" s="31">
        <v>0</v>
      </c>
      <c r="X392" s="31">
        <v>0</v>
      </c>
      <c r="Y392" s="31">
        <v>0</v>
      </c>
      <c r="Z392" s="31">
        <v>0</v>
      </c>
      <c r="AA392" s="31">
        <v>0</v>
      </c>
      <c r="AB392" s="31">
        <v>0</v>
      </c>
      <c r="AC392" s="31">
        <v>0</v>
      </c>
      <c r="AD392" s="31">
        <v>0</v>
      </c>
      <c r="AE392" s="31">
        <v>0</v>
      </c>
      <c r="AF392" s="31">
        <v>0</v>
      </c>
      <c r="AG392" s="31">
        <v>0</v>
      </c>
      <c r="AH392" s="31">
        <v>0</v>
      </c>
      <c r="AI392" s="31">
        <v>0</v>
      </c>
      <c r="AJ392" s="31">
        <v>0</v>
      </c>
      <c r="AK392" s="31">
        <v>0</v>
      </c>
      <c r="AL392" s="31">
        <v>0</v>
      </c>
      <c r="AM392" s="31">
        <v>0</v>
      </c>
      <c r="AN392" s="31">
        <v>0</v>
      </c>
      <c r="AO392" s="31">
        <v>0</v>
      </c>
      <c r="AP392" s="31">
        <v>0</v>
      </c>
    </row>
    <row r="393" spans="1:42" x14ac:dyDescent="0.25">
      <c r="A393" s="31">
        <v>6</v>
      </c>
      <c r="B393" s="31">
        <v>13809</v>
      </c>
      <c r="C393" s="31">
        <v>2</v>
      </c>
      <c r="D393" s="31" t="s">
        <v>757</v>
      </c>
      <c r="E393" s="31"/>
      <c r="F393" s="31">
        <v>0</v>
      </c>
      <c r="G393" s="31">
        <v>0</v>
      </c>
      <c r="H393" s="31">
        <v>0</v>
      </c>
      <c r="I393" s="31">
        <v>0</v>
      </c>
      <c r="J393" s="31">
        <v>0</v>
      </c>
      <c r="K393" s="31" t="s">
        <v>882</v>
      </c>
      <c r="L393" s="2" t="str">
        <f t="shared" si="48"/>
        <v>Рихтовка</v>
      </c>
      <c r="M393" s="12">
        <f t="shared" si="49"/>
        <v>0</v>
      </c>
      <c r="N393" s="12">
        <f t="shared" si="50"/>
        <v>0</v>
      </c>
      <c r="O393" s="12">
        <f t="shared" si="51"/>
        <v>0</v>
      </c>
      <c r="P393" s="12">
        <f t="shared" si="52"/>
        <v>0</v>
      </c>
      <c r="Q393" s="12">
        <f t="shared" si="53"/>
        <v>0</v>
      </c>
      <c r="R393" s="12">
        <f t="shared" si="54"/>
        <v>0</v>
      </c>
      <c r="S393" s="12">
        <f t="shared" si="55"/>
        <v>0</v>
      </c>
      <c r="T393" s="31">
        <v>0</v>
      </c>
      <c r="U393" s="31">
        <v>0</v>
      </c>
      <c r="V393" s="31">
        <v>0</v>
      </c>
      <c r="W393" s="31">
        <v>0</v>
      </c>
      <c r="X393" s="31">
        <v>0</v>
      </c>
      <c r="Y393" s="31">
        <v>0</v>
      </c>
      <c r="Z393" s="31">
        <v>0</v>
      </c>
      <c r="AA393" s="31">
        <v>0</v>
      </c>
      <c r="AB393" s="31">
        <v>0</v>
      </c>
      <c r="AC393" s="31">
        <v>0</v>
      </c>
      <c r="AD393" s="31">
        <v>0</v>
      </c>
      <c r="AE393" s="31">
        <v>0</v>
      </c>
      <c r="AF393" s="31">
        <v>0</v>
      </c>
      <c r="AG393" s="31">
        <v>0</v>
      </c>
      <c r="AH393" s="31">
        <v>0</v>
      </c>
      <c r="AI393" s="31">
        <v>0</v>
      </c>
      <c r="AJ393" s="31">
        <v>0</v>
      </c>
      <c r="AK393" s="31">
        <v>0</v>
      </c>
      <c r="AL393" s="31">
        <v>0</v>
      </c>
      <c r="AM393" s="31">
        <v>0</v>
      </c>
      <c r="AN393" s="31">
        <v>0</v>
      </c>
      <c r="AO393" s="31">
        <v>0</v>
      </c>
      <c r="AP393" s="31">
        <v>0</v>
      </c>
    </row>
    <row r="394" spans="1:42" x14ac:dyDescent="0.25">
      <c r="A394" s="31">
        <v>6</v>
      </c>
      <c r="B394" s="31">
        <v>13809</v>
      </c>
      <c r="C394" s="31">
        <v>2</v>
      </c>
      <c r="D394" s="31" t="s">
        <v>758</v>
      </c>
      <c r="E394" s="31"/>
      <c r="F394" s="31">
        <v>0</v>
      </c>
      <c r="G394" s="31">
        <v>0</v>
      </c>
      <c r="H394" s="31">
        <v>0</v>
      </c>
      <c r="I394" s="31">
        <v>0</v>
      </c>
      <c r="J394" s="31">
        <v>0</v>
      </c>
      <c r="K394" s="31" t="s">
        <v>882</v>
      </c>
      <c r="L394" s="2" t="str">
        <f t="shared" si="48"/>
        <v>Рихтовка</v>
      </c>
      <c r="M394" s="12">
        <f t="shared" si="49"/>
        <v>0</v>
      </c>
      <c r="N394" s="12">
        <f t="shared" si="50"/>
        <v>0</v>
      </c>
      <c r="O394" s="12">
        <f t="shared" si="51"/>
        <v>0</v>
      </c>
      <c r="P394" s="12">
        <f t="shared" si="52"/>
        <v>0</v>
      </c>
      <c r="Q394" s="12">
        <f t="shared" si="53"/>
        <v>0</v>
      </c>
      <c r="R394" s="12">
        <f t="shared" si="54"/>
        <v>0</v>
      </c>
      <c r="S394" s="12">
        <f t="shared" si="55"/>
        <v>0</v>
      </c>
      <c r="T394" s="31">
        <v>0</v>
      </c>
      <c r="U394" s="31">
        <v>0</v>
      </c>
      <c r="V394" s="31">
        <v>0</v>
      </c>
      <c r="W394" s="31">
        <v>0</v>
      </c>
      <c r="X394" s="31">
        <v>0</v>
      </c>
      <c r="Y394" s="31">
        <v>0</v>
      </c>
      <c r="Z394" s="31">
        <v>0</v>
      </c>
      <c r="AA394" s="31">
        <v>0</v>
      </c>
      <c r="AB394" s="31">
        <v>0</v>
      </c>
      <c r="AC394" s="31">
        <v>0</v>
      </c>
      <c r="AD394" s="31">
        <v>0</v>
      </c>
      <c r="AE394" s="31">
        <v>0</v>
      </c>
      <c r="AF394" s="31">
        <v>0</v>
      </c>
      <c r="AG394" s="31">
        <v>0</v>
      </c>
      <c r="AH394" s="31">
        <v>0</v>
      </c>
      <c r="AI394" s="31">
        <v>0</v>
      </c>
      <c r="AJ394" s="31">
        <v>0</v>
      </c>
      <c r="AK394" s="31">
        <v>0</v>
      </c>
      <c r="AL394" s="31">
        <v>0</v>
      </c>
      <c r="AM394" s="31">
        <v>0</v>
      </c>
      <c r="AN394" s="31">
        <v>0</v>
      </c>
      <c r="AO394" s="31">
        <v>0</v>
      </c>
      <c r="AP394" s="31">
        <v>0</v>
      </c>
    </row>
    <row r="395" spans="1:42" x14ac:dyDescent="0.25">
      <c r="A395" s="31">
        <v>7</v>
      </c>
      <c r="B395" s="31">
        <v>13809</v>
      </c>
      <c r="C395" s="31">
        <v>1</v>
      </c>
      <c r="D395" s="31" t="s">
        <v>758</v>
      </c>
      <c r="E395" s="31"/>
      <c r="F395" s="31">
        <v>0</v>
      </c>
      <c r="G395" s="31">
        <v>0</v>
      </c>
      <c r="H395" s="31">
        <v>0</v>
      </c>
      <c r="I395" s="31">
        <v>0</v>
      </c>
      <c r="J395" s="31">
        <v>0</v>
      </c>
      <c r="K395" s="31" t="s">
        <v>882</v>
      </c>
      <c r="L395" s="2" t="str">
        <f t="shared" si="48"/>
        <v>Рихтовка</v>
      </c>
      <c r="M395" s="12">
        <f t="shared" si="49"/>
        <v>0</v>
      </c>
      <c r="N395" s="12">
        <f t="shared" si="50"/>
        <v>0</v>
      </c>
      <c r="O395" s="12">
        <f t="shared" si="51"/>
        <v>0</v>
      </c>
      <c r="P395" s="12">
        <f t="shared" si="52"/>
        <v>0</v>
      </c>
      <c r="Q395" s="12">
        <f t="shared" si="53"/>
        <v>0</v>
      </c>
      <c r="R395" s="12">
        <f t="shared" si="54"/>
        <v>0</v>
      </c>
      <c r="S395" s="12">
        <f t="shared" si="55"/>
        <v>0</v>
      </c>
      <c r="T395" s="31">
        <v>0</v>
      </c>
      <c r="U395" s="31">
        <v>0</v>
      </c>
      <c r="V395" s="31">
        <v>0</v>
      </c>
      <c r="W395" s="31">
        <v>0</v>
      </c>
      <c r="X395" s="31">
        <v>0</v>
      </c>
      <c r="Y395" s="31">
        <v>0</v>
      </c>
      <c r="Z395" s="31">
        <v>0</v>
      </c>
      <c r="AA395" s="31">
        <v>0</v>
      </c>
      <c r="AB395" s="31">
        <v>0</v>
      </c>
      <c r="AC395" s="31">
        <v>0</v>
      </c>
      <c r="AD395" s="31">
        <v>0</v>
      </c>
      <c r="AE395" s="31">
        <v>0</v>
      </c>
      <c r="AF395" s="31">
        <v>0</v>
      </c>
      <c r="AG395" s="31">
        <v>0</v>
      </c>
      <c r="AH395" s="31">
        <v>0</v>
      </c>
      <c r="AI395" s="31">
        <v>0</v>
      </c>
      <c r="AJ395" s="31">
        <v>0</v>
      </c>
      <c r="AK395" s="31">
        <v>0</v>
      </c>
      <c r="AL395" s="31">
        <v>0</v>
      </c>
      <c r="AM395" s="31">
        <v>0</v>
      </c>
      <c r="AN395" s="31">
        <v>0</v>
      </c>
      <c r="AO395" s="31">
        <v>0</v>
      </c>
      <c r="AP395" s="31">
        <v>0</v>
      </c>
    </row>
    <row r="396" spans="1:42" x14ac:dyDescent="0.25">
      <c r="A396" s="31">
        <v>7</v>
      </c>
      <c r="B396" s="31">
        <v>13809</v>
      </c>
      <c r="C396" s="31">
        <v>2</v>
      </c>
      <c r="D396" s="31" t="s">
        <v>758</v>
      </c>
      <c r="E396" s="31"/>
      <c r="F396" s="31">
        <v>0</v>
      </c>
      <c r="G396" s="31">
        <v>0</v>
      </c>
      <c r="H396" s="31">
        <v>0</v>
      </c>
      <c r="I396" s="31">
        <v>0</v>
      </c>
      <c r="J396" s="31">
        <v>0</v>
      </c>
      <c r="K396" s="31" t="s">
        <v>882</v>
      </c>
      <c r="L396" s="2" t="str">
        <f t="shared" si="48"/>
        <v>Рихтовка</v>
      </c>
      <c r="M396" s="12">
        <f t="shared" si="49"/>
        <v>0</v>
      </c>
      <c r="N396" s="12">
        <f t="shared" si="50"/>
        <v>0</v>
      </c>
      <c r="O396" s="12">
        <f t="shared" si="51"/>
        <v>0</v>
      </c>
      <c r="P396" s="12">
        <f t="shared" si="52"/>
        <v>0</v>
      </c>
      <c r="Q396" s="12">
        <f t="shared" si="53"/>
        <v>0</v>
      </c>
      <c r="R396" s="12">
        <f t="shared" si="54"/>
        <v>0</v>
      </c>
      <c r="S396" s="12">
        <f t="shared" si="55"/>
        <v>0</v>
      </c>
      <c r="T396" s="31">
        <v>0</v>
      </c>
      <c r="U396" s="31">
        <v>0</v>
      </c>
      <c r="V396" s="31">
        <v>0</v>
      </c>
      <c r="W396" s="31">
        <v>0</v>
      </c>
      <c r="X396" s="31">
        <v>0</v>
      </c>
      <c r="Y396" s="31">
        <v>0</v>
      </c>
      <c r="Z396" s="31">
        <v>0</v>
      </c>
      <c r="AA396" s="31">
        <v>0</v>
      </c>
      <c r="AB396" s="31">
        <v>0</v>
      </c>
      <c r="AC396" s="31">
        <v>0</v>
      </c>
      <c r="AD396" s="31">
        <v>0</v>
      </c>
      <c r="AE396" s="31">
        <v>0</v>
      </c>
      <c r="AF396" s="31">
        <v>0</v>
      </c>
      <c r="AG396" s="31">
        <v>0</v>
      </c>
      <c r="AH396" s="31">
        <v>0</v>
      </c>
      <c r="AI396" s="31">
        <v>0</v>
      </c>
      <c r="AJ396" s="31">
        <v>0</v>
      </c>
      <c r="AK396" s="31">
        <v>0</v>
      </c>
      <c r="AL396" s="31">
        <v>0</v>
      </c>
      <c r="AM396" s="31">
        <v>0</v>
      </c>
      <c r="AN396" s="31">
        <v>0</v>
      </c>
      <c r="AO396" s="31">
        <v>0</v>
      </c>
      <c r="AP396" s="31">
        <v>0</v>
      </c>
    </row>
    <row r="397" spans="1:42" x14ac:dyDescent="0.25">
      <c r="A397" s="31">
        <v>7</v>
      </c>
      <c r="B397" s="31">
        <v>13809</v>
      </c>
      <c r="C397" s="31" t="s">
        <v>423</v>
      </c>
      <c r="D397" s="31" t="s">
        <v>759</v>
      </c>
      <c r="E397" s="31"/>
      <c r="F397" s="31">
        <v>0</v>
      </c>
      <c r="G397" s="31">
        <v>0</v>
      </c>
      <c r="H397" s="31">
        <v>0</v>
      </c>
      <c r="I397" s="31">
        <v>0</v>
      </c>
      <c r="J397" s="31">
        <v>0</v>
      </c>
      <c r="K397" s="31" t="s">
        <v>882</v>
      </c>
      <c r="L397" s="2" t="str">
        <f t="shared" si="48"/>
        <v>Рихтовка</v>
      </c>
      <c r="M397" s="12">
        <f t="shared" si="49"/>
        <v>0</v>
      </c>
      <c r="N397" s="12">
        <f t="shared" si="50"/>
        <v>0</v>
      </c>
      <c r="O397" s="12">
        <f t="shared" si="51"/>
        <v>0</v>
      </c>
      <c r="P397" s="12">
        <f t="shared" si="52"/>
        <v>0</v>
      </c>
      <c r="Q397" s="12">
        <f t="shared" si="53"/>
        <v>0</v>
      </c>
      <c r="R397" s="12">
        <f t="shared" si="54"/>
        <v>0</v>
      </c>
      <c r="S397" s="12">
        <f t="shared" si="55"/>
        <v>0</v>
      </c>
      <c r="T397" s="31">
        <v>0</v>
      </c>
      <c r="U397" s="31">
        <v>0</v>
      </c>
      <c r="V397" s="31">
        <v>0</v>
      </c>
      <c r="W397" s="31">
        <v>0</v>
      </c>
      <c r="X397" s="31">
        <v>0</v>
      </c>
      <c r="Y397" s="31">
        <v>0</v>
      </c>
      <c r="Z397" s="31">
        <v>0</v>
      </c>
      <c r="AA397" s="31">
        <v>0</v>
      </c>
      <c r="AB397" s="31">
        <v>0</v>
      </c>
      <c r="AC397" s="31">
        <v>0</v>
      </c>
      <c r="AD397" s="31">
        <v>0</v>
      </c>
      <c r="AE397" s="31">
        <v>0</v>
      </c>
      <c r="AF397" s="31">
        <v>0</v>
      </c>
      <c r="AG397" s="31">
        <v>0</v>
      </c>
      <c r="AH397" s="31">
        <v>0</v>
      </c>
      <c r="AI397" s="31">
        <v>0</v>
      </c>
      <c r="AJ397" s="31">
        <v>0</v>
      </c>
      <c r="AK397" s="31">
        <v>0</v>
      </c>
      <c r="AL397" s="31">
        <v>0</v>
      </c>
      <c r="AM397" s="31">
        <v>0</v>
      </c>
      <c r="AN397" s="31">
        <v>0</v>
      </c>
      <c r="AO397" s="31">
        <v>0</v>
      </c>
      <c r="AP397" s="31">
        <v>0</v>
      </c>
    </row>
    <row r="398" spans="1:42" x14ac:dyDescent="0.25">
      <c r="A398" s="31">
        <v>7</v>
      </c>
      <c r="B398" s="31">
        <v>13809</v>
      </c>
      <c r="C398" s="31">
        <v>1</v>
      </c>
      <c r="D398" s="31" t="s">
        <v>760</v>
      </c>
      <c r="E398" s="31"/>
      <c r="F398" s="31">
        <v>0</v>
      </c>
      <c r="G398" s="31">
        <v>0</v>
      </c>
      <c r="H398" s="31">
        <v>0</v>
      </c>
      <c r="I398" s="31">
        <v>0</v>
      </c>
      <c r="J398" s="31">
        <v>0</v>
      </c>
      <c r="K398" s="31" t="s">
        <v>882</v>
      </c>
      <c r="L398" s="2" t="str">
        <f t="shared" si="48"/>
        <v>Рихтовка</v>
      </c>
      <c r="M398" s="12">
        <f t="shared" si="49"/>
        <v>0</v>
      </c>
      <c r="N398" s="12">
        <f t="shared" si="50"/>
        <v>0</v>
      </c>
      <c r="O398" s="12">
        <f t="shared" si="51"/>
        <v>0</v>
      </c>
      <c r="P398" s="12">
        <f t="shared" si="52"/>
        <v>0</v>
      </c>
      <c r="Q398" s="12">
        <f t="shared" si="53"/>
        <v>0</v>
      </c>
      <c r="R398" s="12">
        <f t="shared" si="54"/>
        <v>0</v>
      </c>
      <c r="S398" s="12">
        <f t="shared" si="55"/>
        <v>0</v>
      </c>
      <c r="T398" s="31">
        <v>0</v>
      </c>
      <c r="U398" s="31">
        <v>0</v>
      </c>
      <c r="V398" s="31">
        <v>0</v>
      </c>
      <c r="W398" s="31">
        <v>0</v>
      </c>
      <c r="X398" s="31">
        <v>0</v>
      </c>
      <c r="Y398" s="31">
        <v>0</v>
      </c>
      <c r="Z398" s="31">
        <v>0</v>
      </c>
      <c r="AA398" s="31">
        <v>0</v>
      </c>
      <c r="AB398" s="31">
        <v>0</v>
      </c>
      <c r="AC398" s="31">
        <v>0</v>
      </c>
      <c r="AD398" s="31">
        <v>0</v>
      </c>
      <c r="AE398" s="31">
        <v>0</v>
      </c>
      <c r="AF398" s="31">
        <v>0</v>
      </c>
      <c r="AG398" s="31">
        <v>0</v>
      </c>
      <c r="AH398" s="31">
        <v>0</v>
      </c>
      <c r="AI398" s="31">
        <v>0</v>
      </c>
      <c r="AJ398" s="31">
        <v>0</v>
      </c>
      <c r="AK398" s="31">
        <v>0</v>
      </c>
      <c r="AL398" s="31">
        <v>0</v>
      </c>
      <c r="AM398" s="31">
        <v>0</v>
      </c>
      <c r="AN398" s="31">
        <v>0</v>
      </c>
      <c r="AO398" s="31">
        <v>0</v>
      </c>
      <c r="AP398" s="31">
        <v>0</v>
      </c>
    </row>
    <row r="399" spans="1:42" x14ac:dyDescent="0.25">
      <c r="A399" s="31">
        <v>7</v>
      </c>
      <c r="B399" s="31">
        <v>13809</v>
      </c>
      <c r="C399" s="31">
        <v>1</v>
      </c>
      <c r="D399" s="31" t="s">
        <v>761</v>
      </c>
      <c r="E399" s="31"/>
      <c r="F399" s="31">
        <v>0</v>
      </c>
      <c r="G399" s="31">
        <v>0</v>
      </c>
      <c r="H399" s="31">
        <v>0</v>
      </c>
      <c r="I399" s="31">
        <v>0</v>
      </c>
      <c r="J399" s="31">
        <v>0</v>
      </c>
      <c r="K399" s="31" t="s">
        <v>882</v>
      </c>
      <c r="L399" s="2" t="str">
        <f t="shared" si="48"/>
        <v>Рихтовка</v>
      </c>
      <c r="M399" s="12">
        <f t="shared" si="49"/>
        <v>0</v>
      </c>
      <c r="N399" s="12">
        <f t="shared" si="50"/>
        <v>0</v>
      </c>
      <c r="O399" s="12">
        <f t="shared" si="51"/>
        <v>0</v>
      </c>
      <c r="P399" s="12">
        <f t="shared" si="52"/>
        <v>0</v>
      </c>
      <c r="Q399" s="12">
        <f t="shared" si="53"/>
        <v>0</v>
      </c>
      <c r="R399" s="12">
        <f t="shared" si="54"/>
        <v>0</v>
      </c>
      <c r="S399" s="12">
        <f t="shared" si="55"/>
        <v>0</v>
      </c>
      <c r="T399" s="31">
        <v>0</v>
      </c>
      <c r="U399" s="31">
        <v>0</v>
      </c>
      <c r="V399" s="31">
        <v>0</v>
      </c>
      <c r="W399" s="31">
        <v>0</v>
      </c>
      <c r="X399" s="31">
        <v>0</v>
      </c>
      <c r="Y399" s="31">
        <v>0</v>
      </c>
      <c r="Z399" s="31">
        <v>0</v>
      </c>
      <c r="AA399" s="31">
        <v>0</v>
      </c>
      <c r="AB399" s="31">
        <v>0</v>
      </c>
      <c r="AC399" s="31">
        <v>0</v>
      </c>
      <c r="AD399" s="31">
        <v>0</v>
      </c>
      <c r="AE399" s="31">
        <v>0</v>
      </c>
      <c r="AF399" s="31">
        <v>0</v>
      </c>
      <c r="AG399" s="31">
        <v>0</v>
      </c>
      <c r="AH399" s="31">
        <v>0</v>
      </c>
      <c r="AI399" s="31">
        <v>0</v>
      </c>
      <c r="AJ399" s="31">
        <v>0</v>
      </c>
      <c r="AK399" s="31">
        <v>0</v>
      </c>
      <c r="AL399" s="31">
        <v>0</v>
      </c>
      <c r="AM399" s="31">
        <v>0</v>
      </c>
      <c r="AN399" s="31">
        <v>0</v>
      </c>
      <c r="AO399" s="31">
        <v>0</v>
      </c>
      <c r="AP399" s="31">
        <v>0</v>
      </c>
    </row>
    <row r="400" spans="1:42" x14ac:dyDescent="0.25">
      <c r="A400" s="31">
        <v>7</v>
      </c>
      <c r="B400" s="31">
        <v>13809</v>
      </c>
      <c r="C400" s="31">
        <v>1</v>
      </c>
      <c r="D400" s="31" t="s">
        <v>762</v>
      </c>
      <c r="E400" s="31"/>
      <c r="F400" s="31">
        <v>0</v>
      </c>
      <c r="G400" s="31">
        <v>0</v>
      </c>
      <c r="H400" s="31">
        <v>0</v>
      </c>
      <c r="I400" s="31">
        <v>0</v>
      </c>
      <c r="J400" s="31">
        <v>0</v>
      </c>
      <c r="K400" s="31" t="s">
        <v>882</v>
      </c>
      <c r="L400" s="2" t="str">
        <f t="shared" si="48"/>
        <v>Рихтовка</v>
      </c>
      <c r="M400" s="12">
        <f t="shared" si="49"/>
        <v>0</v>
      </c>
      <c r="N400" s="12">
        <f t="shared" si="50"/>
        <v>0</v>
      </c>
      <c r="O400" s="12">
        <f t="shared" si="51"/>
        <v>0</v>
      </c>
      <c r="P400" s="12">
        <f t="shared" si="52"/>
        <v>0</v>
      </c>
      <c r="Q400" s="12">
        <f t="shared" si="53"/>
        <v>0</v>
      </c>
      <c r="R400" s="12">
        <f t="shared" si="54"/>
        <v>0</v>
      </c>
      <c r="S400" s="12">
        <f t="shared" si="55"/>
        <v>0</v>
      </c>
      <c r="T400" s="31">
        <v>0</v>
      </c>
      <c r="U400" s="31">
        <v>0</v>
      </c>
      <c r="V400" s="31">
        <v>0</v>
      </c>
      <c r="W400" s="31">
        <v>0</v>
      </c>
      <c r="X400" s="31">
        <v>0</v>
      </c>
      <c r="Y400" s="31">
        <v>0</v>
      </c>
      <c r="Z400" s="31">
        <v>0</v>
      </c>
      <c r="AA400" s="31">
        <v>0</v>
      </c>
      <c r="AB400" s="31">
        <v>0</v>
      </c>
      <c r="AC400" s="31">
        <v>0</v>
      </c>
      <c r="AD400" s="31">
        <v>0</v>
      </c>
      <c r="AE400" s="31">
        <v>0</v>
      </c>
      <c r="AF400" s="31">
        <v>0</v>
      </c>
      <c r="AG400" s="31">
        <v>0</v>
      </c>
      <c r="AH400" s="31">
        <v>0</v>
      </c>
      <c r="AI400" s="31">
        <v>0</v>
      </c>
      <c r="AJ400" s="31">
        <v>0</v>
      </c>
      <c r="AK400" s="31">
        <v>0</v>
      </c>
      <c r="AL400" s="31">
        <v>0</v>
      </c>
      <c r="AM400" s="31">
        <v>0</v>
      </c>
      <c r="AN400" s="31">
        <v>0</v>
      </c>
      <c r="AO400" s="31">
        <v>0</v>
      </c>
      <c r="AP400" s="31">
        <v>0</v>
      </c>
    </row>
    <row r="401" spans="1:42" x14ac:dyDescent="0.25">
      <c r="A401" s="31">
        <v>7</v>
      </c>
      <c r="B401" s="31">
        <v>13809</v>
      </c>
      <c r="C401" s="31">
        <v>1</v>
      </c>
      <c r="D401" s="31" t="s">
        <v>763</v>
      </c>
      <c r="E401" s="31"/>
      <c r="F401" s="31">
        <v>0</v>
      </c>
      <c r="G401" s="31">
        <v>0</v>
      </c>
      <c r="H401" s="31">
        <v>0</v>
      </c>
      <c r="I401" s="31">
        <v>0</v>
      </c>
      <c r="J401" s="31">
        <v>0</v>
      </c>
      <c r="K401" s="31" t="s">
        <v>882</v>
      </c>
      <c r="L401" s="2" t="str">
        <f t="shared" si="48"/>
        <v>Рихтовка</v>
      </c>
      <c r="M401" s="12">
        <f t="shared" si="49"/>
        <v>0</v>
      </c>
      <c r="N401" s="12">
        <f t="shared" si="50"/>
        <v>0</v>
      </c>
      <c r="O401" s="12">
        <f t="shared" si="51"/>
        <v>0</v>
      </c>
      <c r="P401" s="12">
        <f t="shared" si="52"/>
        <v>0</v>
      </c>
      <c r="Q401" s="12">
        <f t="shared" si="53"/>
        <v>0</v>
      </c>
      <c r="R401" s="12">
        <f t="shared" si="54"/>
        <v>0</v>
      </c>
      <c r="S401" s="12">
        <f t="shared" si="55"/>
        <v>0</v>
      </c>
      <c r="T401" s="31">
        <v>0</v>
      </c>
      <c r="U401" s="31">
        <v>0</v>
      </c>
      <c r="V401" s="31">
        <v>0</v>
      </c>
      <c r="W401" s="31">
        <v>0</v>
      </c>
      <c r="X401" s="31">
        <v>0</v>
      </c>
      <c r="Y401" s="31">
        <v>0</v>
      </c>
      <c r="Z401" s="31">
        <v>0</v>
      </c>
      <c r="AA401" s="31">
        <v>0</v>
      </c>
      <c r="AB401" s="31">
        <v>0</v>
      </c>
      <c r="AC401" s="31">
        <v>0</v>
      </c>
      <c r="AD401" s="31">
        <v>0</v>
      </c>
      <c r="AE401" s="31">
        <v>0</v>
      </c>
      <c r="AF401" s="31">
        <v>0</v>
      </c>
      <c r="AG401" s="31">
        <v>0</v>
      </c>
      <c r="AH401" s="31">
        <v>0</v>
      </c>
      <c r="AI401" s="31">
        <v>0</v>
      </c>
      <c r="AJ401" s="31">
        <v>0</v>
      </c>
      <c r="AK401" s="31">
        <v>0</v>
      </c>
      <c r="AL401" s="31">
        <v>0</v>
      </c>
      <c r="AM401" s="31">
        <v>0</v>
      </c>
      <c r="AN401" s="31">
        <v>0</v>
      </c>
      <c r="AO401" s="31">
        <v>0</v>
      </c>
      <c r="AP401" s="31">
        <v>0</v>
      </c>
    </row>
    <row r="402" spans="1:42" x14ac:dyDescent="0.25">
      <c r="A402" s="31">
        <v>7</v>
      </c>
      <c r="B402" s="31">
        <v>13809</v>
      </c>
      <c r="C402" s="31">
        <v>1</v>
      </c>
      <c r="D402" s="31" t="s">
        <v>764</v>
      </c>
      <c r="E402" s="31"/>
      <c r="F402" s="31">
        <v>0</v>
      </c>
      <c r="G402" s="31">
        <v>0</v>
      </c>
      <c r="H402" s="31">
        <v>0</v>
      </c>
      <c r="I402" s="31">
        <v>0</v>
      </c>
      <c r="J402" s="31">
        <v>0</v>
      </c>
      <c r="K402" s="31" t="s">
        <v>882</v>
      </c>
      <c r="L402" s="2" t="str">
        <f t="shared" si="48"/>
        <v>Рихтовка</v>
      </c>
      <c r="M402" s="12">
        <f t="shared" si="49"/>
        <v>0</v>
      </c>
      <c r="N402" s="12">
        <f t="shared" si="50"/>
        <v>0</v>
      </c>
      <c r="O402" s="12">
        <f t="shared" si="51"/>
        <v>0</v>
      </c>
      <c r="P402" s="12">
        <f t="shared" si="52"/>
        <v>0</v>
      </c>
      <c r="Q402" s="12">
        <f t="shared" si="53"/>
        <v>0</v>
      </c>
      <c r="R402" s="12">
        <f t="shared" si="54"/>
        <v>0</v>
      </c>
      <c r="S402" s="12">
        <f t="shared" si="55"/>
        <v>0</v>
      </c>
      <c r="T402" s="31">
        <v>0</v>
      </c>
      <c r="U402" s="31">
        <v>0</v>
      </c>
      <c r="V402" s="31">
        <v>0</v>
      </c>
      <c r="W402" s="31">
        <v>0</v>
      </c>
      <c r="X402" s="31">
        <v>0</v>
      </c>
      <c r="Y402" s="31">
        <v>0</v>
      </c>
      <c r="Z402" s="31">
        <v>0</v>
      </c>
      <c r="AA402" s="31">
        <v>0</v>
      </c>
      <c r="AB402" s="31">
        <v>0</v>
      </c>
      <c r="AC402" s="31">
        <v>0</v>
      </c>
      <c r="AD402" s="31">
        <v>0</v>
      </c>
      <c r="AE402" s="31">
        <v>0</v>
      </c>
      <c r="AF402" s="31">
        <v>0</v>
      </c>
      <c r="AG402" s="31">
        <v>0</v>
      </c>
      <c r="AH402" s="31">
        <v>0</v>
      </c>
      <c r="AI402" s="31">
        <v>0</v>
      </c>
      <c r="AJ402" s="31">
        <v>0</v>
      </c>
      <c r="AK402" s="31">
        <v>0</v>
      </c>
      <c r="AL402" s="31">
        <v>0</v>
      </c>
      <c r="AM402" s="31">
        <v>0</v>
      </c>
      <c r="AN402" s="31">
        <v>0</v>
      </c>
      <c r="AO402" s="31">
        <v>0</v>
      </c>
      <c r="AP402" s="31">
        <v>0</v>
      </c>
    </row>
    <row r="403" spans="1:42" x14ac:dyDescent="0.25">
      <c r="A403" s="31">
        <v>7</v>
      </c>
      <c r="B403" s="31">
        <v>13809</v>
      </c>
      <c r="C403" s="31">
        <v>1</v>
      </c>
      <c r="D403" s="31" t="s">
        <v>765</v>
      </c>
      <c r="E403" s="31"/>
      <c r="F403" s="31">
        <v>0</v>
      </c>
      <c r="G403" s="31">
        <v>0</v>
      </c>
      <c r="H403" s="31">
        <v>0</v>
      </c>
      <c r="I403" s="31">
        <v>0</v>
      </c>
      <c r="J403" s="31">
        <v>0</v>
      </c>
      <c r="K403" s="31" t="s">
        <v>882</v>
      </c>
      <c r="L403" s="2" t="str">
        <f t="shared" si="48"/>
        <v>Рихтовка</v>
      </c>
      <c r="M403" s="12">
        <f t="shared" si="49"/>
        <v>0</v>
      </c>
      <c r="N403" s="12">
        <f t="shared" si="50"/>
        <v>0</v>
      </c>
      <c r="O403" s="12">
        <f t="shared" si="51"/>
        <v>0</v>
      </c>
      <c r="P403" s="12">
        <f t="shared" si="52"/>
        <v>0</v>
      </c>
      <c r="Q403" s="12">
        <f t="shared" si="53"/>
        <v>0</v>
      </c>
      <c r="R403" s="12">
        <f t="shared" si="54"/>
        <v>0</v>
      </c>
      <c r="S403" s="12">
        <f t="shared" si="55"/>
        <v>0</v>
      </c>
      <c r="T403" s="31">
        <v>0</v>
      </c>
      <c r="U403" s="31">
        <v>0</v>
      </c>
      <c r="V403" s="31">
        <v>0</v>
      </c>
      <c r="W403" s="31">
        <v>0</v>
      </c>
      <c r="X403" s="31">
        <v>0</v>
      </c>
      <c r="Y403" s="31">
        <v>0</v>
      </c>
      <c r="Z403" s="31">
        <v>0</v>
      </c>
      <c r="AA403" s="31">
        <v>0</v>
      </c>
      <c r="AB403" s="31">
        <v>0</v>
      </c>
      <c r="AC403" s="31">
        <v>0</v>
      </c>
      <c r="AD403" s="31">
        <v>0</v>
      </c>
      <c r="AE403" s="31">
        <v>0</v>
      </c>
      <c r="AF403" s="31">
        <v>0</v>
      </c>
      <c r="AG403" s="31">
        <v>0</v>
      </c>
      <c r="AH403" s="31">
        <v>0</v>
      </c>
      <c r="AI403" s="31">
        <v>0</v>
      </c>
      <c r="AJ403" s="31">
        <v>0</v>
      </c>
      <c r="AK403" s="31">
        <v>0</v>
      </c>
      <c r="AL403" s="31">
        <v>0</v>
      </c>
      <c r="AM403" s="31">
        <v>0</v>
      </c>
      <c r="AN403" s="31">
        <v>0</v>
      </c>
      <c r="AO403" s="31">
        <v>0</v>
      </c>
      <c r="AP403" s="31">
        <v>0</v>
      </c>
    </row>
    <row r="404" spans="1:42" x14ac:dyDescent="0.25">
      <c r="A404" s="31">
        <v>7</v>
      </c>
      <c r="B404" s="31">
        <v>13809</v>
      </c>
      <c r="C404" s="31">
        <v>1</v>
      </c>
      <c r="D404" s="31" t="s">
        <v>766</v>
      </c>
      <c r="E404" s="31"/>
      <c r="F404" s="31">
        <v>0</v>
      </c>
      <c r="G404" s="31">
        <v>0</v>
      </c>
      <c r="H404" s="31">
        <v>0</v>
      </c>
      <c r="I404" s="31">
        <v>0</v>
      </c>
      <c r="J404" s="31">
        <v>0</v>
      </c>
      <c r="K404" s="31" t="s">
        <v>882</v>
      </c>
      <c r="L404" s="2" t="str">
        <f t="shared" si="48"/>
        <v>Рихтовка</v>
      </c>
      <c r="M404" s="12">
        <f t="shared" si="49"/>
        <v>0</v>
      </c>
      <c r="N404" s="12">
        <f t="shared" si="50"/>
        <v>0</v>
      </c>
      <c r="O404" s="12">
        <f t="shared" si="51"/>
        <v>0</v>
      </c>
      <c r="P404" s="12">
        <f t="shared" si="52"/>
        <v>0</v>
      </c>
      <c r="Q404" s="12">
        <f t="shared" si="53"/>
        <v>0</v>
      </c>
      <c r="R404" s="12">
        <f t="shared" si="54"/>
        <v>0</v>
      </c>
      <c r="S404" s="12">
        <f t="shared" si="55"/>
        <v>0</v>
      </c>
      <c r="T404" s="31">
        <v>0</v>
      </c>
      <c r="U404" s="31">
        <v>0</v>
      </c>
      <c r="V404" s="31">
        <v>0</v>
      </c>
      <c r="W404" s="31">
        <v>0</v>
      </c>
      <c r="X404" s="31">
        <v>0</v>
      </c>
      <c r="Y404" s="31">
        <v>0</v>
      </c>
      <c r="Z404" s="31">
        <v>0</v>
      </c>
      <c r="AA404" s="31">
        <v>0</v>
      </c>
      <c r="AB404" s="31">
        <v>0</v>
      </c>
      <c r="AC404" s="31">
        <v>0</v>
      </c>
      <c r="AD404" s="31">
        <v>0</v>
      </c>
      <c r="AE404" s="31">
        <v>0</v>
      </c>
      <c r="AF404" s="31">
        <v>0</v>
      </c>
      <c r="AG404" s="31">
        <v>0</v>
      </c>
      <c r="AH404" s="31">
        <v>0</v>
      </c>
      <c r="AI404" s="31">
        <v>0</v>
      </c>
      <c r="AJ404" s="31">
        <v>0</v>
      </c>
      <c r="AK404" s="31">
        <v>0</v>
      </c>
      <c r="AL404" s="31">
        <v>0</v>
      </c>
      <c r="AM404" s="31">
        <v>0</v>
      </c>
      <c r="AN404" s="31">
        <v>0</v>
      </c>
      <c r="AO404" s="31">
        <v>0</v>
      </c>
      <c r="AP404" s="31">
        <v>0</v>
      </c>
    </row>
    <row r="405" spans="1:42" x14ac:dyDescent="0.25">
      <c r="A405" s="31">
        <v>7</v>
      </c>
      <c r="B405" s="31">
        <v>13809</v>
      </c>
      <c r="C405" s="31">
        <v>2</v>
      </c>
      <c r="D405" s="31" t="s">
        <v>760</v>
      </c>
      <c r="E405" s="31"/>
      <c r="F405" s="31">
        <v>0</v>
      </c>
      <c r="G405" s="31">
        <v>0</v>
      </c>
      <c r="H405" s="31">
        <v>0</v>
      </c>
      <c r="I405" s="31">
        <v>0</v>
      </c>
      <c r="J405" s="31">
        <v>0</v>
      </c>
      <c r="K405" s="31" t="s">
        <v>882</v>
      </c>
      <c r="L405" s="2" t="str">
        <f t="shared" si="48"/>
        <v>Рихтовка</v>
      </c>
      <c r="M405" s="12">
        <f t="shared" si="49"/>
        <v>0</v>
      </c>
      <c r="N405" s="12">
        <f t="shared" si="50"/>
        <v>0</v>
      </c>
      <c r="O405" s="12">
        <f t="shared" si="51"/>
        <v>0</v>
      </c>
      <c r="P405" s="12">
        <f t="shared" si="52"/>
        <v>0</v>
      </c>
      <c r="Q405" s="12">
        <f t="shared" si="53"/>
        <v>0</v>
      </c>
      <c r="R405" s="12">
        <f t="shared" si="54"/>
        <v>0</v>
      </c>
      <c r="S405" s="12">
        <f t="shared" si="55"/>
        <v>0</v>
      </c>
      <c r="T405" s="31">
        <v>0</v>
      </c>
      <c r="U405" s="31">
        <v>0</v>
      </c>
      <c r="V405" s="31">
        <v>0</v>
      </c>
      <c r="W405" s="31">
        <v>0</v>
      </c>
      <c r="X405" s="31">
        <v>0</v>
      </c>
      <c r="Y405" s="31">
        <v>0</v>
      </c>
      <c r="Z405" s="31">
        <v>0</v>
      </c>
      <c r="AA405" s="31">
        <v>0</v>
      </c>
      <c r="AB405" s="31">
        <v>0</v>
      </c>
      <c r="AC405" s="31">
        <v>0</v>
      </c>
      <c r="AD405" s="31">
        <v>0</v>
      </c>
      <c r="AE405" s="31">
        <v>0</v>
      </c>
      <c r="AF405" s="31">
        <v>0</v>
      </c>
      <c r="AG405" s="31">
        <v>0</v>
      </c>
      <c r="AH405" s="31">
        <v>0</v>
      </c>
      <c r="AI405" s="31">
        <v>0</v>
      </c>
      <c r="AJ405" s="31">
        <v>0</v>
      </c>
      <c r="AK405" s="31">
        <v>0</v>
      </c>
      <c r="AL405" s="31">
        <v>0</v>
      </c>
      <c r="AM405" s="31">
        <v>0</v>
      </c>
      <c r="AN405" s="31">
        <v>0</v>
      </c>
      <c r="AO405" s="31">
        <v>0</v>
      </c>
      <c r="AP405" s="31">
        <v>0</v>
      </c>
    </row>
    <row r="406" spans="1:42" x14ac:dyDescent="0.25">
      <c r="A406" s="31">
        <v>7</v>
      </c>
      <c r="B406" s="31">
        <v>13809</v>
      </c>
      <c r="C406" s="31">
        <v>2</v>
      </c>
      <c r="D406" s="31" t="s">
        <v>761</v>
      </c>
      <c r="E406" s="31"/>
      <c r="F406" s="31">
        <v>0</v>
      </c>
      <c r="G406" s="31">
        <v>0</v>
      </c>
      <c r="H406" s="31">
        <v>0</v>
      </c>
      <c r="I406" s="31">
        <v>0</v>
      </c>
      <c r="J406" s="31">
        <v>0</v>
      </c>
      <c r="K406" s="31" t="s">
        <v>882</v>
      </c>
      <c r="L406" s="2" t="str">
        <f t="shared" si="48"/>
        <v>Рихтовка</v>
      </c>
      <c r="M406" s="12">
        <f t="shared" si="49"/>
        <v>0</v>
      </c>
      <c r="N406" s="12">
        <f t="shared" si="50"/>
        <v>0</v>
      </c>
      <c r="O406" s="12">
        <f t="shared" si="51"/>
        <v>0</v>
      </c>
      <c r="P406" s="12">
        <f t="shared" si="52"/>
        <v>0</v>
      </c>
      <c r="Q406" s="12">
        <f t="shared" si="53"/>
        <v>0</v>
      </c>
      <c r="R406" s="12">
        <f t="shared" si="54"/>
        <v>0</v>
      </c>
      <c r="S406" s="12">
        <f t="shared" si="55"/>
        <v>0</v>
      </c>
      <c r="T406" s="31">
        <v>0</v>
      </c>
      <c r="U406" s="31">
        <v>0</v>
      </c>
      <c r="V406" s="31">
        <v>0</v>
      </c>
      <c r="W406" s="31">
        <v>0</v>
      </c>
      <c r="X406" s="31">
        <v>0</v>
      </c>
      <c r="Y406" s="31">
        <v>0</v>
      </c>
      <c r="Z406" s="31">
        <v>0</v>
      </c>
      <c r="AA406" s="31">
        <v>0</v>
      </c>
      <c r="AB406" s="31">
        <v>0</v>
      </c>
      <c r="AC406" s="31">
        <v>0</v>
      </c>
      <c r="AD406" s="31">
        <v>0</v>
      </c>
      <c r="AE406" s="31">
        <v>0</v>
      </c>
      <c r="AF406" s="31">
        <v>0</v>
      </c>
      <c r="AG406" s="31">
        <v>0</v>
      </c>
      <c r="AH406" s="31">
        <v>0</v>
      </c>
      <c r="AI406" s="31">
        <v>0</v>
      </c>
      <c r="AJ406" s="31">
        <v>0</v>
      </c>
      <c r="AK406" s="31">
        <v>0</v>
      </c>
      <c r="AL406" s="31">
        <v>0</v>
      </c>
      <c r="AM406" s="31">
        <v>0</v>
      </c>
      <c r="AN406" s="31">
        <v>0</v>
      </c>
      <c r="AO406" s="31">
        <v>0</v>
      </c>
      <c r="AP406" s="31">
        <v>0</v>
      </c>
    </row>
    <row r="407" spans="1:42" x14ac:dyDescent="0.25">
      <c r="A407" s="31">
        <v>7</v>
      </c>
      <c r="B407" s="31">
        <v>13809</v>
      </c>
      <c r="C407" s="31">
        <v>2</v>
      </c>
      <c r="D407" s="31" t="s">
        <v>762</v>
      </c>
      <c r="E407" s="31"/>
      <c r="F407" s="31">
        <v>0</v>
      </c>
      <c r="G407" s="31">
        <v>0</v>
      </c>
      <c r="H407" s="31">
        <v>0</v>
      </c>
      <c r="I407" s="31">
        <v>0</v>
      </c>
      <c r="J407" s="31">
        <v>0</v>
      </c>
      <c r="K407" s="31" t="s">
        <v>882</v>
      </c>
      <c r="L407" s="2" t="str">
        <f t="shared" si="48"/>
        <v>Рихтовка</v>
      </c>
      <c r="M407" s="12">
        <f t="shared" si="49"/>
        <v>0</v>
      </c>
      <c r="N407" s="12">
        <f t="shared" si="50"/>
        <v>0</v>
      </c>
      <c r="O407" s="12">
        <f t="shared" si="51"/>
        <v>0</v>
      </c>
      <c r="P407" s="12">
        <f t="shared" si="52"/>
        <v>0</v>
      </c>
      <c r="Q407" s="12">
        <f t="shared" si="53"/>
        <v>0</v>
      </c>
      <c r="R407" s="12">
        <f t="shared" si="54"/>
        <v>0</v>
      </c>
      <c r="S407" s="12">
        <f t="shared" si="55"/>
        <v>0</v>
      </c>
      <c r="T407" s="31">
        <v>0</v>
      </c>
      <c r="U407" s="31">
        <v>0</v>
      </c>
      <c r="V407" s="31">
        <v>0</v>
      </c>
      <c r="W407" s="31">
        <v>0</v>
      </c>
      <c r="X407" s="31">
        <v>0</v>
      </c>
      <c r="Y407" s="31">
        <v>0</v>
      </c>
      <c r="Z407" s="31">
        <v>0</v>
      </c>
      <c r="AA407" s="31">
        <v>0</v>
      </c>
      <c r="AB407" s="31">
        <v>0</v>
      </c>
      <c r="AC407" s="31">
        <v>0</v>
      </c>
      <c r="AD407" s="31">
        <v>0</v>
      </c>
      <c r="AE407" s="31">
        <v>0</v>
      </c>
      <c r="AF407" s="31">
        <v>0</v>
      </c>
      <c r="AG407" s="31">
        <v>0</v>
      </c>
      <c r="AH407" s="31">
        <v>0</v>
      </c>
      <c r="AI407" s="31">
        <v>0</v>
      </c>
      <c r="AJ407" s="31">
        <v>0</v>
      </c>
      <c r="AK407" s="31">
        <v>0</v>
      </c>
      <c r="AL407" s="31">
        <v>0</v>
      </c>
      <c r="AM407" s="31">
        <v>0</v>
      </c>
      <c r="AN407" s="31">
        <v>0</v>
      </c>
      <c r="AO407" s="31">
        <v>0</v>
      </c>
      <c r="AP407" s="31">
        <v>0</v>
      </c>
    </row>
    <row r="408" spans="1:42" x14ac:dyDescent="0.25">
      <c r="A408" s="31">
        <v>7</v>
      </c>
      <c r="B408" s="31">
        <v>13809</v>
      </c>
      <c r="C408" s="31">
        <v>2</v>
      </c>
      <c r="D408" s="31" t="s">
        <v>763</v>
      </c>
      <c r="E408" s="31"/>
      <c r="F408" s="31">
        <v>0</v>
      </c>
      <c r="G408" s="31">
        <v>0</v>
      </c>
      <c r="H408" s="31">
        <v>0</v>
      </c>
      <c r="I408" s="31">
        <v>0</v>
      </c>
      <c r="J408" s="31">
        <v>0</v>
      </c>
      <c r="K408" s="31" t="s">
        <v>882</v>
      </c>
      <c r="L408" s="2" t="str">
        <f t="shared" si="48"/>
        <v>Рихтовка</v>
      </c>
      <c r="M408" s="12">
        <f t="shared" si="49"/>
        <v>0</v>
      </c>
      <c r="N408" s="12">
        <f t="shared" si="50"/>
        <v>0</v>
      </c>
      <c r="O408" s="12">
        <f t="shared" si="51"/>
        <v>0</v>
      </c>
      <c r="P408" s="12">
        <f t="shared" si="52"/>
        <v>0</v>
      </c>
      <c r="Q408" s="12">
        <f t="shared" si="53"/>
        <v>0</v>
      </c>
      <c r="R408" s="12">
        <f t="shared" si="54"/>
        <v>0</v>
      </c>
      <c r="S408" s="12">
        <f t="shared" si="55"/>
        <v>0</v>
      </c>
      <c r="T408" s="31">
        <v>0</v>
      </c>
      <c r="U408" s="31">
        <v>0</v>
      </c>
      <c r="V408" s="31">
        <v>0</v>
      </c>
      <c r="W408" s="31">
        <v>0</v>
      </c>
      <c r="X408" s="31">
        <v>0</v>
      </c>
      <c r="Y408" s="31">
        <v>0</v>
      </c>
      <c r="Z408" s="31">
        <v>0</v>
      </c>
      <c r="AA408" s="31">
        <v>0</v>
      </c>
      <c r="AB408" s="31">
        <v>0</v>
      </c>
      <c r="AC408" s="31">
        <v>0</v>
      </c>
      <c r="AD408" s="31">
        <v>0</v>
      </c>
      <c r="AE408" s="31">
        <v>0</v>
      </c>
      <c r="AF408" s="31">
        <v>0</v>
      </c>
      <c r="AG408" s="31">
        <v>0</v>
      </c>
      <c r="AH408" s="31">
        <v>0</v>
      </c>
      <c r="AI408" s="31">
        <v>0</v>
      </c>
      <c r="AJ408" s="31">
        <v>0</v>
      </c>
      <c r="AK408" s="31">
        <v>0</v>
      </c>
      <c r="AL408" s="31">
        <v>0</v>
      </c>
      <c r="AM408" s="31">
        <v>0</v>
      </c>
      <c r="AN408" s="31">
        <v>0</v>
      </c>
      <c r="AO408" s="31">
        <v>0</v>
      </c>
      <c r="AP408" s="31">
        <v>0</v>
      </c>
    </row>
    <row r="409" spans="1:42" x14ac:dyDescent="0.25">
      <c r="A409" s="31">
        <v>7</v>
      </c>
      <c r="B409" s="31">
        <v>13809</v>
      </c>
      <c r="C409" s="31">
        <v>2</v>
      </c>
      <c r="D409" s="31" t="s">
        <v>764</v>
      </c>
      <c r="E409" s="31"/>
      <c r="F409" s="31">
        <v>0</v>
      </c>
      <c r="G409" s="31">
        <v>0</v>
      </c>
      <c r="H409" s="31">
        <v>0</v>
      </c>
      <c r="I409" s="31">
        <v>0</v>
      </c>
      <c r="J409" s="31">
        <v>0</v>
      </c>
      <c r="K409" s="31" t="s">
        <v>882</v>
      </c>
      <c r="L409" s="2" t="str">
        <f t="shared" si="48"/>
        <v>Рихтовка</v>
      </c>
      <c r="M409" s="12">
        <f t="shared" si="49"/>
        <v>0</v>
      </c>
      <c r="N409" s="12">
        <f t="shared" si="50"/>
        <v>0</v>
      </c>
      <c r="O409" s="12">
        <f t="shared" si="51"/>
        <v>0</v>
      </c>
      <c r="P409" s="12">
        <f t="shared" si="52"/>
        <v>0</v>
      </c>
      <c r="Q409" s="12">
        <f t="shared" si="53"/>
        <v>0</v>
      </c>
      <c r="R409" s="12">
        <f t="shared" si="54"/>
        <v>0</v>
      </c>
      <c r="S409" s="12">
        <f t="shared" si="55"/>
        <v>0</v>
      </c>
      <c r="T409" s="31">
        <v>0</v>
      </c>
      <c r="U409" s="31">
        <v>0</v>
      </c>
      <c r="V409" s="31">
        <v>0</v>
      </c>
      <c r="W409" s="31">
        <v>0</v>
      </c>
      <c r="X409" s="31">
        <v>0</v>
      </c>
      <c r="Y409" s="31">
        <v>0</v>
      </c>
      <c r="Z409" s="31">
        <v>0</v>
      </c>
      <c r="AA409" s="31">
        <v>0</v>
      </c>
      <c r="AB409" s="31">
        <v>0</v>
      </c>
      <c r="AC409" s="31">
        <v>0</v>
      </c>
      <c r="AD409" s="31">
        <v>0</v>
      </c>
      <c r="AE409" s="31">
        <v>0</v>
      </c>
      <c r="AF409" s="31">
        <v>0</v>
      </c>
      <c r="AG409" s="31">
        <v>0</v>
      </c>
      <c r="AH409" s="31">
        <v>0</v>
      </c>
      <c r="AI409" s="31">
        <v>0</v>
      </c>
      <c r="AJ409" s="31">
        <v>0</v>
      </c>
      <c r="AK409" s="31">
        <v>0</v>
      </c>
      <c r="AL409" s="31">
        <v>0</v>
      </c>
      <c r="AM409" s="31">
        <v>0</v>
      </c>
      <c r="AN409" s="31">
        <v>0</v>
      </c>
      <c r="AO409" s="31">
        <v>0</v>
      </c>
      <c r="AP409" s="31">
        <v>0</v>
      </c>
    </row>
    <row r="410" spans="1:42" x14ac:dyDescent="0.25">
      <c r="A410" s="31">
        <v>7</v>
      </c>
      <c r="B410" s="31">
        <v>13809</v>
      </c>
      <c r="C410" s="31">
        <v>2</v>
      </c>
      <c r="D410" s="31" t="s">
        <v>765</v>
      </c>
      <c r="E410" s="31"/>
      <c r="F410" s="31">
        <v>0</v>
      </c>
      <c r="G410" s="31">
        <v>0</v>
      </c>
      <c r="H410" s="31">
        <v>0</v>
      </c>
      <c r="I410" s="31">
        <v>0</v>
      </c>
      <c r="J410" s="31">
        <v>0</v>
      </c>
      <c r="K410" s="31" t="s">
        <v>882</v>
      </c>
      <c r="L410" s="2" t="str">
        <f t="shared" si="48"/>
        <v>Рихтовка</v>
      </c>
      <c r="M410" s="12">
        <f t="shared" si="49"/>
        <v>0</v>
      </c>
      <c r="N410" s="12">
        <f t="shared" si="50"/>
        <v>0</v>
      </c>
      <c r="O410" s="12">
        <f t="shared" si="51"/>
        <v>0</v>
      </c>
      <c r="P410" s="12">
        <f t="shared" si="52"/>
        <v>0</v>
      </c>
      <c r="Q410" s="12">
        <f t="shared" si="53"/>
        <v>0</v>
      </c>
      <c r="R410" s="12">
        <f t="shared" si="54"/>
        <v>0</v>
      </c>
      <c r="S410" s="12">
        <f t="shared" si="55"/>
        <v>0</v>
      </c>
      <c r="T410" s="31">
        <v>0</v>
      </c>
      <c r="U410" s="31">
        <v>0</v>
      </c>
      <c r="V410" s="31">
        <v>0</v>
      </c>
      <c r="W410" s="31">
        <v>0</v>
      </c>
      <c r="X410" s="31">
        <v>0</v>
      </c>
      <c r="Y410" s="31">
        <v>0</v>
      </c>
      <c r="Z410" s="31">
        <v>0</v>
      </c>
      <c r="AA410" s="31">
        <v>0</v>
      </c>
      <c r="AB410" s="31">
        <v>0</v>
      </c>
      <c r="AC410" s="31">
        <v>0</v>
      </c>
      <c r="AD410" s="31">
        <v>0</v>
      </c>
      <c r="AE410" s="31">
        <v>0</v>
      </c>
      <c r="AF410" s="31">
        <v>0</v>
      </c>
      <c r="AG410" s="31">
        <v>0</v>
      </c>
      <c r="AH410" s="31">
        <v>0</v>
      </c>
      <c r="AI410" s="31">
        <v>0</v>
      </c>
      <c r="AJ410" s="31">
        <v>0</v>
      </c>
      <c r="AK410" s="31">
        <v>0</v>
      </c>
      <c r="AL410" s="31">
        <v>0</v>
      </c>
      <c r="AM410" s="31">
        <v>0</v>
      </c>
      <c r="AN410" s="31">
        <v>0</v>
      </c>
      <c r="AO410" s="31">
        <v>0</v>
      </c>
      <c r="AP410" s="31">
        <v>0</v>
      </c>
    </row>
    <row r="411" spans="1:42" x14ac:dyDescent="0.25">
      <c r="A411" s="31">
        <v>7</v>
      </c>
      <c r="B411" s="31">
        <v>13809</v>
      </c>
      <c r="C411" s="31">
        <v>2</v>
      </c>
      <c r="D411" s="31" t="s">
        <v>766</v>
      </c>
      <c r="E411" s="31"/>
      <c r="F411" s="31">
        <v>0</v>
      </c>
      <c r="G411" s="31">
        <v>0</v>
      </c>
      <c r="H411" s="31">
        <v>0</v>
      </c>
      <c r="I411" s="31">
        <v>0</v>
      </c>
      <c r="J411" s="31">
        <v>0</v>
      </c>
      <c r="K411" s="31" t="s">
        <v>882</v>
      </c>
      <c r="L411" s="2" t="str">
        <f t="shared" si="48"/>
        <v>Рихтовка</v>
      </c>
      <c r="M411" s="12">
        <f t="shared" si="49"/>
        <v>0</v>
      </c>
      <c r="N411" s="12">
        <f t="shared" si="50"/>
        <v>0</v>
      </c>
      <c r="O411" s="12">
        <f t="shared" si="51"/>
        <v>0</v>
      </c>
      <c r="P411" s="12">
        <f t="shared" si="52"/>
        <v>0</v>
      </c>
      <c r="Q411" s="12">
        <f t="shared" si="53"/>
        <v>0</v>
      </c>
      <c r="R411" s="12">
        <f t="shared" si="54"/>
        <v>0</v>
      </c>
      <c r="S411" s="12">
        <f t="shared" si="55"/>
        <v>0</v>
      </c>
      <c r="T411" s="31">
        <v>0</v>
      </c>
      <c r="U411" s="31">
        <v>0</v>
      </c>
      <c r="V411" s="31">
        <v>0</v>
      </c>
      <c r="W411" s="31">
        <v>0</v>
      </c>
      <c r="X411" s="31">
        <v>0</v>
      </c>
      <c r="Y411" s="31">
        <v>0</v>
      </c>
      <c r="Z411" s="31">
        <v>0</v>
      </c>
      <c r="AA411" s="31">
        <v>0</v>
      </c>
      <c r="AB411" s="31">
        <v>0</v>
      </c>
      <c r="AC411" s="31">
        <v>0</v>
      </c>
      <c r="AD411" s="31">
        <v>0</v>
      </c>
      <c r="AE411" s="31">
        <v>0</v>
      </c>
      <c r="AF411" s="31">
        <v>0</v>
      </c>
      <c r="AG411" s="31">
        <v>0</v>
      </c>
      <c r="AH411" s="31">
        <v>0</v>
      </c>
      <c r="AI411" s="31">
        <v>0</v>
      </c>
      <c r="AJ411" s="31">
        <v>0</v>
      </c>
      <c r="AK411" s="31">
        <v>0</v>
      </c>
      <c r="AL411" s="31">
        <v>0</v>
      </c>
      <c r="AM411" s="31">
        <v>0</v>
      </c>
      <c r="AN411" s="31">
        <v>0</v>
      </c>
      <c r="AO411" s="31">
        <v>0</v>
      </c>
      <c r="AP411" s="31">
        <v>0</v>
      </c>
    </row>
    <row r="412" spans="1:42" x14ac:dyDescent="0.25">
      <c r="A412" s="31">
        <v>7</v>
      </c>
      <c r="B412" s="31">
        <v>13809</v>
      </c>
      <c r="C412" s="31" t="s">
        <v>424</v>
      </c>
      <c r="D412" s="31" t="s">
        <v>767</v>
      </c>
      <c r="E412" s="31"/>
      <c r="F412" s="31">
        <v>0</v>
      </c>
      <c r="G412" s="31">
        <v>0</v>
      </c>
      <c r="H412" s="31">
        <v>0</v>
      </c>
      <c r="I412" s="31">
        <v>0</v>
      </c>
      <c r="J412" s="31">
        <v>0</v>
      </c>
      <c r="K412" s="31" t="s">
        <v>882</v>
      </c>
      <c r="L412" s="2" t="str">
        <f t="shared" si="48"/>
        <v>Рихтовка</v>
      </c>
      <c r="M412" s="12">
        <f t="shared" si="49"/>
        <v>0</v>
      </c>
      <c r="N412" s="12">
        <f t="shared" si="50"/>
        <v>0</v>
      </c>
      <c r="O412" s="12">
        <f t="shared" si="51"/>
        <v>0</v>
      </c>
      <c r="P412" s="12">
        <f t="shared" si="52"/>
        <v>0</v>
      </c>
      <c r="Q412" s="12">
        <f t="shared" si="53"/>
        <v>0</v>
      </c>
      <c r="R412" s="12">
        <f t="shared" si="54"/>
        <v>0</v>
      </c>
      <c r="S412" s="12">
        <f t="shared" si="55"/>
        <v>0</v>
      </c>
      <c r="T412" s="31">
        <v>0</v>
      </c>
      <c r="U412" s="31">
        <v>0</v>
      </c>
      <c r="V412" s="31">
        <v>0</v>
      </c>
      <c r="W412" s="31">
        <v>0</v>
      </c>
      <c r="X412" s="31">
        <v>0</v>
      </c>
      <c r="Y412" s="31">
        <v>0</v>
      </c>
      <c r="Z412" s="31">
        <v>0</v>
      </c>
      <c r="AA412" s="31">
        <v>0</v>
      </c>
      <c r="AB412" s="31">
        <v>0</v>
      </c>
      <c r="AC412" s="31">
        <v>0</v>
      </c>
      <c r="AD412" s="31">
        <v>0</v>
      </c>
      <c r="AE412" s="31">
        <v>0</v>
      </c>
      <c r="AF412" s="31">
        <v>0</v>
      </c>
      <c r="AG412" s="31">
        <v>0</v>
      </c>
      <c r="AH412" s="31">
        <v>0</v>
      </c>
      <c r="AI412" s="31">
        <v>0</v>
      </c>
      <c r="AJ412" s="31">
        <v>0</v>
      </c>
      <c r="AK412" s="31">
        <v>0</v>
      </c>
      <c r="AL412" s="31">
        <v>0</v>
      </c>
      <c r="AM412" s="31">
        <v>0</v>
      </c>
      <c r="AN412" s="31">
        <v>0</v>
      </c>
      <c r="AO412" s="31">
        <v>0</v>
      </c>
      <c r="AP412" s="31">
        <v>0</v>
      </c>
    </row>
    <row r="413" spans="1:42" x14ac:dyDescent="0.25">
      <c r="A413" s="31">
        <v>7</v>
      </c>
      <c r="B413" s="31">
        <v>13809</v>
      </c>
      <c r="C413" s="31">
        <v>1</v>
      </c>
      <c r="D413" s="31" t="s">
        <v>768</v>
      </c>
      <c r="E413" s="31"/>
      <c r="F413" s="31">
        <v>0</v>
      </c>
      <c r="G413" s="31">
        <v>0</v>
      </c>
      <c r="H413" s="31">
        <v>0</v>
      </c>
      <c r="I413" s="31">
        <v>0</v>
      </c>
      <c r="J413" s="31">
        <v>0</v>
      </c>
      <c r="K413" s="31" t="s">
        <v>882</v>
      </c>
      <c r="L413" s="2" t="str">
        <f t="shared" si="48"/>
        <v>Рихтовка</v>
      </c>
      <c r="M413" s="12">
        <f t="shared" si="49"/>
        <v>0</v>
      </c>
      <c r="N413" s="12">
        <f t="shared" si="50"/>
        <v>0</v>
      </c>
      <c r="O413" s="12">
        <f t="shared" si="51"/>
        <v>0</v>
      </c>
      <c r="P413" s="12">
        <f t="shared" si="52"/>
        <v>0</v>
      </c>
      <c r="Q413" s="12">
        <f t="shared" si="53"/>
        <v>0</v>
      </c>
      <c r="R413" s="12">
        <f t="shared" si="54"/>
        <v>0</v>
      </c>
      <c r="S413" s="12">
        <f t="shared" si="55"/>
        <v>0</v>
      </c>
      <c r="T413" s="31">
        <v>0</v>
      </c>
      <c r="U413" s="31">
        <v>0</v>
      </c>
      <c r="V413" s="31">
        <v>0</v>
      </c>
      <c r="W413" s="31">
        <v>0</v>
      </c>
      <c r="X413" s="31">
        <v>0</v>
      </c>
      <c r="Y413" s="31">
        <v>0</v>
      </c>
      <c r="Z413" s="31">
        <v>0</v>
      </c>
      <c r="AA413" s="31">
        <v>0</v>
      </c>
      <c r="AB413" s="31">
        <v>0</v>
      </c>
      <c r="AC413" s="31">
        <v>0</v>
      </c>
      <c r="AD413" s="31">
        <v>0</v>
      </c>
      <c r="AE413" s="31">
        <v>0</v>
      </c>
      <c r="AF413" s="31">
        <v>0</v>
      </c>
      <c r="AG413" s="31">
        <v>0</v>
      </c>
      <c r="AH413" s="31">
        <v>0</v>
      </c>
      <c r="AI413" s="31">
        <v>0</v>
      </c>
      <c r="AJ413" s="31">
        <v>0</v>
      </c>
      <c r="AK413" s="31">
        <v>0</v>
      </c>
      <c r="AL413" s="31">
        <v>0</v>
      </c>
      <c r="AM413" s="31">
        <v>0</v>
      </c>
      <c r="AN413" s="31">
        <v>0</v>
      </c>
      <c r="AO413" s="31">
        <v>0</v>
      </c>
      <c r="AP413" s="31">
        <v>0</v>
      </c>
    </row>
    <row r="414" spans="1:42" x14ac:dyDescent="0.25">
      <c r="A414" s="31">
        <v>8</v>
      </c>
      <c r="B414" s="31">
        <v>13809</v>
      </c>
      <c r="C414" s="31">
        <v>1</v>
      </c>
      <c r="D414" s="31" t="s">
        <v>768</v>
      </c>
      <c r="E414" s="31"/>
      <c r="F414" s="31">
        <v>0</v>
      </c>
      <c r="G414" s="31">
        <v>0</v>
      </c>
      <c r="H414" s="31">
        <v>0</v>
      </c>
      <c r="I414" s="31">
        <v>0</v>
      </c>
      <c r="J414" s="31">
        <v>0</v>
      </c>
      <c r="K414" s="31" t="s">
        <v>882</v>
      </c>
      <c r="L414" s="2" t="str">
        <f t="shared" si="48"/>
        <v>Рихтовка</v>
      </c>
      <c r="M414" s="12">
        <f t="shared" si="49"/>
        <v>0</v>
      </c>
      <c r="N414" s="12">
        <f t="shared" si="50"/>
        <v>0</v>
      </c>
      <c r="O414" s="12">
        <f t="shared" si="51"/>
        <v>0</v>
      </c>
      <c r="P414" s="12">
        <f t="shared" si="52"/>
        <v>0</v>
      </c>
      <c r="Q414" s="12">
        <f t="shared" si="53"/>
        <v>0</v>
      </c>
      <c r="R414" s="12">
        <f t="shared" si="54"/>
        <v>0</v>
      </c>
      <c r="S414" s="12">
        <f t="shared" si="55"/>
        <v>0</v>
      </c>
      <c r="T414" s="31">
        <v>0</v>
      </c>
      <c r="U414" s="31">
        <v>0</v>
      </c>
      <c r="V414" s="31">
        <v>0</v>
      </c>
      <c r="W414" s="31">
        <v>0</v>
      </c>
      <c r="X414" s="31">
        <v>0</v>
      </c>
      <c r="Y414" s="31">
        <v>0</v>
      </c>
      <c r="Z414" s="31">
        <v>0</v>
      </c>
      <c r="AA414" s="31">
        <v>0</v>
      </c>
      <c r="AB414" s="31">
        <v>0</v>
      </c>
      <c r="AC414" s="31">
        <v>0</v>
      </c>
      <c r="AD414" s="31">
        <v>0</v>
      </c>
      <c r="AE414" s="31">
        <v>0</v>
      </c>
      <c r="AF414" s="31">
        <v>0</v>
      </c>
      <c r="AG414" s="31">
        <v>0</v>
      </c>
      <c r="AH414" s="31">
        <v>0</v>
      </c>
      <c r="AI414" s="31">
        <v>0</v>
      </c>
      <c r="AJ414" s="31">
        <v>0</v>
      </c>
      <c r="AK414" s="31">
        <v>0</v>
      </c>
      <c r="AL414" s="31">
        <v>0</v>
      </c>
      <c r="AM414" s="31">
        <v>0</v>
      </c>
      <c r="AN414" s="31">
        <v>0</v>
      </c>
      <c r="AO414" s="31">
        <v>0</v>
      </c>
      <c r="AP414" s="31">
        <v>0</v>
      </c>
    </row>
    <row r="415" spans="1:42" x14ac:dyDescent="0.25">
      <c r="A415" s="31">
        <v>7</v>
      </c>
      <c r="B415" s="31">
        <v>13809</v>
      </c>
      <c r="C415" s="31">
        <v>2</v>
      </c>
      <c r="D415" s="31" t="s">
        <v>768</v>
      </c>
      <c r="E415" s="31"/>
      <c r="F415" s="31">
        <v>0</v>
      </c>
      <c r="G415" s="31">
        <v>0</v>
      </c>
      <c r="H415" s="31">
        <v>0</v>
      </c>
      <c r="I415" s="31">
        <v>0</v>
      </c>
      <c r="J415" s="31">
        <v>0</v>
      </c>
      <c r="K415" s="31" t="s">
        <v>882</v>
      </c>
      <c r="L415" s="2" t="str">
        <f t="shared" si="48"/>
        <v>Рихтовка</v>
      </c>
      <c r="M415" s="12">
        <f t="shared" si="49"/>
        <v>0</v>
      </c>
      <c r="N415" s="12">
        <f t="shared" si="50"/>
        <v>0</v>
      </c>
      <c r="O415" s="12">
        <f t="shared" si="51"/>
        <v>0</v>
      </c>
      <c r="P415" s="12">
        <f t="shared" si="52"/>
        <v>0</v>
      </c>
      <c r="Q415" s="12">
        <f t="shared" si="53"/>
        <v>0</v>
      </c>
      <c r="R415" s="12">
        <f t="shared" si="54"/>
        <v>0</v>
      </c>
      <c r="S415" s="12">
        <f t="shared" si="55"/>
        <v>0</v>
      </c>
      <c r="T415" s="31">
        <v>0</v>
      </c>
      <c r="U415" s="31">
        <v>0</v>
      </c>
      <c r="V415" s="31">
        <v>0</v>
      </c>
      <c r="W415" s="31">
        <v>0</v>
      </c>
      <c r="X415" s="31">
        <v>0</v>
      </c>
      <c r="Y415" s="31">
        <v>0</v>
      </c>
      <c r="Z415" s="31">
        <v>0</v>
      </c>
      <c r="AA415" s="31">
        <v>0</v>
      </c>
      <c r="AB415" s="31">
        <v>0</v>
      </c>
      <c r="AC415" s="31">
        <v>0</v>
      </c>
      <c r="AD415" s="31">
        <v>0</v>
      </c>
      <c r="AE415" s="31">
        <v>0</v>
      </c>
      <c r="AF415" s="31">
        <v>0</v>
      </c>
      <c r="AG415" s="31">
        <v>0</v>
      </c>
      <c r="AH415" s="31">
        <v>0</v>
      </c>
      <c r="AI415" s="31">
        <v>0</v>
      </c>
      <c r="AJ415" s="31">
        <v>0</v>
      </c>
      <c r="AK415" s="31">
        <v>0</v>
      </c>
      <c r="AL415" s="31">
        <v>0</v>
      </c>
      <c r="AM415" s="31">
        <v>0</v>
      </c>
      <c r="AN415" s="31">
        <v>0</v>
      </c>
      <c r="AO415" s="31">
        <v>0</v>
      </c>
      <c r="AP415" s="31">
        <v>0</v>
      </c>
    </row>
    <row r="416" spans="1:42" x14ac:dyDescent="0.25">
      <c r="A416" s="31">
        <v>8</v>
      </c>
      <c r="B416" s="31">
        <v>13809</v>
      </c>
      <c r="C416" s="31">
        <v>2</v>
      </c>
      <c r="D416" s="31" t="s">
        <v>768</v>
      </c>
      <c r="E416" s="31"/>
      <c r="F416" s="31">
        <v>0</v>
      </c>
      <c r="G416" s="31">
        <v>0</v>
      </c>
      <c r="H416" s="31">
        <v>0</v>
      </c>
      <c r="I416" s="31">
        <v>0</v>
      </c>
      <c r="J416" s="31">
        <v>0</v>
      </c>
      <c r="K416" s="31" t="s">
        <v>882</v>
      </c>
      <c r="L416" s="2" t="str">
        <f t="shared" si="48"/>
        <v>Рихтовка</v>
      </c>
      <c r="M416" s="12">
        <f t="shared" si="49"/>
        <v>0</v>
      </c>
      <c r="N416" s="12">
        <f t="shared" si="50"/>
        <v>0</v>
      </c>
      <c r="O416" s="12">
        <f t="shared" si="51"/>
        <v>0</v>
      </c>
      <c r="P416" s="12">
        <f t="shared" si="52"/>
        <v>0</v>
      </c>
      <c r="Q416" s="12">
        <f t="shared" si="53"/>
        <v>0</v>
      </c>
      <c r="R416" s="12">
        <f t="shared" si="54"/>
        <v>0</v>
      </c>
      <c r="S416" s="12">
        <f t="shared" si="55"/>
        <v>0</v>
      </c>
      <c r="T416" s="31">
        <v>0</v>
      </c>
      <c r="U416" s="31">
        <v>0</v>
      </c>
      <c r="V416" s="31">
        <v>0</v>
      </c>
      <c r="W416" s="31">
        <v>0</v>
      </c>
      <c r="X416" s="31">
        <v>0</v>
      </c>
      <c r="Y416" s="31">
        <v>0</v>
      </c>
      <c r="Z416" s="31">
        <v>0</v>
      </c>
      <c r="AA416" s="31">
        <v>0</v>
      </c>
      <c r="AB416" s="31">
        <v>0</v>
      </c>
      <c r="AC416" s="31">
        <v>0</v>
      </c>
      <c r="AD416" s="31">
        <v>0</v>
      </c>
      <c r="AE416" s="31">
        <v>0</v>
      </c>
      <c r="AF416" s="31">
        <v>0</v>
      </c>
      <c r="AG416" s="31">
        <v>0</v>
      </c>
      <c r="AH416" s="31">
        <v>0</v>
      </c>
      <c r="AI416" s="31">
        <v>0</v>
      </c>
      <c r="AJ416" s="31">
        <v>0</v>
      </c>
      <c r="AK416" s="31">
        <v>0</v>
      </c>
      <c r="AL416" s="31">
        <v>0</v>
      </c>
      <c r="AM416" s="31">
        <v>0</v>
      </c>
      <c r="AN416" s="31">
        <v>0</v>
      </c>
      <c r="AO416" s="31">
        <v>0</v>
      </c>
      <c r="AP416" s="31">
        <v>0</v>
      </c>
    </row>
    <row r="417" spans="1:42" x14ac:dyDescent="0.25">
      <c r="A417" s="31">
        <v>8</v>
      </c>
      <c r="B417" s="31">
        <v>13809</v>
      </c>
      <c r="C417" s="31">
        <v>1</v>
      </c>
      <c r="D417" s="31" t="s">
        <v>769</v>
      </c>
      <c r="E417" s="31"/>
      <c r="F417" s="31">
        <v>0</v>
      </c>
      <c r="G417" s="31">
        <v>0</v>
      </c>
      <c r="H417" s="31">
        <v>0</v>
      </c>
      <c r="I417" s="31">
        <v>0</v>
      </c>
      <c r="J417" s="31">
        <v>0</v>
      </c>
      <c r="K417" s="31" t="s">
        <v>882</v>
      </c>
      <c r="L417" s="2" t="str">
        <f t="shared" si="48"/>
        <v>Рихтовка</v>
      </c>
      <c r="M417" s="12">
        <f t="shared" si="49"/>
        <v>0</v>
      </c>
      <c r="N417" s="12">
        <f t="shared" si="50"/>
        <v>0</v>
      </c>
      <c r="O417" s="12">
        <f t="shared" si="51"/>
        <v>0</v>
      </c>
      <c r="P417" s="12">
        <f t="shared" si="52"/>
        <v>0</v>
      </c>
      <c r="Q417" s="12">
        <f t="shared" si="53"/>
        <v>0</v>
      </c>
      <c r="R417" s="12">
        <f t="shared" si="54"/>
        <v>0</v>
      </c>
      <c r="S417" s="12">
        <f t="shared" si="55"/>
        <v>0</v>
      </c>
      <c r="T417" s="31">
        <v>0</v>
      </c>
      <c r="U417" s="31">
        <v>0</v>
      </c>
      <c r="V417" s="31">
        <v>0</v>
      </c>
      <c r="W417" s="31">
        <v>0</v>
      </c>
      <c r="X417" s="31">
        <v>0</v>
      </c>
      <c r="Y417" s="31">
        <v>0</v>
      </c>
      <c r="Z417" s="31">
        <v>0</v>
      </c>
      <c r="AA417" s="31">
        <v>0</v>
      </c>
      <c r="AB417" s="31">
        <v>0</v>
      </c>
      <c r="AC417" s="31">
        <v>0</v>
      </c>
      <c r="AD417" s="31">
        <v>0</v>
      </c>
      <c r="AE417" s="31">
        <v>0</v>
      </c>
      <c r="AF417" s="31">
        <v>0</v>
      </c>
      <c r="AG417" s="31">
        <v>0</v>
      </c>
      <c r="AH417" s="31">
        <v>0</v>
      </c>
      <c r="AI417" s="31">
        <v>0</v>
      </c>
      <c r="AJ417" s="31">
        <v>0</v>
      </c>
      <c r="AK417" s="31">
        <v>0</v>
      </c>
      <c r="AL417" s="31">
        <v>0</v>
      </c>
      <c r="AM417" s="31">
        <v>0</v>
      </c>
      <c r="AN417" s="31">
        <v>0</v>
      </c>
      <c r="AO417" s="31">
        <v>0</v>
      </c>
      <c r="AP417" s="31">
        <v>0</v>
      </c>
    </row>
    <row r="418" spans="1:42" x14ac:dyDescent="0.25">
      <c r="A418" s="31">
        <v>8</v>
      </c>
      <c r="B418" s="31">
        <v>13809</v>
      </c>
      <c r="C418" s="31">
        <v>1</v>
      </c>
      <c r="D418" s="31" t="s">
        <v>770</v>
      </c>
      <c r="E418" s="31"/>
      <c r="F418" s="31">
        <v>0</v>
      </c>
      <c r="G418" s="31">
        <v>0</v>
      </c>
      <c r="H418" s="31">
        <v>0</v>
      </c>
      <c r="I418" s="31">
        <v>0</v>
      </c>
      <c r="J418" s="31">
        <v>0</v>
      </c>
      <c r="K418" s="31" t="s">
        <v>882</v>
      </c>
      <c r="L418" s="2" t="str">
        <f t="shared" si="48"/>
        <v>Рихтовка</v>
      </c>
      <c r="M418" s="12">
        <f t="shared" si="49"/>
        <v>0</v>
      </c>
      <c r="N418" s="12">
        <f t="shared" si="50"/>
        <v>0</v>
      </c>
      <c r="O418" s="12">
        <f t="shared" si="51"/>
        <v>0</v>
      </c>
      <c r="P418" s="12">
        <f t="shared" si="52"/>
        <v>0</v>
      </c>
      <c r="Q418" s="12">
        <f t="shared" si="53"/>
        <v>0</v>
      </c>
      <c r="R418" s="12">
        <f t="shared" si="54"/>
        <v>0</v>
      </c>
      <c r="S418" s="12">
        <f t="shared" si="55"/>
        <v>0</v>
      </c>
      <c r="T418" s="31">
        <v>0</v>
      </c>
      <c r="U418" s="31">
        <v>0</v>
      </c>
      <c r="V418" s="31">
        <v>0</v>
      </c>
      <c r="W418" s="31">
        <v>0</v>
      </c>
      <c r="X418" s="31">
        <v>0</v>
      </c>
      <c r="Y418" s="31">
        <v>0</v>
      </c>
      <c r="Z418" s="31">
        <v>0</v>
      </c>
      <c r="AA418" s="31">
        <v>0</v>
      </c>
      <c r="AB418" s="31">
        <v>0</v>
      </c>
      <c r="AC418" s="31">
        <v>0</v>
      </c>
      <c r="AD418" s="31">
        <v>0</v>
      </c>
      <c r="AE418" s="31">
        <v>0</v>
      </c>
      <c r="AF418" s="31">
        <v>0</v>
      </c>
      <c r="AG418" s="31">
        <v>0</v>
      </c>
      <c r="AH418" s="31">
        <v>0</v>
      </c>
      <c r="AI418" s="31">
        <v>0</v>
      </c>
      <c r="AJ418" s="31">
        <v>0</v>
      </c>
      <c r="AK418" s="31">
        <v>0</v>
      </c>
      <c r="AL418" s="31">
        <v>0</v>
      </c>
      <c r="AM418" s="31">
        <v>0</v>
      </c>
      <c r="AN418" s="31">
        <v>0</v>
      </c>
      <c r="AO418" s="31">
        <v>0</v>
      </c>
      <c r="AP418" s="31">
        <v>0</v>
      </c>
    </row>
    <row r="419" spans="1:42" x14ac:dyDescent="0.25">
      <c r="A419" s="31">
        <v>8</v>
      </c>
      <c r="B419" s="31">
        <v>13809</v>
      </c>
      <c r="C419" s="31">
        <v>1</v>
      </c>
      <c r="D419" s="31" t="s">
        <v>771</v>
      </c>
      <c r="E419" s="31"/>
      <c r="F419" s="31">
        <v>0</v>
      </c>
      <c r="G419" s="31">
        <v>0</v>
      </c>
      <c r="H419" s="31">
        <v>0</v>
      </c>
      <c r="I419" s="31">
        <v>0</v>
      </c>
      <c r="J419" s="31">
        <v>0</v>
      </c>
      <c r="K419" s="31" t="s">
        <v>882</v>
      </c>
      <c r="L419" s="2" t="str">
        <f t="shared" si="48"/>
        <v>Рихтовка</v>
      </c>
      <c r="M419" s="12">
        <f t="shared" si="49"/>
        <v>0</v>
      </c>
      <c r="N419" s="12">
        <f t="shared" si="50"/>
        <v>0</v>
      </c>
      <c r="O419" s="12">
        <f t="shared" si="51"/>
        <v>0</v>
      </c>
      <c r="P419" s="12">
        <f t="shared" si="52"/>
        <v>0</v>
      </c>
      <c r="Q419" s="12">
        <f t="shared" si="53"/>
        <v>0</v>
      </c>
      <c r="R419" s="12">
        <f t="shared" si="54"/>
        <v>0</v>
      </c>
      <c r="S419" s="12">
        <f t="shared" si="55"/>
        <v>0</v>
      </c>
      <c r="T419" s="31">
        <v>0</v>
      </c>
      <c r="U419" s="31">
        <v>0</v>
      </c>
      <c r="V419" s="31">
        <v>0</v>
      </c>
      <c r="W419" s="31">
        <v>0</v>
      </c>
      <c r="X419" s="31">
        <v>0</v>
      </c>
      <c r="Y419" s="31">
        <v>0</v>
      </c>
      <c r="Z419" s="31">
        <v>0</v>
      </c>
      <c r="AA419" s="31">
        <v>0</v>
      </c>
      <c r="AB419" s="31">
        <v>0</v>
      </c>
      <c r="AC419" s="31">
        <v>0</v>
      </c>
      <c r="AD419" s="31">
        <v>0</v>
      </c>
      <c r="AE419" s="31">
        <v>0</v>
      </c>
      <c r="AF419" s="31">
        <v>0</v>
      </c>
      <c r="AG419" s="31">
        <v>0</v>
      </c>
      <c r="AH419" s="31">
        <v>0</v>
      </c>
      <c r="AI419" s="31">
        <v>0</v>
      </c>
      <c r="AJ419" s="31">
        <v>0</v>
      </c>
      <c r="AK419" s="31">
        <v>0</v>
      </c>
      <c r="AL419" s="31">
        <v>0</v>
      </c>
      <c r="AM419" s="31">
        <v>0</v>
      </c>
      <c r="AN419" s="31">
        <v>0</v>
      </c>
      <c r="AO419" s="31">
        <v>0</v>
      </c>
      <c r="AP419" s="31">
        <v>0</v>
      </c>
    </row>
    <row r="420" spans="1:42" x14ac:dyDescent="0.25">
      <c r="A420" s="31">
        <v>8</v>
      </c>
      <c r="B420" s="31">
        <v>13809</v>
      </c>
      <c r="C420" s="31">
        <v>1</v>
      </c>
      <c r="D420" s="31" t="s">
        <v>956</v>
      </c>
      <c r="E420" s="31"/>
      <c r="F420" s="31">
        <v>0</v>
      </c>
      <c r="G420" s="31">
        <v>0</v>
      </c>
      <c r="H420" s="31">
        <v>0</v>
      </c>
      <c r="I420" s="31">
        <v>0</v>
      </c>
      <c r="J420" s="31">
        <v>0</v>
      </c>
      <c r="K420" s="31" t="s">
        <v>882</v>
      </c>
      <c r="L420" s="2" t="str">
        <f t="shared" si="48"/>
        <v>Рихтовка</v>
      </c>
      <c r="M420" s="12">
        <f t="shared" si="49"/>
        <v>0</v>
      </c>
      <c r="N420" s="12">
        <f t="shared" si="50"/>
        <v>0</v>
      </c>
      <c r="O420" s="12">
        <f t="shared" si="51"/>
        <v>0</v>
      </c>
      <c r="P420" s="12">
        <f t="shared" si="52"/>
        <v>0</v>
      </c>
      <c r="Q420" s="12">
        <f t="shared" si="53"/>
        <v>0</v>
      </c>
      <c r="R420" s="12">
        <f t="shared" si="54"/>
        <v>0</v>
      </c>
      <c r="S420" s="12">
        <f t="shared" si="55"/>
        <v>0</v>
      </c>
      <c r="T420" s="31">
        <v>0</v>
      </c>
      <c r="U420" s="31">
        <v>0</v>
      </c>
      <c r="V420" s="31">
        <v>0</v>
      </c>
      <c r="W420" s="31">
        <v>0</v>
      </c>
      <c r="X420" s="31">
        <v>0</v>
      </c>
      <c r="Y420" s="31">
        <v>0</v>
      </c>
      <c r="Z420" s="31">
        <v>0</v>
      </c>
      <c r="AA420" s="31">
        <v>0</v>
      </c>
      <c r="AB420" s="31">
        <v>0</v>
      </c>
      <c r="AC420" s="31">
        <v>0</v>
      </c>
      <c r="AD420" s="31">
        <v>0</v>
      </c>
      <c r="AE420" s="31">
        <v>0</v>
      </c>
      <c r="AF420" s="31">
        <v>0</v>
      </c>
      <c r="AG420" s="31">
        <v>0</v>
      </c>
      <c r="AH420" s="31">
        <v>0</v>
      </c>
      <c r="AI420" s="31">
        <v>0</v>
      </c>
      <c r="AJ420" s="31">
        <v>0</v>
      </c>
      <c r="AK420" s="31">
        <v>0</v>
      </c>
      <c r="AL420" s="31">
        <v>0</v>
      </c>
      <c r="AM420" s="31">
        <v>0</v>
      </c>
      <c r="AN420" s="31">
        <v>0</v>
      </c>
      <c r="AO420" s="31">
        <v>0</v>
      </c>
      <c r="AP420" s="31">
        <v>0</v>
      </c>
    </row>
    <row r="421" spans="1:42" x14ac:dyDescent="0.25">
      <c r="A421" s="31">
        <v>8</v>
      </c>
      <c r="B421" s="31">
        <v>13809</v>
      </c>
      <c r="C421" s="31">
        <v>1</v>
      </c>
      <c r="D421" s="31" t="s">
        <v>772</v>
      </c>
      <c r="E421" s="31"/>
      <c r="F421" s="31">
        <v>0</v>
      </c>
      <c r="G421" s="31">
        <v>0</v>
      </c>
      <c r="H421" s="31">
        <v>0</v>
      </c>
      <c r="I421" s="31">
        <v>0</v>
      </c>
      <c r="J421" s="31">
        <v>0</v>
      </c>
      <c r="K421" s="31" t="s">
        <v>882</v>
      </c>
      <c r="L421" s="2" t="str">
        <f t="shared" si="48"/>
        <v>Рихтовка</v>
      </c>
      <c r="M421" s="12">
        <f t="shared" si="49"/>
        <v>0</v>
      </c>
      <c r="N421" s="12">
        <f t="shared" si="50"/>
        <v>0</v>
      </c>
      <c r="O421" s="12">
        <f t="shared" si="51"/>
        <v>0</v>
      </c>
      <c r="P421" s="12">
        <f t="shared" si="52"/>
        <v>0</v>
      </c>
      <c r="Q421" s="12">
        <f t="shared" si="53"/>
        <v>0</v>
      </c>
      <c r="R421" s="12">
        <f t="shared" si="54"/>
        <v>0</v>
      </c>
      <c r="S421" s="12">
        <f t="shared" si="55"/>
        <v>0</v>
      </c>
      <c r="T421" s="31">
        <v>0</v>
      </c>
      <c r="U421" s="31">
        <v>0</v>
      </c>
      <c r="V421" s="31">
        <v>0</v>
      </c>
      <c r="W421" s="31">
        <v>0</v>
      </c>
      <c r="X421" s="31">
        <v>0</v>
      </c>
      <c r="Y421" s="31">
        <v>0</v>
      </c>
      <c r="Z421" s="31">
        <v>0</v>
      </c>
      <c r="AA421" s="31">
        <v>0</v>
      </c>
      <c r="AB421" s="31">
        <v>0</v>
      </c>
      <c r="AC421" s="31">
        <v>0</v>
      </c>
      <c r="AD421" s="31">
        <v>0</v>
      </c>
      <c r="AE421" s="31">
        <v>0</v>
      </c>
      <c r="AF421" s="31">
        <v>0</v>
      </c>
      <c r="AG421" s="31">
        <v>0</v>
      </c>
      <c r="AH421" s="31">
        <v>0</v>
      </c>
      <c r="AI421" s="31">
        <v>0</v>
      </c>
      <c r="AJ421" s="31">
        <v>0</v>
      </c>
      <c r="AK421" s="31">
        <v>0</v>
      </c>
      <c r="AL421" s="31">
        <v>0</v>
      </c>
      <c r="AM421" s="31">
        <v>0</v>
      </c>
      <c r="AN421" s="31">
        <v>0</v>
      </c>
      <c r="AO421" s="31">
        <v>0</v>
      </c>
      <c r="AP421" s="31">
        <v>0</v>
      </c>
    </row>
    <row r="422" spans="1:42" x14ac:dyDescent="0.25">
      <c r="A422" s="31">
        <v>8</v>
      </c>
      <c r="B422" s="31">
        <v>13809</v>
      </c>
      <c r="C422" s="31">
        <v>1</v>
      </c>
      <c r="D422" s="31" t="s">
        <v>773</v>
      </c>
      <c r="E422" s="31"/>
      <c r="F422" s="31">
        <v>0</v>
      </c>
      <c r="G422" s="31">
        <v>0</v>
      </c>
      <c r="H422" s="31">
        <v>0</v>
      </c>
      <c r="I422" s="31">
        <v>0</v>
      </c>
      <c r="J422" s="31">
        <v>0</v>
      </c>
      <c r="K422" s="31" t="s">
        <v>882</v>
      </c>
      <c r="L422" s="2" t="str">
        <f t="shared" si="48"/>
        <v>Рихтовка</v>
      </c>
      <c r="M422" s="12">
        <f t="shared" si="49"/>
        <v>0</v>
      </c>
      <c r="N422" s="12">
        <f t="shared" si="50"/>
        <v>0</v>
      </c>
      <c r="O422" s="12">
        <f t="shared" si="51"/>
        <v>0</v>
      </c>
      <c r="P422" s="12">
        <f t="shared" si="52"/>
        <v>0</v>
      </c>
      <c r="Q422" s="12">
        <f t="shared" si="53"/>
        <v>0</v>
      </c>
      <c r="R422" s="12">
        <f t="shared" si="54"/>
        <v>0</v>
      </c>
      <c r="S422" s="12">
        <f t="shared" si="55"/>
        <v>0</v>
      </c>
      <c r="T422" s="31">
        <v>0</v>
      </c>
      <c r="U422" s="31">
        <v>0</v>
      </c>
      <c r="V422" s="31">
        <v>0</v>
      </c>
      <c r="W422" s="31">
        <v>0</v>
      </c>
      <c r="X422" s="31">
        <v>0</v>
      </c>
      <c r="Y422" s="31">
        <v>0</v>
      </c>
      <c r="Z422" s="31">
        <v>0</v>
      </c>
      <c r="AA422" s="31">
        <v>0</v>
      </c>
      <c r="AB422" s="31">
        <v>0</v>
      </c>
      <c r="AC422" s="31">
        <v>0</v>
      </c>
      <c r="AD422" s="31">
        <v>0</v>
      </c>
      <c r="AE422" s="31">
        <v>0</v>
      </c>
      <c r="AF422" s="31">
        <v>0</v>
      </c>
      <c r="AG422" s="31">
        <v>0</v>
      </c>
      <c r="AH422" s="31">
        <v>0</v>
      </c>
      <c r="AI422" s="31">
        <v>0</v>
      </c>
      <c r="AJ422" s="31">
        <v>0</v>
      </c>
      <c r="AK422" s="31">
        <v>0</v>
      </c>
      <c r="AL422" s="31">
        <v>0</v>
      </c>
      <c r="AM422" s="31">
        <v>0</v>
      </c>
      <c r="AN422" s="31">
        <v>0</v>
      </c>
      <c r="AO422" s="31">
        <v>0</v>
      </c>
      <c r="AP422" s="31">
        <v>0</v>
      </c>
    </row>
    <row r="423" spans="1:42" x14ac:dyDescent="0.25">
      <c r="A423" s="31">
        <v>8</v>
      </c>
      <c r="B423" s="31">
        <v>13809</v>
      </c>
      <c r="C423" s="31">
        <v>2</v>
      </c>
      <c r="D423" s="31" t="s">
        <v>769</v>
      </c>
      <c r="E423" s="31"/>
      <c r="F423" s="31">
        <v>0</v>
      </c>
      <c r="G423" s="31">
        <v>0</v>
      </c>
      <c r="H423" s="31">
        <v>0</v>
      </c>
      <c r="I423" s="31">
        <v>0</v>
      </c>
      <c r="J423" s="31">
        <v>0</v>
      </c>
      <c r="K423" s="31" t="s">
        <v>882</v>
      </c>
      <c r="L423" s="2" t="str">
        <f t="shared" si="48"/>
        <v>Рихтовка</v>
      </c>
      <c r="M423" s="12">
        <f t="shared" si="49"/>
        <v>0</v>
      </c>
      <c r="N423" s="12">
        <f t="shared" si="50"/>
        <v>0</v>
      </c>
      <c r="O423" s="12">
        <f t="shared" si="51"/>
        <v>0</v>
      </c>
      <c r="P423" s="12">
        <f t="shared" si="52"/>
        <v>0</v>
      </c>
      <c r="Q423" s="12">
        <f t="shared" si="53"/>
        <v>0</v>
      </c>
      <c r="R423" s="12">
        <f t="shared" si="54"/>
        <v>0</v>
      </c>
      <c r="S423" s="12">
        <f t="shared" si="55"/>
        <v>0</v>
      </c>
      <c r="T423" s="31">
        <v>0</v>
      </c>
      <c r="U423" s="31">
        <v>0</v>
      </c>
      <c r="V423" s="31">
        <v>0</v>
      </c>
      <c r="W423" s="31">
        <v>0</v>
      </c>
      <c r="X423" s="31">
        <v>0</v>
      </c>
      <c r="Y423" s="31">
        <v>0</v>
      </c>
      <c r="Z423" s="31">
        <v>0</v>
      </c>
      <c r="AA423" s="31">
        <v>0</v>
      </c>
      <c r="AB423" s="31">
        <v>0</v>
      </c>
      <c r="AC423" s="31">
        <v>0</v>
      </c>
      <c r="AD423" s="31">
        <v>0</v>
      </c>
      <c r="AE423" s="31">
        <v>0</v>
      </c>
      <c r="AF423" s="31">
        <v>0</v>
      </c>
      <c r="AG423" s="31">
        <v>0</v>
      </c>
      <c r="AH423" s="31">
        <v>0</v>
      </c>
      <c r="AI423" s="31">
        <v>0</v>
      </c>
      <c r="AJ423" s="31">
        <v>0</v>
      </c>
      <c r="AK423" s="31">
        <v>0</v>
      </c>
      <c r="AL423" s="31">
        <v>0</v>
      </c>
      <c r="AM423" s="31">
        <v>0</v>
      </c>
      <c r="AN423" s="31">
        <v>0</v>
      </c>
      <c r="AO423" s="31">
        <v>0</v>
      </c>
      <c r="AP423" s="31">
        <v>0</v>
      </c>
    </row>
    <row r="424" spans="1:42" x14ac:dyDescent="0.25">
      <c r="A424" s="31">
        <v>8</v>
      </c>
      <c r="B424" s="31">
        <v>13809</v>
      </c>
      <c r="C424" s="31">
        <v>2</v>
      </c>
      <c r="D424" s="31" t="s">
        <v>770</v>
      </c>
      <c r="E424" s="31"/>
      <c r="F424" s="31">
        <v>0</v>
      </c>
      <c r="G424" s="31">
        <v>0</v>
      </c>
      <c r="H424" s="31">
        <v>0</v>
      </c>
      <c r="I424" s="31">
        <v>0</v>
      </c>
      <c r="J424" s="31">
        <v>0</v>
      </c>
      <c r="K424" s="31" t="s">
        <v>882</v>
      </c>
      <c r="L424" s="2" t="str">
        <f t="shared" si="48"/>
        <v>Рихтовка</v>
      </c>
      <c r="M424" s="12">
        <f t="shared" si="49"/>
        <v>0</v>
      </c>
      <c r="N424" s="12">
        <f t="shared" si="50"/>
        <v>0</v>
      </c>
      <c r="O424" s="12">
        <f t="shared" si="51"/>
        <v>0</v>
      </c>
      <c r="P424" s="12">
        <f t="shared" si="52"/>
        <v>0</v>
      </c>
      <c r="Q424" s="12">
        <f t="shared" si="53"/>
        <v>0</v>
      </c>
      <c r="R424" s="12">
        <f t="shared" si="54"/>
        <v>0</v>
      </c>
      <c r="S424" s="12">
        <f t="shared" si="55"/>
        <v>0</v>
      </c>
      <c r="T424" s="31">
        <v>0</v>
      </c>
      <c r="U424" s="31">
        <v>0</v>
      </c>
      <c r="V424" s="31">
        <v>0</v>
      </c>
      <c r="W424" s="31">
        <v>0</v>
      </c>
      <c r="X424" s="31">
        <v>0</v>
      </c>
      <c r="Y424" s="31">
        <v>0</v>
      </c>
      <c r="Z424" s="31">
        <v>0</v>
      </c>
      <c r="AA424" s="31">
        <v>0</v>
      </c>
      <c r="AB424" s="31">
        <v>0</v>
      </c>
      <c r="AC424" s="31">
        <v>0</v>
      </c>
      <c r="AD424" s="31">
        <v>0</v>
      </c>
      <c r="AE424" s="31">
        <v>0</v>
      </c>
      <c r="AF424" s="31">
        <v>0</v>
      </c>
      <c r="AG424" s="31">
        <v>0</v>
      </c>
      <c r="AH424" s="31">
        <v>0</v>
      </c>
      <c r="AI424" s="31">
        <v>0</v>
      </c>
      <c r="AJ424" s="31">
        <v>0</v>
      </c>
      <c r="AK424" s="31">
        <v>0</v>
      </c>
      <c r="AL424" s="31">
        <v>0</v>
      </c>
      <c r="AM424" s="31">
        <v>0</v>
      </c>
      <c r="AN424" s="31">
        <v>0</v>
      </c>
      <c r="AO424" s="31">
        <v>0</v>
      </c>
      <c r="AP424" s="31">
        <v>0</v>
      </c>
    </row>
    <row r="425" spans="1:42" x14ac:dyDescent="0.25">
      <c r="A425" s="31">
        <v>8</v>
      </c>
      <c r="B425" s="31">
        <v>13809</v>
      </c>
      <c r="C425" s="31">
        <v>2</v>
      </c>
      <c r="D425" s="31" t="s">
        <v>771</v>
      </c>
      <c r="E425" s="31"/>
      <c r="F425" s="31">
        <v>0</v>
      </c>
      <c r="G425" s="31">
        <v>0</v>
      </c>
      <c r="H425" s="31">
        <v>0</v>
      </c>
      <c r="I425" s="31">
        <v>0</v>
      </c>
      <c r="J425" s="31">
        <v>0</v>
      </c>
      <c r="K425" s="31" t="s">
        <v>882</v>
      </c>
      <c r="L425" s="2" t="str">
        <f t="shared" si="48"/>
        <v>Рихтовка</v>
      </c>
      <c r="M425" s="12">
        <f t="shared" si="49"/>
        <v>0</v>
      </c>
      <c r="N425" s="12">
        <f t="shared" si="50"/>
        <v>0</v>
      </c>
      <c r="O425" s="12">
        <f t="shared" si="51"/>
        <v>0</v>
      </c>
      <c r="P425" s="12">
        <f t="shared" si="52"/>
        <v>0</v>
      </c>
      <c r="Q425" s="12">
        <f t="shared" si="53"/>
        <v>0</v>
      </c>
      <c r="R425" s="12">
        <f t="shared" si="54"/>
        <v>0</v>
      </c>
      <c r="S425" s="12">
        <f t="shared" si="55"/>
        <v>0</v>
      </c>
      <c r="T425" s="31">
        <v>0</v>
      </c>
      <c r="U425" s="31">
        <v>0</v>
      </c>
      <c r="V425" s="31">
        <v>0</v>
      </c>
      <c r="W425" s="31">
        <v>0</v>
      </c>
      <c r="X425" s="31">
        <v>0</v>
      </c>
      <c r="Y425" s="31">
        <v>0</v>
      </c>
      <c r="Z425" s="31">
        <v>0</v>
      </c>
      <c r="AA425" s="31">
        <v>0</v>
      </c>
      <c r="AB425" s="31">
        <v>0</v>
      </c>
      <c r="AC425" s="31">
        <v>0</v>
      </c>
      <c r="AD425" s="31">
        <v>0</v>
      </c>
      <c r="AE425" s="31">
        <v>0</v>
      </c>
      <c r="AF425" s="31">
        <v>0</v>
      </c>
      <c r="AG425" s="31">
        <v>0</v>
      </c>
      <c r="AH425" s="31">
        <v>0</v>
      </c>
      <c r="AI425" s="31">
        <v>0</v>
      </c>
      <c r="AJ425" s="31">
        <v>0</v>
      </c>
      <c r="AK425" s="31">
        <v>0</v>
      </c>
      <c r="AL425" s="31">
        <v>0</v>
      </c>
      <c r="AM425" s="31">
        <v>0</v>
      </c>
      <c r="AN425" s="31">
        <v>0</v>
      </c>
      <c r="AO425" s="31">
        <v>0</v>
      </c>
      <c r="AP425" s="31">
        <v>0</v>
      </c>
    </row>
    <row r="426" spans="1:42" x14ac:dyDescent="0.25">
      <c r="A426" s="31">
        <v>8</v>
      </c>
      <c r="B426" s="31">
        <v>13809</v>
      </c>
      <c r="C426" s="31">
        <v>2</v>
      </c>
      <c r="D426" s="31" t="s">
        <v>956</v>
      </c>
      <c r="E426" s="31"/>
      <c r="F426" s="31">
        <v>0</v>
      </c>
      <c r="G426" s="31">
        <v>0</v>
      </c>
      <c r="H426" s="31">
        <v>0</v>
      </c>
      <c r="I426" s="31">
        <v>0</v>
      </c>
      <c r="J426" s="31">
        <v>0</v>
      </c>
      <c r="K426" s="31" t="s">
        <v>882</v>
      </c>
      <c r="L426" s="2" t="str">
        <f t="shared" si="48"/>
        <v>Рихтовка</v>
      </c>
      <c r="M426" s="12">
        <f t="shared" si="49"/>
        <v>0</v>
      </c>
      <c r="N426" s="12">
        <f t="shared" si="50"/>
        <v>0</v>
      </c>
      <c r="O426" s="12">
        <f t="shared" si="51"/>
        <v>0</v>
      </c>
      <c r="P426" s="12">
        <f t="shared" si="52"/>
        <v>0</v>
      </c>
      <c r="Q426" s="12">
        <f t="shared" si="53"/>
        <v>0</v>
      </c>
      <c r="R426" s="12">
        <f t="shared" si="54"/>
        <v>0</v>
      </c>
      <c r="S426" s="12">
        <f t="shared" si="55"/>
        <v>0</v>
      </c>
      <c r="T426" s="31">
        <v>0</v>
      </c>
      <c r="U426" s="31">
        <v>0</v>
      </c>
      <c r="V426" s="31">
        <v>0</v>
      </c>
      <c r="W426" s="31">
        <v>0</v>
      </c>
      <c r="X426" s="31">
        <v>0</v>
      </c>
      <c r="Y426" s="31">
        <v>0</v>
      </c>
      <c r="Z426" s="31">
        <v>0</v>
      </c>
      <c r="AA426" s="31">
        <v>0</v>
      </c>
      <c r="AB426" s="31">
        <v>0</v>
      </c>
      <c r="AC426" s="31">
        <v>0</v>
      </c>
      <c r="AD426" s="31">
        <v>0</v>
      </c>
      <c r="AE426" s="31">
        <v>0</v>
      </c>
      <c r="AF426" s="31">
        <v>0</v>
      </c>
      <c r="AG426" s="31">
        <v>0</v>
      </c>
      <c r="AH426" s="31">
        <v>0</v>
      </c>
      <c r="AI426" s="31">
        <v>0</v>
      </c>
      <c r="AJ426" s="31">
        <v>0</v>
      </c>
      <c r="AK426" s="31">
        <v>0</v>
      </c>
      <c r="AL426" s="31">
        <v>0</v>
      </c>
      <c r="AM426" s="31">
        <v>0</v>
      </c>
      <c r="AN426" s="31">
        <v>0</v>
      </c>
      <c r="AO426" s="31">
        <v>0</v>
      </c>
      <c r="AP426" s="31">
        <v>0</v>
      </c>
    </row>
    <row r="427" spans="1:42" x14ac:dyDescent="0.25">
      <c r="A427" s="31">
        <v>8</v>
      </c>
      <c r="B427" s="31">
        <v>13809</v>
      </c>
      <c r="C427" s="31">
        <v>2</v>
      </c>
      <c r="D427" s="31" t="s">
        <v>772</v>
      </c>
      <c r="E427" s="31"/>
      <c r="F427" s="31">
        <v>0</v>
      </c>
      <c r="G427" s="31">
        <v>0</v>
      </c>
      <c r="H427" s="31">
        <v>0</v>
      </c>
      <c r="I427" s="31">
        <v>0</v>
      </c>
      <c r="J427" s="31">
        <v>0</v>
      </c>
      <c r="K427" s="31" t="s">
        <v>882</v>
      </c>
      <c r="L427" s="2" t="str">
        <f t="shared" si="48"/>
        <v>Рихтовка</v>
      </c>
      <c r="M427" s="12">
        <f t="shared" si="49"/>
        <v>0</v>
      </c>
      <c r="N427" s="12">
        <f t="shared" si="50"/>
        <v>0</v>
      </c>
      <c r="O427" s="12">
        <f t="shared" si="51"/>
        <v>0</v>
      </c>
      <c r="P427" s="12">
        <f t="shared" si="52"/>
        <v>0</v>
      </c>
      <c r="Q427" s="12">
        <f t="shared" si="53"/>
        <v>0</v>
      </c>
      <c r="R427" s="12">
        <f t="shared" si="54"/>
        <v>0</v>
      </c>
      <c r="S427" s="12">
        <f t="shared" si="55"/>
        <v>0</v>
      </c>
      <c r="T427" s="31">
        <v>0</v>
      </c>
      <c r="U427" s="31">
        <v>0</v>
      </c>
      <c r="V427" s="31">
        <v>0</v>
      </c>
      <c r="W427" s="31">
        <v>0</v>
      </c>
      <c r="X427" s="31">
        <v>0</v>
      </c>
      <c r="Y427" s="31">
        <v>0</v>
      </c>
      <c r="Z427" s="31">
        <v>0</v>
      </c>
      <c r="AA427" s="31">
        <v>0</v>
      </c>
      <c r="AB427" s="31">
        <v>0</v>
      </c>
      <c r="AC427" s="31">
        <v>0</v>
      </c>
      <c r="AD427" s="31">
        <v>0</v>
      </c>
      <c r="AE427" s="31">
        <v>0</v>
      </c>
      <c r="AF427" s="31">
        <v>0</v>
      </c>
      <c r="AG427" s="31">
        <v>0</v>
      </c>
      <c r="AH427" s="31">
        <v>0</v>
      </c>
      <c r="AI427" s="31">
        <v>0</v>
      </c>
      <c r="AJ427" s="31">
        <v>0</v>
      </c>
      <c r="AK427" s="31">
        <v>0</v>
      </c>
      <c r="AL427" s="31">
        <v>0</v>
      </c>
      <c r="AM427" s="31">
        <v>0</v>
      </c>
      <c r="AN427" s="31">
        <v>0</v>
      </c>
      <c r="AO427" s="31">
        <v>0</v>
      </c>
      <c r="AP427" s="31">
        <v>0</v>
      </c>
    </row>
    <row r="428" spans="1:42" x14ac:dyDescent="0.25">
      <c r="A428" s="31">
        <v>8</v>
      </c>
      <c r="B428" s="31">
        <v>13809</v>
      </c>
      <c r="C428" s="31">
        <v>2</v>
      </c>
      <c r="D428" s="31" t="s">
        <v>774</v>
      </c>
      <c r="E428" s="31"/>
      <c r="F428" s="31">
        <v>0</v>
      </c>
      <c r="G428" s="31">
        <v>0</v>
      </c>
      <c r="H428" s="31">
        <v>0</v>
      </c>
      <c r="I428" s="31">
        <v>0</v>
      </c>
      <c r="J428" s="31">
        <v>0</v>
      </c>
      <c r="K428" s="31" t="s">
        <v>882</v>
      </c>
      <c r="L428" s="2" t="str">
        <f t="shared" si="48"/>
        <v>Рихтовка</v>
      </c>
      <c r="M428" s="12">
        <f t="shared" si="49"/>
        <v>0</v>
      </c>
      <c r="N428" s="12">
        <f t="shared" si="50"/>
        <v>0</v>
      </c>
      <c r="O428" s="12">
        <f t="shared" si="51"/>
        <v>0</v>
      </c>
      <c r="P428" s="12">
        <f t="shared" si="52"/>
        <v>0</v>
      </c>
      <c r="Q428" s="12">
        <f t="shared" si="53"/>
        <v>0</v>
      </c>
      <c r="R428" s="12">
        <f t="shared" si="54"/>
        <v>0</v>
      </c>
      <c r="S428" s="12">
        <f t="shared" si="55"/>
        <v>0</v>
      </c>
      <c r="T428" s="31">
        <v>0</v>
      </c>
      <c r="U428" s="31">
        <v>0</v>
      </c>
      <c r="V428" s="31">
        <v>0</v>
      </c>
      <c r="W428" s="31">
        <v>0</v>
      </c>
      <c r="X428" s="31">
        <v>0</v>
      </c>
      <c r="Y428" s="31">
        <v>0</v>
      </c>
      <c r="Z428" s="31">
        <v>0</v>
      </c>
      <c r="AA428" s="31">
        <v>0</v>
      </c>
      <c r="AB428" s="31">
        <v>0</v>
      </c>
      <c r="AC428" s="31">
        <v>0</v>
      </c>
      <c r="AD428" s="31">
        <v>0</v>
      </c>
      <c r="AE428" s="31">
        <v>0</v>
      </c>
      <c r="AF428" s="31">
        <v>0</v>
      </c>
      <c r="AG428" s="31">
        <v>0</v>
      </c>
      <c r="AH428" s="31">
        <v>0</v>
      </c>
      <c r="AI428" s="31">
        <v>0</v>
      </c>
      <c r="AJ428" s="31">
        <v>0</v>
      </c>
      <c r="AK428" s="31">
        <v>0</v>
      </c>
      <c r="AL428" s="31">
        <v>0</v>
      </c>
      <c r="AM428" s="31">
        <v>0</v>
      </c>
      <c r="AN428" s="31">
        <v>0</v>
      </c>
      <c r="AO428" s="31">
        <v>0</v>
      </c>
      <c r="AP428" s="31">
        <v>0</v>
      </c>
    </row>
    <row r="429" spans="1:42" x14ac:dyDescent="0.25">
      <c r="A429" s="31">
        <v>8</v>
      </c>
      <c r="B429" s="31">
        <v>13811</v>
      </c>
      <c r="C429" s="31" t="s">
        <v>239</v>
      </c>
      <c r="D429" s="31" t="s">
        <v>775</v>
      </c>
      <c r="E429" s="31"/>
      <c r="F429" s="31">
        <v>0</v>
      </c>
      <c r="G429" s="31">
        <v>0</v>
      </c>
      <c r="H429" s="31">
        <v>0</v>
      </c>
      <c r="I429" s="31">
        <v>0</v>
      </c>
      <c r="J429" s="31">
        <v>0</v>
      </c>
      <c r="K429" s="31" t="s">
        <v>882</v>
      </c>
      <c r="L429" s="2" t="str">
        <f t="shared" si="48"/>
        <v>Рихтовка</v>
      </c>
      <c r="M429" s="12">
        <f t="shared" si="49"/>
        <v>0</v>
      </c>
      <c r="N429" s="12">
        <f t="shared" si="50"/>
        <v>0</v>
      </c>
      <c r="O429" s="12">
        <f t="shared" si="51"/>
        <v>0</v>
      </c>
      <c r="P429" s="12">
        <f t="shared" si="52"/>
        <v>0</v>
      </c>
      <c r="Q429" s="12">
        <f t="shared" si="53"/>
        <v>0</v>
      </c>
      <c r="R429" s="12">
        <f t="shared" si="54"/>
        <v>0</v>
      </c>
      <c r="S429" s="12">
        <f t="shared" si="55"/>
        <v>0</v>
      </c>
      <c r="T429" s="31">
        <v>0</v>
      </c>
      <c r="U429" s="31">
        <v>0</v>
      </c>
      <c r="V429" s="31">
        <v>0</v>
      </c>
      <c r="W429" s="31">
        <v>0</v>
      </c>
      <c r="X429" s="31">
        <v>0</v>
      </c>
      <c r="Y429" s="31">
        <v>0</v>
      </c>
      <c r="Z429" s="31">
        <v>0</v>
      </c>
      <c r="AA429" s="31">
        <v>0</v>
      </c>
      <c r="AB429" s="31">
        <v>0</v>
      </c>
      <c r="AC429" s="31">
        <v>0</v>
      </c>
      <c r="AD429" s="31">
        <v>0</v>
      </c>
      <c r="AE429" s="31">
        <v>0</v>
      </c>
      <c r="AF429" s="31">
        <v>0</v>
      </c>
      <c r="AG429" s="31">
        <v>0</v>
      </c>
      <c r="AH429" s="31">
        <v>0</v>
      </c>
      <c r="AI429" s="31">
        <v>0</v>
      </c>
      <c r="AJ429" s="31">
        <v>0</v>
      </c>
      <c r="AK429" s="31">
        <v>0</v>
      </c>
      <c r="AL429" s="31">
        <v>0</v>
      </c>
      <c r="AM429" s="31">
        <v>0</v>
      </c>
      <c r="AN429" s="31">
        <v>0</v>
      </c>
      <c r="AO429" s="31">
        <v>0</v>
      </c>
      <c r="AP429" s="31">
        <v>0</v>
      </c>
    </row>
    <row r="430" spans="1:42" x14ac:dyDescent="0.25">
      <c r="A430" s="31">
        <v>8</v>
      </c>
      <c r="B430" s="31">
        <v>13811</v>
      </c>
      <c r="C430" s="31" t="s">
        <v>239</v>
      </c>
      <c r="D430" s="31" t="s">
        <v>776</v>
      </c>
      <c r="E430" s="31"/>
      <c r="F430" s="31">
        <v>0</v>
      </c>
      <c r="G430" s="31">
        <v>0</v>
      </c>
      <c r="H430" s="31">
        <v>0</v>
      </c>
      <c r="I430" s="31">
        <v>0</v>
      </c>
      <c r="J430" s="31">
        <v>0</v>
      </c>
      <c r="K430" s="31" t="s">
        <v>882</v>
      </c>
      <c r="L430" s="2" t="str">
        <f t="shared" si="48"/>
        <v>Рихтовка</v>
      </c>
      <c r="M430" s="12">
        <f t="shared" si="49"/>
        <v>0</v>
      </c>
      <c r="N430" s="12">
        <f t="shared" si="50"/>
        <v>0</v>
      </c>
      <c r="O430" s="12">
        <f t="shared" si="51"/>
        <v>0</v>
      </c>
      <c r="P430" s="12">
        <f t="shared" si="52"/>
        <v>0</v>
      </c>
      <c r="Q430" s="12">
        <f t="shared" si="53"/>
        <v>0</v>
      </c>
      <c r="R430" s="12">
        <f t="shared" si="54"/>
        <v>0</v>
      </c>
      <c r="S430" s="12">
        <f t="shared" si="55"/>
        <v>0</v>
      </c>
      <c r="T430" s="31">
        <v>0</v>
      </c>
      <c r="U430" s="31">
        <v>0</v>
      </c>
      <c r="V430" s="31">
        <v>0</v>
      </c>
      <c r="W430" s="31">
        <v>0</v>
      </c>
      <c r="X430" s="31">
        <v>0</v>
      </c>
      <c r="Y430" s="31">
        <v>0</v>
      </c>
      <c r="Z430" s="31">
        <v>0</v>
      </c>
      <c r="AA430" s="31">
        <v>0</v>
      </c>
      <c r="AB430" s="31">
        <v>0</v>
      </c>
      <c r="AC430" s="31">
        <v>0</v>
      </c>
      <c r="AD430" s="31">
        <v>0</v>
      </c>
      <c r="AE430" s="31">
        <v>0</v>
      </c>
      <c r="AF430" s="31">
        <v>0</v>
      </c>
      <c r="AG430" s="31">
        <v>0</v>
      </c>
      <c r="AH430" s="31">
        <v>0</v>
      </c>
      <c r="AI430" s="31">
        <v>0</v>
      </c>
      <c r="AJ430" s="31">
        <v>0</v>
      </c>
      <c r="AK430" s="31">
        <v>0</v>
      </c>
      <c r="AL430" s="31">
        <v>0</v>
      </c>
      <c r="AM430" s="31">
        <v>0</v>
      </c>
      <c r="AN430" s="31">
        <v>0</v>
      </c>
      <c r="AO430" s="31">
        <v>0</v>
      </c>
      <c r="AP430" s="31">
        <v>0</v>
      </c>
    </row>
    <row r="431" spans="1:42" x14ac:dyDescent="0.25">
      <c r="A431" s="31">
        <v>8</v>
      </c>
      <c r="B431" s="31">
        <v>13809</v>
      </c>
      <c r="C431" s="31">
        <v>1</v>
      </c>
      <c r="D431" s="31" t="s">
        <v>777</v>
      </c>
      <c r="E431" s="31"/>
      <c r="F431" s="31">
        <v>0</v>
      </c>
      <c r="G431" s="31">
        <v>0</v>
      </c>
      <c r="H431" s="31">
        <v>0</v>
      </c>
      <c r="I431" s="31">
        <v>0</v>
      </c>
      <c r="J431" s="31">
        <v>0</v>
      </c>
      <c r="K431" s="31" t="s">
        <v>882</v>
      </c>
      <c r="L431" s="2" t="str">
        <f t="shared" si="48"/>
        <v>Рихтовка</v>
      </c>
      <c r="M431" s="12">
        <f t="shared" si="49"/>
        <v>0</v>
      </c>
      <c r="N431" s="12">
        <f t="shared" si="50"/>
        <v>0</v>
      </c>
      <c r="O431" s="12">
        <f t="shared" si="51"/>
        <v>0</v>
      </c>
      <c r="P431" s="12">
        <f t="shared" si="52"/>
        <v>0</v>
      </c>
      <c r="Q431" s="12">
        <f t="shared" si="53"/>
        <v>0</v>
      </c>
      <c r="R431" s="12">
        <f t="shared" si="54"/>
        <v>0</v>
      </c>
      <c r="S431" s="12">
        <f t="shared" si="55"/>
        <v>0</v>
      </c>
      <c r="T431" s="31">
        <v>0</v>
      </c>
      <c r="U431" s="31">
        <v>0</v>
      </c>
      <c r="V431" s="31">
        <v>0</v>
      </c>
      <c r="W431" s="31">
        <v>0</v>
      </c>
      <c r="X431" s="31">
        <v>0</v>
      </c>
      <c r="Y431" s="31">
        <v>0</v>
      </c>
      <c r="Z431" s="31">
        <v>0</v>
      </c>
      <c r="AA431" s="31">
        <v>0</v>
      </c>
      <c r="AB431" s="31">
        <v>0</v>
      </c>
      <c r="AC431" s="31">
        <v>0</v>
      </c>
      <c r="AD431" s="31">
        <v>0</v>
      </c>
      <c r="AE431" s="31">
        <v>0</v>
      </c>
      <c r="AF431" s="31">
        <v>0</v>
      </c>
      <c r="AG431" s="31">
        <v>0</v>
      </c>
      <c r="AH431" s="31">
        <v>0</v>
      </c>
      <c r="AI431" s="31">
        <v>0</v>
      </c>
      <c r="AJ431" s="31">
        <v>0</v>
      </c>
      <c r="AK431" s="31">
        <v>0</v>
      </c>
      <c r="AL431" s="31">
        <v>0</v>
      </c>
      <c r="AM431" s="31">
        <v>0</v>
      </c>
      <c r="AN431" s="31">
        <v>0</v>
      </c>
      <c r="AO431" s="31">
        <v>0</v>
      </c>
      <c r="AP431" s="31">
        <v>0</v>
      </c>
    </row>
    <row r="432" spans="1:42" x14ac:dyDescent="0.25">
      <c r="A432" s="31">
        <v>8</v>
      </c>
      <c r="B432" s="31">
        <v>13809</v>
      </c>
      <c r="C432" s="31">
        <v>1</v>
      </c>
      <c r="D432" s="31" t="s">
        <v>778</v>
      </c>
      <c r="E432" s="31"/>
      <c r="F432" s="31">
        <v>0</v>
      </c>
      <c r="G432" s="31">
        <v>0</v>
      </c>
      <c r="H432" s="31">
        <v>0</v>
      </c>
      <c r="I432" s="31">
        <v>0</v>
      </c>
      <c r="J432" s="31">
        <v>0</v>
      </c>
      <c r="K432" s="31" t="s">
        <v>882</v>
      </c>
      <c r="L432" s="2" t="str">
        <f t="shared" si="48"/>
        <v>Рихтовка</v>
      </c>
      <c r="M432" s="12">
        <f t="shared" si="49"/>
        <v>0</v>
      </c>
      <c r="N432" s="12">
        <f t="shared" si="50"/>
        <v>0</v>
      </c>
      <c r="O432" s="12">
        <f t="shared" si="51"/>
        <v>0</v>
      </c>
      <c r="P432" s="12">
        <f t="shared" si="52"/>
        <v>0</v>
      </c>
      <c r="Q432" s="12">
        <f t="shared" si="53"/>
        <v>0</v>
      </c>
      <c r="R432" s="12">
        <f t="shared" si="54"/>
        <v>0</v>
      </c>
      <c r="S432" s="12">
        <f t="shared" si="55"/>
        <v>0</v>
      </c>
      <c r="T432" s="31">
        <v>0</v>
      </c>
      <c r="U432" s="31">
        <v>0</v>
      </c>
      <c r="V432" s="31">
        <v>0</v>
      </c>
      <c r="W432" s="31">
        <v>0</v>
      </c>
      <c r="X432" s="31">
        <v>0</v>
      </c>
      <c r="Y432" s="31">
        <v>0</v>
      </c>
      <c r="Z432" s="31">
        <v>0</v>
      </c>
      <c r="AA432" s="31">
        <v>0</v>
      </c>
      <c r="AB432" s="31">
        <v>0</v>
      </c>
      <c r="AC432" s="31">
        <v>0</v>
      </c>
      <c r="AD432" s="31">
        <v>0</v>
      </c>
      <c r="AE432" s="31">
        <v>0</v>
      </c>
      <c r="AF432" s="31">
        <v>0</v>
      </c>
      <c r="AG432" s="31">
        <v>0</v>
      </c>
      <c r="AH432" s="31">
        <v>0</v>
      </c>
      <c r="AI432" s="31">
        <v>0</v>
      </c>
      <c r="AJ432" s="31">
        <v>0</v>
      </c>
      <c r="AK432" s="31">
        <v>0</v>
      </c>
      <c r="AL432" s="31">
        <v>0</v>
      </c>
      <c r="AM432" s="31">
        <v>0</v>
      </c>
      <c r="AN432" s="31">
        <v>0</v>
      </c>
      <c r="AO432" s="31">
        <v>0</v>
      </c>
      <c r="AP432" s="31">
        <v>0</v>
      </c>
    </row>
    <row r="433" spans="1:42" x14ac:dyDescent="0.25">
      <c r="A433" s="31">
        <v>8</v>
      </c>
      <c r="B433" s="31">
        <v>13809</v>
      </c>
      <c r="C433" s="31">
        <v>1</v>
      </c>
      <c r="D433" s="31" t="s">
        <v>779</v>
      </c>
      <c r="E433" s="31"/>
      <c r="F433" s="31">
        <v>0</v>
      </c>
      <c r="G433" s="31">
        <v>0</v>
      </c>
      <c r="H433" s="31">
        <v>0</v>
      </c>
      <c r="I433" s="31">
        <v>0</v>
      </c>
      <c r="J433" s="31">
        <v>0</v>
      </c>
      <c r="K433" s="31" t="s">
        <v>882</v>
      </c>
      <c r="L433" s="2" t="str">
        <f t="shared" si="48"/>
        <v>Рихтовка</v>
      </c>
      <c r="M433" s="12">
        <f t="shared" si="49"/>
        <v>0</v>
      </c>
      <c r="N433" s="12">
        <f t="shared" si="50"/>
        <v>0</v>
      </c>
      <c r="O433" s="12">
        <f t="shared" si="51"/>
        <v>0</v>
      </c>
      <c r="P433" s="12">
        <f t="shared" si="52"/>
        <v>0</v>
      </c>
      <c r="Q433" s="12">
        <f t="shared" si="53"/>
        <v>0</v>
      </c>
      <c r="R433" s="12">
        <f t="shared" si="54"/>
        <v>0</v>
      </c>
      <c r="S433" s="12">
        <f t="shared" si="55"/>
        <v>0</v>
      </c>
      <c r="T433" s="31">
        <v>0</v>
      </c>
      <c r="U433" s="31">
        <v>0</v>
      </c>
      <c r="V433" s="31">
        <v>0</v>
      </c>
      <c r="W433" s="31">
        <v>0</v>
      </c>
      <c r="X433" s="31">
        <v>0</v>
      </c>
      <c r="Y433" s="31">
        <v>0</v>
      </c>
      <c r="Z433" s="31">
        <v>0</v>
      </c>
      <c r="AA433" s="31">
        <v>0</v>
      </c>
      <c r="AB433" s="31">
        <v>0</v>
      </c>
      <c r="AC433" s="31">
        <v>0</v>
      </c>
      <c r="AD433" s="31">
        <v>0</v>
      </c>
      <c r="AE433" s="31">
        <v>0</v>
      </c>
      <c r="AF433" s="31">
        <v>0</v>
      </c>
      <c r="AG433" s="31">
        <v>0</v>
      </c>
      <c r="AH433" s="31">
        <v>0</v>
      </c>
      <c r="AI433" s="31">
        <v>0</v>
      </c>
      <c r="AJ433" s="31">
        <v>0</v>
      </c>
      <c r="AK433" s="31">
        <v>0</v>
      </c>
      <c r="AL433" s="31">
        <v>0</v>
      </c>
      <c r="AM433" s="31">
        <v>0</v>
      </c>
      <c r="AN433" s="31">
        <v>0</v>
      </c>
      <c r="AO433" s="31">
        <v>0</v>
      </c>
      <c r="AP433" s="31">
        <v>0</v>
      </c>
    </row>
    <row r="434" spans="1:42" x14ac:dyDescent="0.25">
      <c r="A434" s="31">
        <v>8</v>
      </c>
      <c r="B434" s="31">
        <v>13809</v>
      </c>
      <c r="C434" s="31">
        <v>1</v>
      </c>
      <c r="D434" s="31" t="s">
        <v>780</v>
      </c>
      <c r="E434" s="31"/>
      <c r="F434" s="31">
        <v>0</v>
      </c>
      <c r="G434" s="31">
        <v>0</v>
      </c>
      <c r="H434" s="31">
        <v>0</v>
      </c>
      <c r="I434" s="31">
        <v>0</v>
      </c>
      <c r="J434" s="31">
        <v>0</v>
      </c>
      <c r="K434" s="31" t="s">
        <v>882</v>
      </c>
      <c r="L434" s="2" t="str">
        <f t="shared" si="48"/>
        <v>Рихтовка</v>
      </c>
      <c r="M434" s="12">
        <f t="shared" si="49"/>
        <v>0</v>
      </c>
      <c r="N434" s="12">
        <f t="shared" si="50"/>
        <v>0</v>
      </c>
      <c r="O434" s="12">
        <f t="shared" si="51"/>
        <v>0</v>
      </c>
      <c r="P434" s="12">
        <f t="shared" si="52"/>
        <v>0</v>
      </c>
      <c r="Q434" s="12">
        <f t="shared" si="53"/>
        <v>0</v>
      </c>
      <c r="R434" s="12">
        <f t="shared" si="54"/>
        <v>0</v>
      </c>
      <c r="S434" s="12">
        <f t="shared" si="55"/>
        <v>0</v>
      </c>
      <c r="T434" s="31">
        <v>0</v>
      </c>
      <c r="U434" s="31">
        <v>0</v>
      </c>
      <c r="V434" s="31">
        <v>0</v>
      </c>
      <c r="W434" s="31">
        <v>0</v>
      </c>
      <c r="X434" s="31">
        <v>0</v>
      </c>
      <c r="Y434" s="31">
        <v>0</v>
      </c>
      <c r="Z434" s="31">
        <v>0</v>
      </c>
      <c r="AA434" s="31">
        <v>0</v>
      </c>
      <c r="AB434" s="31">
        <v>0</v>
      </c>
      <c r="AC434" s="31">
        <v>0</v>
      </c>
      <c r="AD434" s="31">
        <v>0</v>
      </c>
      <c r="AE434" s="31">
        <v>0</v>
      </c>
      <c r="AF434" s="31">
        <v>0</v>
      </c>
      <c r="AG434" s="31">
        <v>0</v>
      </c>
      <c r="AH434" s="31">
        <v>0</v>
      </c>
      <c r="AI434" s="31">
        <v>0</v>
      </c>
      <c r="AJ434" s="31">
        <v>0</v>
      </c>
      <c r="AK434" s="31">
        <v>0</v>
      </c>
      <c r="AL434" s="31">
        <v>0</v>
      </c>
      <c r="AM434" s="31">
        <v>0</v>
      </c>
      <c r="AN434" s="31">
        <v>0</v>
      </c>
      <c r="AO434" s="31">
        <v>0</v>
      </c>
      <c r="AP434" s="31">
        <v>0</v>
      </c>
    </row>
    <row r="435" spans="1:42" x14ac:dyDescent="0.25">
      <c r="A435" s="31">
        <v>8</v>
      </c>
      <c r="B435" s="31">
        <v>13809</v>
      </c>
      <c r="C435" s="31">
        <v>1</v>
      </c>
      <c r="D435" s="31" t="s">
        <v>781</v>
      </c>
      <c r="E435" s="31"/>
      <c r="F435" s="31">
        <v>0</v>
      </c>
      <c r="G435" s="31">
        <v>0</v>
      </c>
      <c r="H435" s="31">
        <v>0</v>
      </c>
      <c r="I435" s="31">
        <v>0</v>
      </c>
      <c r="J435" s="31">
        <v>0</v>
      </c>
      <c r="K435" s="31" t="s">
        <v>882</v>
      </c>
      <c r="L435" s="2" t="str">
        <f t="shared" si="48"/>
        <v>Рихтовка</v>
      </c>
      <c r="M435" s="12">
        <f t="shared" si="49"/>
        <v>0</v>
      </c>
      <c r="N435" s="12">
        <f t="shared" si="50"/>
        <v>0</v>
      </c>
      <c r="O435" s="12">
        <f t="shared" si="51"/>
        <v>0</v>
      </c>
      <c r="P435" s="12">
        <f t="shared" si="52"/>
        <v>0</v>
      </c>
      <c r="Q435" s="12">
        <f t="shared" si="53"/>
        <v>0</v>
      </c>
      <c r="R435" s="12">
        <f t="shared" si="54"/>
        <v>0</v>
      </c>
      <c r="S435" s="12">
        <f t="shared" si="55"/>
        <v>0</v>
      </c>
      <c r="T435" s="31">
        <v>0</v>
      </c>
      <c r="U435" s="31">
        <v>0</v>
      </c>
      <c r="V435" s="31">
        <v>0</v>
      </c>
      <c r="W435" s="31">
        <v>0</v>
      </c>
      <c r="X435" s="31">
        <v>0</v>
      </c>
      <c r="Y435" s="31">
        <v>0</v>
      </c>
      <c r="Z435" s="31">
        <v>0</v>
      </c>
      <c r="AA435" s="31">
        <v>0</v>
      </c>
      <c r="AB435" s="31">
        <v>0</v>
      </c>
      <c r="AC435" s="31">
        <v>0</v>
      </c>
      <c r="AD435" s="31">
        <v>0</v>
      </c>
      <c r="AE435" s="31">
        <v>0</v>
      </c>
      <c r="AF435" s="31">
        <v>0</v>
      </c>
      <c r="AG435" s="31">
        <v>0</v>
      </c>
      <c r="AH435" s="31">
        <v>0</v>
      </c>
      <c r="AI435" s="31">
        <v>0</v>
      </c>
      <c r="AJ435" s="31">
        <v>0</v>
      </c>
      <c r="AK435" s="31">
        <v>0</v>
      </c>
      <c r="AL435" s="31">
        <v>0</v>
      </c>
      <c r="AM435" s="31">
        <v>0</v>
      </c>
      <c r="AN435" s="31">
        <v>0</v>
      </c>
      <c r="AO435" s="31">
        <v>0</v>
      </c>
      <c r="AP435" s="31">
        <v>0</v>
      </c>
    </row>
    <row r="436" spans="1:42" x14ac:dyDescent="0.25">
      <c r="A436" s="31">
        <v>8</v>
      </c>
      <c r="B436" s="31">
        <v>13809</v>
      </c>
      <c r="C436" s="31">
        <v>1</v>
      </c>
      <c r="D436" s="31" t="s">
        <v>782</v>
      </c>
      <c r="E436" s="31"/>
      <c r="F436" s="31">
        <v>0</v>
      </c>
      <c r="G436" s="31">
        <v>0</v>
      </c>
      <c r="H436" s="31">
        <v>0</v>
      </c>
      <c r="I436" s="31">
        <v>0</v>
      </c>
      <c r="J436" s="31">
        <v>0</v>
      </c>
      <c r="K436" s="31" t="s">
        <v>882</v>
      </c>
      <c r="L436" s="2" t="str">
        <f t="shared" si="48"/>
        <v>Рихтовка</v>
      </c>
      <c r="M436" s="12">
        <f t="shared" si="49"/>
        <v>0</v>
      </c>
      <c r="N436" s="12">
        <f t="shared" si="50"/>
        <v>0</v>
      </c>
      <c r="O436" s="12">
        <f t="shared" si="51"/>
        <v>0</v>
      </c>
      <c r="P436" s="12">
        <f t="shared" si="52"/>
        <v>0</v>
      </c>
      <c r="Q436" s="12">
        <f t="shared" si="53"/>
        <v>0</v>
      </c>
      <c r="R436" s="12">
        <f t="shared" si="54"/>
        <v>0</v>
      </c>
      <c r="S436" s="12">
        <f t="shared" si="55"/>
        <v>0</v>
      </c>
      <c r="T436" s="31">
        <v>0</v>
      </c>
      <c r="U436" s="31">
        <v>0</v>
      </c>
      <c r="V436" s="31">
        <v>0</v>
      </c>
      <c r="W436" s="31">
        <v>0</v>
      </c>
      <c r="X436" s="31">
        <v>0</v>
      </c>
      <c r="Y436" s="31">
        <v>0</v>
      </c>
      <c r="Z436" s="31">
        <v>0</v>
      </c>
      <c r="AA436" s="31">
        <v>0</v>
      </c>
      <c r="AB436" s="31">
        <v>0</v>
      </c>
      <c r="AC436" s="31">
        <v>0</v>
      </c>
      <c r="AD436" s="31">
        <v>0</v>
      </c>
      <c r="AE436" s="31">
        <v>0</v>
      </c>
      <c r="AF436" s="31">
        <v>0</v>
      </c>
      <c r="AG436" s="31">
        <v>0</v>
      </c>
      <c r="AH436" s="31">
        <v>0</v>
      </c>
      <c r="AI436" s="31">
        <v>0</v>
      </c>
      <c r="AJ436" s="31">
        <v>0</v>
      </c>
      <c r="AK436" s="31">
        <v>0</v>
      </c>
      <c r="AL436" s="31">
        <v>0</v>
      </c>
      <c r="AM436" s="31">
        <v>0</v>
      </c>
      <c r="AN436" s="31">
        <v>0</v>
      </c>
      <c r="AO436" s="31">
        <v>0</v>
      </c>
      <c r="AP436" s="31">
        <v>0</v>
      </c>
    </row>
    <row r="437" spans="1:42" x14ac:dyDescent="0.25">
      <c r="A437" s="31">
        <v>8</v>
      </c>
      <c r="B437" s="31">
        <v>13809</v>
      </c>
      <c r="C437" s="31">
        <v>2</v>
      </c>
      <c r="D437" s="31" t="s">
        <v>777</v>
      </c>
      <c r="E437" s="31"/>
      <c r="F437" s="31">
        <v>0</v>
      </c>
      <c r="G437" s="31">
        <v>0</v>
      </c>
      <c r="H437" s="31">
        <v>0</v>
      </c>
      <c r="I437" s="31">
        <v>0</v>
      </c>
      <c r="J437" s="31">
        <v>0</v>
      </c>
      <c r="K437" s="31" t="s">
        <v>882</v>
      </c>
      <c r="L437" s="2" t="str">
        <f t="shared" si="48"/>
        <v>Рихтовка</v>
      </c>
      <c r="M437" s="12">
        <f t="shared" si="49"/>
        <v>0</v>
      </c>
      <c r="N437" s="12">
        <f t="shared" si="50"/>
        <v>0</v>
      </c>
      <c r="O437" s="12">
        <f t="shared" si="51"/>
        <v>0</v>
      </c>
      <c r="P437" s="12">
        <f t="shared" si="52"/>
        <v>0</v>
      </c>
      <c r="Q437" s="12">
        <f t="shared" si="53"/>
        <v>0</v>
      </c>
      <c r="R437" s="12">
        <f t="shared" si="54"/>
        <v>0</v>
      </c>
      <c r="S437" s="12">
        <f t="shared" si="55"/>
        <v>0</v>
      </c>
      <c r="T437" s="31">
        <v>0</v>
      </c>
      <c r="U437" s="31">
        <v>0</v>
      </c>
      <c r="V437" s="31">
        <v>0</v>
      </c>
      <c r="W437" s="31">
        <v>0</v>
      </c>
      <c r="X437" s="31">
        <v>0</v>
      </c>
      <c r="Y437" s="31">
        <v>0</v>
      </c>
      <c r="Z437" s="31">
        <v>0</v>
      </c>
      <c r="AA437" s="31">
        <v>0</v>
      </c>
      <c r="AB437" s="31">
        <v>0</v>
      </c>
      <c r="AC437" s="31">
        <v>0</v>
      </c>
      <c r="AD437" s="31">
        <v>0</v>
      </c>
      <c r="AE437" s="31">
        <v>0</v>
      </c>
      <c r="AF437" s="31">
        <v>0</v>
      </c>
      <c r="AG437" s="31">
        <v>0</v>
      </c>
      <c r="AH437" s="31">
        <v>0</v>
      </c>
      <c r="AI437" s="31">
        <v>0</v>
      </c>
      <c r="AJ437" s="31">
        <v>0</v>
      </c>
      <c r="AK437" s="31">
        <v>0</v>
      </c>
      <c r="AL437" s="31">
        <v>0</v>
      </c>
      <c r="AM437" s="31">
        <v>0</v>
      </c>
      <c r="AN437" s="31">
        <v>0</v>
      </c>
      <c r="AO437" s="31">
        <v>0</v>
      </c>
      <c r="AP437" s="31">
        <v>0</v>
      </c>
    </row>
    <row r="438" spans="1:42" x14ac:dyDescent="0.25">
      <c r="A438" s="31">
        <v>8</v>
      </c>
      <c r="B438" s="31">
        <v>13809</v>
      </c>
      <c r="C438" s="31">
        <v>2</v>
      </c>
      <c r="D438" s="31" t="s">
        <v>778</v>
      </c>
      <c r="E438" s="31"/>
      <c r="F438" s="31">
        <v>0</v>
      </c>
      <c r="G438" s="31">
        <v>0</v>
      </c>
      <c r="H438" s="31">
        <v>0</v>
      </c>
      <c r="I438" s="31">
        <v>0</v>
      </c>
      <c r="J438" s="31">
        <v>0</v>
      </c>
      <c r="K438" s="31" t="s">
        <v>882</v>
      </c>
      <c r="L438" s="2" t="str">
        <f t="shared" si="48"/>
        <v>Рихтовка</v>
      </c>
      <c r="M438" s="12">
        <f t="shared" si="49"/>
        <v>0</v>
      </c>
      <c r="N438" s="12">
        <f t="shared" si="50"/>
        <v>0</v>
      </c>
      <c r="O438" s="12">
        <f t="shared" si="51"/>
        <v>0</v>
      </c>
      <c r="P438" s="12">
        <f t="shared" si="52"/>
        <v>0</v>
      </c>
      <c r="Q438" s="12">
        <f t="shared" si="53"/>
        <v>0</v>
      </c>
      <c r="R438" s="12">
        <f t="shared" si="54"/>
        <v>0</v>
      </c>
      <c r="S438" s="12">
        <f t="shared" si="55"/>
        <v>0</v>
      </c>
      <c r="T438" s="31">
        <v>0</v>
      </c>
      <c r="U438" s="31">
        <v>0</v>
      </c>
      <c r="V438" s="31">
        <v>0</v>
      </c>
      <c r="W438" s="31">
        <v>0</v>
      </c>
      <c r="X438" s="31">
        <v>0</v>
      </c>
      <c r="Y438" s="31">
        <v>0</v>
      </c>
      <c r="Z438" s="31">
        <v>0</v>
      </c>
      <c r="AA438" s="31">
        <v>0</v>
      </c>
      <c r="AB438" s="31">
        <v>0</v>
      </c>
      <c r="AC438" s="31">
        <v>0</v>
      </c>
      <c r="AD438" s="31">
        <v>0</v>
      </c>
      <c r="AE438" s="31">
        <v>0</v>
      </c>
      <c r="AF438" s="31">
        <v>0</v>
      </c>
      <c r="AG438" s="31">
        <v>0</v>
      </c>
      <c r="AH438" s="31">
        <v>0</v>
      </c>
      <c r="AI438" s="31">
        <v>0</v>
      </c>
      <c r="AJ438" s="31">
        <v>0</v>
      </c>
      <c r="AK438" s="31">
        <v>0</v>
      </c>
      <c r="AL438" s="31">
        <v>0</v>
      </c>
      <c r="AM438" s="31">
        <v>0</v>
      </c>
      <c r="AN438" s="31">
        <v>0</v>
      </c>
      <c r="AO438" s="31">
        <v>0</v>
      </c>
      <c r="AP438" s="31">
        <v>0</v>
      </c>
    </row>
    <row r="439" spans="1:42" x14ac:dyDescent="0.25">
      <c r="A439" s="31">
        <v>8</v>
      </c>
      <c r="B439" s="31">
        <v>13809</v>
      </c>
      <c r="C439" s="31">
        <v>2</v>
      </c>
      <c r="D439" s="31" t="s">
        <v>779</v>
      </c>
      <c r="E439" s="31"/>
      <c r="F439" s="31">
        <v>0</v>
      </c>
      <c r="G439" s="31">
        <v>0</v>
      </c>
      <c r="H439" s="31">
        <v>0</v>
      </c>
      <c r="I439" s="31">
        <v>0</v>
      </c>
      <c r="J439" s="31">
        <v>0</v>
      </c>
      <c r="K439" s="31" t="s">
        <v>882</v>
      </c>
      <c r="L439" s="2" t="str">
        <f t="shared" si="48"/>
        <v>Рихтовка</v>
      </c>
      <c r="M439" s="12">
        <f t="shared" si="49"/>
        <v>0</v>
      </c>
      <c r="N439" s="12">
        <f t="shared" si="50"/>
        <v>0</v>
      </c>
      <c r="O439" s="12">
        <f t="shared" si="51"/>
        <v>0</v>
      </c>
      <c r="P439" s="12">
        <f t="shared" si="52"/>
        <v>0</v>
      </c>
      <c r="Q439" s="12">
        <f t="shared" si="53"/>
        <v>0</v>
      </c>
      <c r="R439" s="12">
        <f t="shared" si="54"/>
        <v>0</v>
      </c>
      <c r="S439" s="12">
        <f t="shared" si="55"/>
        <v>0</v>
      </c>
      <c r="T439" s="31">
        <v>0</v>
      </c>
      <c r="U439" s="31">
        <v>0</v>
      </c>
      <c r="V439" s="31">
        <v>0</v>
      </c>
      <c r="W439" s="31">
        <v>0</v>
      </c>
      <c r="X439" s="31">
        <v>0</v>
      </c>
      <c r="Y439" s="31">
        <v>0</v>
      </c>
      <c r="Z439" s="31">
        <v>0</v>
      </c>
      <c r="AA439" s="31">
        <v>0</v>
      </c>
      <c r="AB439" s="31">
        <v>0</v>
      </c>
      <c r="AC439" s="31">
        <v>0</v>
      </c>
      <c r="AD439" s="31">
        <v>0</v>
      </c>
      <c r="AE439" s="31">
        <v>0</v>
      </c>
      <c r="AF439" s="31">
        <v>0</v>
      </c>
      <c r="AG439" s="31">
        <v>0</v>
      </c>
      <c r="AH439" s="31">
        <v>0</v>
      </c>
      <c r="AI439" s="31">
        <v>0</v>
      </c>
      <c r="AJ439" s="31">
        <v>0</v>
      </c>
      <c r="AK439" s="31">
        <v>0</v>
      </c>
      <c r="AL439" s="31">
        <v>0</v>
      </c>
      <c r="AM439" s="31">
        <v>0</v>
      </c>
      <c r="AN439" s="31">
        <v>0</v>
      </c>
      <c r="AO439" s="31">
        <v>0</v>
      </c>
      <c r="AP439" s="31">
        <v>0</v>
      </c>
    </row>
    <row r="440" spans="1:42" x14ac:dyDescent="0.25">
      <c r="A440" s="31">
        <v>8</v>
      </c>
      <c r="B440" s="31">
        <v>13809</v>
      </c>
      <c r="C440" s="31">
        <v>2</v>
      </c>
      <c r="D440" s="31" t="s">
        <v>780</v>
      </c>
      <c r="E440" s="31"/>
      <c r="F440" s="31">
        <v>0</v>
      </c>
      <c r="G440" s="31">
        <v>0</v>
      </c>
      <c r="H440" s="31">
        <v>0</v>
      </c>
      <c r="I440" s="31">
        <v>0</v>
      </c>
      <c r="J440" s="31">
        <v>0</v>
      </c>
      <c r="K440" s="31" t="s">
        <v>882</v>
      </c>
      <c r="L440" s="2" t="str">
        <f t="shared" si="48"/>
        <v>Рихтовка</v>
      </c>
      <c r="M440" s="12">
        <f t="shared" si="49"/>
        <v>0</v>
      </c>
      <c r="N440" s="12">
        <f t="shared" si="50"/>
        <v>0</v>
      </c>
      <c r="O440" s="12">
        <f t="shared" si="51"/>
        <v>0</v>
      </c>
      <c r="P440" s="12">
        <f t="shared" si="52"/>
        <v>0</v>
      </c>
      <c r="Q440" s="12">
        <f t="shared" si="53"/>
        <v>0</v>
      </c>
      <c r="R440" s="12">
        <f t="shared" si="54"/>
        <v>0</v>
      </c>
      <c r="S440" s="12">
        <f t="shared" si="55"/>
        <v>0</v>
      </c>
      <c r="T440" s="31">
        <v>0</v>
      </c>
      <c r="U440" s="31">
        <v>0</v>
      </c>
      <c r="V440" s="31">
        <v>0</v>
      </c>
      <c r="W440" s="31">
        <v>0</v>
      </c>
      <c r="X440" s="31">
        <v>0</v>
      </c>
      <c r="Y440" s="31">
        <v>0</v>
      </c>
      <c r="Z440" s="31">
        <v>0</v>
      </c>
      <c r="AA440" s="31">
        <v>0</v>
      </c>
      <c r="AB440" s="31">
        <v>0</v>
      </c>
      <c r="AC440" s="31">
        <v>0</v>
      </c>
      <c r="AD440" s="31">
        <v>0</v>
      </c>
      <c r="AE440" s="31">
        <v>0</v>
      </c>
      <c r="AF440" s="31">
        <v>0</v>
      </c>
      <c r="AG440" s="31">
        <v>0</v>
      </c>
      <c r="AH440" s="31">
        <v>0</v>
      </c>
      <c r="AI440" s="31">
        <v>0</v>
      </c>
      <c r="AJ440" s="31">
        <v>0</v>
      </c>
      <c r="AK440" s="31">
        <v>0</v>
      </c>
      <c r="AL440" s="31">
        <v>0</v>
      </c>
      <c r="AM440" s="31">
        <v>0</v>
      </c>
      <c r="AN440" s="31">
        <v>0</v>
      </c>
      <c r="AO440" s="31">
        <v>0</v>
      </c>
      <c r="AP440" s="31">
        <v>0</v>
      </c>
    </row>
    <row r="441" spans="1:42" x14ac:dyDescent="0.25">
      <c r="A441" s="31">
        <v>8</v>
      </c>
      <c r="B441" s="31">
        <v>13809</v>
      </c>
      <c r="C441" s="31">
        <v>2</v>
      </c>
      <c r="D441" s="31" t="s">
        <v>781</v>
      </c>
      <c r="E441" s="31"/>
      <c r="F441" s="31">
        <v>0</v>
      </c>
      <c r="G441" s="31">
        <v>0</v>
      </c>
      <c r="H441" s="31">
        <v>0</v>
      </c>
      <c r="I441" s="31">
        <v>0</v>
      </c>
      <c r="J441" s="31">
        <v>0</v>
      </c>
      <c r="K441" s="31" t="s">
        <v>882</v>
      </c>
      <c r="L441" s="2" t="str">
        <f t="shared" si="48"/>
        <v>Рихтовка</v>
      </c>
      <c r="M441" s="12">
        <f t="shared" si="49"/>
        <v>0</v>
      </c>
      <c r="N441" s="12">
        <f t="shared" si="50"/>
        <v>0</v>
      </c>
      <c r="O441" s="12">
        <f t="shared" si="51"/>
        <v>0</v>
      </c>
      <c r="P441" s="12">
        <f t="shared" si="52"/>
        <v>0</v>
      </c>
      <c r="Q441" s="12">
        <f t="shared" si="53"/>
        <v>0</v>
      </c>
      <c r="R441" s="12">
        <f t="shared" si="54"/>
        <v>0</v>
      </c>
      <c r="S441" s="12">
        <f t="shared" si="55"/>
        <v>0</v>
      </c>
      <c r="T441" s="31">
        <v>0</v>
      </c>
      <c r="U441" s="31">
        <v>0</v>
      </c>
      <c r="V441" s="31">
        <v>0</v>
      </c>
      <c r="W441" s="31">
        <v>0</v>
      </c>
      <c r="X441" s="31">
        <v>0</v>
      </c>
      <c r="Y441" s="31">
        <v>0</v>
      </c>
      <c r="Z441" s="31">
        <v>0</v>
      </c>
      <c r="AA441" s="31">
        <v>0</v>
      </c>
      <c r="AB441" s="31">
        <v>0</v>
      </c>
      <c r="AC441" s="31">
        <v>0</v>
      </c>
      <c r="AD441" s="31">
        <v>0</v>
      </c>
      <c r="AE441" s="31">
        <v>0</v>
      </c>
      <c r="AF441" s="31">
        <v>0</v>
      </c>
      <c r="AG441" s="31">
        <v>0</v>
      </c>
      <c r="AH441" s="31">
        <v>0</v>
      </c>
      <c r="AI441" s="31">
        <v>0</v>
      </c>
      <c r="AJ441" s="31">
        <v>0</v>
      </c>
      <c r="AK441" s="31">
        <v>0</v>
      </c>
      <c r="AL441" s="31">
        <v>0</v>
      </c>
      <c r="AM441" s="31">
        <v>0</v>
      </c>
      <c r="AN441" s="31">
        <v>0</v>
      </c>
      <c r="AO441" s="31">
        <v>0</v>
      </c>
      <c r="AP441" s="31">
        <v>0</v>
      </c>
    </row>
    <row r="442" spans="1:42" x14ac:dyDescent="0.25">
      <c r="A442" s="31">
        <v>8</v>
      </c>
      <c r="B442" s="31">
        <v>13809</v>
      </c>
      <c r="C442" s="31">
        <v>2</v>
      </c>
      <c r="D442" s="31" t="s">
        <v>782</v>
      </c>
      <c r="E442" s="31"/>
      <c r="F442" s="31">
        <v>0</v>
      </c>
      <c r="G442" s="31">
        <v>0</v>
      </c>
      <c r="H442" s="31">
        <v>0</v>
      </c>
      <c r="I442" s="31">
        <v>0</v>
      </c>
      <c r="J442" s="31">
        <v>0</v>
      </c>
      <c r="K442" s="31" t="s">
        <v>882</v>
      </c>
      <c r="L442" s="2" t="str">
        <f t="shared" si="48"/>
        <v>Рихтовка</v>
      </c>
      <c r="M442" s="12">
        <f t="shared" si="49"/>
        <v>0</v>
      </c>
      <c r="N442" s="12">
        <f t="shared" si="50"/>
        <v>0</v>
      </c>
      <c r="O442" s="12">
        <f t="shared" si="51"/>
        <v>0</v>
      </c>
      <c r="P442" s="12">
        <f t="shared" si="52"/>
        <v>0</v>
      </c>
      <c r="Q442" s="12">
        <f t="shared" si="53"/>
        <v>0</v>
      </c>
      <c r="R442" s="12">
        <f t="shared" si="54"/>
        <v>0</v>
      </c>
      <c r="S442" s="12">
        <f t="shared" si="55"/>
        <v>0</v>
      </c>
      <c r="T442" s="31">
        <v>0</v>
      </c>
      <c r="U442" s="31">
        <v>0</v>
      </c>
      <c r="V442" s="31">
        <v>0</v>
      </c>
      <c r="W442" s="31">
        <v>0</v>
      </c>
      <c r="X442" s="31">
        <v>0</v>
      </c>
      <c r="Y442" s="31">
        <v>0</v>
      </c>
      <c r="Z442" s="31">
        <v>0</v>
      </c>
      <c r="AA442" s="31">
        <v>0</v>
      </c>
      <c r="AB442" s="31">
        <v>0</v>
      </c>
      <c r="AC442" s="31">
        <v>0</v>
      </c>
      <c r="AD442" s="31">
        <v>0</v>
      </c>
      <c r="AE442" s="31">
        <v>0</v>
      </c>
      <c r="AF442" s="31">
        <v>0</v>
      </c>
      <c r="AG442" s="31">
        <v>0</v>
      </c>
      <c r="AH442" s="31">
        <v>0</v>
      </c>
      <c r="AI442" s="31">
        <v>0</v>
      </c>
      <c r="AJ442" s="31">
        <v>0</v>
      </c>
      <c r="AK442" s="31">
        <v>0</v>
      </c>
      <c r="AL442" s="31">
        <v>0</v>
      </c>
      <c r="AM442" s="31">
        <v>0</v>
      </c>
      <c r="AN442" s="31">
        <v>0</v>
      </c>
      <c r="AO442" s="31">
        <v>0</v>
      </c>
      <c r="AP442" s="31">
        <v>0</v>
      </c>
    </row>
    <row r="443" spans="1:42" x14ac:dyDescent="0.25">
      <c r="A443" s="31">
        <v>8</v>
      </c>
      <c r="B443" s="31">
        <v>13812</v>
      </c>
      <c r="C443" s="31" t="s">
        <v>239</v>
      </c>
      <c r="D443" s="31" t="s">
        <v>783</v>
      </c>
      <c r="E443" s="31"/>
      <c r="F443" s="31">
        <v>0</v>
      </c>
      <c r="G443" s="31">
        <v>0</v>
      </c>
      <c r="H443" s="31">
        <v>0</v>
      </c>
      <c r="I443" s="31">
        <v>0</v>
      </c>
      <c r="J443" s="31">
        <v>0</v>
      </c>
      <c r="K443" s="31" t="s">
        <v>882</v>
      </c>
      <c r="L443" s="2" t="str">
        <f t="shared" si="48"/>
        <v>Рихтовка</v>
      </c>
      <c r="M443" s="12">
        <f t="shared" si="49"/>
        <v>0</v>
      </c>
      <c r="N443" s="12">
        <f t="shared" si="50"/>
        <v>0</v>
      </c>
      <c r="O443" s="12">
        <f t="shared" si="51"/>
        <v>0</v>
      </c>
      <c r="P443" s="12">
        <f t="shared" si="52"/>
        <v>0</v>
      </c>
      <c r="Q443" s="12">
        <f t="shared" si="53"/>
        <v>0</v>
      </c>
      <c r="R443" s="12">
        <f t="shared" si="54"/>
        <v>0</v>
      </c>
      <c r="S443" s="12">
        <f t="shared" si="55"/>
        <v>0</v>
      </c>
      <c r="T443" s="31">
        <v>0</v>
      </c>
      <c r="U443" s="31">
        <v>0</v>
      </c>
      <c r="V443" s="31">
        <v>0</v>
      </c>
      <c r="W443" s="31">
        <v>0</v>
      </c>
      <c r="X443" s="31">
        <v>0</v>
      </c>
      <c r="Y443" s="31">
        <v>0</v>
      </c>
      <c r="Z443" s="31">
        <v>0</v>
      </c>
      <c r="AA443" s="31">
        <v>0</v>
      </c>
      <c r="AB443" s="31">
        <v>0</v>
      </c>
      <c r="AC443" s="31">
        <v>0</v>
      </c>
      <c r="AD443" s="31">
        <v>0</v>
      </c>
      <c r="AE443" s="31">
        <v>0</v>
      </c>
      <c r="AF443" s="31">
        <v>0</v>
      </c>
      <c r="AG443" s="31">
        <v>0</v>
      </c>
      <c r="AH443" s="31">
        <v>0</v>
      </c>
      <c r="AI443" s="31">
        <v>0</v>
      </c>
      <c r="AJ443" s="31">
        <v>0</v>
      </c>
      <c r="AK443" s="31">
        <v>0</v>
      </c>
      <c r="AL443" s="31">
        <v>0</v>
      </c>
      <c r="AM443" s="31">
        <v>0</v>
      </c>
      <c r="AN443" s="31">
        <v>0</v>
      </c>
      <c r="AO443" s="31">
        <v>0</v>
      </c>
      <c r="AP443" s="31">
        <v>0</v>
      </c>
    </row>
    <row r="444" spans="1:42" x14ac:dyDescent="0.25">
      <c r="A444" s="31">
        <v>8</v>
      </c>
      <c r="B444" s="31">
        <v>13812</v>
      </c>
      <c r="C444" s="31" t="s">
        <v>239</v>
      </c>
      <c r="D444" s="31" t="s">
        <v>784</v>
      </c>
      <c r="E444" s="31"/>
      <c r="F444" s="31">
        <v>0</v>
      </c>
      <c r="G444" s="31">
        <v>0</v>
      </c>
      <c r="H444" s="31">
        <v>0</v>
      </c>
      <c r="I444" s="31">
        <v>0</v>
      </c>
      <c r="J444" s="31">
        <v>0</v>
      </c>
      <c r="K444" s="31" t="s">
        <v>882</v>
      </c>
      <c r="L444" s="2" t="str">
        <f t="shared" si="48"/>
        <v>Рихтовка</v>
      </c>
      <c r="M444" s="12">
        <f t="shared" si="49"/>
        <v>0</v>
      </c>
      <c r="N444" s="12">
        <f t="shared" si="50"/>
        <v>0</v>
      </c>
      <c r="O444" s="12">
        <f t="shared" si="51"/>
        <v>0</v>
      </c>
      <c r="P444" s="12">
        <f t="shared" si="52"/>
        <v>0</v>
      </c>
      <c r="Q444" s="12">
        <f t="shared" si="53"/>
        <v>0</v>
      </c>
      <c r="R444" s="12">
        <f t="shared" si="54"/>
        <v>0</v>
      </c>
      <c r="S444" s="12">
        <f t="shared" si="55"/>
        <v>0</v>
      </c>
      <c r="T444" s="31">
        <v>0</v>
      </c>
      <c r="U444" s="31">
        <v>0</v>
      </c>
      <c r="V444" s="31">
        <v>0</v>
      </c>
      <c r="W444" s="31">
        <v>0</v>
      </c>
      <c r="X444" s="31">
        <v>0</v>
      </c>
      <c r="Y444" s="31">
        <v>0</v>
      </c>
      <c r="Z444" s="31">
        <v>0</v>
      </c>
      <c r="AA444" s="31">
        <v>0</v>
      </c>
      <c r="AB444" s="31">
        <v>0</v>
      </c>
      <c r="AC444" s="31">
        <v>0</v>
      </c>
      <c r="AD444" s="31">
        <v>0</v>
      </c>
      <c r="AE444" s="31">
        <v>0</v>
      </c>
      <c r="AF444" s="31">
        <v>0</v>
      </c>
      <c r="AG444" s="31">
        <v>0</v>
      </c>
      <c r="AH444" s="31">
        <v>0</v>
      </c>
      <c r="AI444" s="31">
        <v>0</v>
      </c>
      <c r="AJ444" s="31">
        <v>0</v>
      </c>
      <c r="AK444" s="31">
        <v>0</v>
      </c>
      <c r="AL444" s="31">
        <v>0</v>
      </c>
      <c r="AM444" s="31">
        <v>0</v>
      </c>
      <c r="AN444" s="31">
        <v>0</v>
      </c>
      <c r="AO444" s="31">
        <v>0</v>
      </c>
      <c r="AP444" s="31">
        <v>0</v>
      </c>
    </row>
    <row r="445" spans="1:42" x14ac:dyDescent="0.25">
      <c r="A445" s="31">
        <v>8</v>
      </c>
      <c r="B445" s="31">
        <v>13809</v>
      </c>
      <c r="C445" s="31">
        <v>2</v>
      </c>
      <c r="D445" s="31" t="s">
        <v>785</v>
      </c>
      <c r="E445" s="31"/>
      <c r="F445" s="31">
        <v>0</v>
      </c>
      <c r="G445" s="31">
        <v>0</v>
      </c>
      <c r="H445" s="31">
        <v>0</v>
      </c>
      <c r="I445" s="31">
        <v>0</v>
      </c>
      <c r="J445" s="31">
        <v>0</v>
      </c>
      <c r="K445" s="31" t="s">
        <v>882</v>
      </c>
      <c r="L445" s="2" t="str">
        <f t="shared" si="48"/>
        <v>Рихтовка</v>
      </c>
      <c r="M445" s="12">
        <f t="shared" si="49"/>
        <v>0</v>
      </c>
      <c r="N445" s="12">
        <f t="shared" si="50"/>
        <v>0</v>
      </c>
      <c r="O445" s="12">
        <f t="shared" si="51"/>
        <v>0</v>
      </c>
      <c r="P445" s="12">
        <f t="shared" si="52"/>
        <v>0</v>
      </c>
      <c r="Q445" s="12">
        <f t="shared" si="53"/>
        <v>0</v>
      </c>
      <c r="R445" s="12">
        <f t="shared" si="54"/>
        <v>0</v>
      </c>
      <c r="S445" s="12">
        <f t="shared" si="55"/>
        <v>0</v>
      </c>
      <c r="T445" s="31">
        <v>0</v>
      </c>
      <c r="U445" s="31">
        <v>0</v>
      </c>
      <c r="V445" s="31">
        <v>0</v>
      </c>
      <c r="W445" s="31">
        <v>0</v>
      </c>
      <c r="X445" s="31">
        <v>0</v>
      </c>
      <c r="Y445" s="31">
        <v>0</v>
      </c>
      <c r="Z445" s="31">
        <v>0</v>
      </c>
      <c r="AA445" s="31">
        <v>0</v>
      </c>
      <c r="AB445" s="31">
        <v>0</v>
      </c>
      <c r="AC445" s="31">
        <v>0</v>
      </c>
      <c r="AD445" s="31">
        <v>0</v>
      </c>
      <c r="AE445" s="31">
        <v>0</v>
      </c>
      <c r="AF445" s="31">
        <v>0</v>
      </c>
      <c r="AG445" s="31">
        <v>0</v>
      </c>
      <c r="AH445" s="31">
        <v>0</v>
      </c>
      <c r="AI445" s="31">
        <v>0</v>
      </c>
      <c r="AJ445" s="31">
        <v>0</v>
      </c>
      <c r="AK445" s="31">
        <v>0</v>
      </c>
      <c r="AL445" s="31">
        <v>0</v>
      </c>
      <c r="AM445" s="31">
        <v>0</v>
      </c>
      <c r="AN445" s="31">
        <v>0</v>
      </c>
      <c r="AO445" s="31">
        <v>0</v>
      </c>
      <c r="AP445" s="31">
        <v>0</v>
      </c>
    </row>
    <row r="446" spans="1:42" x14ac:dyDescent="0.25">
      <c r="A446" s="31">
        <v>8</v>
      </c>
      <c r="B446" s="31">
        <v>13809</v>
      </c>
      <c r="C446" s="31">
        <v>1</v>
      </c>
      <c r="D446" s="31" t="s">
        <v>957</v>
      </c>
      <c r="E446" s="31"/>
      <c r="F446" s="31">
        <v>0</v>
      </c>
      <c r="G446" s="31">
        <v>0</v>
      </c>
      <c r="H446" s="31">
        <v>0</v>
      </c>
      <c r="I446" s="31">
        <v>0</v>
      </c>
      <c r="J446" s="31">
        <v>0</v>
      </c>
      <c r="K446" s="31" t="s">
        <v>882</v>
      </c>
      <c r="L446" s="2" t="str">
        <f t="shared" si="48"/>
        <v>Рихтовка</v>
      </c>
      <c r="M446" s="12">
        <f t="shared" si="49"/>
        <v>0</v>
      </c>
      <c r="N446" s="12">
        <f t="shared" si="50"/>
        <v>0</v>
      </c>
      <c r="O446" s="12">
        <f t="shared" si="51"/>
        <v>0</v>
      </c>
      <c r="P446" s="12">
        <f t="shared" si="52"/>
        <v>0</v>
      </c>
      <c r="Q446" s="12">
        <f t="shared" si="53"/>
        <v>0</v>
      </c>
      <c r="R446" s="12">
        <f t="shared" si="54"/>
        <v>0</v>
      </c>
      <c r="S446" s="12">
        <f t="shared" si="55"/>
        <v>0</v>
      </c>
      <c r="T446" s="31">
        <v>0</v>
      </c>
      <c r="U446" s="31">
        <v>0</v>
      </c>
      <c r="V446" s="31">
        <v>0</v>
      </c>
      <c r="W446" s="31">
        <v>0</v>
      </c>
      <c r="X446" s="31">
        <v>0</v>
      </c>
      <c r="Y446" s="31">
        <v>0</v>
      </c>
      <c r="Z446" s="31">
        <v>0</v>
      </c>
      <c r="AA446" s="31">
        <v>0</v>
      </c>
      <c r="AB446" s="31">
        <v>0</v>
      </c>
      <c r="AC446" s="31">
        <v>0</v>
      </c>
      <c r="AD446" s="31">
        <v>0</v>
      </c>
      <c r="AE446" s="31">
        <v>0</v>
      </c>
      <c r="AF446" s="31">
        <v>0</v>
      </c>
      <c r="AG446" s="31">
        <v>0</v>
      </c>
      <c r="AH446" s="31">
        <v>0</v>
      </c>
      <c r="AI446" s="31">
        <v>0</v>
      </c>
      <c r="AJ446" s="31">
        <v>0</v>
      </c>
      <c r="AK446" s="31">
        <v>0</v>
      </c>
      <c r="AL446" s="31">
        <v>0</v>
      </c>
      <c r="AM446" s="31">
        <v>0</v>
      </c>
      <c r="AN446" s="31">
        <v>0</v>
      </c>
      <c r="AO446" s="31">
        <v>0</v>
      </c>
      <c r="AP446" s="31">
        <v>0</v>
      </c>
    </row>
    <row r="447" spans="1:42" x14ac:dyDescent="0.25">
      <c r="A447" s="31">
        <v>8</v>
      </c>
      <c r="B447" s="31">
        <v>13809</v>
      </c>
      <c r="C447" s="31">
        <v>2</v>
      </c>
      <c r="D447" s="31" t="s">
        <v>957</v>
      </c>
      <c r="E447" s="31"/>
      <c r="F447" s="31">
        <v>0</v>
      </c>
      <c r="G447" s="31">
        <v>0</v>
      </c>
      <c r="H447" s="31">
        <v>0</v>
      </c>
      <c r="I447" s="31">
        <v>0</v>
      </c>
      <c r="J447" s="31">
        <v>0</v>
      </c>
      <c r="K447" s="31" t="s">
        <v>882</v>
      </c>
      <c r="L447" s="2" t="str">
        <f t="shared" si="48"/>
        <v>Рихтовка</v>
      </c>
      <c r="M447" s="12">
        <f t="shared" si="49"/>
        <v>0</v>
      </c>
      <c r="N447" s="12">
        <f t="shared" si="50"/>
        <v>0</v>
      </c>
      <c r="O447" s="12">
        <f t="shared" si="51"/>
        <v>0</v>
      </c>
      <c r="P447" s="12">
        <f t="shared" si="52"/>
        <v>0</v>
      </c>
      <c r="Q447" s="12">
        <f t="shared" si="53"/>
        <v>0</v>
      </c>
      <c r="R447" s="12">
        <f t="shared" si="54"/>
        <v>0</v>
      </c>
      <c r="S447" s="12">
        <f t="shared" si="55"/>
        <v>0</v>
      </c>
      <c r="T447" s="31">
        <v>0</v>
      </c>
      <c r="U447" s="31">
        <v>0</v>
      </c>
      <c r="V447" s="31">
        <v>0</v>
      </c>
      <c r="W447" s="31">
        <v>0</v>
      </c>
      <c r="X447" s="31">
        <v>0</v>
      </c>
      <c r="Y447" s="31">
        <v>0</v>
      </c>
      <c r="Z447" s="31">
        <v>0</v>
      </c>
      <c r="AA447" s="31">
        <v>0</v>
      </c>
      <c r="AB447" s="31">
        <v>0</v>
      </c>
      <c r="AC447" s="31">
        <v>0</v>
      </c>
      <c r="AD447" s="31">
        <v>0</v>
      </c>
      <c r="AE447" s="31">
        <v>0</v>
      </c>
      <c r="AF447" s="31">
        <v>0</v>
      </c>
      <c r="AG447" s="31">
        <v>0</v>
      </c>
      <c r="AH447" s="31">
        <v>0</v>
      </c>
      <c r="AI447" s="31">
        <v>0</v>
      </c>
      <c r="AJ447" s="31">
        <v>0</v>
      </c>
      <c r="AK447" s="31">
        <v>0</v>
      </c>
      <c r="AL447" s="31">
        <v>0</v>
      </c>
      <c r="AM447" s="31">
        <v>0</v>
      </c>
      <c r="AN447" s="31">
        <v>0</v>
      </c>
      <c r="AO447" s="31">
        <v>0</v>
      </c>
      <c r="AP447" s="31">
        <v>0</v>
      </c>
    </row>
    <row r="448" spans="1:42" x14ac:dyDescent="0.25">
      <c r="A448" s="31">
        <v>8</v>
      </c>
      <c r="B448" s="31">
        <v>13809</v>
      </c>
      <c r="C448" s="31">
        <v>1</v>
      </c>
      <c r="D448" s="31" t="s">
        <v>958</v>
      </c>
      <c r="E448" s="31"/>
      <c r="F448" s="31">
        <v>0</v>
      </c>
      <c r="G448" s="31">
        <v>0</v>
      </c>
      <c r="H448" s="31">
        <v>0</v>
      </c>
      <c r="I448" s="31">
        <v>0</v>
      </c>
      <c r="J448" s="31">
        <v>0</v>
      </c>
      <c r="K448" s="31" t="s">
        <v>882</v>
      </c>
      <c r="L448" s="2" t="str">
        <f t="shared" si="48"/>
        <v>Рихтовка</v>
      </c>
      <c r="M448" s="12">
        <f t="shared" si="49"/>
        <v>0</v>
      </c>
      <c r="N448" s="12">
        <f t="shared" si="50"/>
        <v>0</v>
      </c>
      <c r="O448" s="12">
        <f t="shared" si="51"/>
        <v>0</v>
      </c>
      <c r="P448" s="12">
        <f t="shared" si="52"/>
        <v>0</v>
      </c>
      <c r="Q448" s="12">
        <f t="shared" si="53"/>
        <v>0</v>
      </c>
      <c r="R448" s="12">
        <f t="shared" si="54"/>
        <v>0</v>
      </c>
      <c r="S448" s="12">
        <f t="shared" si="55"/>
        <v>0</v>
      </c>
      <c r="T448" s="31">
        <v>0</v>
      </c>
      <c r="U448" s="31">
        <v>0</v>
      </c>
      <c r="V448" s="31">
        <v>0</v>
      </c>
      <c r="W448" s="31">
        <v>0</v>
      </c>
      <c r="X448" s="31">
        <v>0</v>
      </c>
      <c r="Y448" s="31">
        <v>0</v>
      </c>
      <c r="Z448" s="31">
        <v>0</v>
      </c>
      <c r="AA448" s="31">
        <v>0</v>
      </c>
      <c r="AB448" s="31">
        <v>0</v>
      </c>
      <c r="AC448" s="31">
        <v>0</v>
      </c>
      <c r="AD448" s="31">
        <v>0</v>
      </c>
      <c r="AE448" s="31">
        <v>0</v>
      </c>
      <c r="AF448" s="31">
        <v>0</v>
      </c>
      <c r="AG448" s="31">
        <v>0</v>
      </c>
      <c r="AH448" s="31">
        <v>0</v>
      </c>
      <c r="AI448" s="31">
        <v>0</v>
      </c>
      <c r="AJ448" s="31">
        <v>0</v>
      </c>
      <c r="AK448" s="31">
        <v>0</v>
      </c>
      <c r="AL448" s="31">
        <v>0</v>
      </c>
      <c r="AM448" s="31">
        <v>0</v>
      </c>
      <c r="AN448" s="31">
        <v>0</v>
      </c>
      <c r="AO448" s="31">
        <v>0</v>
      </c>
      <c r="AP448" s="31">
        <v>0</v>
      </c>
    </row>
    <row r="449" spans="1:42" x14ac:dyDescent="0.25">
      <c r="A449" s="31">
        <v>9</v>
      </c>
      <c r="B449" s="31">
        <v>13809</v>
      </c>
      <c r="C449" s="31">
        <v>1</v>
      </c>
      <c r="D449" s="31" t="s">
        <v>958</v>
      </c>
      <c r="E449" s="31"/>
      <c r="F449" s="31">
        <v>0</v>
      </c>
      <c r="G449" s="31">
        <v>0</v>
      </c>
      <c r="H449" s="31">
        <v>0</v>
      </c>
      <c r="I449" s="31">
        <v>0</v>
      </c>
      <c r="J449" s="31">
        <v>0</v>
      </c>
      <c r="K449" s="31" t="s">
        <v>882</v>
      </c>
      <c r="L449" s="2" t="str">
        <f t="shared" si="48"/>
        <v>Рихтовка</v>
      </c>
      <c r="M449" s="12">
        <f t="shared" si="49"/>
        <v>0</v>
      </c>
      <c r="N449" s="12">
        <f t="shared" si="50"/>
        <v>0</v>
      </c>
      <c r="O449" s="12">
        <f t="shared" si="51"/>
        <v>0</v>
      </c>
      <c r="P449" s="12">
        <f t="shared" si="52"/>
        <v>0</v>
      </c>
      <c r="Q449" s="12">
        <f t="shared" si="53"/>
        <v>0</v>
      </c>
      <c r="R449" s="12">
        <f t="shared" si="54"/>
        <v>0</v>
      </c>
      <c r="S449" s="12">
        <f t="shared" si="55"/>
        <v>0</v>
      </c>
      <c r="T449" s="31">
        <v>0</v>
      </c>
      <c r="U449" s="31">
        <v>0</v>
      </c>
      <c r="V449" s="31">
        <v>0</v>
      </c>
      <c r="W449" s="31">
        <v>0</v>
      </c>
      <c r="X449" s="31">
        <v>0</v>
      </c>
      <c r="Y449" s="31">
        <v>0</v>
      </c>
      <c r="Z449" s="31">
        <v>0</v>
      </c>
      <c r="AA449" s="31">
        <v>0</v>
      </c>
      <c r="AB449" s="31">
        <v>0</v>
      </c>
      <c r="AC449" s="31">
        <v>0</v>
      </c>
      <c r="AD449" s="31">
        <v>0</v>
      </c>
      <c r="AE449" s="31">
        <v>0</v>
      </c>
      <c r="AF449" s="31">
        <v>0</v>
      </c>
      <c r="AG449" s="31">
        <v>0</v>
      </c>
      <c r="AH449" s="31">
        <v>0</v>
      </c>
      <c r="AI449" s="31">
        <v>0</v>
      </c>
      <c r="AJ449" s="31">
        <v>0</v>
      </c>
      <c r="AK449" s="31">
        <v>0</v>
      </c>
      <c r="AL449" s="31">
        <v>0</v>
      </c>
      <c r="AM449" s="31">
        <v>0</v>
      </c>
      <c r="AN449" s="31">
        <v>0</v>
      </c>
      <c r="AO449" s="31">
        <v>0</v>
      </c>
      <c r="AP449" s="31">
        <v>0</v>
      </c>
    </row>
    <row r="450" spans="1:42" x14ac:dyDescent="0.25">
      <c r="A450" s="31">
        <v>8</v>
      </c>
      <c r="B450" s="31">
        <v>13809</v>
      </c>
      <c r="C450" s="31">
        <v>2</v>
      </c>
      <c r="D450" s="31" t="s">
        <v>958</v>
      </c>
      <c r="E450" s="31"/>
      <c r="F450" s="31">
        <v>0</v>
      </c>
      <c r="G450" s="31">
        <v>0</v>
      </c>
      <c r="H450" s="31">
        <v>0</v>
      </c>
      <c r="I450" s="31">
        <v>0</v>
      </c>
      <c r="J450" s="31">
        <v>0</v>
      </c>
      <c r="K450" s="31" t="s">
        <v>882</v>
      </c>
      <c r="L450" s="2" t="str">
        <f t="shared" ref="L450:L513" si="56">IF($M450=N450,$N$1,IF($M450=O450,$O$1,IF($M450=P450,$P$1,IF($M450=Q450,$Q$1,IF($M450=R450,$R$1,$S$1)))))</f>
        <v>Рихтовка</v>
      </c>
      <c r="M450" s="12">
        <f t="shared" ref="M450:M513" si="57">MAX(N450,O450,P450,Q450,R450,S450)</f>
        <v>0</v>
      </c>
      <c r="N450" s="12">
        <f t="shared" ref="N450:N513" si="58">T450+U450+V450</f>
        <v>0</v>
      </c>
      <c r="O450" s="12">
        <f t="shared" ref="O450:O513" si="59">W450+X450+Y450</f>
        <v>0</v>
      </c>
      <c r="P450" s="12">
        <f t="shared" ref="P450:P513" si="60">Z450+AA450+AB450</f>
        <v>0</v>
      </c>
      <c r="Q450" s="12">
        <f t="shared" ref="Q450:Q513" si="61">AC450+AD450+AE450</f>
        <v>0</v>
      </c>
      <c r="R450" s="12">
        <f t="shared" ref="R450:R513" si="62">AF450+AG450+AH450</f>
        <v>0</v>
      </c>
      <c r="S450" s="12">
        <f t="shared" ref="S450:S513" si="63">AI450+AJ450+AK450</f>
        <v>0</v>
      </c>
      <c r="T450" s="31">
        <v>0</v>
      </c>
      <c r="U450" s="31">
        <v>0</v>
      </c>
      <c r="V450" s="31">
        <v>0</v>
      </c>
      <c r="W450" s="31">
        <v>0</v>
      </c>
      <c r="X450" s="31">
        <v>0</v>
      </c>
      <c r="Y450" s="31">
        <v>0</v>
      </c>
      <c r="Z450" s="31">
        <v>0</v>
      </c>
      <c r="AA450" s="31">
        <v>0</v>
      </c>
      <c r="AB450" s="31">
        <v>0</v>
      </c>
      <c r="AC450" s="31">
        <v>0</v>
      </c>
      <c r="AD450" s="31">
        <v>0</v>
      </c>
      <c r="AE450" s="31">
        <v>0</v>
      </c>
      <c r="AF450" s="31">
        <v>0</v>
      </c>
      <c r="AG450" s="31">
        <v>0</v>
      </c>
      <c r="AH450" s="31">
        <v>0</v>
      </c>
      <c r="AI450" s="31">
        <v>0</v>
      </c>
      <c r="AJ450" s="31">
        <v>0</v>
      </c>
      <c r="AK450" s="31">
        <v>0</v>
      </c>
      <c r="AL450" s="31">
        <v>0</v>
      </c>
      <c r="AM450" s="31">
        <v>0</v>
      </c>
      <c r="AN450" s="31">
        <v>0</v>
      </c>
      <c r="AO450" s="31">
        <v>0</v>
      </c>
      <c r="AP450" s="31">
        <v>0</v>
      </c>
    </row>
    <row r="451" spans="1:42" x14ac:dyDescent="0.25">
      <c r="A451" s="31">
        <v>9</v>
      </c>
      <c r="B451" s="31">
        <v>13809</v>
      </c>
      <c r="C451" s="31">
        <v>2</v>
      </c>
      <c r="D451" s="31" t="s">
        <v>958</v>
      </c>
      <c r="E451" s="31"/>
      <c r="F451" s="31">
        <v>0</v>
      </c>
      <c r="G451" s="31">
        <v>0</v>
      </c>
      <c r="H451" s="31">
        <v>0</v>
      </c>
      <c r="I451" s="31">
        <v>0</v>
      </c>
      <c r="J451" s="31">
        <v>0</v>
      </c>
      <c r="K451" s="31" t="s">
        <v>882</v>
      </c>
      <c r="L451" s="2" t="str">
        <f t="shared" si="56"/>
        <v>Рихтовка</v>
      </c>
      <c r="M451" s="12">
        <f t="shared" si="57"/>
        <v>0</v>
      </c>
      <c r="N451" s="12">
        <f t="shared" si="58"/>
        <v>0</v>
      </c>
      <c r="O451" s="12">
        <f t="shared" si="59"/>
        <v>0</v>
      </c>
      <c r="P451" s="12">
        <f t="shared" si="60"/>
        <v>0</v>
      </c>
      <c r="Q451" s="12">
        <f t="shared" si="61"/>
        <v>0</v>
      </c>
      <c r="R451" s="12">
        <f t="shared" si="62"/>
        <v>0</v>
      </c>
      <c r="S451" s="12">
        <f t="shared" si="63"/>
        <v>0</v>
      </c>
      <c r="T451" s="31">
        <v>0</v>
      </c>
      <c r="U451" s="31">
        <v>0</v>
      </c>
      <c r="V451" s="31">
        <v>0</v>
      </c>
      <c r="W451" s="31">
        <v>0</v>
      </c>
      <c r="X451" s="31">
        <v>0</v>
      </c>
      <c r="Y451" s="31">
        <v>0</v>
      </c>
      <c r="Z451" s="31">
        <v>0</v>
      </c>
      <c r="AA451" s="31">
        <v>0</v>
      </c>
      <c r="AB451" s="31">
        <v>0</v>
      </c>
      <c r="AC451" s="31">
        <v>0</v>
      </c>
      <c r="AD451" s="31">
        <v>0</v>
      </c>
      <c r="AE451" s="31">
        <v>0</v>
      </c>
      <c r="AF451" s="31">
        <v>0</v>
      </c>
      <c r="AG451" s="31">
        <v>0</v>
      </c>
      <c r="AH451" s="31">
        <v>0</v>
      </c>
      <c r="AI451" s="31">
        <v>0</v>
      </c>
      <c r="AJ451" s="31">
        <v>0</v>
      </c>
      <c r="AK451" s="31">
        <v>0</v>
      </c>
      <c r="AL451" s="31">
        <v>0</v>
      </c>
      <c r="AM451" s="31">
        <v>0</v>
      </c>
      <c r="AN451" s="31">
        <v>0</v>
      </c>
      <c r="AO451" s="31">
        <v>0</v>
      </c>
      <c r="AP451" s="31">
        <v>0</v>
      </c>
    </row>
    <row r="452" spans="1:42" x14ac:dyDescent="0.25">
      <c r="A452" s="31">
        <v>9</v>
      </c>
      <c r="B452" s="31">
        <v>13809</v>
      </c>
      <c r="C452" s="31">
        <v>1</v>
      </c>
      <c r="D452" s="31" t="s">
        <v>786</v>
      </c>
      <c r="E452" s="31"/>
      <c r="F452" s="31">
        <v>0</v>
      </c>
      <c r="G452" s="31">
        <v>0</v>
      </c>
      <c r="H452" s="31">
        <v>0</v>
      </c>
      <c r="I452" s="31">
        <v>0</v>
      </c>
      <c r="J452" s="31">
        <v>0</v>
      </c>
      <c r="K452" s="31" t="s">
        <v>882</v>
      </c>
      <c r="L452" s="2" t="str">
        <f t="shared" si="56"/>
        <v>Рихтовка</v>
      </c>
      <c r="M452" s="12">
        <f t="shared" si="57"/>
        <v>0</v>
      </c>
      <c r="N452" s="12">
        <f t="shared" si="58"/>
        <v>0</v>
      </c>
      <c r="O452" s="12">
        <f t="shared" si="59"/>
        <v>0</v>
      </c>
      <c r="P452" s="12">
        <f t="shared" si="60"/>
        <v>0</v>
      </c>
      <c r="Q452" s="12">
        <f t="shared" si="61"/>
        <v>0</v>
      </c>
      <c r="R452" s="12">
        <f t="shared" si="62"/>
        <v>0</v>
      </c>
      <c r="S452" s="12">
        <f t="shared" si="63"/>
        <v>0</v>
      </c>
      <c r="T452" s="31">
        <v>0</v>
      </c>
      <c r="U452" s="31">
        <v>0</v>
      </c>
      <c r="V452" s="31">
        <v>0</v>
      </c>
      <c r="W452" s="31">
        <v>0</v>
      </c>
      <c r="X452" s="31">
        <v>0</v>
      </c>
      <c r="Y452" s="31">
        <v>0</v>
      </c>
      <c r="Z452" s="31">
        <v>0</v>
      </c>
      <c r="AA452" s="31">
        <v>0</v>
      </c>
      <c r="AB452" s="31">
        <v>0</v>
      </c>
      <c r="AC452" s="31">
        <v>0</v>
      </c>
      <c r="AD452" s="31">
        <v>0</v>
      </c>
      <c r="AE452" s="31">
        <v>0</v>
      </c>
      <c r="AF452" s="31">
        <v>0</v>
      </c>
      <c r="AG452" s="31">
        <v>0</v>
      </c>
      <c r="AH452" s="31">
        <v>0</v>
      </c>
      <c r="AI452" s="31">
        <v>0</v>
      </c>
      <c r="AJ452" s="31">
        <v>0</v>
      </c>
      <c r="AK452" s="31">
        <v>0</v>
      </c>
      <c r="AL452" s="31">
        <v>0</v>
      </c>
      <c r="AM452" s="31">
        <v>0</v>
      </c>
      <c r="AN452" s="31">
        <v>0</v>
      </c>
      <c r="AO452" s="31">
        <v>0</v>
      </c>
      <c r="AP452" s="31">
        <v>0</v>
      </c>
    </row>
    <row r="453" spans="1:42" x14ac:dyDescent="0.25">
      <c r="A453" s="31">
        <v>9</v>
      </c>
      <c r="B453" s="31">
        <v>13809</v>
      </c>
      <c r="C453" s="31">
        <v>1</v>
      </c>
      <c r="D453" s="31" t="s">
        <v>787</v>
      </c>
      <c r="E453" s="31"/>
      <c r="F453" s="31">
        <v>0</v>
      </c>
      <c r="G453" s="31">
        <v>0</v>
      </c>
      <c r="H453" s="31">
        <v>0</v>
      </c>
      <c r="I453" s="31">
        <v>0</v>
      </c>
      <c r="J453" s="31">
        <v>0</v>
      </c>
      <c r="K453" s="31" t="s">
        <v>882</v>
      </c>
      <c r="L453" s="2" t="str">
        <f t="shared" si="56"/>
        <v>Рихтовка</v>
      </c>
      <c r="M453" s="12">
        <f t="shared" si="57"/>
        <v>0</v>
      </c>
      <c r="N453" s="12">
        <f t="shared" si="58"/>
        <v>0</v>
      </c>
      <c r="O453" s="12">
        <f t="shared" si="59"/>
        <v>0</v>
      </c>
      <c r="P453" s="12">
        <f t="shared" si="60"/>
        <v>0</v>
      </c>
      <c r="Q453" s="12">
        <f t="shared" si="61"/>
        <v>0</v>
      </c>
      <c r="R453" s="12">
        <f t="shared" si="62"/>
        <v>0</v>
      </c>
      <c r="S453" s="12">
        <f t="shared" si="63"/>
        <v>0</v>
      </c>
      <c r="T453" s="31">
        <v>0</v>
      </c>
      <c r="U453" s="31">
        <v>0</v>
      </c>
      <c r="V453" s="31">
        <v>0</v>
      </c>
      <c r="W453" s="31">
        <v>0</v>
      </c>
      <c r="X453" s="31">
        <v>0</v>
      </c>
      <c r="Y453" s="31">
        <v>0</v>
      </c>
      <c r="Z453" s="31">
        <v>0</v>
      </c>
      <c r="AA453" s="31">
        <v>0</v>
      </c>
      <c r="AB453" s="31">
        <v>0</v>
      </c>
      <c r="AC453" s="31">
        <v>0</v>
      </c>
      <c r="AD453" s="31">
        <v>0</v>
      </c>
      <c r="AE453" s="31">
        <v>0</v>
      </c>
      <c r="AF453" s="31">
        <v>0</v>
      </c>
      <c r="AG453" s="31">
        <v>0</v>
      </c>
      <c r="AH453" s="31">
        <v>0</v>
      </c>
      <c r="AI453" s="31">
        <v>0</v>
      </c>
      <c r="AJ453" s="31">
        <v>0</v>
      </c>
      <c r="AK453" s="31">
        <v>0</v>
      </c>
      <c r="AL453" s="31">
        <v>0</v>
      </c>
      <c r="AM453" s="31">
        <v>0</v>
      </c>
      <c r="AN453" s="31">
        <v>0</v>
      </c>
      <c r="AO453" s="31">
        <v>0</v>
      </c>
      <c r="AP453" s="31">
        <v>0</v>
      </c>
    </row>
    <row r="454" spans="1:42" x14ac:dyDescent="0.25">
      <c r="A454" s="31">
        <v>9</v>
      </c>
      <c r="B454" s="31">
        <v>13809</v>
      </c>
      <c r="C454" s="31">
        <v>1</v>
      </c>
      <c r="D454" s="31" t="s">
        <v>788</v>
      </c>
      <c r="E454" s="31"/>
      <c r="F454" s="31">
        <v>0</v>
      </c>
      <c r="G454" s="31">
        <v>0</v>
      </c>
      <c r="H454" s="31">
        <v>0</v>
      </c>
      <c r="I454" s="31">
        <v>0</v>
      </c>
      <c r="J454" s="31">
        <v>0</v>
      </c>
      <c r="K454" s="31" t="s">
        <v>882</v>
      </c>
      <c r="L454" s="2" t="str">
        <f t="shared" si="56"/>
        <v>Рихтовка</v>
      </c>
      <c r="M454" s="12">
        <f t="shared" si="57"/>
        <v>0</v>
      </c>
      <c r="N454" s="12">
        <f t="shared" si="58"/>
        <v>0</v>
      </c>
      <c r="O454" s="12">
        <f t="shared" si="59"/>
        <v>0</v>
      </c>
      <c r="P454" s="12">
        <f t="shared" si="60"/>
        <v>0</v>
      </c>
      <c r="Q454" s="12">
        <f t="shared" si="61"/>
        <v>0</v>
      </c>
      <c r="R454" s="12">
        <f t="shared" si="62"/>
        <v>0</v>
      </c>
      <c r="S454" s="12">
        <f t="shared" si="63"/>
        <v>0</v>
      </c>
      <c r="T454" s="31">
        <v>0</v>
      </c>
      <c r="U454" s="31">
        <v>0</v>
      </c>
      <c r="V454" s="31">
        <v>0</v>
      </c>
      <c r="W454" s="31">
        <v>0</v>
      </c>
      <c r="X454" s="31">
        <v>0</v>
      </c>
      <c r="Y454" s="31">
        <v>0</v>
      </c>
      <c r="Z454" s="31">
        <v>0</v>
      </c>
      <c r="AA454" s="31">
        <v>0</v>
      </c>
      <c r="AB454" s="31">
        <v>0</v>
      </c>
      <c r="AC454" s="31">
        <v>0</v>
      </c>
      <c r="AD454" s="31">
        <v>0</v>
      </c>
      <c r="AE454" s="31">
        <v>0</v>
      </c>
      <c r="AF454" s="31">
        <v>0</v>
      </c>
      <c r="AG454" s="31">
        <v>0</v>
      </c>
      <c r="AH454" s="31">
        <v>0</v>
      </c>
      <c r="AI454" s="31">
        <v>0</v>
      </c>
      <c r="AJ454" s="31">
        <v>0</v>
      </c>
      <c r="AK454" s="31">
        <v>0</v>
      </c>
      <c r="AL454" s="31">
        <v>0</v>
      </c>
      <c r="AM454" s="31">
        <v>0</v>
      </c>
      <c r="AN454" s="31">
        <v>0</v>
      </c>
      <c r="AO454" s="31">
        <v>0</v>
      </c>
      <c r="AP454" s="31">
        <v>0</v>
      </c>
    </row>
    <row r="455" spans="1:42" x14ac:dyDescent="0.25">
      <c r="A455" s="31">
        <v>9</v>
      </c>
      <c r="B455" s="31">
        <v>13809</v>
      </c>
      <c r="C455" s="31">
        <v>1</v>
      </c>
      <c r="D455" s="31" t="s">
        <v>789</v>
      </c>
      <c r="E455" s="31"/>
      <c r="F455" s="31">
        <v>0</v>
      </c>
      <c r="G455" s="31">
        <v>0</v>
      </c>
      <c r="H455" s="31">
        <v>0</v>
      </c>
      <c r="I455" s="31">
        <v>0</v>
      </c>
      <c r="J455" s="31">
        <v>0</v>
      </c>
      <c r="K455" s="31" t="s">
        <v>882</v>
      </c>
      <c r="L455" s="2" t="str">
        <f t="shared" si="56"/>
        <v>Рихтовка</v>
      </c>
      <c r="M455" s="12">
        <f t="shared" si="57"/>
        <v>0</v>
      </c>
      <c r="N455" s="12">
        <f t="shared" si="58"/>
        <v>0</v>
      </c>
      <c r="O455" s="12">
        <f t="shared" si="59"/>
        <v>0</v>
      </c>
      <c r="P455" s="12">
        <f t="shared" si="60"/>
        <v>0</v>
      </c>
      <c r="Q455" s="12">
        <f t="shared" si="61"/>
        <v>0</v>
      </c>
      <c r="R455" s="12">
        <f t="shared" si="62"/>
        <v>0</v>
      </c>
      <c r="S455" s="12">
        <f t="shared" si="63"/>
        <v>0</v>
      </c>
      <c r="T455" s="31">
        <v>0</v>
      </c>
      <c r="U455" s="31">
        <v>0</v>
      </c>
      <c r="V455" s="31">
        <v>0</v>
      </c>
      <c r="W455" s="31">
        <v>0</v>
      </c>
      <c r="X455" s="31">
        <v>0</v>
      </c>
      <c r="Y455" s="31">
        <v>0</v>
      </c>
      <c r="Z455" s="31">
        <v>0</v>
      </c>
      <c r="AA455" s="31">
        <v>0</v>
      </c>
      <c r="AB455" s="31">
        <v>0</v>
      </c>
      <c r="AC455" s="31">
        <v>0</v>
      </c>
      <c r="AD455" s="31">
        <v>0</v>
      </c>
      <c r="AE455" s="31">
        <v>0</v>
      </c>
      <c r="AF455" s="31">
        <v>0</v>
      </c>
      <c r="AG455" s="31">
        <v>0</v>
      </c>
      <c r="AH455" s="31">
        <v>0</v>
      </c>
      <c r="AI455" s="31">
        <v>0</v>
      </c>
      <c r="AJ455" s="31">
        <v>0</v>
      </c>
      <c r="AK455" s="31">
        <v>0</v>
      </c>
      <c r="AL455" s="31">
        <v>0</v>
      </c>
      <c r="AM455" s="31">
        <v>0</v>
      </c>
      <c r="AN455" s="31">
        <v>0</v>
      </c>
      <c r="AO455" s="31">
        <v>0</v>
      </c>
      <c r="AP455" s="31">
        <v>0</v>
      </c>
    </row>
    <row r="456" spans="1:42" x14ac:dyDescent="0.25">
      <c r="A456" s="31">
        <v>9</v>
      </c>
      <c r="B456" s="31">
        <v>13809</v>
      </c>
      <c r="C456" s="31">
        <v>1</v>
      </c>
      <c r="D456" s="31" t="s">
        <v>790</v>
      </c>
      <c r="E456" s="31"/>
      <c r="F456" s="31">
        <v>0</v>
      </c>
      <c r="G456" s="31">
        <v>0</v>
      </c>
      <c r="H456" s="31">
        <v>0</v>
      </c>
      <c r="I456" s="31">
        <v>0</v>
      </c>
      <c r="J456" s="31">
        <v>0</v>
      </c>
      <c r="K456" s="31" t="s">
        <v>882</v>
      </c>
      <c r="L456" s="2" t="str">
        <f t="shared" si="56"/>
        <v>Рихтовка</v>
      </c>
      <c r="M456" s="12">
        <f t="shared" si="57"/>
        <v>0</v>
      </c>
      <c r="N456" s="12">
        <f t="shared" si="58"/>
        <v>0</v>
      </c>
      <c r="O456" s="12">
        <f t="shared" si="59"/>
        <v>0</v>
      </c>
      <c r="P456" s="12">
        <f t="shared" si="60"/>
        <v>0</v>
      </c>
      <c r="Q456" s="12">
        <f t="shared" si="61"/>
        <v>0</v>
      </c>
      <c r="R456" s="12">
        <f t="shared" si="62"/>
        <v>0</v>
      </c>
      <c r="S456" s="12">
        <f t="shared" si="63"/>
        <v>0</v>
      </c>
      <c r="T456" s="31">
        <v>0</v>
      </c>
      <c r="U456" s="31">
        <v>0</v>
      </c>
      <c r="V456" s="31">
        <v>0</v>
      </c>
      <c r="W456" s="31">
        <v>0</v>
      </c>
      <c r="X456" s="31">
        <v>0</v>
      </c>
      <c r="Y456" s="31">
        <v>0</v>
      </c>
      <c r="Z456" s="31">
        <v>0</v>
      </c>
      <c r="AA456" s="31">
        <v>0</v>
      </c>
      <c r="AB456" s="31">
        <v>0</v>
      </c>
      <c r="AC456" s="31">
        <v>0</v>
      </c>
      <c r="AD456" s="31">
        <v>0</v>
      </c>
      <c r="AE456" s="31">
        <v>0</v>
      </c>
      <c r="AF456" s="31">
        <v>0</v>
      </c>
      <c r="AG456" s="31">
        <v>0</v>
      </c>
      <c r="AH456" s="31">
        <v>0</v>
      </c>
      <c r="AI456" s="31">
        <v>0</v>
      </c>
      <c r="AJ456" s="31">
        <v>0</v>
      </c>
      <c r="AK456" s="31">
        <v>0</v>
      </c>
      <c r="AL456" s="31">
        <v>0</v>
      </c>
      <c r="AM456" s="31">
        <v>0</v>
      </c>
      <c r="AN456" s="31">
        <v>0</v>
      </c>
      <c r="AO456" s="31">
        <v>0</v>
      </c>
      <c r="AP456" s="31">
        <v>0</v>
      </c>
    </row>
    <row r="457" spans="1:42" x14ac:dyDescent="0.25">
      <c r="A457" s="31">
        <v>9</v>
      </c>
      <c r="B457" s="31">
        <v>13809</v>
      </c>
      <c r="C457" s="31">
        <v>1</v>
      </c>
      <c r="D457" s="31" t="s">
        <v>791</v>
      </c>
      <c r="E457" s="31"/>
      <c r="F457" s="31">
        <v>0</v>
      </c>
      <c r="G457" s="31">
        <v>0</v>
      </c>
      <c r="H457" s="31">
        <v>0</v>
      </c>
      <c r="I457" s="31">
        <v>0</v>
      </c>
      <c r="J457" s="31">
        <v>0</v>
      </c>
      <c r="K457" s="31" t="s">
        <v>882</v>
      </c>
      <c r="L457" s="2" t="str">
        <f t="shared" si="56"/>
        <v>Рихтовка</v>
      </c>
      <c r="M457" s="12">
        <f t="shared" si="57"/>
        <v>0</v>
      </c>
      <c r="N457" s="12">
        <f t="shared" si="58"/>
        <v>0</v>
      </c>
      <c r="O457" s="12">
        <f t="shared" si="59"/>
        <v>0</v>
      </c>
      <c r="P457" s="12">
        <f t="shared" si="60"/>
        <v>0</v>
      </c>
      <c r="Q457" s="12">
        <f t="shared" si="61"/>
        <v>0</v>
      </c>
      <c r="R457" s="12">
        <f t="shared" si="62"/>
        <v>0</v>
      </c>
      <c r="S457" s="12">
        <f t="shared" si="63"/>
        <v>0</v>
      </c>
      <c r="T457" s="31">
        <v>0</v>
      </c>
      <c r="U457" s="31">
        <v>0</v>
      </c>
      <c r="V457" s="31">
        <v>0</v>
      </c>
      <c r="W457" s="31">
        <v>0</v>
      </c>
      <c r="X457" s="31">
        <v>0</v>
      </c>
      <c r="Y457" s="31">
        <v>0</v>
      </c>
      <c r="Z457" s="31">
        <v>0</v>
      </c>
      <c r="AA457" s="31">
        <v>0</v>
      </c>
      <c r="AB457" s="31">
        <v>0</v>
      </c>
      <c r="AC457" s="31">
        <v>0</v>
      </c>
      <c r="AD457" s="31">
        <v>0</v>
      </c>
      <c r="AE457" s="31">
        <v>0</v>
      </c>
      <c r="AF457" s="31">
        <v>0</v>
      </c>
      <c r="AG457" s="31">
        <v>0</v>
      </c>
      <c r="AH457" s="31">
        <v>0</v>
      </c>
      <c r="AI457" s="31">
        <v>0</v>
      </c>
      <c r="AJ457" s="31">
        <v>0</v>
      </c>
      <c r="AK457" s="31">
        <v>0</v>
      </c>
      <c r="AL457" s="31">
        <v>0</v>
      </c>
      <c r="AM457" s="31">
        <v>0</v>
      </c>
      <c r="AN457" s="31">
        <v>0</v>
      </c>
      <c r="AO457" s="31">
        <v>0</v>
      </c>
      <c r="AP457" s="31">
        <v>0</v>
      </c>
    </row>
    <row r="458" spans="1:42" x14ac:dyDescent="0.25">
      <c r="A458" s="31">
        <v>9</v>
      </c>
      <c r="B458" s="31">
        <v>13809</v>
      </c>
      <c r="C458" s="31">
        <v>1</v>
      </c>
      <c r="D458" s="31" t="s">
        <v>792</v>
      </c>
      <c r="E458" s="31"/>
      <c r="F458" s="31">
        <v>0</v>
      </c>
      <c r="G458" s="31">
        <v>0</v>
      </c>
      <c r="H458" s="31">
        <v>0</v>
      </c>
      <c r="I458" s="31">
        <v>0</v>
      </c>
      <c r="J458" s="31">
        <v>0</v>
      </c>
      <c r="K458" s="31" t="s">
        <v>882</v>
      </c>
      <c r="L458" s="2" t="str">
        <f t="shared" si="56"/>
        <v>Рихтовка</v>
      </c>
      <c r="M458" s="12">
        <f t="shared" si="57"/>
        <v>0</v>
      </c>
      <c r="N458" s="12">
        <f t="shared" si="58"/>
        <v>0</v>
      </c>
      <c r="O458" s="12">
        <f t="shared" si="59"/>
        <v>0</v>
      </c>
      <c r="P458" s="12">
        <f t="shared" si="60"/>
        <v>0</v>
      </c>
      <c r="Q458" s="12">
        <f t="shared" si="61"/>
        <v>0</v>
      </c>
      <c r="R458" s="12">
        <f t="shared" si="62"/>
        <v>0</v>
      </c>
      <c r="S458" s="12">
        <f t="shared" si="63"/>
        <v>0</v>
      </c>
      <c r="T458" s="31">
        <v>0</v>
      </c>
      <c r="U458" s="31">
        <v>0</v>
      </c>
      <c r="V458" s="31">
        <v>0</v>
      </c>
      <c r="W458" s="31">
        <v>0</v>
      </c>
      <c r="X458" s="31">
        <v>0</v>
      </c>
      <c r="Y458" s="31">
        <v>0</v>
      </c>
      <c r="Z458" s="31">
        <v>0</v>
      </c>
      <c r="AA458" s="31">
        <v>0</v>
      </c>
      <c r="AB458" s="31">
        <v>0</v>
      </c>
      <c r="AC458" s="31">
        <v>0</v>
      </c>
      <c r="AD458" s="31">
        <v>0</v>
      </c>
      <c r="AE458" s="31">
        <v>0</v>
      </c>
      <c r="AF458" s="31">
        <v>0</v>
      </c>
      <c r="AG458" s="31">
        <v>0</v>
      </c>
      <c r="AH458" s="31">
        <v>0</v>
      </c>
      <c r="AI458" s="31">
        <v>0</v>
      </c>
      <c r="AJ458" s="31">
        <v>0</v>
      </c>
      <c r="AK458" s="31">
        <v>0</v>
      </c>
      <c r="AL458" s="31">
        <v>0</v>
      </c>
      <c r="AM458" s="31">
        <v>0</v>
      </c>
      <c r="AN458" s="31">
        <v>0</v>
      </c>
      <c r="AO458" s="31">
        <v>0</v>
      </c>
      <c r="AP458" s="31">
        <v>0</v>
      </c>
    </row>
    <row r="459" spans="1:42" x14ac:dyDescent="0.25">
      <c r="A459" s="31">
        <v>9</v>
      </c>
      <c r="B459" s="31">
        <v>13809</v>
      </c>
      <c r="C459" s="31">
        <v>1</v>
      </c>
      <c r="D459" s="31" t="s">
        <v>793</v>
      </c>
      <c r="E459" s="31"/>
      <c r="F459" s="31">
        <v>0</v>
      </c>
      <c r="G459" s="31">
        <v>0</v>
      </c>
      <c r="H459" s="31">
        <v>0</v>
      </c>
      <c r="I459" s="31">
        <v>0</v>
      </c>
      <c r="J459" s="31">
        <v>0</v>
      </c>
      <c r="K459" s="31" t="s">
        <v>882</v>
      </c>
      <c r="L459" s="2" t="str">
        <f t="shared" si="56"/>
        <v>Рихтовка</v>
      </c>
      <c r="M459" s="12">
        <f t="shared" si="57"/>
        <v>0</v>
      </c>
      <c r="N459" s="12">
        <f t="shared" si="58"/>
        <v>0</v>
      </c>
      <c r="O459" s="12">
        <f t="shared" si="59"/>
        <v>0</v>
      </c>
      <c r="P459" s="12">
        <f t="shared" si="60"/>
        <v>0</v>
      </c>
      <c r="Q459" s="12">
        <f t="shared" si="61"/>
        <v>0</v>
      </c>
      <c r="R459" s="12">
        <f t="shared" si="62"/>
        <v>0</v>
      </c>
      <c r="S459" s="12">
        <f t="shared" si="63"/>
        <v>0</v>
      </c>
      <c r="T459" s="31">
        <v>0</v>
      </c>
      <c r="U459" s="31">
        <v>0</v>
      </c>
      <c r="V459" s="31">
        <v>0</v>
      </c>
      <c r="W459" s="31">
        <v>0</v>
      </c>
      <c r="X459" s="31">
        <v>0</v>
      </c>
      <c r="Y459" s="31">
        <v>0</v>
      </c>
      <c r="Z459" s="31">
        <v>0</v>
      </c>
      <c r="AA459" s="31">
        <v>0</v>
      </c>
      <c r="AB459" s="31">
        <v>0</v>
      </c>
      <c r="AC459" s="31">
        <v>0</v>
      </c>
      <c r="AD459" s="31">
        <v>0</v>
      </c>
      <c r="AE459" s="31">
        <v>0</v>
      </c>
      <c r="AF459" s="31">
        <v>0</v>
      </c>
      <c r="AG459" s="31">
        <v>0</v>
      </c>
      <c r="AH459" s="31">
        <v>0</v>
      </c>
      <c r="AI459" s="31">
        <v>0</v>
      </c>
      <c r="AJ459" s="31">
        <v>0</v>
      </c>
      <c r="AK459" s="31">
        <v>0</v>
      </c>
      <c r="AL459" s="31">
        <v>0</v>
      </c>
      <c r="AM459" s="31">
        <v>0</v>
      </c>
      <c r="AN459" s="31">
        <v>0</v>
      </c>
      <c r="AO459" s="31">
        <v>0</v>
      </c>
      <c r="AP459" s="31">
        <v>0</v>
      </c>
    </row>
    <row r="460" spans="1:42" x14ac:dyDescent="0.25">
      <c r="A460" s="31">
        <v>9</v>
      </c>
      <c r="B460" s="31">
        <v>13809</v>
      </c>
      <c r="C460" s="31">
        <v>1</v>
      </c>
      <c r="D460" s="31" t="s">
        <v>794</v>
      </c>
      <c r="E460" s="31"/>
      <c r="F460" s="31">
        <v>0</v>
      </c>
      <c r="G460" s="31">
        <v>0</v>
      </c>
      <c r="H460" s="31">
        <v>0</v>
      </c>
      <c r="I460" s="31">
        <v>0</v>
      </c>
      <c r="J460" s="31">
        <v>0</v>
      </c>
      <c r="K460" s="31" t="s">
        <v>882</v>
      </c>
      <c r="L460" s="2" t="str">
        <f t="shared" si="56"/>
        <v>Рихтовка</v>
      </c>
      <c r="M460" s="12">
        <f t="shared" si="57"/>
        <v>0</v>
      </c>
      <c r="N460" s="12">
        <f t="shared" si="58"/>
        <v>0</v>
      </c>
      <c r="O460" s="12">
        <f t="shared" si="59"/>
        <v>0</v>
      </c>
      <c r="P460" s="12">
        <f t="shared" si="60"/>
        <v>0</v>
      </c>
      <c r="Q460" s="12">
        <f t="shared" si="61"/>
        <v>0</v>
      </c>
      <c r="R460" s="12">
        <f t="shared" si="62"/>
        <v>0</v>
      </c>
      <c r="S460" s="12">
        <f t="shared" si="63"/>
        <v>0</v>
      </c>
      <c r="T460" s="31">
        <v>0</v>
      </c>
      <c r="U460" s="31">
        <v>0</v>
      </c>
      <c r="V460" s="31">
        <v>0</v>
      </c>
      <c r="W460" s="31">
        <v>0</v>
      </c>
      <c r="X460" s="31">
        <v>0</v>
      </c>
      <c r="Y460" s="31">
        <v>0</v>
      </c>
      <c r="Z460" s="31">
        <v>0</v>
      </c>
      <c r="AA460" s="31">
        <v>0</v>
      </c>
      <c r="AB460" s="31">
        <v>0</v>
      </c>
      <c r="AC460" s="31">
        <v>0</v>
      </c>
      <c r="AD460" s="31">
        <v>0</v>
      </c>
      <c r="AE460" s="31">
        <v>0</v>
      </c>
      <c r="AF460" s="31">
        <v>0</v>
      </c>
      <c r="AG460" s="31">
        <v>0</v>
      </c>
      <c r="AH460" s="31">
        <v>0</v>
      </c>
      <c r="AI460" s="31">
        <v>0</v>
      </c>
      <c r="AJ460" s="31">
        <v>0</v>
      </c>
      <c r="AK460" s="31">
        <v>0</v>
      </c>
      <c r="AL460" s="31">
        <v>0</v>
      </c>
      <c r="AM460" s="31">
        <v>0</v>
      </c>
      <c r="AN460" s="31">
        <v>0</v>
      </c>
      <c r="AO460" s="31">
        <v>0</v>
      </c>
      <c r="AP460" s="31">
        <v>0</v>
      </c>
    </row>
    <row r="461" spans="1:42" x14ac:dyDescent="0.25">
      <c r="A461" s="31">
        <v>9</v>
      </c>
      <c r="B461" s="31">
        <v>13809</v>
      </c>
      <c r="C461" s="31">
        <v>2</v>
      </c>
      <c r="D461" s="31" t="s">
        <v>786</v>
      </c>
      <c r="E461" s="31"/>
      <c r="F461" s="31">
        <v>0</v>
      </c>
      <c r="G461" s="31">
        <v>0</v>
      </c>
      <c r="H461" s="31">
        <v>0</v>
      </c>
      <c r="I461" s="31">
        <v>0</v>
      </c>
      <c r="J461" s="31">
        <v>0</v>
      </c>
      <c r="K461" s="31" t="s">
        <v>882</v>
      </c>
      <c r="L461" s="2" t="str">
        <f t="shared" si="56"/>
        <v>Рихтовка</v>
      </c>
      <c r="M461" s="12">
        <f t="shared" si="57"/>
        <v>0</v>
      </c>
      <c r="N461" s="12">
        <f t="shared" si="58"/>
        <v>0</v>
      </c>
      <c r="O461" s="12">
        <f t="shared" si="59"/>
        <v>0</v>
      </c>
      <c r="P461" s="12">
        <f t="shared" si="60"/>
        <v>0</v>
      </c>
      <c r="Q461" s="12">
        <f t="shared" si="61"/>
        <v>0</v>
      </c>
      <c r="R461" s="12">
        <f t="shared" si="62"/>
        <v>0</v>
      </c>
      <c r="S461" s="12">
        <f t="shared" si="63"/>
        <v>0</v>
      </c>
      <c r="T461" s="31">
        <v>0</v>
      </c>
      <c r="U461" s="31">
        <v>0</v>
      </c>
      <c r="V461" s="31">
        <v>0</v>
      </c>
      <c r="W461" s="31">
        <v>0</v>
      </c>
      <c r="X461" s="31">
        <v>0</v>
      </c>
      <c r="Y461" s="31">
        <v>0</v>
      </c>
      <c r="Z461" s="31">
        <v>0</v>
      </c>
      <c r="AA461" s="31">
        <v>0</v>
      </c>
      <c r="AB461" s="31">
        <v>0</v>
      </c>
      <c r="AC461" s="31">
        <v>0</v>
      </c>
      <c r="AD461" s="31">
        <v>0</v>
      </c>
      <c r="AE461" s="31">
        <v>0</v>
      </c>
      <c r="AF461" s="31">
        <v>0</v>
      </c>
      <c r="AG461" s="31">
        <v>0</v>
      </c>
      <c r="AH461" s="31">
        <v>0</v>
      </c>
      <c r="AI461" s="31">
        <v>0</v>
      </c>
      <c r="AJ461" s="31">
        <v>0</v>
      </c>
      <c r="AK461" s="31">
        <v>0</v>
      </c>
      <c r="AL461" s="31">
        <v>0</v>
      </c>
      <c r="AM461" s="31">
        <v>0</v>
      </c>
      <c r="AN461" s="31">
        <v>0</v>
      </c>
      <c r="AO461" s="31">
        <v>0</v>
      </c>
      <c r="AP461" s="31">
        <v>0</v>
      </c>
    </row>
    <row r="462" spans="1:42" x14ac:dyDescent="0.25">
      <c r="A462" s="31">
        <v>9</v>
      </c>
      <c r="B462" s="31">
        <v>13809</v>
      </c>
      <c r="C462" s="31">
        <v>2</v>
      </c>
      <c r="D462" s="31" t="s">
        <v>787</v>
      </c>
      <c r="E462" s="31"/>
      <c r="F462" s="31">
        <v>0</v>
      </c>
      <c r="G462" s="31">
        <v>0</v>
      </c>
      <c r="H462" s="31">
        <v>0</v>
      </c>
      <c r="I462" s="31">
        <v>0</v>
      </c>
      <c r="J462" s="31">
        <v>0</v>
      </c>
      <c r="K462" s="31" t="s">
        <v>882</v>
      </c>
      <c r="L462" s="2" t="str">
        <f t="shared" si="56"/>
        <v>Рихтовка</v>
      </c>
      <c r="M462" s="12">
        <f t="shared" si="57"/>
        <v>0</v>
      </c>
      <c r="N462" s="12">
        <f t="shared" si="58"/>
        <v>0</v>
      </c>
      <c r="O462" s="12">
        <f t="shared" si="59"/>
        <v>0</v>
      </c>
      <c r="P462" s="12">
        <f t="shared" si="60"/>
        <v>0</v>
      </c>
      <c r="Q462" s="12">
        <f t="shared" si="61"/>
        <v>0</v>
      </c>
      <c r="R462" s="12">
        <f t="shared" si="62"/>
        <v>0</v>
      </c>
      <c r="S462" s="12">
        <f t="shared" si="63"/>
        <v>0</v>
      </c>
      <c r="T462" s="31">
        <v>0</v>
      </c>
      <c r="U462" s="31">
        <v>0</v>
      </c>
      <c r="V462" s="31">
        <v>0</v>
      </c>
      <c r="W462" s="31">
        <v>0</v>
      </c>
      <c r="X462" s="31">
        <v>0</v>
      </c>
      <c r="Y462" s="31">
        <v>0</v>
      </c>
      <c r="Z462" s="31">
        <v>0</v>
      </c>
      <c r="AA462" s="31">
        <v>0</v>
      </c>
      <c r="AB462" s="31">
        <v>0</v>
      </c>
      <c r="AC462" s="31">
        <v>0</v>
      </c>
      <c r="AD462" s="31">
        <v>0</v>
      </c>
      <c r="AE462" s="31">
        <v>0</v>
      </c>
      <c r="AF462" s="31">
        <v>0</v>
      </c>
      <c r="AG462" s="31">
        <v>0</v>
      </c>
      <c r="AH462" s="31">
        <v>0</v>
      </c>
      <c r="AI462" s="31">
        <v>0</v>
      </c>
      <c r="AJ462" s="31">
        <v>0</v>
      </c>
      <c r="AK462" s="31">
        <v>0</v>
      </c>
      <c r="AL462" s="31">
        <v>0</v>
      </c>
      <c r="AM462" s="31">
        <v>0</v>
      </c>
      <c r="AN462" s="31">
        <v>0</v>
      </c>
      <c r="AO462" s="31">
        <v>0</v>
      </c>
      <c r="AP462" s="31">
        <v>0</v>
      </c>
    </row>
    <row r="463" spans="1:42" x14ac:dyDescent="0.25">
      <c r="A463" s="31">
        <v>9</v>
      </c>
      <c r="B463" s="31">
        <v>13809</v>
      </c>
      <c r="C463" s="31">
        <v>2</v>
      </c>
      <c r="D463" s="31" t="s">
        <v>788</v>
      </c>
      <c r="E463" s="31"/>
      <c r="F463" s="31">
        <v>0</v>
      </c>
      <c r="G463" s="31">
        <v>0</v>
      </c>
      <c r="H463" s="31">
        <v>0</v>
      </c>
      <c r="I463" s="31">
        <v>0</v>
      </c>
      <c r="J463" s="31">
        <v>0</v>
      </c>
      <c r="K463" s="31" t="s">
        <v>882</v>
      </c>
      <c r="L463" s="2" t="str">
        <f t="shared" si="56"/>
        <v>Рихтовка</v>
      </c>
      <c r="M463" s="12">
        <f t="shared" si="57"/>
        <v>0</v>
      </c>
      <c r="N463" s="12">
        <f t="shared" si="58"/>
        <v>0</v>
      </c>
      <c r="O463" s="12">
        <f t="shared" si="59"/>
        <v>0</v>
      </c>
      <c r="P463" s="12">
        <f t="shared" si="60"/>
        <v>0</v>
      </c>
      <c r="Q463" s="12">
        <f t="shared" si="61"/>
        <v>0</v>
      </c>
      <c r="R463" s="12">
        <f t="shared" si="62"/>
        <v>0</v>
      </c>
      <c r="S463" s="12">
        <f t="shared" si="63"/>
        <v>0</v>
      </c>
      <c r="T463" s="31">
        <v>0</v>
      </c>
      <c r="U463" s="31">
        <v>0</v>
      </c>
      <c r="V463" s="31">
        <v>0</v>
      </c>
      <c r="W463" s="31">
        <v>0</v>
      </c>
      <c r="X463" s="31">
        <v>0</v>
      </c>
      <c r="Y463" s="31">
        <v>0</v>
      </c>
      <c r="Z463" s="31">
        <v>0</v>
      </c>
      <c r="AA463" s="31">
        <v>0</v>
      </c>
      <c r="AB463" s="31">
        <v>0</v>
      </c>
      <c r="AC463" s="31">
        <v>0</v>
      </c>
      <c r="AD463" s="31">
        <v>0</v>
      </c>
      <c r="AE463" s="31">
        <v>0</v>
      </c>
      <c r="AF463" s="31">
        <v>0</v>
      </c>
      <c r="AG463" s="31">
        <v>0</v>
      </c>
      <c r="AH463" s="31">
        <v>0</v>
      </c>
      <c r="AI463" s="31">
        <v>0</v>
      </c>
      <c r="AJ463" s="31">
        <v>0</v>
      </c>
      <c r="AK463" s="31">
        <v>0</v>
      </c>
      <c r="AL463" s="31">
        <v>0</v>
      </c>
      <c r="AM463" s="31">
        <v>0</v>
      </c>
      <c r="AN463" s="31">
        <v>0</v>
      </c>
      <c r="AO463" s="31">
        <v>0</v>
      </c>
      <c r="AP463" s="31">
        <v>0</v>
      </c>
    </row>
    <row r="464" spans="1:42" x14ac:dyDescent="0.25">
      <c r="A464" s="31">
        <v>9</v>
      </c>
      <c r="B464" s="31">
        <v>13809</v>
      </c>
      <c r="C464" s="31">
        <v>2</v>
      </c>
      <c r="D464" s="31" t="s">
        <v>789</v>
      </c>
      <c r="E464" s="31"/>
      <c r="F464" s="31">
        <v>0</v>
      </c>
      <c r="G464" s="31">
        <v>0</v>
      </c>
      <c r="H464" s="31">
        <v>0</v>
      </c>
      <c r="I464" s="31">
        <v>0</v>
      </c>
      <c r="J464" s="31">
        <v>0</v>
      </c>
      <c r="K464" s="31" t="s">
        <v>882</v>
      </c>
      <c r="L464" s="2" t="str">
        <f t="shared" si="56"/>
        <v>Рихтовка</v>
      </c>
      <c r="M464" s="12">
        <f t="shared" si="57"/>
        <v>0</v>
      </c>
      <c r="N464" s="12">
        <f t="shared" si="58"/>
        <v>0</v>
      </c>
      <c r="O464" s="12">
        <f t="shared" si="59"/>
        <v>0</v>
      </c>
      <c r="P464" s="12">
        <f t="shared" si="60"/>
        <v>0</v>
      </c>
      <c r="Q464" s="12">
        <f t="shared" si="61"/>
        <v>0</v>
      </c>
      <c r="R464" s="12">
        <f t="shared" si="62"/>
        <v>0</v>
      </c>
      <c r="S464" s="12">
        <f t="shared" si="63"/>
        <v>0</v>
      </c>
      <c r="T464" s="31">
        <v>0</v>
      </c>
      <c r="U464" s="31">
        <v>0</v>
      </c>
      <c r="V464" s="31">
        <v>0</v>
      </c>
      <c r="W464" s="31">
        <v>0</v>
      </c>
      <c r="X464" s="31">
        <v>0</v>
      </c>
      <c r="Y464" s="31">
        <v>0</v>
      </c>
      <c r="Z464" s="31">
        <v>0</v>
      </c>
      <c r="AA464" s="31">
        <v>0</v>
      </c>
      <c r="AB464" s="31">
        <v>0</v>
      </c>
      <c r="AC464" s="31">
        <v>0</v>
      </c>
      <c r="AD464" s="31">
        <v>0</v>
      </c>
      <c r="AE464" s="31">
        <v>0</v>
      </c>
      <c r="AF464" s="31">
        <v>0</v>
      </c>
      <c r="AG464" s="31">
        <v>0</v>
      </c>
      <c r="AH464" s="31">
        <v>0</v>
      </c>
      <c r="AI464" s="31">
        <v>0</v>
      </c>
      <c r="AJ464" s="31">
        <v>0</v>
      </c>
      <c r="AK464" s="31">
        <v>0</v>
      </c>
      <c r="AL464" s="31">
        <v>0</v>
      </c>
      <c r="AM464" s="31">
        <v>0</v>
      </c>
      <c r="AN464" s="31">
        <v>0</v>
      </c>
      <c r="AO464" s="31">
        <v>0</v>
      </c>
      <c r="AP464" s="31">
        <v>0</v>
      </c>
    </row>
    <row r="465" spans="1:42" x14ac:dyDescent="0.25">
      <c r="A465" s="31">
        <v>9</v>
      </c>
      <c r="B465" s="31">
        <v>13809</v>
      </c>
      <c r="C465" s="31">
        <v>2</v>
      </c>
      <c r="D465" s="31" t="s">
        <v>790</v>
      </c>
      <c r="E465" s="31"/>
      <c r="F465" s="31">
        <v>0</v>
      </c>
      <c r="G465" s="31">
        <v>0</v>
      </c>
      <c r="H465" s="31">
        <v>0</v>
      </c>
      <c r="I465" s="31">
        <v>0</v>
      </c>
      <c r="J465" s="31">
        <v>0</v>
      </c>
      <c r="K465" s="31" t="s">
        <v>882</v>
      </c>
      <c r="L465" s="2" t="str">
        <f t="shared" si="56"/>
        <v>Рихтовка</v>
      </c>
      <c r="M465" s="12">
        <f t="shared" si="57"/>
        <v>0</v>
      </c>
      <c r="N465" s="12">
        <f t="shared" si="58"/>
        <v>0</v>
      </c>
      <c r="O465" s="12">
        <f t="shared" si="59"/>
        <v>0</v>
      </c>
      <c r="P465" s="12">
        <f t="shared" si="60"/>
        <v>0</v>
      </c>
      <c r="Q465" s="12">
        <f t="shared" si="61"/>
        <v>0</v>
      </c>
      <c r="R465" s="12">
        <f t="shared" si="62"/>
        <v>0</v>
      </c>
      <c r="S465" s="12">
        <f t="shared" si="63"/>
        <v>0</v>
      </c>
      <c r="T465" s="31">
        <v>0</v>
      </c>
      <c r="U465" s="31">
        <v>0</v>
      </c>
      <c r="V465" s="31">
        <v>0</v>
      </c>
      <c r="W465" s="31">
        <v>0</v>
      </c>
      <c r="X465" s="31">
        <v>0</v>
      </c>
      <c r="Y465" s="31">
        <v>0</v>
      </c>
      <c r="Z465" s="31">
        <v>0</v>
      </c>
      <c r="AA465" s="31">
        <v>0</v>
      </c>
      <c r="AB465" s="31">
        <v>0</v>
      </c>
      <c r="AC465" s="31">
        <v>0</v>
      </c>
      <c r="AD465" s="31">
        <v>0</v>
      </c>
      <c r="AE465" s="31">
        <v>0</v>
      </c>
      <c r="AF465" s="31">
        <v>0</v>
      </c>
      <c r="AG465" s="31">
        <v>0</v>
      </c>
      <c r="AH465" s="31">
        <v>0</v>
      </c>
      <c r="AI465" s="31">
        <v>0</v>
      </c>
      <c r="AJ465" s="31">
        <v>0</v>
      </c>
      <c r="AK465" s="31">
        <v>0</v>
      </c>
      <c r="AL465" s="31">
        <v>0</v>
      </c>
      <c r="AM465" s="31">
        <v>0</v>
      </c>
      <c r="AN465" s="31">
        <v>0</v>
      </c>
      <c r="AO465" s="31">
        <v>0</v>
      </c>
      <c r="AP465" s="31">
        <v>0</v>
      </c>
    </row>
    <row r="466" spans="1:42" x14ac:dyDescent="0.25">
      <c r="A466" s="31">
        <v>9</v>
      </c>
      <c r="B466" s="31">
        <v>13809</v>
      </c>
      <c r="C466" s="31">
        <v>2</v>
      </c>
      <c r="D466" s="31" t="s">
        <v>791</v>
      </c>
      <c r="E466" s="31"/>
      <c r="F466" s="31">
        <v>0</v>
      </c>
      <c r="G466" s="31">
        <v>0</v>
      </c>
      <c r="H466" s="31">
        <v>0</v>
      </c>
      <c r="I466" s="31">
        <v>0</v>
      </c>
      <c r="J466" s="31">
        <v>0</v>
      </c>
      <c r="K466" s="31" t="s">
        <v>882</v>
      </c>
      <c r="L466" s="2" t="str">
        <f t="shared" si="56"/>
        <v>Рихтовка</v>
      </c>
      <c r="M466" s="12">
        <f t="shared" si="57"/>
        <v>0</v>
      </c>
      <c r="N466" s="12">
        <f t="shared" si="58"/>
        <v>0</v>
      </c>
      <c r="O466" s="12">
        <f t="shared" si="59"/>
        <v>0</v>
      </c>
      <c r="P466" s="12">
        <f t="shared" si="60"/>
        <v>0</v>
      </c>
      <c r="Q466" s="12">
        <f t="shared" si="61"/>
        <v>0</v>
      </c>
      <c r="R466" s="12">
        <f t="shared" si="62"/>
        <v>0</v>
      </c>
      <c r="S466" s="12">
        <f t="shared" si="63"/>
        <v>0</v>
      </c>
      <c r="T466" s="31">
        <v>0</v>
      </c>
      <c r="U466" s="31">
        <v>0</v>
      </c>
      <c r="V466" s="31">
        <v>0</v>
      </c>
      <c r="W466" s="31">
        <v>0</v>
      </c>
      <c r="X466" s="31">
        <v>0</v>
      </c>
      <c r="Y466" s="31">
        <v>0</v>
      </c>
      <c r="Z466" s="31">
        <v>0</v>
      </c>
      <c r="AA466" s="31">
        <v>0</v>
      </c>
      <c r="AB466" s="31">
        <v>0</v>
      </c>
      <c r="AC466" s="31">
        <v>0</v>
      </c>
      <c r="AD466" s="31">
        <v>0</v>
      </c>
      <c r="AE466" s="31">
        <v>0</v>
      </c>
      <c r="AF466" s="31">
        <v>0</v>
      </c>
      <c r="AG466" s="31">
        <v>0</v>
      </c>
      <c r="AH466" s="31">
        <v>0</v>
      </c>
      <c r="AI466" s="31">
        <v>0</v>
      </c>
      <c r="AJ466" s="31">
        <v>0</v>
      </c>
      <c r="AK466" s="31">
        <v>0</v>
      </c>
      <c r="AL466" s="31">
        <v>0</v>
      </c>
      <c r="AM466" s="31">
        <v>0</v>
      </c>
      <c r="AN466" s="31">
        <v>0</v>
      </c>
      <c r="AO466" s="31">
        <v>0</v>
      </c>
      <c r="AP466" s="31">
        <v>0</v>
      </c>
    </row>
    <row r="467" spans="1:42" x14ac:dyDescent="0.25">
      <c r="A467" s="31">
        <v>9</v>
      </c>
      <c r="B467" s="31">
        <v>13809</v>
      </c>
      <c r="C467" s="31">
        <v>2</v>
      </c>
      <c r="D467" s="31" t="s">
        <v>792</v>
      </c>
      <c r="E467" s="31"/>
      <c r="F467" s="31">
        <v>0</v>
      </c>
      <c r="G467" s="31">
        <v>0</v>
      </c>
      <c r="H467" s="31">
        <v>0</v>
      </c>
      <c r="I467" s="31">
        <v>0</v>
      </c>
      <c r="J467" s="31">
        <v>0</v>
      </c>
      <c r="K467" s="31" t="s">
        <v>882</v>
      </c>
      <c r="L467" s="2" t="str">
        <f t="shared" si="56"/>
        <v>Рихтовка</v>
      </c>
      <c r="M467" s="12">
        <f t="shared" si="57"/>
        <v>0</v>
      </c>
      <c r="N467" s="12">
        <f t="shared" si="58"/>
        <v>0</v>
      </c>
      <c r="O467" s="12">
        <f t="shared" si="59"/>
        <v>0</v>
      </c>
      <c r="P467" s="12">
        <f t="shared" si="60"/>
        <v>0</v>
      </c>
      <c r="Q467" s="12">
        <f t="shared" si="61"/>
        <v>0</v>
      </c>
      <c r="R467" s="12">
        <f t="shared" si="62"/>
        <v>0</v>
      </c>
      <c r="S467" s="12">
        <f t="shared" si="63"/>
        <v>0</v>
      </c>
      <c r="T467" s="31">
        <v>0</v>
      </c>
      <c r="U467" s="31">
        <v>0</v>
      </c>
      <c r="V467" s="31">
        <v>0</v>
      </c>
      <c r="W467" s="31">
        <v>0</v>
      </c>
      <c r="X467" s="31">
        <v>0</v>
      </c>
      <c r="Y467" s="31">
        <v>0</v>
      </c>
      <c r="Z467" s="31">
        <v>0</v>
      </c>
      <c r="AA467" s="31">
        <v>0</v>
      </c>
      <c r="AB467" s="31">
        <v>0</v>
      </c>
      <c r="AC467" s="31">
        <v>0</v>
      </c>
      <c r="AD467" s="31">
        <v>0</v>
      </c>
      <c r="AE467" s="31">
        <v>0</v>
      </c>
      <c r="AF467" s="31">
        <v>0</v>
      </c>
      <c r="AG467" s="31">
        <v>0</v>
      </c>
      <c r="AH467" s="31">
        <v>0</v>
      </c>
      <c r="AI467" s="31">
        <v>0</v>
      </c>
      <c r="AJ467" s="31">
        <v>0</v>
      </c>
      <c r="AK467" s="31">
        <v>0</v>
      </c>
      <c r="AL467" s="31">
        <v>0</v>
      </c>
      <c r="AM467" s="31">
        <v>0</v>
      </c>
      <c r="AN467" s="31">
        <v>0</v>
      </c>
      <c r="AO467" s="31">
        <v>0</v>
      </c>
      <c r="AP467" s="31">
        <v>0</v>
      </c>
    </row>
    <row r="468" spans="1:42" x14ac:dyDescent="0.25">
      <c r="A468" s="31">
        <v>9</v>
      </c>
      <c r="B468" s="31">
        <v>13809</v>
      </c>
      <c r="C468" s="31">
        <v>2</v>
      </c>
      <c r="D468" s="31" t="s">
        <v>793</v>
      </c>
      <c r="E468" s="31"/>
      <c r="F468" s="31">
        <v>0</v>
      </c>
      <c r="G468" s="31">
        <v>0</v>
      </c>
      <c r="H468" s="31">
        <v>0</v>
      </c>
      <c r="I468" s="31">
        <v>0</v>
      </c>
      <c r="J468" s="31">
        <v>0</v>
      </c>
      <c r="K468" s="31" t="s">
        <v>882</v>
      </c>
      <c r="L468" s="2" t="str">
        <f t="shared" si="56"/>
        <v>Рихтовка</v>
      </c>
      <c r="M468" s="12">
        <f t="shared" si="57"/>
        <v>0</v>
      </c>
      <c r="N468" s="12">
        <f t="shared" si="58"/>
        <v>0</v>
      </c>
      <c r="O468" s="12">
        <f t="shared" si="59"/>
        <v>0</v>
      </c>
      <c r="P468" s="12">
        <f t="shared" si="60"/>
        <v>0</v>
      </c>
      <c r="Q468" s="12">
        <f t="shared" si="61"/>
        <v>0</v>
      </c>
      <c r="R468" s="12">
        <f t="shared" si="62"/>
        <v>0</v>
      </c>
      <c r="S468" s="12">
        <f t="shared" si="63"/>
        <v>0</v>
      </c>
      <c r="T468" s="31">
        <v>0</v>
      </c>
      <c r="U468" s="31">
        <v>0</v>
      </c>
      <c r="V468" s="31">
        <v>0</v>
      </c>
      <c r="W468" s="31">
        <v>0</v>
      </c>
      <c r="X468" s="31">
        <v>0</v>
      </c>
      <c r="Y468" s="31">
        <v>0</v>
      </c>
      <c r="Z468" s="31">
        <v>0</v>
      </c>
      <c r="AA468" s="31">
        <v>0</v>
      </c>
      <c r="AB468" s="31">
        <v>0</v>
      </c>
      <c r="AC468" s="31">
        <v>0</v>
      </c>
      <c r="AD468" s="31">
        <v>0</v>
      </c>
      <c r="AE468" s="31">
        <v>0</v>
      </c>
      <c r="AF468" s="31">
        <v>0</v>
      </c>
      <c r="AG468" s="31">
        <v>0</v>
      </c>
      <c r="AH468" s="31">
        <v>0</v>
      </c>
      <c r="AI468" s="31">
        <v>0</v>
      </c>
      <c r="AJ468" s="31">
        <v>0</v>
      </c>
      <c r="AK468" s="31">
        <v>0</v>
      </c>
      <c r="AL468" s="31">
        <v>0</v>
      </c>
      <c r="AM468" s="31">
        <v>0</v>
      </c>
      <c r="AN468" s="31">
        <v>0</v>
      </c>
      <c r="AO468" s="31">
        <v>0</v>
      </c>
      <c r="AP468" s="31">
        <v>0</v>
      </c>
    </row>
    <row r="469" spans="1:42" x14ac:dyDescent="0.25">
      <c r="A469" s="31">
        <v>9</v>
      </c>
      <c r="B469" s="31">
        <v>13809</v>
      </c>
      <c r="C469" s="31">
        <v>2</v>
      </c>
      <c r="D469" s="31" t="s">
        <v>794</v>
      </c>
      <c r="E469" s="31"/>
      <c r="F469" s="31">
        <v>0</v>
      </c>
      <c r="G469" s="31">
        <v>0</v>
      </c>
      <c r="H469" s="31">
        <v>0</v>
      </c>
      <c r="I469" s="31">
        <v>0</v>
      </c>
      <c r="J469" s="31">
        <v>0</v>
      </c>
      <c r="K469" s="31" t="s">
        <v>882</v>
      </c>
      <c r="L469" s="2" t="str">
        <f t="shared" si="56"/>
        <v>Рихтовка</v>
      </c>
      <c r="M469" s="12">
        <f t="shared" si="57"/>
        <v>0</v>
      </c>
      <c r="N469" s="12">
        <f t="shared" si="58"/>
        <v>0</v>
      </c>
      <c r="O469" s="12">
        <f t="shared" si="59"/>
        <v>0</v>
      </c>
      <c r="P469" s="12">
        <f t="shared" si="60"/>
        <v>0</v>
      </c>
      <c r="Q469" s="12">
        <f t="shared" si="61"/>
        <v>0</v>
      </c>
      <c r="R469" s="12">
        <f t="shared" si="62"/>
        <v>0</v>
      </c>
      <c r="S469" s="12">
        <f t="shared" si="63"/>
        <v>0</v>
      </c>
      <c r="T469" s="31">
        <v>0</v>
      </c>
      <c r="U469" s="31">
        <v>0</v>
      </c>
      <c r="V469" s="31">
        <v>0</v>
      </c>
      <c r="W469" s="31">
        <v>0</v>
      </c>
      <c r="X469" s="31">
        <v>0</v>
      </c>
      <c r="Y469" s="31">
        <v>0</v>
      </c>
      <c r="Z469" s="31">
        <v>0</v>
      </c>
      <c r="AA469" s="31">
        <v>0</v>
      </c>
      <c r="AB469" s="31">
        <v>0</v>
      </c>
      <c r="AC469" s="31">
        <v>0</v>
      </c>
      <c r="AD469" s="31">
        <v>0</v>
      </c>
      <c r="AE469" s="31">
        <v>0</v>
      </c>
      <c r="AF469" s="31">
        <v>0</v>
      </c>
      <c r="AG469" s="31">
        <v>0</v>
      </c>
      <c r="AH469" s="31">
        <v>0</v>
      </c>
      <c r="AI469" s="31">
        <v>0</v>
      </c>
      <c r="AJ469" s="31">
        <v>0</v>
      </c>
      <c r="AK469" s="31">
        <v>0</v>
      </c>
      <c r="AL469" s="31">
        <v>0</v>
      </c>
      <c r="AM469" s="31">
        <v>0</v>
      </c>
      <c r="AN469" s="31">
        <v>0</v>
      </c>
      <c r="AO469" s="31">
        <v>0</v>
      </c>
      <c r="AP469" s="31">
        <v>0</v>
      </c>
    </row>
    <row r="470" spans="1:42" x14ac:dyDescent="0.25">
      <c r="A470" s="31">
        <v>10</v>
      </c>
      <c r="B470" s="31">
        <v>13809</v>
      </c>
      <c r="C470" s="31">
        <v>1</v>
      </c>
      <c r="D470" s="31" t="s">
        <v>795</v>
      </c>
      <c r="E470" s="31"/>
      <c r="F470" s="31">
        <v>0</v>
      </c>
      <c r="G470" s="31">
        <v>0</v>
      </c>
      <c r="H470" s="31">
        <v>0</v>
      </c>
      <c r="I470" s="31">
        <v>0</v>
      </c>
      <c r="J470" s="31">
        <v>0</v>
      </c>
      <c r="K470" s="31" t="s">
        <v>882</v>
      </c>
      <c r="L470" s="2" t="str">
        <f t="shared" si="56"/>
        <v>Рихтовка</v>
      </c>
      <c r="M470" s="12">
        <f t="shared" si="57"/>
        <v>0</v>
      </c>
      <c r="N470" s="12">
        <f t="shared" si="58"/>
        <v>0</v>
      </c>
      <c r="O470" s="12">
        <f t="shared" si="59"/>
        <v>0</v>
      </c>
      <c r="P470" s="12">
        <f t="shared" si="60"/>
        <v>0</v>
      </c>
      <c r="Q470" s="12">
        <f t="shared" si="61"/>
        <v>0</v>
      </c>
      <c r="R470" s="12">
        <f t="shared" si="62"/>
        <v>0</v>
      </c>
      <c r="S470" s="12">
        <f t="shared" si="63"/>
        <v>0</v>
      </c>
      <c r="T470" s="31">
        <v>0</v>
      </c>
      <c r="U470" s="31">
        <v>0</v>
      </c>
      <c r="V470" s="31">
        <v>0</v>
      </c>
      <c r="W470" s="31">
        <v>0</v>
      </c>
      <c r="X470" s="31">
        <v>0</v>
      </c>
      <c r="Y470" s="31">
        <v>0</v>
      </c>
      <c r="Z470" s="31">
        <v>0</v>
      </c>
      <c r="AA470" s="31">
        <v>0</v>
      </c>
      <c r="AB470" s="31">
        <v>0</v>
      </c>
      <c r="AC470" s="31">
        <v>0</v>
      </c>
      <c r="AD470" s="31">
        <v>0</v>
      </c>
      <c r="AE470" s="31">
        <v>0</v>
      </c>
      <c r="AF470" s="31">
        <v>0</v>
      </c>
      <c r="AG470" s="31">
        <v>0</v>
      </c>
      <c r="AH470" s="31">
        <v>0</v>
      </c>
      <c r="AI470" s="31">
        <v>0</v>
      </c>
      <c r="AJ470" s="31">
        <v>0</v>
      </c>
      <c r="AK470" s="31">
        <v>0</v>
      </c>
      <c r="AL470" s="31">
        <v>0</v>
      </c>
      <c r="AM470" s="31">
        <v>0</v>
      </c>
      <c r="AN470" s="31">
        <v>0</v>
      </c>
      <c r="AO470" s="31">
        <v>0</v>
      </c>
      <c r="AP470" s="31">
        <v>0</v>
      </c>
    </row>
    <row r="471" spans="1:42" x14ac:dyDescent="0.25">
      <c r="A471" s="31">
        <v>10</v>
      </c>
      <c r="B471" s="31">
        <v>13809</v>
      </c>
      <c r="C471" s="31">
        <v>2</v>
      </c>
      <c r="D471" s="31" t="s">
        <v>795</v>
      </c>
      <c r="E471" s="31"/>
      <c r="F471" s="31">
        <v>0</v>
      </c>
      <c r="G471" s="31">
        <v>0</v>
      </c>
      <c r="H471" s="31">
        <v>0</v>
      </c>
      <c r="I471" s="31">
        <v>0</v>
      </c>
      <c r="J471" s="31">
        <v>0</v>
      </c>
      <c r="K471" s="31" t="s">
        <v>882</v>
      </c>
      <c r="L471" s="2" t="str">
        <f t="shared" si="56"/>
        <v>Рихтовка</v>
      </c>
      <c r="M471" s="12">
        <f t="shared" si="57"/>
        <v>0</v>
      </c>
      <c r="N471" s="12">
        <f t="shared" si="58"/>
        <v>0</v>
      </c>
      <c r="O471" s="12">
        <f t="shared" si="59"/>
        <v>0</v>
      </c>
      <c r="P471" s="12">
        <f t="shared" si="60"/>
        <v>0</v>
      </c>
      <c r="Q471" s="12">
        <f t="shared" si="61"/>
        <v>0</v>
      </c>
      <c r="R471" s="12">
        <f t="shared" si="62"/>
        <v>0</v>
      </c>
      <c r="S471" s="12">
        <f t="shared" si="63"/>
        <v>0</v>
      </c>
      <c r="T471" s="31">
        <v>0</v>
      </c>
      <c r="U471" s="31">
        <v>0</v>
      </c>
      <c r="V471" s="31">
        <v>0</v>
      </c>
      <c r="W471" s="31">
        <v>0</v>
      </c>
      <c r="X471" s="31">
        <v>0</v>
      </c>
      <c r="Y471" s="31">
        <v>0</v>
      </c>
      <c r="Z471" s="31">
        <v>0</v>
      </c>
      <c r="AA471" s="31">
        <v>0</v>
      </c>
      <c r="AB471" s="31">
        <v>0</v>
      </c>
      <c r="AC471" s="31">
        <v>0</v>
      </c>
      <c r="AD471" s="31">
        <v>0</v>
      </c>
      <c r="AE471" s="31">
        <v>0</v>
      </c>
      <c r="AF471" s="31">
        <v>0</v>
      </c>
      <c r="AG471" s="31">
        <v>0</v>
      </c>
      <c r="AH471" s="31">
        <v>0</v>
      </c>
      <c r="AI471" s="31">
        <v>0</v>
      </c>
      <c r="AJ471" s="31">
        <v>0</v>
      </c>
      <c r="AK471" s="31">
        <v>0</v>
      </c>
      <c r="AL471" s="31">
        <v>0</v>
      </c>
      <c r="AM471" s="31">
        <v>0</v>
      </c>
      <c r="AN471" s="31">
        <v>0</v>
      </c>
      <c r="AO471" s="31">
        <v>0</v>
      </c>
      <c r="AP471" s="31">
        <v>0</v>
      </c>
    </row>
    <row r="472" spans="1:42" x14ac:dyDescent="0.25">
      <c r="A472" s="31">
        <v>10</v>
      </c>
      <c r="B472" s="31">
        <v>13809</v>
      </c>
      <c r="C472" s="31" t="s">
        <v>425</v>
      </c>
      <c r="D472" s="31" t="s">
        <v>795</v>
      </c>
      <c r="E472" s="31"/>
      <c r="F472" s="31">
        <v>0</v>
      </c>
      <c r="G472" s="31">
        <v>0</v>
      </c>
      <c r="H472" s="31">
        <v>0</v>
      </c>
      <c r="I472" s="31">
        <v>0</v>
      </c>
      <c r="J472" s="31">
        <v>0</v>
      </c>
      <c r="K472" s="31" t="s">
        <v>882</v>
      </c>
      <c r="L472" s="2" t="str">
        <f t="shared" si="56"/>
        <v>Рихтовка</v>
      </c>
      <c r="M472" s="12">
        <f t="shared" si="57"/>
        <v>0</v>
      </c>
      <c r="N472" s="12">
        <f t="shared" si="58"/>
        <v>0</v>
      </c>
      <c r="O472" s="12">
        <f t="shared" si="59"/>
        <v>0</v>
      </c>
      <c r="P472" s="12">
        <f t="shared" si="60"/>
        <v>0</v>
      </c>
      <c r="Q472" s="12">
        <f t="shared" si="61"/>
        <v>0</v>
      </c>
      <c r="R472" s="12">
        <f t="shared" si="62"/>
        <v>0</v>
      </c>
      <c r="S472" s="12">
        <f t="shared" si="63"/>
        <v>0</v>
      </c>
      <c r="T472" s="31">
        <v>0</v>
      </c>
      <c r="U472" s="31">
        <v>0</v>
      </c>
      <c r="V472" s="31">
        <v>0</v>
      </c>
      <c r="W472" s="31">
        <v>0</v>
      </c>
      <c r="X472" s="31">
        <v>0</v>
      </c>
      <c r="Y472" s="31">
        <v>0</v>
      </c>
      <c r="Z472" s="31">
        <v>0</v>
      </c>
      <c r="AA472" s="31">
        <v>0</v>
      </c>
      <c r="AB472" s="31">
        <v>0</v>
      </c>
      <c r="AC472" s="31">
        <v>0</v>
      </c>
      <c r="AD472" s="31">
        <v>0</v>
      </c>
      <c r="AE472" s="31">
        <v>0</v>
      </c>
      <c r="AF472" s="31">
        <v>0</v>
      </c>
      <c r="AG472" s="31">
        <v>0</v>
      </c>
      <c r="AH472" s="31">
        <v>0</v>
      </c>
      <c r="AI472" s="31">
        <v>0</v>
      </c>
      <c r="AJ472" s="31">
        <v>0</v>
      </c>
      <c r="AK472" s="31">
        <v>0</v>
      </c>
      <c r="AL472" s="31">
        <v>0</v>
      </c>
      <c r="AM472" s="31">
        <v>0</v>
      </c>
      <c r="AN472" s="31">
        <v>0</v>
      </c>
      <c r="AO472" s="31">
        <v>0</v>
      </c>
      <c r="AP472" s="31">
        <v>0</v>
      </c>
    </row>
    <row r="473" spans="1:42" x14ac:dyDescent="0.25">
      <c r="A473" s="31">
        <v>10</v>
      </c>
      <c r="B473" s="31">
        <v>25101</v>
      </c>
      <c r="C473" s="31" t="s">
        <v>217</v>
      </c>
      <c r="D473" s="31" t="s">
        <v>796</v>
      </c>
      <c r="E473" s="31"/>
      <c r="F473" s="31">
        <v>0</v>
      </c>
      <c r="G473" s="31">
        <v>0</v>
      </c>
      <c r="H473" s="31">
        <v>0</v>
      </c>
      <c r="I473" s="31">
        <v>0</v>
      </c>
      <c r="J473" s="31">
        <v>0</v>
      </c>
      <c r="K473" s="31" t="s">
        <v>882</v>
      </c>
      <c r="L473" s="2" t="str">
        <f t="shared" si="56"/>
        <v>Рихтовка</v>
      </c>
      <c r="M473" s="12">
        <f t="shared" si="57"/>
        <v>0</v>
      </c>
      <c r="N473" s="12">
        <f t="shared" si="58"/>
        <v>0</v>
      </c>
      <c r="O473" s="12">
        <f t="shared" si="59"/>
        <v>0</v>
      </c>
      <c r="P473" s="12">
        <f t="shared" si="60"/>
        <v>0</v>
      </c>
      <c r="Q473" s="12">
        <f t="shared" si="61"/>
        <v>0</v>
      </c>
      <c r="R473" s="12">
        <f t="shared" si="62"/>
        <v>0</v>
      </c>
      <c r="S473" s="12">
        <f t="shared" si="63"/>
        <v>0</v>
      </c>
      <c r="T473" s="31">
        <v>0</v>
      </c>
      <c r="U473" s="31">
        <v>0</v>
      </c>
      <c r="V473" s="31">
        <v>0</v>
      </c>
      <c r="W473" s="31">
        <v>0</v>
      </c>
      <c r="X473" s="31">
        <v>0</v>
      </c>
      <c r="Y473" s="31">
        <v>0</v>
      </c>
      <c r="Z473" s="31">
        <v>0</v>
      </c>
      <c r="AA473" s="31">
        <v>0</v>
      </c>
      <c r="AB473" s="31">
        <v>0</v>
      </c>
      <c r="AC473" s="31">
        <v>0</v>
      </c>
      <c r="AD473" s="31">
        <v>0</v>
      </c>
      <c r="AE473" s="31">
        <v>0</v>
      </c>
      <c r="AF473" s="31">
        <v>0</v>
      </c>
      <c r="AG473" s="31">
        <v>0</v>
      </c>
      <c r="AH473" s="31">
        <v>0</v>
      </c>
      <c r="AI473" s="31">
        <v>0</v>
      </c>
      <c r="AJ473" s="31">
        <v>0</v>
      </c>
      <c r="AK473" s="31">
        <v>0</v>
      </c>
      <c r="AL473" s="31">
        <v>0</v>
      </c>
      <c r="AM473" s="31">
        <v>0</v>
      </c>
      <c r="AN473" s="31">
        <v>0</v>
      </c>
      <c r="AO473" s="31">
        <v>0</v>
      </c>
      <c r="AP473" s="31">
        <v>0</v>
      </c>
    </row>
    <row r="474" spans="1:42" x14ac:dyDescent="0.25">
      <c r="A474" s="31">
        <v>10</v>
      </c>
      <c r="B474" s="31">
        <v>25101</v>
      </c>
      <c r="C474" s="31" t="s">
        <v>217</v>
      </c>
      <c r="D474" s="31" t="s">
        <v>797</v>
      </c>
      <c r="E474" s="31"/>
      <c r="F474" s="31">
        <v>0</v>
      </c>
      <c r="G474" s="31">
        <v>0</v>
      </c>
      <c r="H474" s="31">
        <v>0</v>
      </c>
      <c r="I474" s="31">
        <v>0</v>
      </c>
      <c r="J474" s="31">
        <v>0</v>
      </c>
      <c r="K474" s="31" t="s">
        <v>882</v>
      </c>
      <c r="L474" s="2" t="str">
        <f t="shared" si="56"/>
        <v>Рихтовка</v>
      </c>
      <c r="M474" s="12">
        <f t="shared" si="57"/>
        <v>0</v>
      </c>
      <c r="N474" s="12">
        <f t="shared" si="58"/>
        <v>0</v>
      </c>
      <c r="O474" s="12">
        <f t="shared" si="59"/>
        <v>0</v>
      </c>
      <c r="P474" s="12">
        <f t="shared" si="60"/>
        <v>0</v>
      </c>
      <c r="Q474" s="12">
        <f t="shared" si="61"/>
        <v>0</v>
      </c>
      <c r="R474" s="12">
        <f t="shared" si="62"/>
        <v>0</v>
      </c>
      <c r="S474" s="12">
        <f t="shared" si="63"/>
        <v>0</v>
      </c>
      <c r="T474" s="31">
        <v>0</v>
      </c>
      <c r="U474" s="31">
        <v>0</v>
      </c>
      <c r="V474" s="31">
        <v>0</v>
      </c>
      <c r="W474" s="31">
        <v>0</v>
      </c>
      <c r="X474" s="31">
        <v>0</v>
      </c>
      <c r="Y474" s="31">
        <v>0</v>
      </c>
      <c r="Z474" s="31">
        <v>0</v>
      </c>
      <c r="AA474" s="31">
        <v>0</v>
      </c>
      <c r="AB474" s="31">
        <v>0</v>
      </c>
      <c r="AC474" s="31">
        <v>0</v>
      </c>
      <c r="AD474" s="31">
        <v>0</v>
      </c>
      <c r="AE474" s="31">
        <v>0</v>
      </c>
      <c r="AF474" s="31">
        <v>0</v>
      </c>
      <c r="AG474" s="31">
        <v>0</v>
      </c>
      <c r="AH474" s="31">
        <v>0</v>
      </c>
      <c r="AI474" s="31">
        <v>0</v>
      </c>
      <c r="AJ474" s="31">
        <v>0</v>
      </c>
      <c r="AK474" s="31">
        <v>0</v>
      </c>
      <c r="AL474" s="31">
        <v>0</v>
      </c>
      <c r="AM474" s="31">
        <v>0</v>
      </c>
      <c r="AN474" s="31">
        <v>0</v>
      </c>
      <c r="AO474" s="31">
        <v>0</v>
      </c>
      <c r="AP474" s="31">
        <v>0</v>
      </c>
    </row>
    <row r="475" spans="1:42" x14ac:dyDescent="0.25">
      <c r="A475" s="31">
        <v>10</v>
      </c>
      <c r="B475" s="31">
        <v>25101</v>
      </c>
      <c r="C475" s="31" t="s">
        <v>217</v>
      </c>
      <c r="D475" s="31" t="s">
        <v>798</v>
      </c>
      <c r="E475" s="31"/>
      <c r="F475" s="31">
        <v>0</v>
      </c>
      <c r="G475" s="31">
        <v>0</v>
      </c>
      <c r="H475" s="31">
        <v>0</v>
      </c>
      <c r="I475" s="31">
        <v>0</v>
      </c>
      <c r="J475" s="31">
        <v>0</v>
      </c>
      <c r="K475" s="31" t="s">
        <v>882</v>
      </c>
      <c r="L475" s="2" t="str">
        <f t="shared" si="56"/>
        <v>Рихтовка</v>
      </c>
      <c r="M475" s="12">
        <f t="shared" si="57"/>
        <v>0</v>
      </c>
      <c r="N475" s="12">
        <f t="shared" si="58"/>
        <v>0</v>
      </c>
      <c r="O475" s="12">
        <f t="shared" si="59"/>
        <v>0</v>
      </c>
      <c r="P475" s="12">
        <f t="shared" si="60"/>
        <v>0</v>
      </c>
      <c r="Q475" s="12">
        <f t="shared" si="61"/>
        <v>0</v>
      </c>
      <c r="R475" s="12">
        <f t="shared" si="62"/>
        <v>0</v>
      </c>
      <c r="S475" s="12">
        <f t="shared" si="63"/>
        <v>0</v>
      </c>
      <c r="T475" s="31">
        <v>0</v>
      </c>
      <c r="U475" s="31">
        <v>0</v>
      </c>
      <c r="V475" s="31">
        <v>0</v>
      </c>
      <c r="W475" s="31">
        <v>0</v>
      </c>
      <c r="X475" s="31">
        <v>0</v>
      </c>
      <c r="Y475" s="31">
        <v>0</v>
      </c>
      <c r="Z475" s="31">
        <v>0</v>
      </c>
      <c r="AA475" s="31">
        <v>0</v>
      </c>
      <c r="AB475" s="31">
        <v>0</v>
      </c>
      <c r="AC475" s="31">
        <v>0</v>
      </c>
      <c r="AD475" s="31">
        <v>0</v>
      </c>
      <c r="AE475" s="31">
        <v>0</v>
      </c>
      <c r="AF475" s="31">
        <v>0</v>
      </c>
      <c r="AG475" s="31">
        <v>0</v>
      </c>
      <c r="AH475" s="31">
        <v>0</v>
      </c>
      <c r="AI475" s="31">
        <v>0</v>
      </c>
      <c r="AJ475" s="31">
        <v>0</v>
      </c>
      <c r="AK475" s="31">
        <v>0</v>
      </c>
      <c r="AL475" s="31">
        <v>0</v>
      </c>
      <c r="AM475" s="31">
        <v>0</v>
      </c>
      <c r="AN475" s="31">
        <v>0</v>
      </c>
      <c r="AO475" s="31">
        <v>0</v>
      </c>
      <c r="AP475" s="31">
        <v>0</v>
      </c>
    </row>
    <row r="476" spans="1:42" x14ac:dyDescent="0.25">
      <c r="A476" s="31">
        <v>10</v>
      </c>
      <c r="B476" s="31">
        <v>25101</v>
      </c>
      <c r="C476" s="31" t="s">
        <v>217</v>
      </c>
      <c r="D476" s="31" t="s">
        <v>799</v>
      </c>
      <c r="E476" s="31"/>
      <c r="F476" s="31">
        <v>0</v>
      </c>
      <c r="G476" s="31">
        <v>0</v>
      </c>
      <c r="H476" s="31">
        <v>0</v>
      </c>
      <c r="I476" s="31">
        <v>0</v>
      </c>
      <c r="J476" s="31">
        <v>0</v>
      </c>
      <c r="K476" s="31" t="s">
        <v>882</v>
      </c>
      <c r="L476" s="2" t="str">
        <f t="shared" si="56"/>
        <v>Рихтовка</v>
      </c>
      <c r="M476" s="12">
        <f t="shared" si="57"/>
        <v>0</v>
      </c>
      <c r="N476" s="12">
        <f t="shared" si="58"/>
        <v>0</v>
      </c>
      <c r="O476" s="12">
        <f t="shared" si="59"/>
        <v>0</v>
      </c>
      <c r="P476" s="12">
        <f t="shared" si="60"/>
        <v>0</v>
      </c>
      <c r="Q476" s="12">
        <f t="shared" si="61"/>
        <v>0</v>
      </c>
      <c r="R476" s="12">
        <f t="shared" si="62"/>
        <v>0</v>
      </c>
      <c r="S476" s="12">
        <f t="shared" si="63"/>
        <v>0</v>
      </c>
      <c r="T476" s="31">
        <v>0</v>
      </c>
      <c r="U476" s="31">
        <v>0</v>
      </c>
      <c r="V476" s="31">
        <v>0</v>
      </c>
      <c r="W476" s="31">
        <v>0</v>
      </c>
      <c r="X476" s="31">
        <v>0</v>
      </c>
      <c r="Y476" s="31">
        <v>0</v>
      </c>
      <c r="Z476" s="31">
        <v>0</v>
      </c>
      <c r="AA476" s="31">
        <v>0</v>
      </c>
      <c r="AB476" s="31">
        <v>0</v>
      </c>
      <c r="AC476" s="31">
        <v>0</v>
      </c>
      <c r="AD476" s="31">
        <v>0</v>
      </c>
      <c r="AE476" s="31">
        <v>0</v>
      </c>
      <c r="AF476" s="31">
        <v>0</v>
      </c>
      <c r="AG476" s="31">
        <v>0</v>
      </c>
      <c r="AH476" s="31">
        <v>0</v>
      </c>
      <c r="AI476" s="31">
        <v>0</v>
      </c>
      <c r="AJ476" s="31">
        <v>0</v>
      </c>
      <c r="AK476" s="31">
        <v>0</v>
      </c>
      <c r="AL476" s="31">
        <v>0</v>
      </c>
      <c r="AM476" s="31">
        <v>0</v>
      </c>
      <c r="AN476" s="31">
        <v>0</v>
      </c>
      <c r="AO476" s="31">
        <v>0</v>
      </c>
      <c r="AP476" s="31">
        <v>0</v>
      </c>
    </row>
    <row r="477" spans="1:42" x14ac:dyDescent="0.25">
      <c r="A477" s="31">
        <v>10</v>
      </c>
      <c r="B477" s="31">
        <v>25101</v>
      </c>
      <c r="C477" s="31" t="s">
        <v>217</v>
      </c>
      <c r="D477" s="31" t="s">
        <v>800</v>
      </c>
      <c r="E477" s="31"/>
      <c r="F477" s="31">
        <v>0</v>
      </c>
      <c r="G477" s="31">
        <v>0</v>
      </c>
      <c r="H477" s="31">
        <v>0</v>
      </c>
      <c r="I477" s="31">
        <v>0</v>
      </c>
      <c r="J477" s="31">
        <v>0</v>
      </c>
      <c r="K477" s="31" t="s">
        <v>882</v>
      </c>
      <c r="L477" s="2" t="str">
        <f t="shared" si="56"/>
        <v>Рихтовка</v>
      </c>
      <c r="M477" s="12">
        <f t="shared" si="57"/>
        <v>0</v>
      </c>
      <c r="N477" s="12">
        <f t="shared" si="58"/>
        <v>0</v>
      </c>
      <c r="O477" s="12">
        <f t="shared" si="59"/>
        <v>0</v>
      </c>
      <c r="P477" s="12">
        <f t="shared" si="60"/>
        <v>0</v>
      </c>
      <c r="Q477" s="12">
        <f t="shared" si="61"/>
        <v>0</v>
      </c>
      <c r="R477" s="12">
        <f t="shared" si="62"/>
        <v>0</v>
      </c>
      <c r="S477" s="12">
        <f t="shared" si="63"/>
        <v>0</v>
      </c>
      <c r="T477" s="31">
        <v>0</v>
      </c>
      <c r="U477" s="31">
        <v>0</v>
      </c>
      <c r="V477" s="31">
        <v>0</v>
      </c>
      <c r="W477" s="31">
        <v>0</v>
      </c>
      <c r="X477" s="31">
        <v>0</v>
      </c>
      <c r="Y477" s="31">
        <v>0</v>
      </c>
      <c r="Z477" s="31">
        <v>0</v>
      </c>
      <c r="AA477" s="31">
        <v>0</v>
      </c>
      <c r="AB477" s="31">
        <v>0</v>
      </c>
      <c r="AC477" s="31">
        <v>0</v>
      </c>
      <c r="AD477" s="31">
        <v>0</v>
      </c>
      <c r="AE477" s="31">
        <v>0</v>
      </c>
      <c r="AF477" s="31">
        <v>0</v>
      </c>
      <c r="AG477" s="31">
        <v>0</v>
      </c>
      <c r="AH477" s="31">
        <v>0</v>
      </c>
      <c r="AI477" s="31">
        <v>0</v>
      </c>
      <c r="AJ477" s="31">
        <v>0</v>
      </c>
      <c r="AK477" s="31">
        <v>0</v>
      </c>
      <c r="AL477" s="31">
        <v>0</v>
      </c>
      <c r="AM477" s="31">
        <v>0</v>
      </c>
      <c r="AN477" s="31">
        <v>0</v>
      </c>
      <c r="AO477" s="31">
        <v>0</v>
      </c>
      <c r="AP477" s="31">
        <v>0</v>
      </c>
    </row>
    <row r="478" spans="1:42" x14ac:dyDescent="0.25">
      <c r="A478" s="31">
        <v>10</v>
      </c>
      <c r="B478" s="31">
        <v>25101</v>
      </c>
      <c r="C478" s="31" t="s">
        <v>217</v>
      </c>
      <c r="D478" s="31" t="s">
        <v>801</v>
      </c>
      <c r="E478" s="31"/>
      <c r="F478" s="31">
        <v>0</v>
      </c>
      <c r="G478" s="31">
        <v>0</v>
      </c>
      <c r="H478" s="31">
        <v>0</v>
      </c>
      <c r="I478" s="31">
        <v>0</v>
      </c>
      <c r="J478" s="31">
        <v>0</v>
      </c>
      <c r="K478" s="31" t="s">
        <v>882</v>
      </c>
      <c r="L478" s="2" t="str">
        <f t="shared" si="56"/>
        <v>Рихтовка</v>
      </c>
      <c r="M478" s="12">
        <f t="shared" si="57"/>
        <v>0</v>
      </c>
      <c r="N478" s="12">
        <f t="shared" si="58"/>
        <v>0</v>
      </c>
      <c r="O478" s="12">
        <f t="shared" si="59"/>
        <v>0</v>
      </c>
      <c r="P478" s="12">
        <f t="shared" si="60"/>
        <v>0</v>
      </c>
      <c r="Q478" s="12">
        <f t="shared" si="61"/>
        <v>0</v>
      </c>
      <c r="R478" s="12">
        <f t="shared" si="62"/>
        <v>0</v>
      </c>
      <c r="S478" s="12">
        <f t="shared" si="63"/>
        <v>0</v>
      </c>
      <c r="T478" s="31">
        <v>0</v>
      </c>
      <c r="U478" s="31">
        <v>0</v>
      </c>
      <c r="V478" s="31">
        <v>0</v>
      </c>
      <c r="W478" s="31">
        <v>0</v>
      </c>
      <c r="X478" s="31">
        <v>0</v>
      </c>
      <c r="Y478" s="31">
        <v>0</v>
      </c>
      <c r="Z478" s="31">
        <v>0</v>
      </c>
      <c r="AA478" s="31">
        <v>0</v>
      </c>
      <c r="AB478" s="31">
        <v>0</v>
      </c>
      <c r="AC478" s="31">
        <v>0</v>
      </c>
      <c r="AD478" s="31">
        <v>0</v>
      </c>
      <c r="AE478" s="31">
        <v>0</v>
      </c>
      <c r="AF478" s="31">
        <v>0</v>
      </c>
      <c r="AG478" s="31">
        <v>0</v>
      </c>
      <c r="AH478" s="31">
        <v>0</v>
      </c>
      <c r="AI478" s="31">
        <v>0</v>
      </c>
      <c r="AJ478" s="31">
        <v>0</v>
      </c>
      <c r="AK478" s="31">
        <v>0</v>
      </c>
      <c r="AL478" s="31">
        <v>0</v>
      </c>
      <c r="AM478" s="31">
        <v>0</v>
      </c>
      <c r="AN478" s="31">
        <v>0</v>
      </c>
      <c r="AO478" s="31">
        <v>0</v>
      </c>
      <c r="AP478" s="31">
        <v>0</v>
      </c>
    </row>
    <row r="479" spans="1:42" x14ac:dyDescent="0.25">
      <c r="A479" s="31">
        <v>10</v>
      </c>
      <c r="B479" s="31">
        <v>25101</v>
      </c>
      <c r="C479" s="31" t="s">
        <v>217</v>
      </c>
      <c r="D479" s="31" t="s">
        <v>802</v>
      </c>
      <c r="E479" s="31"/>
      <c r="F479" s="31">
        <v>0</v>
      </c>
      <c r="G479" s="31">
        <v>0</v>
      </c>
      <c r="H479" s="31">
        <v>0</v>
      </c>
      <c r="I479" s="31">
        <v>0</v>
      </c>
      <c r="J479" s="31">
        <v>0</v>
      </c>
      <c r="K479" s="31" t="s">
        <v>882</v>
      </c>
      <c r="L479" s="2" t="str">
        <f t="shared" si="56"/>
        <v>Рихтовка</v>
      </c>
      <c r="M479" s="12">
        <f t="shared" si="57"/>
        <v>0</v>
      </c>
      <c r="N479" s="12">
        <f t="shared" si="58"/>
        <v>0</v>
      </c>
      <c r="O479" s="12">
        <f t="shared" si="59"/>
        <v>0</v>
      </c>
      <c r="P479" s="12">
        <f t="shared" si="60"/>
        <v>0</v>
      </c>
      <c r="Q479" s="12">
        <f t="shared" si="61"/>
        <v>0</v>
      </c>
      <c r="R479" s="12">
        <f t="shared" si="62"/>
        <v>0</v>
      </c>
      <c r="S479" s="12">
        <f t="shared" si="63"/>
        <v>0</v>
      </c>
      <c r="T479" s="31">
        <v>0</v>
      </c>
      <c r="U479" s="31">
        <v>0</v>
      </c>
      <c r="V479" s="31">
        <v>0</v>
      </c>
      <c r="W479" s="31">
        <v>0</v>
      </c>
      <c r="X479" s="31">
        <v>0</v>
      </c>
      <c r="Y479" s="31">
        <v>0</v>
      </c>
      <c r="Z479" s="31">
        <v>0</v>
      </c>
      <c r="AA479" s="31">
        <v>0</v>
      </c>
      <c r="AB479" s="31">
        <v>0</v>
      </c>
      <c r="AC479" s="31">
        <v>0</v>
      </c>
      <c r="AD479" s="31">
        <v>0</v>
      </c>
      <c r="AE479" s="31">
        <v>0</v>
      </c>
      <c r="AF479" s="31">
        <v>0</v>
      </c>
      <c r="AG479" s="31">
        <v>0</v>
      </c>
      <c r="AH479" s="31">
        <v>0</v>
      </c>
      <c r="AI479" s="31">
        <v>0</v>
      </c>
      <c r="AJ479" s="31">
        <v>0</v>
      </c>
      <c r="AK479" s="31">
        <v>0</v>
      </c>
      <c r="AL479" s="31">
        <v>0</v>
      </c>
      <c r="AM479" s="31">
        <v>0</v>
      </c>
      <c r="AN479" s="31">
        <v>0</v>
      </c>
      <c r="AO479" s="31">
        <v>0</v>
      </c>
      <c r="AP479" s="31">
        <v>0</v>
      </c>
    </row>
    <row r="480" spans="1:42" x14ac:dyDescent="0.25">
      <c r="A480" s="31">
        <v>10</v>
      </c>
      <c r="B480" s="31">
        <v>25101</v>
      </c>
      <c r="C480" s="31" t="s">
        <v>217</v>
      </c>
      <c r="D480" s="31" t="s">
        <v>803</v>
      </c>
      <c r="E480" s="31"/>
      <c r="F480" s="31">
        <v>0</v>
      </c>
      <c r="G480" s="31">
        <v>0</v>
      </c>
      <c r="H480" s="31">
        <v>0</v>
      </c>
      <c r="I480" s="31">
        <v>0</v>
      </c>
      <c r="J480" s="31">
        <v>0</v>
      </c>
      <c r="K480" s="31" t="s">
        <v>882</v>
      </c>
      <c r="L480" s="2" t="str">
        <f t="shared" si="56"/>
        <v>Рихтовка</v>
      </c>
      <c r="M480" s="12">
        <f t="shared" si="57"/>
        <v>0</v>
      </c>
      <c r="N480" s="12">
        <f t="shared" si="58"/>
        <v>0</v>
      </c>
      <c r="O480" s="12">
        <f t="shared" si="59"/>
        <v>0</v>
      </c>
      <c r="P480" s="12">
        <f t="shared" si="60"/>
        <v>0</v>
      </c>
      <c r="Q480" s="12">
        <f t="shared" si="61"/>
        <v>0</v>
      </c>
      <c r="R480" s="12">
        <f t="shared" si="62"/>
        <v>0</v>
      </c>
      <c r="S480" s="12">
        <f t="shared" si="63"/>
        <v>0</v>
      </c>
      <c r="T480" s="31">
        <v>0</v>
      </c>
      <c r="U480" s="31">
        <v>0</v>
      </c>
      <c r="V480" s="31">
        <v>0</v>
      </c>
      <c r="W480" s="31">
        <v>0</v>
      </c>
      <c r="X480" s="31">
        <v>0</v>
      </c>
      <c r="Y480" s="31">
        <v>0</v>
      </c>
      <c r="Z480" s="31">
        <v>0</v>
      </c>
      <c r="AA480" s="31">
        <v>0</v>
      </c>
      <c r="AB480" s="31">
        <v>0</v>
      </c>
      <c r="AC480" s="31">
        <v>0</v>
      </c>
      <c r="AD480" s="31">
        <v>0</v>
      </c>
      <c r="AE480" s="31">
        <v>0</v>
      </c>
      <c r="AF480" s="31">
        <v>0</v>
      </c>
      <c r="AG480" s="31">
        <v>0</v>
      </c>
      <c r="AH480" s="31">
        <v>0</v>
      </c>
      <c r="AI480" s="31">
        <v>0</v>
      </c>
      <c r="AJ480" s="31">
        <v>0</v>
      </c>
      <c r="AK480" s="31">
        <v>0</v>
      </c>
      <c r="AL480" s="31">
        <v>0</v>
      </c>
      <c r="AM480" s="31">
        <v>0</v>
      </c>
      <c r="AN480" s="31">
        <v>0</v>
      </c>
      <c r="AO480" s="31">
        <v>0</v>
      </c>
      <c r="AP480" s="31">
        <v>0</v>
      </c>
    </row>
    <row r="481" spans="1:42" x14ac:dyDescent="0.25">
      <c r="A481" s="31">
        <v>10</v>
      </c>
      <c r="B481" s="31">
        <v>25101</v>
      </c>
      <c r="C481" s="31" t="s">
        <v>217</v>
      </c>
      <c r="D481" s="31" t="s">
        <v>804</v>
      </c>
      <c r="E481" s="31"/>
      <c r="F481" s="31">
        <v>0</v>
      </c>
      <c r="G481" s="31">
        <v>0</v>
      </c>
      <c r="H481" s="31">
        <v>0</v>
      </c>
      <c r="I481" s="31">
        <v>0</v>
      </c>
      <c r="J481" s="31">
        <v>0</v>
      </c>
      <c r="K481" s="31" t="s">
        <v>882</v>
      </c>
      <c r="L481" s="2" t="str">
        <f t="shared" si="56"/>
        <v>Рихтовка</v>
      </c>
      <c r="M481" s="12">
        <f t="shared" si="57"/>
        <v>0</v>
      </c>
      <c r="N481" s="12">
        <f t="shared" si="58"/>
        <v>0</v>
      </c>
      <c r="O481" s="12">
        <f t="shared" si="59"/>
        <v>0</v>
      </c>
      <c r="P481" s="12">
        <f t="shared" si="60"/>
        <v>0</v>
      </c>
      <c r="Q481" s="12">
        <f t="shared" si="61"/>
        <v>0</v>
      </c>
      <c r="R481" s="12">
        <f t="shared" si="62"/>
        <v>0</v>
      </c>
      <c r="S481" s="12">
        <f t="shared" si="63"/>
        <v>0</v>
      </c>
      <c r="T481" s="31">
        <v>0</v>
      </c>
      <c r="U481" s="31">
        <v>0</v>
      </c>
      <c r="V481" s="31">
        <v>0</v>
      </c>
      <c r="W481" s="31">
        <v>0</v>
      </c>
      <c r="X481" s="31">
        <v>0</v>
      </c>
      <c r="Y481" s="31">
        <v>0</v>
      </c>
      <c r="Z481" s="31">
        <v>0</v>
      </c>
      <c r="AA481" s="31">
        <v>0</v>
      </c>
      <c r="AB481" s="31">
        <v>0</v>
      </c>
      <c r="AC481" s="31">
        <v>0</v>
      </c>
      <c r="AD481" s="31">
        <v>0</v>
      </c>
      <c r="AE481" s="31">
        <v>0</v>
      </c>
      <c r="AF481" s="31">
        <v>0</v>
      </c>
      <c r="AG481" s="31">
        <v>0</v>
      </c>
      <c r="AH481" s="31">
        <v>0</v>
      </c>
      <c r="AI481" s="31">
        <v>0</v>
      </c>
      <c r="AJ481" s="31">
        <v>0</v>
      </c>
      <c r="AK481" s="31">
        <v>0</v>
      </c>
      <c r="AL481" s="31">
        <v>0</v>
      </c>
      <c r="AM481" s="31">
        <v>0</v>
      </c>
      <c r="AN481" s="31">
        <v>0</v>
      </c>
      <c r="AO481" s="31">
        <v>0</v>
      </c>
      <c r="AP481" s="31">
        <v>0</v>
      </c>
    </row>
    <row r="482" spans="1:42" x14ac:dyDescent="0.25">
      <c r="A482" s="31">
        <v>10</v>
      </c>
      <c r="B482" s="31">
        <v>25101</v>
      </c>
      <c r="C482" s="31" t="s">
        <v>217</v>
      </c>
      <c r="D482" s="31" t="s">
        <v>805</v>
      </c>
      <c r="E482" s="31"/>
      <c r="F482" s="31">
        <v>0</v>
      </c>
      <c r="G482" s="31">
        <v>0</v>
      </c>
      <c r="H482" s="31">
        <v>0</v>
      </c>
      <c r="I482" s="31">
        <v>0</v>
      </c>
      <c r="J482" s="31">
        <v>0</v>
      </c>
      <c r="K482" s="31" t="s">
        <v>882</v>
      </c>
      <c r="L482" s="2" t="str">
        <f t="shared" si="56"/>
        <v>Рихтовка</v>
      </c>
      <c r="M482" s="12">
        <f t="shared" si="57"/>
        <v>0</v>
      </c>
      <c r="N482" s="12">
        <f t="shared" si="58"/>
        <v>0</v>
      </c>
      <c r="O482" s="12">
        <f t="shared" si="59"/>
        <v>0</v>
      </c>
      <c r="P482" s="12">
        <f t="shared" si="60"/>
        <v>0</v>
      </c>
      <c r="Q482" s="12">
        <f t="shared" si="61"/>
        <v>0</v>
      </c>
      <c r="R482" s="12">
        <f t="shared" si="62"/>
        <v>0</v>
      </c>
      <c r="S482" s="12">
        <f t="shared" si="63"/>
        <v>0</v>
      </c>
      <c r="T482" s="31">
        <v>0</v>
      </c>
      <c r="U482" s="31">
        <v>0</v>
      </c>
      <c r="V482" s="31">
        <v>0</v>
      </c>
      <c r="W482" s="31">
        <v>0</v>
      </c>
      <c r="X482" s="31">
        <v>0</v>
      </c>
      <c r="Y482" s="31">
        <v>0</v>
      </c>
      <c r="Z482" s="31">
        <v>0</v>
      </c>
      <c r="AA482" s="31">
        <v>0</v>
      </c>
      <c r="AB482" s="31">
        <v>0</v>
      </c>
      <c r="AC482" s="31">
        <v>0</v>
      </c>
      <c r="AD482" s="31">
        <v>0</v>
      </c>
      <c r="AE482" s="31">
        <v>0</v>
      </c>
      <c r="AF482" s="31">
        <v>0</v>
      </c>
      <c r="AG482" s="31">
        <v>0</v>
      </c>
      <c r="AH482" s="31">
        <v>0</v>
      </c>
      <c r="AI482" s="31">
        <v>0</v>
      </c>
      <c r="AJ482" s="31">
        <v>0</v>
      </c>
      <c r="AK482" s="31">
        <v>0</v>
      </c>
      <c r="AL482" s="31">
        <v>0</v>
      </c>
      <c r="AM482" s="31">
        <v>0</v>
      </c>
      <c r="AN482" s="31">
        <v>0</v>
      </c>
      <c r="AO482" s="31">
        <v>0</v>
      </c>
      <c r="AP482" s="31">
        <v>0</v>
      </c>
    </row>
    <row r="483" spans="1:42" x14ac:dyDescent="0.25">
      <c r="A483" s="31">
        <v>10</v>
      </c>
      <c r="B483" s="31">
        <v>25102</v>
      </c>
      <c r="C483" s="31" t="s">
        <v>217</v>
      </c>
      <c r="D483" s="31" t="s">
        <v>923</v>
      </c>
      <c r="E483" s="31"/>
      <c r="F483" s="31">
        <v>0</v>
      </c>
      <c r="G483" s="31">
        <v>0</v>
      </c>
      <c r="H483" s="31">
        <v>0</v>
      </c>
      <c r="I483" s="31">
        <v>0</v>
      </c>
      <c r="J483" s="31">
        <v>0</v>
      </c>
      <c r="K483" s="31" t="s">
        <v>882</v>
      </c>
      <c r="L483" s="2" t="str">
        <f t="shared" si="56"/>
        <v>Рихтовка</v>
      </c>
      <c r="M483" s="12">
        <f t="shared" si="57"/>
        <v>0</v>
      </c>
      <c r="N483" s="12">
        <f t="shared" si="58"/>
        <v>0</v>
      </c>
      <c r="O483" s="12">
        <f t="shared" si="59"/>
        <v>0</v>
      </c>
      <c r="P483" s="12">
        <f t="shared" si="60"/>
        <v>0</v>
      </c>
      <c r="Q483" s="12">
        <f t="shared" si="61"/>
        <v>0</v>
      </c>
      <c r="R483" s="12">
        <f t="shared" si="62"/>
        <v>0</v>
      </c>
      <c r="S483" s="12">
        <f t="shared" si="63"/>
        <v>0</v>
      </c>
      <c r="T483" s="31">
        <v>0</v>
      </c>
      <c r="U483" s="31">
        <v>0</v>
      </c>
      <c r="V483" s="31">
        <v>0</v>
      </c>
      <c r="W483" s="31">
        <v>0</v>
      </c>
      <c r="X483" s="31">
        <v>0</v>
      </c>
      <c r="Y483" s="31">
        <v>0</v>
      </c>
      <c r="Z483" s="31">
        <v>0</v>
      </c>
      <c r="AA483" s="31">
        <v>0</v>
      </c>
      <c r="AB483" s="31">
        <v>0</v>
      </c>
      <c r="AC483" s="31">
        <v>0</v>
      </c>
      <c r="AD483" s="31">
        <v>0</v>
      </c>
      <c r="AE483" s="31">
        <v>0</v>
      </c>
      <c r="AF483" s="31">
        <v>0</v>
      </c>
      <c r="AG483" s="31">
        <v>0</v>
      </c>
      <c r="AH483" s="31">
        <v>0</v>
      </c>
      <c r="AI483" s="31">
        <v>0</v>
      </c>
      <c r="AJ483" s="31">
        <v>0</v>
      </c>
      <c r="AK483" s="31">
        <v>0</v>
      </c>
      <c r="AL483" s="31">
        <v>0</v>
      </c>
      <c r="AM483" s="31">
        <v>0</v>
      </c>
      <c r="AN483" s="31">
        <v>0</v>
      </c>
      <c r="AO483" s="31">
        <v>0</v>
      </c>
      <c r="AP483" s="31">
        <v>0</v>
      </c>
    </row>
    <row r="484" spans="1:42" x14ac:dyDescent="0.25">
      <c r="A484" s="31">
        <v>10</v>
      </c>
      <c r="B484" s="31">
        <v>25137</v>
      </c>
      <c r="C484" s="31">
        <v>2</v>
      </c>
      <c r="D484" s="31" t="s">
        <v>924</v>
      </c>
      <c r="E484" s="31"/>
      <c r="F484" s="31">
        <v>0</v>
      </c>
      <c r="G484" s="31">
        <v>0</v>
      </c>
      <c r="H484" s="31">
        <v>0</v>
      </c>
      <c r="I484" s="31">
        <v>0</v>
      </c>
      <c r="J484" s="31">
        <v>0</v>
      </c>
      <c r="K484" s="31" t="s">
        <v>882</v>
      </c>
      <c r="L484" s="2" t="str">
        <f t="shared" si="56"/>
        <v>Рихтовка</v>
      </c>
      <c r="M484" s="12">
        <f t="shared" si="57"/>
        <v>0</v>
      </c>
      <c r="N484" s="12">
        <f t="shared" si="58"/>
        <v>0</v>
      </c>
      <c r="O484" s="12">
        <f t="shared" si="59"/>
        <v>0</v>
      </c>
      <c r="P484" s="12">
        <f t="shared" si="60"/>
        <v>0</v>
      </c>
      <c r="Q484" s="12">
        <f t="shared" si="61"/>
        <v>0</v>
      </c>
      <c r="R484" s="12">
        <f t="shared" si="62"/>
        <v>0</v>
      </c>
      <c r="S484" s="12">
        <f t="shared" si="63"/>
        <v>0</v>
      </c>
      <c r="T484" s="31">
        <v>0</v>
      </c>
      <c r="U484" s="31">
        <v>0</v>
      </c>
      <c r="V484" s="31">
        <v>0</v>
      </c>
      <c r="W484" s="31">
        <v>0</v>
      </c>
      <c r="X484" s="31">
        <v>0</v>
      </c>
      <c r="Y484" s="31">
        <v>0</v>
      </c>
      <c r="Z484" s="31">
        <v>0</v>
      </c>
      <c r="AA484" s="31">
        <v>0</v>
      </c>
      <c r="AB484" s="31">
        <v>0</v>
      </c>
      <c r="AC484" s="31">
        <v>0</v>
      </c>
      <c r="AD484" s="31">
        <v>0</v>
      </c>
      <c r="AE484" s="31">
        <v>0</v>
      </c>
      <c r="AF484" s="31">
        <v>0</v>
      </c>
      <c r="AG484" s="31">
        <v>0</v>
      </c>
      <c r="AH484" s="31">
        <v>0</v>
      </c>
      <c r="AI484" s="31">
        <v>0</v>
      </c>
      <c r="AJ484" s="31">
        <v>0</v>
      </c>
      <c r="AK484" s="31">
        <v>0</v>
      </c>
      <c r="AL484" s="31">
        <v>0</v>
      </c>
      <c r="AM484" s="31">
        <v>0</v>
      </c>
      <c r="AN484" s="31">
        <v>0</v>
      </c>
      <c r="AO484" s="31">
        <v>0</v>
      </c>
      <c r="AP484" s="31">
        <v>0</v>
      </c>
    </row>
    <row r="485" spans="1:42" x14ac:dyDescent="0.25">
      <c r="A485" s="31">
        <v>10</v>
      </c>
      <c r="B485" s="31">
        <v>25102</v>
      </c>
      <c r="C485" s="31" t="s">
        <v>217</v>
      </c>
      <c r="D485" s="31" t="s">
        <v>925</v>
      </c>
      <c r="E485" s="31"/>
      <c r="F485" s="31">
        <v>0</v>
      </c>
      <c r="G485" s="31">
        <v>0</v>
      </c>
      <c r="H485" s="31">
        <v>0</v>
      </c>
      <c r="I485" s="31">
        <v>0</v>
      </c>
      <c r="J485" s="31">
        <v>0</v>
      </c>
      <c r="K485" s="31" t="s">
        <v>882</v>
      </c>
      <c r="L485" s="2" t="str">
        <f t="shared" si="56"/>
        <v>Рихтовка</v>
      </c>
      <c r="M485" s="12">
        <f t="shared" si="57"/>
        <v>0</v>
      </c>
      <c r="N485" s="12">
        <f t="shared" si="58"/>
        <v>0</v>
      </c>
      <c r="O485" s="12">
        <f t="shared" si="59"/>
        <v>0</v>
      </c>
      <c r="P485" s="12">
        <f t="shared" si="60"/>
        <v>0</v>
      </c>
      <c r="Q485" s="12">
        <f t="shared" si="61"/>
        <v>0</v>
      </c>
      <c r="R485" s="12">
        <f t="shared" si="62"/>
        <v>0</v>
      </c>
      <c r="S485" s="12">
        <f t="shared" si="63"/>
        <v>0</v>
      </c>
      <c r="T485" s="31">
        <v>0</v>
      </c>
      <c r="U485" s="31">
        <v>0</v>
      </c>
      <c r="V485" s="31">
        <v>0</v>
      </c>
      <c r="W485" s="31">
        <v>0</v>
      </c>
      <c r="X485" s="31">
        <v>0</v>
      </c>
      <c r="Y485" s="31">
        <v>0</v>
      </c>
      <c r="Z485" s="31">
        <v>0</v>
      </c>
      <c r="AA485" s="31">
        <v>0</v>
      </c>
      <c r="AB485" s="31">
        <v>0</v>
      </c>
      <c r="AC485" s="31">
        <v>0</v>
      </c>
      <c r="AD485" s="31">
        <v>0</v>
      </c>
      <c r="AE485" s="31">
        <v>0</v>
      </c>
      <c r="AF485" s="31">
        <v>0</v>
      </c>
      <c r="AG485" s="31">
        <v>0</v>
      </c>
      <c r="AH485" s="31">
        <v>0</v>
      </c>
      <c r="AI485" s="31">
        <v>0</v>
      </c>
      <c r="AJ485" s="31">
        <v>0</v>
      </c>
      <c r="AK485" s="31">
        <v>0</v>
      </c>
      <c r="AL485" s="31">
        <v>0</v>
      </c>
      <c r="AM485" s="31">
        <v>0</v>
      </c>
      <c r="AN485" s="31">
        <v>0</v>
      </c>
      <c r="AO485" s="31">
        <v>0</v>
      </c>
      <c r="AP485" s="31">
        <v>0</v>
      </c>
    </row>
    <row r="486" spans="1:42" x14ac:dyDescent="0.25">
      <c r="A486" s="31">
        <v>10</v>
      </c>
      <c r="B486" s="31">
        <v>25102</v>
      </c>
      <c r="C486" s="31" t="s">
        <v>217</v>
      </c>
      <c r="D486" s="31" t="s">
        <v>926</v>
      </c>
      <c r="E486" s="31"/>
      <c r="F486" s="31">
        <v>0</v>
      </c>
      <c r="G486" s="31">
        <v>0</v>
      </c>
      <c r="H486" s="31">
        <v>0</v>
      </c>
      <c r="I486" s="31">
        <v>0</v>
      </c>
      <c r="J486" s="31">
        <v>0</v>
      </c>
      <c r="K486" s="31" t="s">
        <v>882</v>
      </c>
      <c r="L486" s="2" t="str">
        <f t="shared" si="56"/>
        <v>Рихтовка</v>
      </c>
      <c r="M486" s="12">
        <f t="shared" si="57"/>
        <v>0</v>
      </c>
      <c r="N486" s="12">
        <f t="shared" si="58"/>
        <v>0</v>
      </c>
      <c r="O486" s="12">
        <f t="shared" si="59"/>
        <v>0</v>
      </c>
      <c r="P486" s="12">
        <f t="shared" si="60"/>
        <v>0</v>
      </c>
      <c r="Q486" s="12">
        <f t="shared" si="61"/>
        <v>0</v>
      </c>
      <c r="R486" s="12">
        <f t="shared" si="62"/>
        <v>0</v>
      </c>
      <c r="S486" s="12">
        <f t="shared" si="63"/>
        <v>0</v>
      </c>
      <c r="T486" s="31">
        <v>0</v>
      </c>
      <c r="U486" s="31">
        <v>0</v>
      </c>
      <c r="V486" s="31">
        <v>0</v>
      </c>
      <c r="W486" s="31">
        <v>0</v>
      </c>
      <c r="X486" s="31">
        <v>0</v>
      </c>
      <c r="Y486" s="31">
        <v>0</v>
      </c>
      <c r="Z486" s="31">
        <v>0</v>
      </c>
      <c r="AA486" s="31">
        <v>0</v>
      </c>
      <c r="AB486" s="31">
        <v>0</v>
      </c>
      <c r="AC486" s="31">
        <v>0</v>
      </c>
      <c r="AD486" s="31">
        <v>0</v>
      </c>
      <c r="AE486" s="31">
        <v>0</v>
      </c>
      <c r="AF486" s="31">
        <v>0</v>
      </c>
      <c r="AG486" s="31">
        <v>0</v>
      </c>
      <c r="AH486" s="31">
        <v>0</v>
      </c>
      <c r="AI486" s="31">
        <v>0</v>
      </c>
      <c r="AJ486" s="31">
        <v>0</v>
      </c>
      <c r="AK486" s="31">
        <v>0</v>
      </c>
      <c r="AL486" s="31">
        <v>0</v>
      </c>
      <c r="AM486" s="31">
        <v>0</v>
      </c>
      <c r="AN486" s="31">
        <v>0</v>
      </c>
      <c r="AO486" s="31">
        <v>0</v>
      </c>
      <c r="AP486" s="31">
        <v>0</v>
      </c>
    </row>
    <row r="487" spans="1:42" x14ac:dyDescent="0.25">
      <c r="A487" s="31">
        <v>10</v>
      </c>
      <c r="B487" s="31">
        <v>25102</v>
      </c>
      <c r="C487" s="31" t="s">
        <v>217</v>
      </c>
      <c r="D487" s="31" t="s">
        <v>927</v>
      </c>
      <c r="E487" s="31"/>
      <c r="F487" s="31">
        <v>0</v>
      </c>
      <c r="G487" s="31">
        <v>0</v>
      </c>
      <c r="H487" s="31">
        <v>0</v>
      </c>
      <c r="I487" s="31">
        <v>0</v>
      </c>
      <c r="J487" s="31">
        <v>0</v>
      </c>
      <c r="K487" s="31" t="s">
        <v>882</v>
      </c>
      <c r="L487" s="2" t="str">
        <f t="shared" si="56"/>
        <v>Рихтовка</v>
      </c>
      <c r="M487" s="12">
        <f t="shared" si="57"/>
        <v>0</v>
      </c>
      <c r="N487" s="12">
        <f t="shared" si="58"/>
        <v>0</v>
      </c>
      <c r="O487" s="12">
        <f t="shared" si="59"/>
        <v>0</v>
      </c>
      <c r="P487" s="12">
        <f t="shared" si="60"/>
        <v>0</v>
      </c>
      <c r="Q487" s="12">
        <f t="shared" si="61"/>
        <v>0</v>
      </c>
      <c r="R487" s="12">
        <f t="shared" si="62"/>
        <v>0</v>
      </c>
      <c r="S487" s="12">
        <f t="shared" si="63"/>
        <v>0</v>
      </c>
      <c r="T487" s="31">
        <v>0</v>
      </c>
      <c r="U487" s="31">
        <v>0</v>
      </c>
      <c r="V487" s="31">
        <v>0</v>
      </c>
      <c r="W487" s="31">
        <v>0</v>
      </c>
      <c r="X487" s="31">
        <v>0</v>
      </c>
      <c r="Y487" s="31">
        <v>0</v>
      </c>
      <c r="Z487" s="31">
        <v>0</v>
      </c>
      <c r="AA487" s="31">
        <v>0</v>
      </c>
      <c r="AB487" s="31">
        <v>0</v>
      </c>
      <c r="AC487" s="31">
        <v>0</v>
      </c>
      <c r="AD487" s="31">
        <v>0</v>
      </c>
      <c r="AE487" s="31">
        <v>0</v>
      </c>
      <c r="AF487" s="31">
        <v>0</v>
      </c>
      <c r="AG487" s="31">
        <v>0</v>
      </c>
      <c r="AH487" s="31">
        <v>0</v>
      </c>
      <c r="AI487" s="31">
        <v>0</v>
      </c>
      <c r="AJ487" s="31">
        <v>0</v>
      </c>
      <c r="AK487" s="31">
        <v>0</v>
      </c>
      <c r="AL487" s="31">
        <v>0</v>
      </c>
      <c r="AM487" s="31">
        <v>0</v>
      </c>
      <c r="AN487" s="31">
        <v>0</v>
      </c>
      <c r="AO487" s="31">
        <v>0</v>
      </c>
      <c r="AP487" s="31">
        <v>0</v>
      </c>
    </row>
    <row r="488" spans="1:42" x14ac:dyDescent="0.25">
      <c r="A488" s="31">
        <v>10</v>
      </c>
      <c r="B488" s="31">
        <v>25102</v>
      </c>
      <c r="C488" s="31" t="s">
        <v>217</v>
      </c>
      <c r="D488" s="31" t="s">
        <v>928</v>
      </c>
      <c r="E488" s="31"/>
      <c r="F488" s="31">
        <v>0</v>
      </c>
      <c r="G488" s="31">
        <v>0</v>
      </c>
      <c r="H488" s="31">
        <v>0</v>
      </c>
      <c r="I488" s="31">
        <v>0</v>
      </c>
      <c r="J488" s="31">
        <v>0</v>
      </c>
      <c r="K488" s="31" t="s">
        <v>882</v>
      </c>
      <c r="L488" s="2" t="str">
        <f t="shared" si="56"/>
        <v>Рихтовка</v>
      </c>
      <c r="M488" s="12">
        <f t="shared" si="57"/>
        <v>0</v>
      </c>
      <c r="N488" s="12">
        <f t="shared" si="58"/>
        <v>0</v>
      </c>
      <c r="O488" s="12">
        <f t="shared" si="59"/>
        <v>0</v>
      </c>
      <c r="P488" s="12">
        <f t="shared" si="60"/>
        <v>0</v>
      </c>
      <c r="Q488" s="12">
        <f t="shared" si="61"/>
        <v>0</v>
      </c>
      <c r="R488" s="12">
        <f t="shared" si="62"/>
        <v>0</v>
      </c>
      <c r="S488" s="12">
        <f t="shared" si="63"/>
        <v>0</v>
      </c>
      <c r="T488" s="31">
        <v>0</v>
      </c>
      <c r="U488" s="31">
        <v>0</v>
      </c>
      <c r="V488" s="31">
        <v>0</v>
      </c>
      <c r="W488" s="31">
        <v>0</v>
      </c>
      <c r="X488" s="31">
        <v>0</v>
      </c>
      <c r="Y488" s="31">
        <v>0</v>
      </c>
      <c r="Z488" s="31">
        <v>0</v>
      </c>
      <c r="AA488" s="31">
        <v>0</v>
      </c>
      <c r="AB488" s="31">
        <v>0</v>
      </c>
      <c r="AC488" s="31">
        <v>0</v>
      </c>
      <c r="AD488" s="31">
        <v>0</v>
      </c>
      <c r="AE488" s="31">
        <v>0</v>
      </c>
      <c r="AF488" s="31">
        <v>0</v>
      </c>
      <c r="AG488" s="31">
        <v>0</v>
      </c>
      <c r="AH488" s="31">
        <v>0</v>
      </c>
      <c r="AI488" s="31">
        <v>0</v>
      </c>
      <c r="AJ488" s="31">
        <v>0</v>
      </c>
      <c r="AK488" s="31">
        <v>0</v>
      </c>
      <c r="AL488" s="31">
        <v>0</v>
      </c>
      <c r="AM488" s="31">
        <v>0</v>
      </c>
      <c r="AN488" s="31">
        <v>0</v>
      </c>
      <c r="AO488" s="31">
        <v>0</v>
      </c>
      <c r="AP488" s="31">
        <v>0</v>
      </c>
    </row>
    <row r="489" spans="1:42" x14ac:dyDescent="0.25">
      <c r="A489" s="31">
        <v>10</v>
      </c>
      <c r="B489" s="31">
        <v>25102</v>
      </c>
      <c r="C489" s="31" t="s">
        <v>217</v>
      </c>
      <c r="D489" s="31" t="s">
        <v>929</v>
      </c>
      <c r="E489" s="31"/>
      <c r="F489" s="31">
        <v>0</v>
      </c>
      <c r="G489" s="31">
        <v>0</v>
      </c>
      <c r="H489" s="31">
        <v>0</v>
      </c>
      <c r="I489" s="31">
        <v>0</v>
      </c>
      <c r="J489" s="31">
        <v>0</v>
      </c>
      <c r="K489" s="31" t="s">
        <v>882</v>
      </c>
      <c r="L489" s="2" t="str">
        <f t="shared" si="56"/>
        <v>Рихтовка</v>
      </c>
      <c r="M489" s="12">
        <f t="shared" si="57"/>
        <v>0</v>
      </c>
      <c r="N489" s="12">
        <f t="shared" si="58"/>
        <v>0</v>
      </c>
      <c r="O489" s="12">
        <f t="shared" si="59"/>
        <v>0</v>
      </c>
      <c r="P489" s="12">
        <f t="shared" si="60"/>
        <v>0</v>
      </c>
      <c r="Q489" s="12">
        <f t="shared" si="61"/>
        <v>0</v>
      </c>
      <c r="R489" s="12">
        <f t="shared" si="62"/>
        <v>0</v>
      </c>
      <c r="S489" s="12">
        <f t="shared" si="63"/>
        <v>0</v>
      </c>
      <c r="T489" s="31">
        <v>0</v>
      </c>
      <c r="U489" s="31">
        <v>0</v>
      </c>
      <c r="V489" s="31">
        <v>0</v>
      </c>
      <c r="W489" s="31">
        <v>0</v>
      </c>
      <c r="X489" s="31">
        <v>0</v>
      </c>
      <c r="Y489" s="31">
        <v>0</v>
      </c>
      <c r="Z489" s="31">
        <v>0</v>
      </c>
      <c r="AA489" s="31">
        <v>0</v>
      </c>
      <c r="AB489" s="31">
        <v>0</v>
      </c>
      <c r="AC489" s="31">
        <v>0</v>
      </c>
      <c r="AD489" s="31">
        <v>0</v>
      </c>
      <c r="AE489" s="31">
        <v>0</v>
      </c>
      <c r="AF489" s="31">
        <v>0</v>
      </c>
      <c r="AG489" s="31">
        <v>0</v>
      </c>
      <c r="AH489" s="31">
        <v>0</v>
      </c>
      <c r="AI489" s="31">
        <v>0</v>
      </c>
      <c r="AJ489" s="31">
        <v>0</v>
      </c>
      <c r="AK489" s="31">
        <v>0</v>
      </c>
      <c r="AL489" s="31">
        <v>0</v>
      </c>
      <c r="AM489" s="31">
        <v>0</v>
      </c>
      <c r="AN489" s="31">
        <v>0</v>
      </c>
      <c r="AO489" s="31">
        <v>0</v>
      </c>
      <c r="AP489" s="31">
        <v>0</v>
      </c>
    </row>
    <row r="490" spans="1:42" x14ac:dyDescent="0.25">
      <c r="A490" s="31">
        <v>11</v>
      </c>
      <c r="B490" s="31">
        <v>13809</v>
      </c>
      <c r="C490" s="31">
        <v>1</v>
      </c>
      <c r="D490" s="31" t="s">
        <v>806</v>
      </c>
      <c r="E490" s="31"/>
      <c r="F490" s="31">
        <v>0</v>
      </c>
      <c r="G490" s="31">
        <v>0</v>
      </c>
      <c r="H490" s="31">
        <v>0</v>
      </c>
      <c r="I490" s="31">
        <v>0</v>
      </c>
      <c r="J490" s="31">
        <v>0</v>
      </c>
      <c r="K490" s="31" t="s">
        <v>882</v>
      </c>
      <c r="L490" s="2" t="str">
        <f t="shared" si="56"/>
        <v>Рихтовка</v>
      </c>
      <c r="M490" s="12">
        <f t="shared" si="57"/>
        <v>0</v>
      </c>
      <c r="N490" s="12">
        <f t="shared" si="58"/>
        <v>0</v>
      </c>
      <c r="O490" s="12">
        <f t="shared" si="59"/>
        <v>0</v>
      </c>
      <c r="P490" s="12">
        <f t="shared" si="60"/>
        <v>0</v>
      </c>
      <c r="Q490" s="12">
        <f t="shared" si="61"/>
        <v>0</v>
      </c>
      <c r="R490" s="12">
        <f t="shared" si="62"/>
        <v>0</v>
      </c>
      <c r="S490" s="12">
        <f t="shared" si="63"/>
        <v>0</v>
      </c>
      <c r="T490" s="31">
        <v>0</v>
      </c>
      <c r="U490" s="31">
        <v>0</v>
      </c>
      <c r="V490" s="31">
        <v>0</v>
      </c>
      <c r="W490" s="31">
        <v>0</v>
      </c>
      <c r="X490" s="31">
        <v>0</v>
      </c>
      <c r="Y490" s="31">
        <v>0</v>
      </c>
      <c r="Z490" s="31">
        <v>0</v>
      </c>
      <c r="AA490" s="31">
        <v>0</v>
      </c>
      <c r="AB490" s="31">
        <v>0</v>
      </c>
      <c r="AC490" s="31">
        <v>0</v>
      </c>
      <c r="AD490" s="31">
        <v>0</v>
      </c>
      <c r="AE490" s="31">
        <v>0</v>
      </c>
      <c r="AF490" s="31">
        <v>0</v>
      </c>
      <c r="AG490" s="31">
        <v>0</v>
      </c>
      <c r="AH490" s="31">
        <v>0</v>
      </c>
      <c r="AI490" s="31">
        <v>0</v>
      </c>
      <c r="AJ490" s="31">
        <v>0</v>
      </c>
      <c r="AK490" s="31">
        <v>0</v>
      </c>
      <c r="AL490" s="31">
        <v>0</v>
      </c>
      <c r="AM490" s="31">
        <v>0</v>
      </c>
      <c r="AN490" s="31">
        <v>0</v>
      </c>
      <c r="AO490" s="31">
        <v>0</v>
      </c>
      <c r="AP490" s="31">
        <v>0</v>
      </c>
    </row>
    <row r="491" spans="1:42" x14ac:dyDescent="0.25">
      <c r="A491" s="31">
        <v>11</v>
      </c>
      <c r="B491" s="31">
        <v>13809</v>
      </c>
      <c r="C491" s="31">
        <v>1</v>
      </c>
      <c r="D491" s="31" t="s">
        <v>807</v>
      </c>
      <c r="E491" s="31"/>
      <c r="F491" s="31">
        <v>0</v>
      </c>
      <c r="G491" s="31">
        <v>0</v>
      </c>
      <c r="H491" s="31">
        <v>0</v>
      </c>
      <c r="I491" s="31">
        <v>0</v>
      </c>
      <c r="J491" s="31">
        <v>0</v>
      </c>
      <c r="K491" s="31" t="s">
        <v>882</v>
      </c>
      <c r="L491" s="2" t="str">
        <f t="shared" si="56"/>
        <v>Рихтовка</v>
      </c>
      <c r="M491" s="12">
        <f t="shared" si="57"/>
        <v>0</v>
      </c>
      <c r="N491" s="12">
        <f t="shared" si="58"/>
        <v>0</v>
      </c>
      <c r="O491" s="12">
        <f t="shared" si="59"/>
        <v>0</v>
      </c>
      <c r="P491" s="12">
        <f t="shared" si="60"/>
        <v>0</v>
      </c>
      <c r="Q491" s="12">
        <f t="shared" si="61"/>
        <v>0</v>
      </c>
      <c r="R491" s="12">
        <f t="shared" si="62"/>
        <v>0</v>
      </c>
      <c r="S491" s="12">
        <f t="shared" si="63"/>
        <v>0</v>
      </c>
      <c r="T491" s="31">
        <v>0</v>
      </c>
      <c r="U491" s="31">
        <v>0</v>
      </c>
      <c r="V491" s="31">
        <v>0</v>
      </c>
      <c r="W491" s="31">
        <v>0</v>
      </c>
      <c r="X491" s="31">
        <v>0</v>
      </c>
      <c r="Y491" s="31">
        <v>0</v>
      </c>
      <c r="Z491" s="31">
        <v>0</v>
      </c>
      <c r="AA491" s="31">
        <v>0</v>
      </c>
      <c r="AB491" s="31">
        <v>0</v>
      </c>
      <c r="AC491" s="31">
        <v>0</v>
      </c>
      <c r="AD491" s="31">
        <v>0</v>
      </c>
      <c r="AE491" s="31">
        <v>0</v>
      </c>
      <c r="AF491" s="31">
        <v>0</v>
      </c>
      <c r="AG491" s="31">
        <v>0</v>
      </c>
      <c r="AH491" s="31">
        <v>0</v>
      </c>
      <c r="AI491" s="31">
        <v>0</v>
      </c>
      <c r="AJ491" s="31">
        <v>0</v>
      </c>
      <c r="AK491" s="31">
        <v>0</v>
      </c>
      <c r="AL491" s="31">
        <v>0</v>
      </c>
      <c r="AM491" s="31">
        <v>0</v>
      </c>
      <c r="AN491" s="31">
        <v>0</v>
      </c>
      <c r="AO491" s="31">
        <v>0</v>
      </c>
      <c r="AP491" s="31">
        <v>0</v>
      </c>
    </row>
    <row r="492" spans="1:42" x14ac:dyDescent="0.25">
      <c r="A492" s="31">
        <v>11</v>
      </c>
      <c r="B492" s="31">
        <v>13809</v>
      </c>
      <c r="C492" s="31">
        <v>1</v>
      </c>
      <c r="D492" s="31" t="s">
        <v>808</v>
      </c>
      <c r="E492" s="31"/>
      <c r="F492" s="31">
        <v>0</v>
      </c>
      <c r="G492" s="31">
        <v>0</v>
      </c>
      <c r="H492" s="31">
        <v>0</v>
      </c>
      <c r="I492" s="31">
        <v>0</v>
      </c>
      <c r="J492" s="31">
        <v>0</v>
      </c>
      <c r="K492" s="31" t="s">
        <v>882</v>
      </c>
      <c r="L492" s="2" t="str">
        <f t="shared" si="56"/>
        <v>Рихтовка</v>
      </c>
      <c r="M492" s="12">
        <f t="shared" si="57"/>
        <v>0</v>
      </c>
      <c r="N492" s="12">
        <f t="shared" si="58"/>
        <v>0</v>
      </c>
      <c r="O492" s="12">
        <f t="shared" si="59"/>
        <v>0</v>
      </c>
      <c r="P492" s="12">
        <f t="shared" si="60"/>
        <v>0</v>
      </c>
      <c r="Q492" s="12">
        <f t="shared" si="61"/>
        <v>0</v>
      </c>
      <c r="R492" s="12">
        <f t="shared" si="62"/>
        <v>0</v>
      </c>
      <c r="S492" s="12">
        <f t="shared" si="63"/>
        <v>0</v>
      </c>
      <c r="T492" s="31">
        <v>0</v>
      </c>
      <c r="U492" s="31">
        <v>0</v>
      </c>
      <c r="V492" s="31">
        <v>0</v>
      </c>
      <c r="W492" s="31">
        <v>0</v>
      </c>
      <c r="X492" s="31">
        <v>0</v>
      </c>
      <c r="Y492" s="31">
        <v>0</v>
      </c>
      <c r="Z492" s="31">
        <v>0</v>
      </c>
      <c r="AA492" s="31">
        <v>0</v>
      </c>
      <c r="AB492" s="31">
        <v>0</v>
      </c>
      <c r="AC492" s="31">
        <v>0</v>
      </c>
      <c r="AD492" s="31">
        <v>0</v>
      </c>
      <c r="AE492" s="31">
        <v>0</v>
      </c>
      <c r="AF492" s="31">
        <v>0</v>
      </c>
      <c r="AG492" s="31">
        <v>0</v>
      </c>
      <c r="AH492" s="31">
        <v>0</v>
      </c>
      <c r="AI492" s="31">
        <v>0</v>
      </c>
      <c r="AJ492" s="31">
        <v>0</v>
      </c>
      <c r="AK492" s="31">
        <v>0</v>
      </c>
      <c r="AL492" s="31">
        <v>0</v>
      </c>
      <c r="AM492" s="31">
        <v>0</v>
      </c>
      <c r="AN492" s="31">
        <v>0</v>
      </c>
      <c r="AO492" s="31">
        <v>0</v>
      </c>
      <c r="AP492" s="31">
        <v>0</v>
      </c>
    </row>
    <row r="493" spans="1:42" x14ac:dyDescent="0.25">
      <c r="A493" s="31">
        <v>11</v>
      </c>
      <c r="B493" s="31">
        <v>13809</v>
      </c>
      <c r="C493" s="31">
        <v>1</v>
      </c>
      <c r="D493" s="31" t="s">
        <v>809</v>
      </c>
      <c r="E493" s="31"/>
      <c r="F493" s="31">
        <v>0</v>
      </c>
      <c r="G493" s="31">
        <v>0</v>
      </c>
      <c r="H493" s="31">
        <v>0</v>
      </c>
      <c r="I493" s="31">
        <v>0</v>
      </c>
      <c r="J493" s="31">
        <v>0</v>
      </c>
      <c r="K493" s="31" t="s">
        <v>882</v>
      </c>
      <c r="L493" s="2" t="str">
        <f t="shared" si="56"/>
        <v>Рихтовка</v>
      </c>
      <c r="M493" s="12">
        <f t="shared" si="57"/>
        <v>0</v>
      </c>
      <c r="N493" s="12">
        <f t="shared" si="58"/>
        <v>0</v>
      </c>
      <c r="O493" s="12">
        <f t="shared" si="59"/>
        <v>0</v>
      </c>
      <c r="P493" s="12">
        <f t="shared" si="60"/>
        <v>0</v>
      </c>
      <c r="Q493" s="12">
        <f t="shared" si="61"/>
        <v>0</v>
      </c>
      <c r="R493" s="12">
        <f t="shared" si="62"/>
        <v>0</v>
      </c>
      <c r="S493" s="12">
        <f t="shared" si="63"/>
        <v>0</v>
      </c>
      <c r="T493" s="31">
        <v>0</v>
      </c>
      <c r="U493" s="31">
        <v>0</v>
      </c>
      <c r="V493" s="31">
        <v>0</v>
      </c>
      <c r="W493" s="31">
        <v>0</v>
      </c>
      <c r="X493" s="31">
        <v>0</v>
      </c>
      <c r="Y493" s="31">
        <v>0</v>
      </c>
      <c r="Z493" s="31">
        <v>0</v>
      </c>
      <c r="AA493" s="31">
        <v>0</v>
      </c>
      <c r="AB493" s="31">
        <v>0</v>
      </c>
      <c r="AC493" s="31">
        <v>0</v>
      </c>
      <c r="AD493" s="31">
        <v>0</v>
      </c>
      <c r="AE493" s="31">
        <v>0</v>
      </c>
      <c r="AF493" s="31">
        <v>0</v>
      </c>
      <c r="AG493" s="31">
        <v>0</v>
      </c>
      <c r="AH493" s="31">
        <v>0</v>
      </c>
      <c r="AI493" s="31">
        <v>0</v>
      </c>
      <c r="AJ493" s="31">
        <v>0</v>
      </c>
      <c r="AK493" s="31">
        <v>0</v>
      </c>
      <c r="AL493" s="31">
        <v>0</v>
      </c>
      <c r="AM493" s="31">
        <v>0</v>
      </c>
      <c r="AN493" s="31">
        <v>0</v>
      </c>
      <c r="AO493" s="31">
        <v>0</v>
      </c>
      <c r="AP493" s="31">
        <v>0</v>
      </c>
    </row>
    <row r="494" spans="1:42" x14ac:dyDescent="0.25">
      <c r="A494" s="31">
        <v>11</v>
      </c>
      <c r="B494" s="31">
        <v>13809</v>
      </c>
      <c r="C494" s="31">
        <v>1</v>
      </c>
      <c r="D494" s="31" t="s">
        <v>810</v>
      </c>
      <c r="E494" s="31"/>
      <c r="F494" s="31">
        <v>0</v>
      </c>
      <c r="G494" s="31">
        <v>0</v>
      </c>
      <c r="H494" s="31">
        <v>0</v>
      </c>
      <c r="I494" s="31">
        <v>0</v>
      </c>
      <c r="J494" s="31">
        <v>0</v>
      </c>
      <c r="K494" s="31" t="s">
        <v>882</v>
      </c>
      <c r="L494" s="2" t="str">
        <f t="shared" si="56"/>
        <v>Рихтовка</v>
      </c>
      <c r="M494" s="12">
        <f t="shared" si="57"/>
        <v>0</v>
      </c>
      <c r="N494" s="12">
        <f t="shared" si="58"/>
        <v>0</v>
      </c>
      <c r="O494" s="12">
        <f t="shared" si="59"/>
        <v>0</v>
      </c>
      <c r="P494" s="12">
        <f t="shared" si="60"/>
        <v>0</v>
      </c>
      <c r="Q494" s="12">
        <f t="shared" si="61"/>
        <v>0</v>
      </c>
      <c r="R494" s="12">
        <f t="shared" si="62"/>
        <v>0</v>
      </c>
      <c r="S494" s="12">
        <f t="shared" si="63"/>
        <v>0</v>
      </c>
      <c r="T494" s="31">
        <v>0</v>
      </c>
      <c r="U494" s="31">
        <v>0</v>
      </c>
      <c r="V494" s="31">
        <v>0</v>
      </c>
      <c r="W494" s="31">
        <v>0</v>
      </c>
      <c r="X494" s="31">
        <v>0</v>
      </c>
      <c r="Y494" s="31">
        <v>0</v>
      </c>
      <c r="Z494" s="31">
        <v>0</v>
      </c>
      <c r="AA494" s="31">
        <v>0</v>
      </c>
      <c r="AB494" s="31">
        <v>0</v>
      </c>
      <c r="AC494" s="31">
        <v>0</v>
      </c>
      <c r="AD494" s="31">
        <v>0</v>
      </c>
      <c r="AE494" s="31">
        <v>0</v>
      </c>
      <c r="AF494" s="31">
        <v>0</v>
      </c>
      <c r="AG494" s="31">
        <v>0</v>
      </c>
      <c r="AH494" s="31">
        <v>0</v>
      </c>
      <c r="AI494" s="31">
        <v>0</v>
      </c>
      <c r="AJ494" s="31">
        <v>0</v>
      </c>
      <c r="AK494" s="31">
        <v>0</v>
      </c>
      <c r="AL494" s="31">
        <v>0</v>
      </c>
      <c r="AM494" s="31">
        <v>0</v>
      </c>
      <c r="AN494" s="31">
        <v>0</v>
      </c>
      <c r="AO494" s="31">
        <v>0</v>
      </c>
      <c r="AP494" s="31">
        <v>0</v>
      </c>
    </row>
    <row r="495" spans="1:42" x14ac:dyDescent="0.25">
      <c r="A495" s="31">
        <v>11</v>
      </c>
      <c r="B495" s="31">
        <v>13809</v>
      </c>
      <c r="C495" s="31">
        <v>1</v>
      </c>
      <c r="D495" s="31" t="s">
        <v>811</v>
      </c>
      <c r="E495" s="31"/>
      <c r="F495" s="31">
        <v>0</v>
      </c>
      <c r="G495" s="31">
        <v>0</v>
      </c>
      <c r="H495" s="31">
        <v>0</v>
      </c>
      <c r="I495" s="31">
        <v>0</v>
      </c>
      <c r="J495" s="31">
        <v>0</v>
      </c>
      <c r="K495" s="31" t="s">
        <v>882</v>
      </c>
      <c r="L495" s="2" t="str">
        <f t="shared" si="56"/>
        <v>Рихтовка</v>
      </c>
      <c r="M495" s="12">
        <f t="shared" si="57"/>
        <v>0</v>
      </c>
      <c r="N495" s="12">
        <f t="shared" si="58"/>
        <v>0</v>
      </c>
      <c r="O495" s="12">
        <f t="shared" si="59"/>
        <v>0</v>
      </c>
      <c r="P495" s="12">
        <f t="shared" si="60"/>
        <v>0</v>
      </c>
      <c r="Q495" s="12">
        <f t="shared" si="61"/>
        <v>0</v>
      </c>
      <c r="R495" s="12">
        <f t="shared" si="62"/>
        <v>0</v>
      </c>
      <c r="S495" s="12">
        <f t="shared" si="63"/>
        <v>0</v>
      </c>
      <c r="T495" s="31">
        <v>0</v>
      </c>
      <c r="U495" s="31">
        <v>0</v>
      </c>
      <c r="V495" s="31">
        <v>0</v>
      </c>
      <c r="W495" s="31">
        <v>0</v>
      </c>
      <c r="X495" s="31">
        <v>0</v>
      </c>
      <c r="Y495" s="31">
        <v>0</v>
      </c>
      <c r="Z495" s="31">
        <v>0</v>
      </c>
      <c r="AA495" s="31">
        <v>0</v>
      </c>
      <c r="AB495" s="31">
        <v>0</v>
      </c>
      <c r="AC495" s="31">
        <v>0</v>
      </c>
      <c r="AD495" s="31">
        <v>0</v>
      </c>
      <c r="AE495" s="31">
        <v>0</v>
      </c>
      <c r="AF495" s="31">
        <v>0</v>
      </c>
      <c r="AG495" s="31">
        <v>0</v>
      </c>
      <c r="AH495" s="31">
        <v>0</v>
      </c>
      <c r="AI495" s="31">
        <v>0</v>
      </c>
      <c r="AJ495" s="31">
        <v>0</v>
      </c>
      <c r="AK495" s="31">
        <v>0</v>
      </c>
      <c r="AL495" s="31">
        <v>0</v>
      </c>
      <c r="AM495" s="31">
        <v>0</v>
      </c>
      <c r="AN495" s="31">
        <v>0</v>
      </c>
      <c r="AO495" s="31">
        <v>0</v>
      </c>
      <c r="AP495" s="31">
        <v>0</v>
      </c>
    </row>
    <row r="496" spans="1:42" x14ac:dyDescent="0.25">
      <c r="A496" s="31">
        <v>11</v>
      </c>
      <c r="B496" s="31">
        <v>13809</v>
      </c>
      <c r="C496" s="31">
        <v>1</v>
      </c>
      <c r="D496" s="31" t="s">
        <v>812</v>
      </c>
      <c r="E496" s="31"/>
      <c r="F496" s="31">
        <v>0</v>
      </c>
      <c r="G496" s="31">
        <v>0</v>
      </c>
      <c r="H496" s="31">
        <v>0</v>
      </c>
      <c r="I496" s="31">
        <v>0</v>
      </c>
      <c r="J496" s="31">
        <v>0</v>
      </c>
      <c r="K496" s="31" t="s">
        <v>882</v>
      </c>
      <c r="L496" s="2" t="str">
        <f t="shared" si="56"/>
        <v>Рихтовка</v>
      </c>
      <c r="M496" s="12">
        <f t="shared" si="57"/>
        <v>0</v>
      </c>
      <c r="N496" s="12">
        <f t="shared" si="58"/>
        <v>0</v>
      </c>
      <c r="O496" s="12">
        <f t="shared" si="59"/>
        <v>0</v>
      </c>
      <c r="P496" s="12">
        <f t="shared" si="60"/>
        <v>0</v>
      </c>
      <c r="Q496" s="12">
        <f t="shared" si="61"/>
        <v>0</v>
      </c>
      <c r="R496" s="12">
        <f t="shared" si="62"/>
        <v>0</v>
      </c>
      <c r="S496" s="12">
        <f t="shared" si="63"/>
        <v>0</v>
      </c>
      <c r="T496" s="31">
        <v>0</v>
      </c>
      <c r="U496" s="31">
        <v>0</v>
      </c>
      <c r="V496" s="31">
        <v>0</v>
      </c>
      <c r="W496" s="31">
        <v>0</v>
      </c>
      <c r="X496" s="31">
        <v>0</v>
      </c>
      <c r="Y496" s="31">
        <v>0</v>
      </c>
      <c r="Z496" s="31">
        <v>0</v>
      </c>
      <c r="AA496" s="31">
        <v>0</v>
      </c>
      <c r="AB496" s="31">
        <v>0</v>
      </c>
      <c r="AC496" s="31">
        <v>0</v>
      </c>
      <c r="AD496" s="31">
        <v>0</v>
      </c>
      <c r="AE496" s="31">
        <v>0</v>
      </c>
      <c r="AF496" s="31">
        <v>0</v>
      </c>
      <c r="AG496" s="31">
        <v>0</v>
      </c>
      <c r="AH496" s="31">
        <v>0</v>
      </c>
      <c r="AI496" s="31">
        <v>0</v>
      </c>
      <c r="AJ496" s="31">
        <v>0</v>
      </c>
      <c r="AK496" s="31">
        <v>0</v>
      </c>
      <c r="AL496" s="31">
        <v>0</v>
      </c>
      <c r="AM496" s="31">
        <v>0</v>
      </c>
      <c r="AN496" s="31">
        <v>0</v>
      </c>
      <c r="AO496" s="31">
        <v>0</v>
      </c>
      <c r="AP496" s="31">
        <v>0</v>
      </c>
    </row>
    <row r="497" spans="1:42" x14ac:dyDescent="0.25">
      <c r="A497" s="31">
        <v>11</v>
      </c>
      <c r="B497" s="31">
        <v>13809</v>
      </c>
      <c r="C497" s="31">
        <v>1</v>
      </c>
      <c r="D497" s="31" t="s">
        <v>813</v>
      </c>
      <c r="E497" s="31"/>
      <c r="F497" s="31">
        <v>0</v>
      </c>
      <c r="G497" s="31">
        <v>0</v>
      </c>
      <c r="H497" s="31">
        <v>0</v>
      </c>
      <c r="I497" s="31">
        <v>0</v>
      </c>
      <c r="J497" s="31">
        <v>0</v>
      </c>
      <c r="K497" s="31" t="s">
        <v>882</v>
      </c>
      <c r="L497" s="2" t="str">
        <f t="shared" si="56"/>
        <v>Рихтовка</v>
      </c>
      <c r="M497" s="12">
        <f t="shared" si="57"/>
        <v>0</v>
      </c>
      <c r="N497" s="12">
        <f t="shared" si="58"/>
        <v>0</v>
      </c>
      <c r="O497" s="12">
        <f t="shared" si="59"/>
        <v>0</v>
      </c>
      <c r="P497" s="12">
        <f t="shared" si="60"/>
        <v>0</v>
      </c>
      <c r="Q497" s="12">
        <f t="shared" si="61"/>
        <v>0</v>
      </c>
      <c r="R497" s="12">
        <f t="shared" si="62"/>
        <v>0</v>
      </c>
      <c r="S497" s="12">
        <f t="shared" si="63"/>
        <v>0</v>
      </c>
      <c r="T497" s="31">
        <v>0</v>
      </c>
      <c r="U497" s="31">
        <v>0</v>
      </c>
      <c r="V497" s="31">
        <v>0</v>
      </c>
      <c r="W497" s="31">
        <v>0</v>
      </c>
      <c r="X497" s="31">
        <v>0</v>
      </c>
      <c r="Y497" s="31">
        <v>0</v>
      </c>
      <c r="Z497" s="31">
        <v>0</v>
      </c>
      <c r="AA497" s="31">
        <v>0</v>
      </c>
      <c r="AB497" s="31">
        <v>0</v>
      </c>
      <c r="AC497" s="31">
        <v>0</v>
      </c>
      <c r="AD497" s="31">
        <v>0</v>
      </c>
      <c r="AE497" s="31">
        <v>0</v>
      </c>
      <c r="AF497" s="31">
        <v>0</v>
      </c>
      <c r="AG497" s="31">
        <v>0</v>
      </c>
      <c r="AH497" s="31">
        <v>0</v>
      </c>
      <c r="AI497" s="31">
        <v>0</v>
      </c>
      <c r="AJ497" s="31">
        <v>0</v>
      </c>
      <c r="AK497" s="31">
        <v>0</v>
      </c>
      <c r="AL497" s="31">
        <v>0</v>
      </c>
      <c r="AM497" s="31">
        <v>0</v>
      </c>
      <c r="AN497" s="31">
        <v>0</v>
      </c>
      <c r="AO497" s="31">
        <v>0</v>
      </c>
      <c r="AP497" s="31">
        <v>0</v>
      </c>
    </row>
    <row r="498" spans="1:42" x14ac:dyDescent="0.25">
      <c r="A498" s="31">
        <v>11</v>
      </c>
      <c r="B498" s="31">
        <v>13809</v>
      </c>
      <c r="C498" s="31">
        <v>1</v>
      </c>
      <c r="D498" s="31" t="s">
        <v>814</v>
      </c>
      <c r="E498" s="31"/>
      <c r="F498" s="31">
        <v>0</v>
      </c>
      <c r="G498" s="31">
        <v>0</v>
      </c>
      <c r="H498" s="31">
        <v>0</v>
      </c>
      <c r="I498" s="31">
        <v>0</v>
      </c>
      <c r="J498" s="31">
        <v>0</v>
      </c>
      <c r="K498" s="31" t="s">
        <v>882</v>
      </c>
      <c r="L498" s="2" t="str">
        <f t="shared" si="56"/>
        <v>Рихтовка</v>
      </c>
      <c r="M498" s="12">
        <f t="shared" si="57"/>
        <v>0</v>
      </c>
      <c r="N498" s="12">
        <f t="shared" si="58"/>
        <v>0</v>
      </c>
      <c r="O498" s="12">
        <f t="shared" si="59"/>
        <v>0</v>
      </c>
      <c r="P498" s="12">
        <f t="shared" si="60"/>
        <v>0</v>
      </c>
      <c r="Q498" s="12">
        <f t="shared" si="61"/>
        <v>0</v>
      </c>
      <c r="R498" s="12">
        <f t="shared" si="62"/>
        <v>0</v>
      </c>
      <c r="S498" s="12">
        <f t="shared" si="63"/>
        <v>0</v>
      </c>
      <c r="T498" s="31">
        <v>0</v>
      </c>
      <c r="U498" s="31">
        <v>0</v>
      </c>
      <c r="V498" s="31">
        <v>0</v>
      </c>
      <c r="W498" s="31">
        <v>0</v>
      </c>
      <c r="X498" s="31">
        <v>0</v>
      </c>
      <c r="Y498" s="31">
        <v>0</v>
      </c>
      <c r="Z498" s="31">
        <v>0</v>
      </c>
      <c r="AA498" s="31">
        <v>0</v>
      </c>
      <c r="AB498" s="31">
        <v>0</v>
      </c>
      <c r="AC498" s="31">
        <v>0</v>
      </c>
      <c r="AD498" s="31">
        <v>0</v>
      </c>
      <c r="AE498" s="31">
        <v>0</v>
      </c>
      <c r="AF498" s="31">
        <v>0</v>
      </c>
      <c r="AG498" s="31">
        <v>0</v>
      </c>
      <c r="AH498" s="31">
        <v>0</v>
      </c>
      <c r="AI498" s="31">
        <v>0</v>
      </c>
      <c r="AJ498" s="31">
        <v>0</v>
      </c>
      <c r="AK498" s="31">
        <v>0</v>
      </c>
      <c r="AL498" s="31">
        <v>0</v>
      </c>
      <c r="AM498" s="31">
        <v>0</v>
      </c>
      <c r="AN498" s="31">
        <v>0</v>
      </c>
      <c r="AO498" s="31">
        <v>0</v>
      </c>
      <c r="AP498" s="31">
        <v>0</v>
      </c>
    </row>
    <row r="499" spans="1:42" x14ac:dyDescent="0.25">
      <c r="A499" s="31">
        <v>11</v>
      </c>
      <c r="B499" s="31">
        <v>13809</v>
      </c>
      <c r="C499" s="31">
        <v>1</v>
      </c>
      <c r="D499" s="31" t="s">
        <v>815</v>
      </c>
      <c r="E499" s="31"/>
      <c r="F499" s="31">
        <v>0</v>
      </c>
      <c r="G499" s="31">
        <v>0</v>
      </c>
      <c r="H499" s="31">
        <v>0</v>
      </c>
      <c r="I499" s="31">
        <v>0</v>
      </c>
      <c r="J499" s="31">
        <v>0</v>
      </c>
      <c r="K499" s="31" t="s">
        <v>882</v>
      </c>
      <c r="L499" s="2" t="str">
        <f t="shared" si="56"/>
        <v>Рихтовка</v>
      </c>
      <c r="M499" s="12">
        <f t="shared" si="57"/>
        <v>0</v>
      </c>
      <c r="N499" s="12">
        <f t="shared" si="58"/>
        <v>0</v>
      </c>
      <c r="O499" s="12">
        <f t="shared" si="59"/>
        <v>0</v>
      </c>
      <c r="P499" s="12">
        <f t="shared" si="60"/>
        <v>0</v>
      </c>
      <c r="Q499" s="12">
        <f t="shared" si="61"/>
        <v>0</v>
      </c>
      <c r="R499" s="12">
        <f t="shared" si="62"/>
        <v>0</v>
      </c>
      <c r="S499" s="12">
        <f t="shared" si="63"/>
        <v>0</v>
      </c>
      <c r="T499" s="31">
        <v>0</v>
      </c>
      <c r="U499" s="31">
        <v>0</v>
      </c>
      <c r="V499" s="31">
        <v>0</v>
      </c>
      <c r="W499" s="31">
        <v>0</v>
      </c>
      <c r="X499" s="31">
        <v>0</v>
      </c>
      <c r="Y499" s="31">
        <v>0</v>
      </c>
      <c r="Z499" s="31">
        <v>0</v>
      </c>
      <c r="AA499" s="31">
        <v>0</v>
      </c>
      <c r="AB499" s="31">
        <v>0</v>
      </c>
      <c r="AC499" s="31">
        <v>0</v>
      </c>
      <c r="AD499" s="31">
        <v>0</v>
      </c>
      <c r="AE499" s="31">
        <v>0</v>
      </c>
      <c r="AF499" s="31">
        <v>0</v>
      </c>
      <c r="AG499" s="31">
        <v>0</v>
      </c>
      <c r="AH499" s="31">
        <v>0</v>
      </c>
      <c r="AI499" s="31">
        <v>0</v>
      </c>
      <c r="AJ499" s="31">
        <v>0</v>
      </c>
      <c r="AK499" s="31">
        <v>0</v>
      </c>
      <c r="AL499" s="31">
        <v>0</v>
      </c>
      <c r="AM499" s="31">
        <v>0</v>
      </c>
      <c r="AN499" s="31">
        <v>0</v>
      </c>
      <c r="AO499" s="31">
        <v>0</v>
      </c>
      <c r="AP499" s="31">
        <v>0</v>
      </c>
    </row>
    <row r="500" spans="1:42" x14ac:dyDescent="0.25">
      <c r="A500" s="31">
        <v>11</v>
      </c>
      <c r="B500" s="31">
        <v>13809</v>
      </c>
      <c r="C500" s="31">
        <v>1</v>
      </c>
      <c r="D500" s="31" t="s">
        <v>816</v>
      </c>
      <c r="E500" s="31"/>
      <c r="F500" s="31">
        <v>0</v>
      </c>
      <c r="G500" s="31">
        <v>0</v>
      </c>
      <c r="H500" s="31">
        <v>0</v>
      </c>
      <c r="I500" s="31">
        <v>0</v>
      </c>
      <c r="J500" s="31">
        <v>0</v>
      </c>
      <c r="K500" s="31" t="s">
        <v>882</v>
      </c>
      <c r="L500" s="2" t="str">
        <f t="shared" si="56"/>
        <v>Рихтовка</v>
      </c>
      <c r="M500" s="12">
        <f t="shared" si="57"/>
        <v>0</v>
      </c>
      <c r="N500" s="12">
        <f t="shared" si="58"/>
        <v>0</v>
      </c>
      <c r="O500" s="12">
        <f t="shared" si="59"/>
        <v>0</v>
      </c>
      <c r="P500" s="12">
        <f t="shared" si="60"/>
        <v>0</v>
      </c>
      <c r="Q500" s="12">
        <f t="shared" si="61"/>
        <v>0</v>
      </c>
      <c r="R500" s="12">
        <f t="shared" si="62"/>
        <v>0</v>
      </c>
      <c r="S500" s="12">
        <f t="shared" si="63"/>
        <v>0</v>
      </c>
      <c r="T500" s="31">
        <v>0</v>
      </c>
      <c r="U500" s="31">
        <v>0</v>
      </c>
      <c r="V500" s="31">
        <v>0</v>
      </c>
      <c r="W500" s="31">
        <v>0</v>
      </c>
      <c r="X500" s="31">
        <v>0</v>
      </c>
      <c r="Y500" s="31">
        <v>0</v>
      </c>
      <c r="Z500" s="31">
        <v>0</v>
      </c>
      <c r="AA500" s="31">
        <v>0</v>
      </c>
      <c r="AB500" s="31">
        <v>0</v>
      </c>
      <c r="AC500" s="31">
        <v>0</v>
      </c>
      <c r="AD500" s="31">
        <v>0</v>
      </c>
      <c r="AE500" s="31">
        <v>0</v>
      </c>
      <c r="AF500" s="31">
        <v>0</v>
      </c>
      <c r="AG500" s="31">
        <v>0</v>
      </c>
      <c r="AH500" s="31">
        <v>0</v>
      </c>
      <c r="AI500" s="31">
        <v>0</v>
      </c>
      <c r="AJ500" s="31">
        <v>0</v>
      </c>
      <c r="AK500" s="31">
        <v>0</v>
      </c>
      <c r="AL500" s="31">
        <v>0</v>
      </c>
      <c r="AM500" s="31">
        <v>0</v>
      </c>
      <c r="AN500" s="31">
        <v>0</v>
      </c>
      <c r="AO500" s="31">
        <v>0</v>
      </c>
      <c r="AP500" s="31">
        <v>0</v>
      </c>
    </row>
    <row r="501" spans="1:42" x14ac:dyDescent="0.25">
      <c r="A501" s="31">
        <v>11</v>
      </c>
      <c r="B501" s="31">
        <v>13809</v>
      </c>
      <c r="C501" s="31">
        <v>2</v>
      </c>
      <c r="D501" s="31" t="s">
        <v>806</v>
      </c>
      <c r="E501" s="31"/>
      <c r="F501" s="31">
        <v>0</v>
      </c>
      <c r="G501" s="31">
        <v>0</v>
      </c>
      <c r="H501" s="31">
        <v>0</v>
      </c>
      <c r="I501" s="31">
        <v>0</v>
      </c>
      <c r="J501" s="31">
        <v>0</v>
      </c>
      <c r="K501" s="31" t="s">
        <v>882</v>
      </c>
      <c r="L501" s="2" t="str">
        <f t="shared" si="56"/>
        <v>Рихтовка</v>
      </c>
      <c r="M501" s="12">
        <f t="shared" si="57"/>
        <v>0</v>
      </c>
      <c r="N501" s="12">
        <f t="shared" si="58"/>
        <v>0</v>
      </c>
      <c r="O501" s="12">
        <f t="shared" si="59"/>
        <v>0</v>
      </c>
      <c r="P501" s="12">
        <f t="shared" si="60"/>
        <v>0</v>
      </c>
      <c r="Q501" s="12">
        <f t="shared" si="61"/>
        <v>0</v>
      </c>
      <c r="R501" s="12">
        <f t="shared" si="62"/>
        <v>0</v>
      </c>
      <c r="S501" s="12">
        <f t="shared" si="63"/>
        <v>0</v>
      </c>
      <c r="T501" s="31">
        <v>0</v>
      </c>
      <c r="U501" s="31">
        <v>0</v>
      </c>
      <c r="V501" s="31">
        <v>0</v>
      </c>
      <c r="W501" s="31">
        <v>0</v>
      </c>
      <c r="X501" s="31">
        <v>0</v>
      </c>
      <c r="Y501" s="31">
        <v>0</v>
      </c>
      <c r="Z501" s="31">
        <v>0</v>
      </c>
      <c r="AA501" s="31">
        <v>0</v>
      </c>
      <c r="AB501" s="31">
        <v>0</v>
      </c>
      <c r="AC501" s="31">
        <v>0</v>
      </c>
      <c r="AD501" s="31">
        <v>0</v>
      </c>
      <c r="AE501" s="31">
        <v>0</v>
      </c>
      <c r="AF501" s="31">
        <v>0</v>
      </c>
      <c r="AG501" s="31">
        <v>0</v>
      </c>
      <c r="AH501" s="31">
        <v>0</v>
      </c>
      <c r="AI501" s="31">
        <v>0</v>
      </c>
      <c r="AJ501" s="31">
        <v>0</v>
      </c>
      <c r="AK501" s="31">
        <v>0</v>
      </c>
      <c r="AL501" s="31">
        <v>0</v>
      </c>
      <c r="AM501" s="31">
        <v>0</v>
      </c>
      <c r="AN501" s="31">
        <v>0</v>
      </c>
      <c r="AO501" s="31">
        <v>0</v>
      </c>
      <c r="AP501" s="31">
        <v>0</v>
      </c>
    </row>
    <row r="502" spans="1:42" x14ac:dyDescent="0.25">
      <c r="A502" s="31">
        <v>11</v>
      </c>
      <c r="B502" s="31">
        <v>13809</v>
      </c>
      <c r="C502" s="31">
        <v>2</v>
      </c>
      <c r="D502" s="31" t="s">
        <v>807</v>
      </c>
      <c r="E502" s="31"/>
      <c r="F502" s="31">
        <v>0</v>
      </c>
      <c r="G502" s="31">
        <v>0</v>
      </c>
      <c r="H502" s="31">
        <v>0</v>
      </c>
      <c r="I502" s="31">
        <v>0</v>
      </c>
      <c r="J502" s="31">
        <v>0</v>
      </c>
      <c r="K502" s="31" t="s">
        <v>882</v>
      </c>
      <c r="L502" s="2" t="str">
        <f t="shared" si="56"/>
        <v>Рихтовка</v>
      </c>
      <c r="M502" s="12">
        <f t="shared" si="57"/>
        <v>0</v>
      </c>
      <c r="N502" s="12">
        <f t="shared" si="58"/>
        <v>0</v>
      </c>
      <c r="O502" s="12">
        <f t="shared" si="59"/>
        <v>0</v>
      </c>
      <c r="P502" s="12">
        <f t="shared" si="60"/>
        <v>0</v>
      </c>
      <c r="Q502" s="12">
        <f t="shared" si="61"/>
        <v>0</v>
      </c>
      <c r="R502" s="12">
        <f t="shared" si="62"/>
        <v>0</v>
      </c>
      <c r="S502" s="12">
        <f t="shared" si="63"/>
        <v>0</v>
      </c>
      <c r="T502" s="31">
        <v>0</v>
      </c>
      <c r="U502" s="31">
        <v>0</v>
      </c>
      <c r="V502" s="31">
        <v>0</v>
      </c>
      <c r="W502" s="31">
        <v>0</v>
      </c>
      <c r="X502" s="31">
        <v>0</v>
      </c>
      <c r="Y502" s="31">
        <v>0</v>
      </c>
      <c r="Z502" s="31">
        <v>0</v>
      </c>
      <c r="AA502" s="31">
        <v>0</v>
      </c>
      <c r="AB502" s="31">
        <v>0</v>
      </c>
      <c r="AC502" s="31">
        <v>0</v>
      </c>
      <c r="AD502" s="31">
        <v>0</v>
      </c>
      <c r="AE502" s="31">
        <v>0</v>
      </c>
      <c r="AF502" s="31">
        <v>0</v>
      </c>
      <c r="AG502" s="31">
        <v>0</v>
      </c>
      <c r="AH502" s="31">
        <v>0</v>
      </c>
      <c r="AI502" s="31">
        <v>0</v>
      </c>
      <c r="AJ502" s="31">
        <v>0</v>
      </c>
      <c r="AK502" s="31">
        <v>0</v>
      </c>
      <c r="AL502" s="31">
        <v>0</v>
      </c>
      <c r="AM502" s="31">
        <v>0</v>
      </c>
      <c r="AN502" s="31">
        <v>0</v>
      </c>
      <c r="AO502" s="31">
        <v>0</v>
      </c>
      <c r="AP502" s="31">
        <v>0</v>
      </c>
    </row>
    <row r="503" spans="1:42" x14ac:dyDescent="0.25">
      <c r="A503" s="31">
        <v>11</v>
      </c>
      <c r="B503" s="31">
        <v>13809</v>
      </c>
      <c r="C503" s="31">
        <v>2</v>
      </c>
      <c r="D503" s="31" t="s">
        <v>808</v>
      </c>
      <c r="E503" s="31"/>
      <c r="F503" s="31">
        <v>0</v>
      </c>
      <c r="G503" s="31">
        <v>0</v>
      </c>
      <c r="H503" s="31">
        <v>0</v>
      </c>
      <c r="I503" s="31">
        <v>0</v>
      </c>
      <c r="J503" s="31">
        <v>0</v>
      </c>
      <c r="K503" s="31" t="s">
        <v>882</v>
      </c>
      <c r="L503" s="2" t="str">
        <f t="shared" si="56"/>
        <v>Рихтовка</v>
      </c>
      <c r="M503" s="12">
        <f t="shared" si="57"/>
        <v>0</v>
      </c>
      <c r="N503" s="12">
        <f t="shared" si="58"/>
        <v>0</v>
      </c>
      <c r="O503" s="12">
        <f t="shared" si="59"/>
        <v>0</v>
      </c>
      <c r="P503" s="12">
        <f t="shared" si="60"/>
        <v>0</v>
      </c>
      <c r="Q503" s="12">
        <f t="shared" si="61"/>
        <v>0</v>
      </c>
      <c r="R503" s="12">
        <f t="shared" si="62"/>
        <v>0</v>
      </c>
      <c r="S503" s="12">
        <f t="shared" si="63"/>
        <v>0</v>
      </c>
      <c r="T503" s="31">
        <v>0</v>
      </c>
      <c r="U503" s="31">
        <v>0</v>
      </c>
      <c r="V503" s="31">
        <v>0</v>
      </c>
      <c r="W503" s="31">
        <v>0</v>
      </c>
      <c r="X503" s="31">
        <v>0</v>
      </c>
      <c r="Y503" s="31">
        <v>0</v>
      </c>
      <c r="Z503" s="31">
        <v>0</v>
      </c>
      <c r="AA503" s="31">
        <v>0</v>
      </c>
      <c r="AB503" s="31">
        <v>0</v>
      </c>
      <c r="AC503" s="31">
        <v>0</v>
      </c>
      <c r="AD503" s="31">
        <v>0</v>
      </c>
      <c r="AE503" s="31">
        <v>0</v>
      </c>
      <c r="AF503" s="31">
        <v>0</v>
      </c>
      <c r="AG503" s="31">
        <v>0</v>
      </c>
      <c r="AH503" s="31">
        <v>0</v>
      </c>
      <c r="AI503" s="31">
        <v>0</v>
      </c>
      <c r="AJ503" s="31">
        <v>0</v>
      </c>
      <c r="AK503" s="31">
        <v>0</v>
      </c>
      <c r="AL503" s="31">
        <v>0</v>
      </c>
      <c r="AM503" s="31">
        <v>0</v>
      </c>
      <c r="AN503" s="31">
        <v>0</v>
      </c>
      <c r="AO503" s="31">
        <v>0</v>
      </c>
      <c r="AP503" s="31">
        <v>0</v>
      </c>
    </row>
    <row r="504" spans="1:42" x14ac:dyDescent="0.25">
      <c r="A504" s="31">
        <v>11</v>
      </c>
      <c r="B504" s="31">
        <v>13809</v>
      </c>
      <c r="C504" s="31">
        <v>2</v>
      </c>
      <c r="D504" s="31" t="s">
        <v>809</v>
      </c>
      <c r="E504" s="31"/>
      <c r="F504" s="31">
        <v>0</v>
      </c>
      <c r="G504" s="31">
        <v>0</v>
      </c>
      <c r="H504" s="31">
        <v>0</v>
      </c>
      <c r="I504" s="31">
        <v>0</v>
      </c>
      <c r="J504" s="31">
        <v>0</v>
      </c>
      <c r="K504" s="31" t="s">
        <v>882</v>
      </c>
      <c r="L504" s="2" t="str">
        <f t="shared" si="56"/>
        <v>Рихтовка</v>
      </c>
      <c r="M504" s="12">
        <f t="shared" si="57"/>
        <v>0</v>
      </c>
      <c r="N504" s="12">
        <f t="shared" si="58"/>
        <v>0</v>
      </c>
      <c r="O504" s="12">
        <f t="shared" si="59"/>
        <v>0</v>
      </c>
      <c r="P504" s="12">
        <f t="shared" si="60"/>
        <v>0</v>
      </c>
      <c r="Q504" s="12">
        <f t="shared" si="61"/>
        <v>0</v>
      </c>
      <c r="R504" s="12">
        <f t="shared" si="62"/>
        <v>0</v>
      </c>
      <c r="S504" s="12">
        <f t="shared" si="63"/>
        <v>0</v>
      </c>
      <c r="T504" s="31">
        <v>0</v>
      </c>
      <c r="U504" s="31">
        <v>0</v>
      </c>
      <c r="V504" s="31">
        <v>0</v>
      </c>
      <c r="W504" s="31">
        <v>0</v>
      </c>
      <c r="X504" s="31">
        <v>0</v>
      </c>
      <c r="Y504" s="31">
        <v>0</v>
      </c>
      <c r="Z504" s="31">
        <v>0</v>
      </c>
      <c r="AA504" s="31">
        <v>0</v>
      </c>
      <c r="AB504" s="31">
        <v>0</v>
      </c>
      <c r="AC504" s="31">
        <v>0</v>
      </c>
      <c r="AD504" s="31">
        <v>0</v>
      </c>
      <c r="AE504" s="31">
        <v>0</v>
      </c>
      <c r="AF504" s="31">
        <v>0</v>
      </c>
      <c r="AG504" s="31">
        <v>0</v>
      </c>
      <c r="AH504" s="31">
        <v>0</v>
      </c>
      <c r="AI504" s="31">
        <v>0</v>
      </c>
      <c r="AJ504" s="31">
        <v>0</v>
      </c>
      <c r="AK504" s="31">
        <v>0</v>
      </c>
      <c r="AL504" s="31">
        <v>0</v>
      </c>
      <c r="AM504" s="31">
        <v>0</v>
      </c>
      <c r="AN504" s="31">
        <v>0</v>
      </c>
      <c r="AO504" s="31">
        <v>0</v>
      </c>
      <c r="AP504" s="31">
        <v>0</v>
      </c>
    </row>
    <row r="505" spans="1:42" x14ac:dyDescent="0.25">
      <c r="A505" s="31">
        <v>11</v>
      </c>
      <c r="B505" s="31">
        <v>13809</v>
      </c>
      <c r="C505" s="31">
        <v>2</v>
      </c>
      <c r="D505" s="31" t="s">
        <v>810</v>
      </c>
      <c r="E505" s="31"/>
      <c r="F505" s="31">
        <v>0</v>
      </c>
      <c r="G505" s="31">
        <v>0</v>
      </c>
      <c r="H505" s="31">
        <v>0</v>
      </c>
      <c r="I505" s="31">
        <v>0</v>
      </c>
      <c r="J505" s="31">
        <v>0</v>
      </c>
      <c r="K505" s="31" t="s">
        <v>882</v>
      </c>
      <c r="L505" s="2" t="str">
        <f t="shared" si="56"/>
        <v>Рихтовка</v>
      </c>
      <c r="M505" s="12">
        <f t="shared" si="57"/>
        <v>0</v>
      </c>
      <c r="N505" s="12">
        <f t="shared" si="58"/>
        <v>0</v>
      </c>
      <c r="O505" s="12">
        <f t="shared" si="59"/>
        <v>0</v>
      </c>
      <c r="P505" s="12">
        <f t="shared" si="60"/>
        <v>0</v>
      </c>
      <c r="Q505" s="12">
        <f t="shared" si="61"/>
        <v>0</v>
      </c>
      <c r="R505" s="12">
        <f t="shared" si="62"/>
        <v>0</v>
      </c>
      <c r="S505" s="12">
        <f t="shared" si="63"/>
        <v>0</v>
      </c>
      <c r="T505" s="31">
        <v>0</v>
      </c>
      <c r="U505" s="31">
        <v>0</v>
      </c>
      <c r="V505" s="31">
        <v>0</v>
      </c>
      <c r="W505" s="31">
        <v>0</v>
      </c>
      <c r="X505" s="31">
        <v>0</v>
      </c>
      <c r="Y505" s="31">
        <v>0</v>
      </c>
      <c r="Z505" s="31">
        <v>0</v>
      </c>
      <c r="AA505" s="31">
        <v>0</v>
      </c>
      <c r="AB505" s="31">
        <v>0</v>
      </c>
      <c r="AC505" s="31">
        <v>0</v>
      </c>
      <c r="AD505" s="31">
        <v>0</v>
      </c>
      <c r="AE505" s="31">
        <v>0</v>
      </c>
      <c r="AF505" s="31">
        <v>0</v>
      </c>
      <c r="AG505" s="31">
        <v>0</v>
      </c>
      <c r="AH505" s="31">
        <v>0</v>
      </c>
      <c r="AI505" s="31">
        <v>0</v>
      </c>
      <c r="AJ505" s="31">
        <v>0</v>
      </c>
      <c r="AK505" s="31">
        <v>0</v>
      </c>
      <c r="AL505" s="31">
        <v>0</v>
      </c>
      <c r="AM505" s="31">
        <v>0</v>
      </c>
      <c r="AN505" s="31">
        <v>0</v>
      </c>
      <c r="AO505" s="31">
        <v>0</v>
      </c>
      <c r="AP505" s="31">
        <v>0</v>
      </c>
    </row>
    <row r="506" spans="1:42" x14ac:dyDescent="0.25">
      <c r="A506" s="31">
        <v>11</v>
      </c>
      <c r="B506" s="31">
        <v>13809</v>
      </c>
      <c r="C506" s="31">
        <v>2</v>
      </c>
      <c r="D506" s="31" t="s">
        <v>811</v>
      </c>
      <c r="E506" s="31"/>
      <c r="F506" s="31">
        <v>0</v>
      </c>
      <c r="G506" s="31">
        <v>0</v>
      </c>
      <c r="H506" s="31">
        <v>0</v>
      </c>
      <c r="I506" s="31">
        <v>0</v>
      </c>
      <c r="J506" s="31">
        <v>0</v>
      </c>
      <c r="K506" s="31" t="s">
        <v>882</v>
      </c>
      <c r="L506" s="2" t="str">
        <f t="shared" si="56"/>
        <v>Рихтовка</v>
      </c>
      <c r="M506" s="12">
        <f t="shared" si="57"/>
        <v>0</v>
      </c>
      <c r="N506" s="12">
        <f t="shared" si="58"/>
        <v>0</v>
      </c>
      <c r="O506" s="12">
        <f t="shared" si="59"/>
        <v>0</v>
      </c>
      <c r="P506" s="12">
        <f t="shared" si="60"/>
        <v>0</v>
      </c>
      <c r="Q506" s="12">
        <f t="shared" si="61"/>
        <v>0</v>
      </c>
      <c r="R506" s="12">
        <f t="shared" si="62"/>
        <v>0</v>
      </c>
      <c r="S506" s="12">
        <f t="shared" si="63"/>
        <v>0</v>
      </c>
      <c r="T506" s="31">
        <v>0</v>
      </c>
      <c r="U506" s="31">
        <v>0</v>
      </c>
      <c r="V506" s="31">
        <v>0</v>
      </c>
      <c r="W506" s="31">
        <v>0</v>
      </c>
      <c r="X506" s="31">
        <v>0</v>
      </c>
      <c r="Y506" s="31">
        <v>0</v>
      </c>
      <c r="Z506" s="31">
        <v>0</v>
      </c>
      <c r="AA506" s="31">
        <v>0</v>
      </c>
      <c r="AB506" s="31">
        <v>0</v>
      </c>
      <c r="AC506" s="31">
        <v>0</v>
      </c>
      <c r="AD506" s="31">
        <v>0</v>
      </c>
      <c r="AE506" s="31">
        <v>0</v>
      </c>
      <c r="AF506" s="31">
        <v>0</v>
      </c>
      <c r="AG506" s="31">
        <v>0</v>
      </c>
      <c r="AH506" s="31">
        <v>0</v>
      </c>
      <c r="AI506" s="31">
        <v>0</v>
      </c>
      <c r="AJ506" s="31">
        <v>0</v>
      </c>
      <c r="AK506" s="31">
        <v>0</v>
      </c>
      <c r="AL506" s="31">
        <v>0</v>
      </c>
      <c r="AM506" s="31">
        <v>0</v>
      </c>
      <c r="AN506" s="31">
        <v>0</v>
      </c>
      <c r="AO506" s="31">
        <v>0</v>
      </c>
      <c r="AP506" s="31">
        <v>0</v>
      </c>
    </row>
    <row r="507" spans="1:42" x14ac:dyDescent="0.25">
      <c r="A507" s="31">
        <v>11</v>
      </c>
      <c r="B507" s="31">
        <v>13809</v>
      </c>
      <c r="C507" s="31">
        <v>2</v>
      </c>
      <c r="D507" s="31" t="s">
        <v>812</v>
      </c>
      <c r="E507" s="31"/>
      <c r="F507" s="31">
        <v>0</v>
      </c>
      <c r="G507" s="31">
        <v>0</v>
      </c>
      <c r="H507" s="31">
        <v>0</v>
      </c>
      <c r="I507" s="31">
        <v>0</v>
      </c>
      <c r="J507" s="31">
        <v>0</v>
      </c>
      <c r="K507" s="31" t="s">
        <v>882</v>
      </c>
      <c r="L507" s="2" t="str">
        <f t="shared" si="56"/>
        <v>Рихтовка</v>
      </c>
      <c r="M507" s="12">
        <f t="shared" si="57"/>
        <v>0</v>
      </c>
      <c r="N507" s="12">
        <f t="shared" si="58"/>
        <v>0</v>
      </c>
      <c r="O507" s="12">
        <f t="shared" si="59"/>
        <v>0</v>
      </c>
      <c r="P507" s="12">
        <f t="shared" si="60"/>
        <v>0</v>
      </c>
      <c r="Q507" s="12">
        <f t="shared" si="61"/>
        <v>0</v>
      </c>
      <c r="R507" s="12">
        <f t="shared" si="62"/>
        <v>0</v>
      </c>
      <c r="S507" s="12">
        <f t="shared" si="63"/>
        <v>0</v>
      </c>
      <c r="T507" s="31">
        <v>0</v>
      </c>
      <c r="U507" s="31">
        <v>0</v>
      </c>
      <c r="V507" s="31">
        <v>0</v>
      </c>
      <c r="W507" s="31">
        <v>0</v>
      </c>
      <c r="X507" s="31">
        <v>0</v>
      </c>
      <c r="Y507" s="31">
        <v>0</v>
      </c>
      <c r="Z507" s="31">
        <v>0</v>
      </c>
      <c r="AA507" s="31">
        <v>0</v>
      </c>
      <c r="AB507" s="31">
        <v>0</v>
      </c>
      <c r="AC507" s="31">
        <v>0</v>
      </c>
      <c r="AD507" s="31">
        <v>0</v>
      </c>
      <c r="AE507" s="31">
        <v>0</v>
      </c>
      <c r="AF507" s="31">
        <v>0</v>
      </c>
      <c r="AG507" s="31">
        <v>0</v>
      </c>
      <c r="AH507" s="31">
        <v>0</v>
      </c>
      <c r="AI507" s="31">
        <v>0</v>
      </c>
      <c r="AJ507" s="31">
        <v>0</v>
      </c>
      <c r="AK507" s="31">
        <v>0</v>
      </c>
      <c r="AL507" s="31">
        <v>0</v>
      </c>
      <c r="AM507" s="31">
        <v>0</v>
      </c>
      <c r="AN507" s="31">
        <v>0</v>
      </c>
      <c r="AO507" s="31">
        <v>0</v>
      </c>
      <c r="AP507" s="31">
        <v>0</v>
      </c>
    </row>
    <row r="508" spans="1:42" x14ac:dyDescent="0.25">
      <c r="A508" s="31">
        <v>11</v>
      </c>
      <c r="B508" s="31">
        <v>13809</v>
      </c>
      <c r="C508" s="31">
        <v>2</v>
      </c>
      <c r="D508" s="31" t="s">
        <v>813</v>
      </c>
      <c r="E508" s="31"/>
      <c r="F508" s="31">
        <v>0</v>
      </c>
      <c r="G508" s="31">
        <v>0</v>
      </c>
      <c r="H508" s="31">
        <v>0</v>
      </c>
      <c r="I508" s="31">
        <v>0</v>
      </c>
      <c r="J508" s="31">
        <v>0</v>
      </c>
      <c r="K508" s="31" t="s">
        <v>882</v>
      </c>
      <c r="L508" s="2" t="str">
        <f t="shared" si="56"/>
        <v>Рихтовка</v>
      </c>
      <c r="M508" s="12">
        <f t="shared" si="57"/>
        <v>0</v>
      </c>
      <c r="N508" s="12">
        <f t="shared" si="58"/>
        <v>0</v>
      </c>
      <c r="O508" s="12">
        <f t="shared" si="59"/>
        <v>0</v>
      </c>
      <c r="P508" s="12">
        <f t="shared" si="60"/>
        <v>0</v>
      </c>
      <c r="Q508" s="12">
        <f t="shared" si="61"/>
        <v>0</v>
      </c>
      <c r="R508" s="12">
        <f t="shared" si="62"/>
        <v>0</v>
      </c>
      <c r="S508" s="12">
        <f t="shared" si="63"/>
        <v>0</v>
      </c>
      <c r="T508" s="31">
        <v>0</v>
      </c>
      <c r="U508" s="31">
        <v>0</v>
      </c>
      <c r="V508" s="31">
        <v>0</v>
      </c>
      <c r="W508" s="31">
        <v>0</v>
      </c>
      <c r="X508" s="31">
        <v>0</v>
      </c>
      <c r="Y508" s="31">
        <v>0</v>
      </c>
      <c r="Z508" s="31">
        <v>0</v>
      </c>
      <c r="AA508" s="31">
        <v>0</v>
      </c>
      <c r="AB508" s="31">
        <v>0</v>
      </c>
      <c r="AC508" s="31">
        <v>0</v>
      </c>
      <c r="AD508" s="31">
        <v>0</v>
      </c>
      <c r="AE508" s="31">
        <v>0</v>
      </c>
      <c r="AF508" s="31">
        <v>0</v>
      </c>
      <c r="AG508" s="31">
        <v>0</v>
      </c>
      <c r="AH508" s="31">
        <v>0</v>
      </c>
      <c r="AI508" s="31">
        <v>0</v>
      </c>
      <c r="AJ508" s="31">
        <v>0</v>
      </c>
      <c r="AK508" s="31">
        <v>0</v>
      </c>
      <c r="AL508" s="31">
        <v>0</v>
      </c>
      <c r="AM508" s="31">
        <v>0</v>
      </c>
      <c r="AN508" s="31">
        <v>0</v>
      </c>
      <c r="AO508" s="31">
        <v>0</v>
      </c>
      <c r="AP508" s="31">
        <v>0</v>
      </c>
    </row>
    <row r="509" spans="1:42" x14ac:dyDescent="0.25">
      <c r="A509" s="31">
        <v>11</v>
      </c>
      <c r="B509" s="31">
        <v>13809</v>
      </c>
      <c r="C509" s="31">
        <v>2</v>
      </c>
      <c r="D509" s="31" t="s">
        <v>814</v>
      </c>
      <c r="E509" s="31"/>
      <c r="F509" s="31">
        <v>0</v>
      </c>
      <c r="G509" s="31">
        <v>0</v>
      </c>
      <c r="H509" s="31">
        <v>0</v>
      </c>
      <c r="I509" s="31">
        <v>0</v>
      </c>
      <c r="J509" s="31">
        <v>0</v>
      </c>
      <c r="K509" s="31" t="s">
        <v>882</v>
      </c>
      <c r="L509" s="2" t="str">
        <f t="shared" si="56"/>
        <v>Рихтовка</v>
      </c>
      <c r="M509" s="12">
        <f t="shared" si="57"/>
        <v>0</v>
      </c>
      <c r="N509" s="12">
        <f t="shared" si="58"/>
        <v>0</v>
      </c>
      <c r="O509" s="12">
        <f t="shared" si="59"/>
        <v>0</v>
      </c>
      <c r="P509" s="12">
        <f t="shared" si="60"/>
        <v>0</v>
      </c>
      <c r="Q509" s="12">
        <f t="shared" si="61"/>
        <v>0</v>
      </c>
      <c r="R509" s="12">
        <f t="shared" si="62"/>
        <v>0</v>
      </c>
      <c r="S509" s="12">
        <f t="shared" si="63"/>
        <v>0</v>
      </c>
      <c r="T509" s="31">
        <v>0</v>
      </c>
      <c r="U509" s="31">
        <v>0</v>
      </c>
      <c r="V509" s="31">
        <v>0</v>
      </c>
      <c r="W509" s="31">
        <v>0</v>
      </c>
      <c r="X509" s="31">
        <v>0</v>
      </c>
      <c r="Y509" s="31">
        <v>0</v>
      </c>
      <c r="Z509" s="31">
        <v>0</v>
      </c>
      <c r="AA509" s="31">
        <v>0</v>
      </c>
      <c r="AB509" s="31">
        <v>0</v>
      </c>
      <c r="AC509" s="31">
        <v>0</v>
      </c>
      <c r="AD509" s="31">
        <v>0</v>
      </c>
      <c r="AE509" s="31">
        <v>0</v>
      </c>
      <c r="AF509" s="31">
        <v>0</v>
      </c>
      <c r="AG509" s="31">
        <v>0</v>
      </c>
      <c r="AH509" s="31">
        <v>0</v>
      </c>
      <c r="AI509" s="31">
        <v>0</v>
      </c>
      <c r="AJ509" s="31">
        <v>0</v>
      </c>
      <c r="AK509" s="31">
        <v>0</v>
      </c>
      <c r="AL509" s="31">
        <v>0</v>
      </c>
      <c r="AM509" s="31">
        <v>0</v>
      </c>
      <c r="AN509" s="31">
        <v>0</v>
      </c>
      <c r="AO509" s="31">
        <v>0</v>
      </c>
      <c r="AP509" s="31">
        <v>0</v>
      </c>
    </row>
    <row r="510" spans="1:42" x14ac:dyDescent="0.25">
      <c r="A510" s="31">
        <v>11</v>
      </c>
      <c r="B510" s="31">
        <v>13809</v>
      </c>
      <c r="C510" s="31">
        <v>2</v>
      </c>
      <c r="D510" s="31" t="s">
        <v>815</v>
      </c>
      <c r="E510" s="31"/>
      <c r="F510" s="31">
        <v>0</v>
      </c>
      <c r="G510" s="31">
        <v>0</v>
      </c>
      <c r="H510" s="31">
        <v>0</v>
      </c>
      <c r="I510" s="31">
        <v>0</v>
      </c>
      <c r="J510" s="31">
        <v>0</v>
      </c>
      <c r="K510" s="31" t="s">
        <v>882</v>
      </c>
      <c r="L510" s="2" t="str">
        <f t="shared" si="56"/>
        <v>Рихтовка</v>
      </c>
      <c r="M510" s="12">
        <f t="shared" si="57"/>
        <v>0</v>
      </c>
      <c r="N510" s="12">
        <f t="shared" si="58"/>
        <v>0</v>
      </c>
      <c r="O510" s="12">
        <f t="shared" si="59"/>
        <v>0</v>
      </c>
      <c r="P510" s="12">
        <f t="shared" si="60"/>
        <v>0</v>
      </c>
      <c r="Q510" s="12">
        <f t="shared" si="61"/>
        <v>0</v>
      </c>
      <c r="R510" s="12">
        <f t="shared" si="62"/>
        <v>0</v>
      </c>
      <c r="S510" s="12">
        <f t="shared" si="63"/>
        <v>0</v>
      </c>
      <c r="T510" s="31">
        <v>0</v>
      </c>
      <c r="U510" s="31">
        <v>0</v>
      </c>
      <c r="V510" s="31">
        <v>0</v>
      </c>
      <c r="W510" s="31">
        <v>0</v>
      </c>
      <c r="X510" s="31">
        <v>0</v>
      </c>
      <c r="Y510" s="31">
        <v>0</v>
      </c>
      <c r="Z510" s="31">
        <v>0</v>
      </c>
      <c r="AA510" s="31">
        <v>0</v>
      </c>
      <c r="AB510" s="31">
        <v>0</v>
      </c>
      <c r="AC510" s="31">
        <v>0</v>
      </c>
      <c r="AD510" s="31">
        <v>0</v>
      </c>
      <c r="AE510" s="31">
        <v>0</v>
      </c>
      <c r="AF510" s="31">
        <v>0</v>
      </c>
      <c r="AG510" s="31">
        <v>0</v>
      </c>
      <c r="AH510" s="31">
        <v>0</v>
      </c>
      <c r="AI510" s="31">
        <v>0</v>
      </c>
      <c r="AJ510" s="31">
        <v>0</v>
      </c>
      <c r="AK510" s="31">
        <v>0</v>
      </c>
      <c r="AL510" s="31">
        <v>0</v>
      </c>
      <c r="AM510" s="31">
        <v>0</v>
      </c>
      <c r="AN510" s="31">
        <v>0</v>
      </c>
      <c r="AO510" s="31">
        <v>0</v>
      </c>
      <c r="AP510" s="31">
        <v>0</v>
      </c>
    </row>
    <row r="511" spans="1:42" x14ac:dyDescent="0.25">
      <c r="A511" s="31">
        <v>11</v>
      </c>
      <c r="B511" s="31">
        <v>13809</v>
      </c>
      <c r="C511" s="31">
        <v>2</v>
      </c>
      <c r="D511" s="31" t="s">
        <v>816</v>
      </c>
      <c r="E511" s="31"/>
      <c r="F511" s="31">
        <v>0</v>
      </c>
      <c r="G511" s="31">
        <v>0</v>
      </c>
      <c r="H511" s="31">
        <v>0</v>
      </c>
      <c r="I511" s="31">
        <v>0</v>
      </c>
      <c r="J511" s="31">
        <v>0</v>
      </c>
      <c r="K511" s="31" t="s">
        <v>882</v>
      </c>
      <c r="L511" s="2" t="str">
        <f t="shared" si="56"/>
        <v>Рихтовка</v>
      </c>
      <c r="M511" s="12">
        <f t="shared" si="57"/>
        <v>0</v>
      </c>
      <c r="N511" s="12">
        <f t="shared" si="58"/>
        <v>0</v>
      </c>
      <c r="O511" s="12">
        <f t="shared" si="59"/>
        <v>0</v>
      </c>
      <c r="P511" s="12">
        <f t="shared" si="60"/>
        <v>0</v>
      </c>
      <c r="Q511" s="12">
        <f t="shared" si="61"/>
        <v>0</v>
      </c>
      <c r="R511" s="12">
        <f t="shared" si="62"/>
        <v>0</v>
      </c>
      <c r="S511" s="12">
        <f t="shared" si="63"/>
        <v>0</v>
      </c>
      <c r="T511" s="31">
        <v>0</v>
      </c>
      <c r="U511" s="31">
        <v>0</v>
      </c>
      <c r="V511" s="31">
        <v>0</v>
      </c>
      <c r="W511" s="31">
        <v>0</v>
      </c>
      <c r="X511" s="31">
        <v>0</v>
      </c>
      <c r="Y511" s="31">
        <v>0</v>
      </c>
      <c r="Z511" s="31">
        <v>0</v>
      </c>
      <c r="AA511" s="31">
        <v>0</v>
      </c>
      <c r="AB511" s="31">
        <v>0</v>
      </c>
      <c r="AC511" s="31">
        <v>0</v>
      </c>
      <c r="AD511" s="31">
        <v>0</v>
      </c>
      <c r="AE511" s="31">
        <v>0</v>
      </c>
      <c r="AF511" s="31">
        <v>0</v>
      </c>
      <c r="AG511" s="31">
        <v>0</v>
      </c>
      <c r="AH511" s="31">
        <v>0</v>
      </c>
      <c r="AI511" s="31">
        <v>0</v>
      </c>
      <c r="AJ511" s="31">
        <v>0</v>
      </c>
      <c r="AK511" s="31">
        <v>0</v>
      </c>
      <c r="AL511" s="31">
        <v>0</v>
      </c>
      <c r="AM511" s="31">
        <v>0</v>
      </c>
      <c r="AN511" s="31">
        <v>0</v>
      </c>
      <c r="AO511" s="31">
        <v>0</v>
      </c>
      <c r="AP511" s="31">
        <v>0</v>
      </c>
    </row>
    <row r="512" spans="1:42" x14ac:dyDescent="0.25">
      <c r="A512" s="31">
        <v>11</v>
      </c>
      <c r="B512" s="31">
        <v>13879</v>
      </c>
      <c r="C512" s="31" t="s">
        <v>421</v>
      </c>
      <c r="D512" s="31" t="s">
        <v>817</v>
      </c>
      <c r="E512" s="31"/>
      <c r="F512" s="31">
        <v>0</v>
      </c>
      <c r="G512" s="31">
        <v>0</v>
      </c>
      <c r="H512" s="31">
        <v>0</v>
      </c>
      <c r="I512" s="31">
        <v>0</v>
      </c>
      <c r="J512" s="31">
        <v>0</v>
      </c>
      <c r="K512" s="31" t="s">
        <v>882</v>
      </c>
      <c r="L512" s="2" t="str">
        <f t="shared" si="56"/>
        <v>Рихтовка</v>
      </c>
      <c r="M512" s="12">
        <f t="shared" si="57"/>
        <v>0</v>
      </c>
      <c r="N512" s="12">
        <f t="shared" si="58"/>
        <v>0</v>
      </c>
      <c r="O512" s="12">
        <f t="shared" si="59"/>
        <v>0</v>
      </c>
      <c r="P512" s="12">
        <f t="shared" si="60"/>
        <v>0</v>
      </c>
      <c r="Q512" s="12">
        <f t="shared" si="61"/>
        <v>0</v>
      </c>
      <c r="R512" s="12">
        <f t="shared" si="62"/>
        <v>0</v>
      </c>
      <c r="S512" s="12">
        <f t="shared" si="63"/>
        <v>0</v>
      </c>
      <c r="T512" s="31">
        <v>0</v>
      </c>
      <c r="U512" s="31">
        <v>0</v>
      </c>
      <c r="V512" s="31">
        <v>0</v>
      </c>
      <c r="W512" s="31">
        <v>0</v>
      </c>
      <c r="X512" s="31">
        <v>0</v>
      </c>
      <c r="Y512" s="31">
        <v>0</v>
      </c>
      <c r="Z512" s="31">
        <v>0</v>
      </c>
      <c r="AA512" s="31">
        <v>0</v>
      </c>
      <c r="AB512" s="31">
        <v>0</v>
      </c>
      <c r="AC512" s="31">
        <v>0</v>
      </c>
      <c r="AD512" s="31">
        <v>0</v>
      </c>
      <c r="AE512" s="31">
        <v>0</v>
      </c>
      <c r="AF512" s="31">
        <v>0</v>
      </c>
      <c r="AG512" s="31">
        <v>0</v>
      </c>
      <c r="AH512" s="31">
        <v>0</v>
      </c>
      <c r="AI512" s="31">
        <v>0</v>
      </c>
      <c r="AJ512" s="31">
        <v>0</v>
      </c>
      <c r="AK512" s="31">
        <v>0</v>
      </c>
      <c r="AL512" s="31">
        <v>0</v>
      </c>
      <c r="AM512" s="31">
        <v>0</v>
      </c>
      <c r="AN512" s="31">
        <v>0</v>
      </c>
      <c r="AO512" s="31">
        <v>0</v>
      </c>
      <c r="AP512" s="31">
        <v>0</v>
      </c>
    </row>
    <row r="513" spans="1:42" x14ac:dyDescent="0.25">
      <c r="A513" s="31">
        <v>11</v>
      </c>
      <c r="B513" s="31">
        <v>25103</v>
      </c>
      <c r="C513" s="31" t="s">
        <v>217</v>
      </c>
      <c r="D513" s="31" t="s">
        <v>818</v>
      </c>
      <c r="E513" s="31"/>
      <c r="F513" s="31">
        <v>0</v>
      </c>
      <c r="G513" s="31">
        <v>0</v>
      </c>
      <c r="H513" s="31">
        <v>0</v>
      </c>
      <c r="I513" s="31">
        <v>0</v>
      </c>
      <c r="J513" s="31">
        <v>0</v>
      </c>
      <c r="K513" s="31" t="s">
        <v>882</v>
      </c>
      <c r="L513" s="2" t="str">
        <f t="shared" si="56"/>
        <v>Рихтовка</v>
      </c>
      <c r="M513" s="12">
        <f t="shared" si="57"/>
        <v>0</v>
      </c>
      <c r="N513" s="12">
        <f t="shared" si="58"/>
        <v>0</v>
      </c>
      <c r="O513" s="12">
        <f t="shared" si="59"/>
        <v>0</v>
      </c>
      <c r="P513" s="12">
        <f t="shared" si="60"/>
        <v>0</v>
      </c>
      <c r="Q513" s="12">
        <f t="shared" si="61"/>
        <v>0</v>
      </c>
      <c r="R513" s="12">
        <f t="shared" si="62"/>
        <v>0</v>
      </c>
      <c r="S513" s="12">
        <f t="shared" si="63"/>
        <v>0</v>
      </c>
      <c r="T513" s="31">
        <v>0</v>
      </c>
      <c r="U513" s="31">
        <v>0</v>
      </c>
      <c r="V513" s="31">
        <v>0</v>
      </c>
      <c r="W513" s="31">
        <v>0</v>
      </c>
      <c r="X513" s="31">
        <v>0</v>
      </c>
      <c r="Y513" s="31">
        <v>0</v>
      </c>
      <c r="Z513" s="31">
        <v>0</v>
      </c>
      <c r="AA513" s="31">
        <v>0</v>
      </c>
      <c r="AB513" s="31">
        <v>0</v>
      </c>
      <c r="AC513" s="31">
        <v>0</v>
      </c>
      <c r="AD513" s="31">
        <v>0</v>
      </c>
      <c r="AE513" s="31">
        <v>0</v>
      </c>
      <c r="AF513" s="31">
        <v>0</v>
      </c>
      <c r="AG513" s="31">
        <v>0</v>
      </c>
      <c r="AH513" s="31">
        <v>0</v>
      </c>
      <c r="AI513" s="31">
        <v>0</v>
      </c>
      <c r="AJ513" s="31">
        <v>0</v>
      </c>
      <c r="AK513" s="31">
        <v>0</v>
      </c>
      <c r="AL513" s="31">
        <v>0</v>
      </c>
      <c r="AM513" s="31">
        <v>0</v>
      </c>
      <c r="AN513" s="31">
        <v>0</v>
      </c>
      <c r="AO513" s="31">
        <v>0</v>
      </c>
      <c r="AP513" s="31">
        <v>0</v>
      </c>
    </row>
    <row r="514" spans="1:42" x14ac:dyDescent="0.25">
      <c r="A514" s="31">
        <v>11</v>
      </c>
      <c r="B514" s="31">
        <v>25103</v>
      </c>
      <c r="C514" s="31" t="s">
        <v>217</v>
      </c>
      <c r="D514" s="31" t="s">
        <v>819</v>
      </c>
      <c r="E514" s="31"/>
      <c r="F514" s="31">
        <v>0</v>
      </c>
      <c r="G514" s="31">
        <v>0</v>
      </c>
      <c r="H514" s="31">
        <v>0</v>
      </c>
      <c r="I514" s="31">
        <v>0</v>
      </c>
      <c r="J514" s="31">
        <v>0</v>
      </c>
      <c r="K514" s="31" t="s">
        <v>882</v>
      </c>
      <c r="L514" s="2" t="str">
        <f t="shared" ref="L514:L577" si="64">IF($M514=N514,$N$1,IF($M514=O514,$O$1,IF($M514=P514,$P$1,IF($M514=Q514,$Q$1,IF($M514=R514,$R$1,$S$1)))))</f>
        <v>Рихтовка</v>
      </c>
      <c r="M514" s="12">
        <f t="shared" ref="M514:M577" si="65">MAX(N514,O514,P514,Q514,R514,S514)</f>
        <v>0</v>
      </c>
      <c r="N514" s="12">
        <f t="shared" ref="N514:N577" si="66">T514+U514+V514</f>
        <v>0</v>
      </c>
      <c r="O514" s="12">
        <f t="shared" ref="O514:O577" si="67">W514+X514+Y514</f>
        <v>0</v>
      </c>
      <c r="P514" s="12">
        <f t="shared" ref="P514:P577" si="68">Z514+AA514+AB514</f>
        <v>0</v>
      </c>
      <c r="Q514" s="12">
        <f t="shared" ref="Q514:Q577" si="69">AC514+AD514+AE514</f>
        <v>0</v>
      </c>
      <c r="R514" s="12">
        <f t="shared" ref="R514:R577" si="70">AF514+AG514+AH514</f>
        <v>0</v>
      </c>
      <c r="S514" s="12">
        <f t="shared" ref="S514:S577" si="71">AI514+AJ514+AK514</f>
        <v>0</v>
      </c>
      <c r="T514" s="31">
        <v>0</v>
      </c>
      <c r="U514" s="31">
        <v>0</v>
      </c>
      <c r="V514" s="31">
        <v>0</v>
      </c>
      <c r="W514" s="31">
        <v>0</v>
      </c>
      <c r="X514" s="31">
        <v>0</v>
      </c>
      <c r="Y514" s="31">
        <v>0</v>
      </c>
      <c r="Z514" s="31">
        <v>0</v>
      </c>
      <c r="AA514" s="31">
        <v>0</v>
      </c>
      <c r="AB514" s="31">
        <v>0</v>
      </c>
      <c r="AC514" s="31">
        <v>0</v>
      </c>
      <c r="AD514" s="31">
        <v>0</v>
      </c>
      <c r="AE514" s="31">
        <v>0</v>
      </c>
      <c r="AF514" s="31">
        <v>0</v>
      </c>
      <c r="AG514" s="31">
        <v>0</v>
      </c>
      <c r="AH514" s="31">
        <v>0</v>
      </c>
      <c r="AI514" s="31">
        <v>0</v>
      </c>
      <c r="AJ514" s="31">
        <v>0</v>
      </c>
      <c r="AK514" s="31">
        <v>0</v>
      </c>
      <c r="AL514" s="31">
        <v>0</v>
      </c>
      <c r="AM514" s="31">
        <v>0</v>
      </c>
      <c r="AN514" s="31">
        <v>0</v>
      </c>
      <c r="AO514" s="31">
        <v>0</v>
      </c>
      <c r="AP514" s="31">
        <v>0</v>
      </c>
    </row>
    <row r="515" spans="1:42" x14ac:dyDescent="0.25">
      <c r="A515" s="31">
        <v>11</v>
      </c>
      <c r="B515" s="31">
        <v>25103</v>
      </c>
      <c r="C515" s="31" t="s">
        <v>217</v>
      </c>
      <c r="D515" s="31" t="s">
        <v>820</v>
      </c>
      <c r="E515" s="31"/>
      <c r="F515" s="31">
        <v>0</v>
      </c>
      <c r="G515" s="31">
        <v>0</v>
      </c>
      <c r="H515" s="31">
        <v>0</v>
      </c>
      <c r="I515" s="31">
        <v>0</v>
      </c>
      <c r="J515" s="31">
        <v>0</v>
      </c>
      <c r="K515" s="31" t="s">
        <v>882</v>
      </c>
      <c r="L515" s="2" t="str">
        <f t="shared" si="64"/>
        <v>Рихтовка</v>
      </c>
      <c r="M515" s="12">
        <f t="shared" si="65"/>
        <v>0</v>
      </c>
      <c r="N515" s="12">
        <f t="shared" si="66"/>
        <v>0</v>
      </c>
      <c r="O515" s="12">
        <f t="shared" si="67"/>
        <v>0</v>
      </c>
      <c r="P515" s="12">
        <f t="shared" si="68"/>
        <v>0</v>
      </c>
      <c r="Q515" s="12">
        <f t="shared" si="69"/>
        <v>0</v>
      </c>
      <c r="R515" s="12">
        <f t="shared" si="70"/>
        <v>0</v>
      </c>
      <c r="S515" s="12">
        <f t="shared" si="71"/>
        <v>0</v>
      </c>
      <c r="T515" s="31">
        <v>0</v>
      </c>
      <c r="U515" s="31">
        <v>0</v>
      </c>
      <c r="V515" s="31">
        <v>0</v>
      </c>
      <c r="W515" s="31">
        <v>0</v>
      </c>
      <c r="X515" s="31">
        <v>0</v>
      </c>
      <c r="Y515" s="31">
        <v>0</v>
      </c>
      <c r="Z515" s="31">
        <v>0</v>
      </c>
      <c r="AA515" s="31">
        <v>0</v>
      </c>
      <c r="AB515" s="31">
        <v>0</v>
      </c>
      <c r="AC515" s="31">
        <v>0</v>
      </c>
      <c r="AD515" s="31">
        <v>0</v>
      </c>
      <c r="AE515" s="31">
        <v>0</v>
      </c>
      <c r="AF515" s="31">
        <v>0</v>
      </c>
      <c r="AG515" s="31">
        <v>0</v>
      </c>
      <c r="AH515" s="31">
        <v>0</v>
      </c>
      <c r="AI515" s="31">
        <v>0</v>
      </c>
      <c r="AJ515" s="31">
        <v>0</v>
      </c>
      <c r="AK515" s="31">
        <v>0</v>
      </c>
      <c r="AL515" s="31">
        <v>0</v>
      </c>
      <c r="AM515" s="31">
        <v>0</v>
      </c>
      <c r="AN515" s="31">
        <v>0</v>
      </c>
      <c r="AO515" s="31">
        <v>0</v>
      </c>
      <c r="AP515" s="31">
        <v>0</v>
      </c>
    </row>
    <row r="516" spans="1:42" x14ac:dyDescent="0.25">
      <c r="A516" s="31">
        <v>11</v>
      </c>
      <c r="B516" s="31">
        <v>25103</v>
      </c>
      <c r="C516" s="31" t="s">
        <v>217</v>
      </c>
      <c r="D516" s="31" t="s">
        <v>821</v>
      </c>
      <c r="E516" s="31"/>
      <c r="F516" s="31">
        <v>0</v>
      </c>
      <c r="G516" s="31">
        <v>0</v>
      </c>
      <c r="H516" s="31">
        <v>0</v>
      </c>
      <c r="I516" s="31">
        <v>0</v>
      </c>
      <c r="J516" s="31">
        <v>0</v>
      </c>
      <c r="K516" s="31" t="s">
        <v>882</v>
      </c>
      <c r="L516" s="2" t="str">
        <f t="shared" si="64"/>
        <v>Рихтовка</v>
      </c>
      <c r="M516" s="12">
        <f t="shared" si="65"/>
        <v>0</v>
      </c>
      <c r="N516" s="12">
        <f t="shared" si="66"/>
        <v>0</v>
      </c>
      <c r="O516" s="12">
        <f t="shared" si="67"/>
        <v>0</v>
      </c>
      <c r="P516" s="12">
        <f t="shared" si="68"/>
        <v>0</v>
      </c>
      <c r="Q516" s="12">
        <f t="shared" si="69"/>
        <v>0</v>
      </c>
      <c r="R516" s="12">
        <f t="shared" si="70"/>
        <v>0</v>
      </c>
      <c r="S516" s="12">
        <f t="shared" si="71"/>
        <v>0</v>
      </c>
      <c r="T516" s="31">
        <v>0</v>
      </c>
      <c r="U516" s="31">
        <v>0</v>
      </c>
      <c r="V516" s="31">
        <v>0</v>
      </c>
      <c r="W516" s="31">
        <v>0</v>
      </c>
      <c r="X516" s="31">
        <v>0</v>
      </c>
      <c r="Y516" s="31">
        <v>0</v>
      </c>
      <c r="Z516" s="31">
        <v>0</v>
      </c>
      <c r="AA516" s="31">
        <v>0</v>
      </c>
      <c r="AB516" s="31">
        <v>0</v>
      </c>
      <c r="AC516" s="31">
        <v>0</v>
      </c>
      <c r="AD516" s="31">
        <v>0</v>
      </c>
      <c r="AE516" s="31">
        <v>0</v>
      </c>
      <c r="AF516" s="31">
        <v>0</v>
      </c>
      <c r="AG516" s="31">
        <v>0</v>
      </c>
      <c r="AH516" s="31">
        <v>0</v>
      </c>
      <c r="AI516" s="31">
        <v>0</v>
      </c>
      <c r="AJ516" s="31">
        <v>0</v>
      </c>
      <c r="AK516" s="31">
        <v>0</v>
      </c>
      <c r="AL516" s="31">
        <v>0</v>
      </c>
      <c r="AM516" s="31">
        <v>0</v>
      </c>
      <c r="AN516" s="31">
        <v>0</v>
      </c>
      <c r="AO516" s="31">
        <v>0</v>
      </c>
      <c r="AP516" s="31">
        <v>0</v>
      </c>
    </row>
    <row r="517" spans="1:42" x14ac:dyDescent="0.25">
      <c r="A517" s="31">
        <v>11</v>
      </c>
      <c r="B517" s="31">
        <v>25103</v>
      </c>
      <c r="C517" s="31" t="s">
        <v>217</v>
      </c>
      <c r="D517" s="31" t="s">
        <v>822</v>
      </c>
      <c r="E517" s="31"/>
      <c r="F517" s="31">
        <v>0</v>
      </c>
      <c r="G517" s="31">
        <v>0</v>
      </c>
      <c r="H517" s="31">
        <v>0</v>
      </c>
      <c r="I517" s="31">
        <v>0</v>
      </c>
      <c r="J517" s="31">
        <v>0</v>
      </c>
      <c r="K517" s="31" t="s">
        <v>882</v>
      </c>
      <c r="L517" s="2" t="str">
        <f t="shared" si="64"/>
        <v>Рихтовка</v>
      </c>
      <c r="M517" s="12">
        <f t="shared" si="65"/>
        <v>0</v>
      </c>
      <c r="N517" s="12">
        <f t="shared" si="66"/>
        <v>0</v>
      </c>
      <c r="O517" s="12">
        <f t="shared" si="67"/>
        <v>0</v>
      </c>
      <c r="P517" s="12">
        <f t="shared" si="68"/>
        <v>0</v>
      </c>
      <c r="Q517" s="12">
        <f t="shared" si="69"/>
        <v>0</v>
      </c>
      <c r="R517" s="12">
        <f t="shared" si="70"/>
        <v>0</v>
      </c>
      <c r="S517" s="12">
        <f t="shared" si="71"/>
        <v>0</v>
      </c>
      <c r="T517" s="31">
        <v>0</v>
      </c>
      <c r="U517" s="31">
        <v>0</v>
      </c>
      <c r="V517" s="31">
        <v>0</v>
      </c>
      <c r="W517" s="31">
        <v>0</v>
      </c>
      <c r="X517" s="31">
        <v>0</v>
      </c>
      <c r="Y517" s="31">
        <v>0</v>
      </c>
      <c r="Z517" s="31">
        <v>0</v>
      </c>
      <c r="AA517" s="31">
        <v>0</v>
      </c>
      <c r="AB517" s="31">
        <v>0</v>
      </c>
      <c r="AC517" s="31">
        <v>0</v>
      </c>
      <c r="AD517" s="31">
        <v>0</v>
      </c>
      <c r="AE517" s="31">
        <v>0</v>
      </c>
      <c r="AF517" s="31">
        <v>0</v>
      </c>
      <c r="AG517" s="31">
        <v>0</v>
      </c>
      <c r="AH517" s="31">
        <v>0</v>
      </c>
      <c r="AI517" s="31">
        <v>0</v>
      </c>
      <c r="AJ517" s="31">
        <v>0</v>
      </c>
      <c r="AK517" s="31">
        <v>0</v>
      </c>
      <c r="AL517" s="31">
        <v>0</v>
      </c>
      <c r="AM517" s="31">
        <v>0</v>
      </c>
      <c r="AN517" s="31">
        <v>0</v>
      </c>
      <c r="AO517" s="31">
        <v>0</v>
      </c>
      <c r="AP517" s="31">
        <v>0</v>
      </c>
    </row>
    <row r="518" spans="1:42" x14ac:dyDescent="0.25">
      <c r="A518" s="31">
        <v>11</v>
      </c>
      <c r="B518" s="31">
        <v>25103</v>
      </c>
      <c r="C518" s="31" t="s">
        <v>217</v>
      </c>
      <c r="D518" s="31" t="s">
        <v>823</v>
      </c>
      <c r="E518" s="31"/>
      <c r="F518" s="31">
        <v>0</v>
      </c>
      <c r="G518" s="31">
        <v>0</v>
      </c>
      <c r="H518" s="31">
        <v>0</v>
      </c>
      <c r="I518" s="31">
        <v>0</v>
      </c>
      <c r="J518" s="31">
        <v>0</v>
      </c>
      <c r="K518" s="31" t="s">
        <v>882</v>
      </c>
      <c r="L518" s="2" t="str">
        <f t="shared" si="64"/>
        <v>Рихтовка</v>
      </c>
      <c r="M518" s="12">
        <f t="shared" si="65"/>
        <v>0</v>
      </c>
      <c r="N518" s="12">
        <f t="shared" si="66"/>
        <v>0</v>
      </c>
      <c r="O518" s="12">
        <f t="shared" si="67"/>
        <v>0</v>
      </c>
      <c r="P518" s="12">
        <f t="shared" si="68"/>
        <v>0</v>
      </c>
      <c r="Q518" s="12">
        <f t="shared" si="69"/>
        <v>0</v>
      </c>
      <c r="R518" s="12">
        <f t="shared" si="70"/>
        <v>0</v>
      </c>
      <c r="S518" s="12">
        <f t="shared" si="71"/>
        <v>0</v>
      </c>
      <c r="T518" s="31">
        <v>0</v>
      </c>
      <c r="U518" s="31">
        <v>0</v>
      </c>
      <c r="V518" s="31">
        <v>0</v>
      </c>
      <c r="W518" s="31">
        <v>0</v>
      </c>
      <c r="X518" s="31">
        <v>0</v>
      </c>
      <c r="Y518" s="31">
        <v>0</v>
      </c>
      <c r="Z518" s="31">
        <v>0</v>
      </c>
      <c r="AA518" s="31">
        <v>0</v>
      </c>
      <c r="AB518" s="31">
        <v>0</v>
      </c>
      <c r="AC518" s="31">
        <v>0</v>
      </c>
      <c r="AD518" s="31">
        <v>0</v>
      </c>
      <c r="AE518" s="31">
        <v>0</v>
      </c>
      <c r="AF518" s="31">
        <v>0</v>
      </c>
      <c r="AG518" s="31">
        <v>0</v>
      </c>
      <c r="AH518" s="31">
        <v>0</v>
      </c>
      <c r="AI518" s="31">
        <v>0</v>
      </c>
      <c r="AJ518" s="31">
        <v>0</v>
      </c>
      <c r="AK518" s="31">
        <v>0</v>
      </c>
      <c r="AL518" s="31">
        <v>0</v>
      </c>
      <c r="AM518" s="31">
        <v>0</v>
      </c>
      <c r="AN518" s="31">
        <v>0</v>
      </c>
      <c r="AO518" s="31">
        <v>0</v>
      </c>
      <c r="AP518" s="31">
        <v>0</v>
      </c>
    </row>
    <row r="519" spans="1:42" x14ac:dyDescent="0.25">
      <c r="A519" s="31">
        <v>11</v>
      </c>
      <c r="B519" s="31">
        <v>25103</v>
      </c>
      <c r="C519" s="31" t="s">
        <v>217</v>
      </c>
      <c r="D519" s="31" t="s">
        <v>824</v>
      </c>
      <c r="E519" s="31"/>
      <c r="F519" s="31">
        <v>0</v>
      </c>
      <c r="G519" s="31">
        <v>0</v>
      </c>
      <c r="H519" s="31">
        <v>0</v>
      </c>
      <c r="I519" s="31">
        <v>0</v>
      </c>
      <c r="J519" s="31">
        <v>0</v>
      </c>
      <c r="K519" s="31" t="s">
        <v>882</v>
      </c>
      <c r="L519" s="2" t="str">
        <f t="shared" si="64"/>
        <v>Рихтовка</v>
      </c>
      <c r="M519" s="12">
        <f t="shared" si="65"/>
        <v>0</v>
      </c>
      <c r="N519" s="12">
        <f t="shared" si="66"/>
        <v>0</v>
      </c>
      <c r="O519" s="12">
        <f t="shared" si="67"/>
        <v>0</v>
      </c>
      <c r="P519" s="12">
        <f t="shared" si="68"/>
        <v>0</v>
      </c>
      <c r="Q519" s="12">
        <f t="shared" si="69"/>
        <v>0</v>
      </c>
      <c r="R519" s="12">
        <f t="shared" si="70"/>
        <v>0</v>
      </c>
      <c r="S519" s="12">
        <f t="shared" si="71"/>
        <v>0</v>
      </c>
      <c r="T519" s="31">
        <v>0</v>
      </c>
      <c r="U519" s="31">
        <v>0</v>
      </c>
      <c r="V519" s="31">
        <v>0</v>
      </c>
      <c r="W519" s="31">
        <v>0</v>
      </c>
      <c r="X519" s="31">
        <v>0</v>
      </c>
      <c r="Y519" s="31">
        <v>0</v>
      </c>
      <c r="Z519" s="31">
        <v>0</v>
      </c>
      <c r="AA519" s="31">
        <v>0</v>
      </c>
      <c r="AB519" s="31">
        <v>0</v>
      </c>
      <c r="AC519" s="31">
        <v>0</v>
      </c>
      <c r="AD519" s="31">
        <v>0</v>
      </c>
      <c r="AE519" s="31">
        <v>0</v>
      </c>
      <c r="AF519" s="31">
        <v>0</v>
      </c>
      <c r="AG519" s="31">
        <v>0</v>
      </c>
      <c r="AH519" s="31">
        <v>0</v>
      </c>
      <c r="AI519" s="31">
        <v>0</v>
      </c>
      <c r="AJ519" s="31">
        <v>0</v>
      </c>
      <c r="AK519" s="31">
        <v>0</v>
      </c>
      <c r="AL519" s="31">
        <v>0</v>
      </c>
      <c r="AM519" s="31">
        <v>0</v>
      </c>
      <c r="AN519" s="31">
        <v>0</v>
      </c>
      <c r="AO519" s="31">
        <v>0</v>
      </c>
      <c r="AP519" s="31">
        <v>0</v>
      </c>
    </row>
    <row r="520" spans="1:42" x14ac:dyDescent="0.25">
      <c r="A520" s="31">
        <v>11</v>
      </c>
      <c r="B520" s="31">
        <v>25103</v>
      </c>
      <c r="C520" s="31" t="s">
        <v>217</v>
      </c>
      <c r="D520" s="31" t="s">
        <v>825</v>
      </c>
      <c r="E520" s="31"/>
      <c r="F520" s="31">
        <v>0</v>
      </c>
      <c r="G520" s="31">
        <v>0</v>
      </c>
      <c r="H520" s="31">
        <v>0</v>
      </c>
      <c r="I520" s="31">
        <v>0</v>
      </c>
      <c r="J520" s="31">
        <v>0</v>
      </c>
      <c r="K520" s="31" t="s">
        <v>882</v>
      </c>
      <c r="L520" s="2" t="str">
        <f t="shared" si="64"/>
        <v>Рихтовка</v>
      </c>
      <c r="M520" s="12">
        <f t="shared" si="65"/>
        <v>0</v>
      </c>
      <c r="N520" s="12">
        <f t="shared" si="66"/>
        <v>0</v>
      </c>
      <c r="O520" s="12">
        <f t="shared" si="67"/>
        <v>0</v>
      </c>
      <c r="P520" s="12">
        <f t="shared" si="68"/>
        <v>0</v>
      </c>
      <c r="Q520" s="12">
        <f t="shared" si="69"/>
        <v>0</v>
      </c>
      <c r="R520" s="12">
        <f t="shared" si="70"/>
        <v>0</v>
      </c>
      <c r="S520" s="12">
        <f t="shared" si="71"/>
        <v>0</v>
      </c>
      <c r="T520" s="31">
        <v>0</v>
      </c>
      <c r="U520" s="31">
        <v>0</v>
      </c>
      <c r="V520" s="31">
        <v>0</v>
      </c>
      <c r="W520" s="31">
        <v>0</v>
      </c>
      <c r="X520" s="31">
        <v>0</v>
      </c>
      <c r="Y520" s="31">
        <v>0</v>
      </c>
      <c r="Z520" s="31">
        <v>0</v>
      </c>
      <c r="AA520" s="31">
        <v>0</v>
      </c>
      <c r="AB520" s="31">
        <v>0</v>
      </c>
      <c r="AC520" s="31">
        <v>0</v>
      </c>
      <c r="AD520" s="31">
        <v>0</v>
      </c>
      <c r="AE520" s="31">
        <v>0</v>
      </c>
      <c r="AF520" s="31">
        <v>0</v>
      </c>
      <c r="AG520" s="31">
        <v>0</v>
      </c>
      <c r="AH520" s="31">
        <v>0</v>
      </c>
      <c r="AI520" s="31">
        <v>0</v>
      </c>
      <c r="AJ520" s="31">
        <v>0</v>
      </c>
      <c r="AK520" s="31">
        <v>0</v>
      </c>
      <c r="AL520" s="31">
        <v>0</v>
      </c>
      <c r="AM520" s="31">
        <v>0</v>
      </c>
      <c r="AN520" s="31">
        <v>0</v>
      </c>
      <c r="AO520" s="31">
        <v>0</v>
      </c>
      <c r="AP520" s="31">
        <v>0</v>
      </c>
    </row>
    <row r="521" spans="1:42" x14ac:dyDescent="0.25">
      <c r="A521" s="31">
        <v>11</v>
      </c>
      <c r="B521" s="31">
        <v>25103</v>
      </c>
      <c r="C521" s="31" t="s">
        <v>217</v>
      </c>
      <c r="D521" s="31" t="s">
        <v>826</v>
      </c>
      <c r="E521" s="31"/>
      <c r="F521" s="31">
        <v>0</v>
      </c>
      <c r="G521" s="31">
        <v>0</v>
      </c>
      <c r="H521" s="31">
        <v>0</v>
      </c>
      <c r="I521" s="31">
        <v>0</v>
      </c>
      <c r="J521" s="31">
        <v>0</v>
      </c>
      <c r="K521" s="31" t="s">
        <v>882</v>
      </c>
      <c r="L521" s="2" t="str">
        <f t="shared" si="64"/>
        <v>Рихтовка</v>
      </c>
      <c r="M521" s="12">
        <f t="shared" si="65"/>
        <v>0</v>
      </c>
      <c r="N521" s="12">
        <f t="shared" si="66"/>
        <v>0</v>
      </c>
      <c r="O521" s="12">
        <f t="shared" si="67"/>
        <v>0</v>
      </c>
      <c r="P521" s="12">
        <f t="shared" si="68"/>
        <v>0</v>
      </c>
      <c r="Q521" s="12">
        <f t="shared" si="69"/>
        <v>0</v>
      </c>
      <c r="R521" s="12">
        <f t="shared" si="70"/>
        <v>0</v>
      </c>
      <c r="S521" s="12">
        <f t="shared" si="71"/>
        <v>0</v>
      </c>
      <c r="T521" s="31">
        <v>0</v>
      </c>
      <c r="U521" s="31">
        <v>0</v>
      </c>
      <c r="V521" s="31">
        <v>0</v>
      </c>
      <c r="W521" s="31">
        <v>0</v>
      </c>
      <c r="X521" s="31">
        <v>0</v>
      </c>
      <c r="Y521" s="31">
        <v>0</v>
      </c>
      <c r="Z521" s="31">
        <v>0</v>
      </c>
      <c r="AA521" s="31">
        <v>0</v>
      </c>
      <c r="AB521" s="31">
        <v>0</v>
      </c>
      <c r="AC521" s="31">
        <v>0</v>
      </c>
      <c r="AD521" s="31">
        <v>0</v>
      </c>
      <c r="AE521" s="31">
        <v>0</v>
      </c>
      <c r="AF521" s="31">
        <v>0</v>
      </c>
      <c r="AG521" s="31">
        <v>0</v>
      </c>
      <c r="AH521" s="31">
        <v>0</v>
      </c>
      <c r="AI521" s="31">
        <v>0</v>
      </c>
      <c r="AJ521" s="31">
        <v>0</v>
      </c>
      <c r="AK521" s="31">
        <v>0</v>
      </c>
      <c r="AL521" s="31">
        <v>0</v>
      </c>
      <c r="AM521" s="31">
        <v>0</v>
      </c>
      <c r="AN521" s="31">
        <v>0</v>
      </c>
      <c r="AO521" s="31">
        <v>0</v>
      </c>
      <c r="AP521" s="31">
        <v>0</v>
      </c>
    </row>
    <row r="522" spans="1:42" x14ac:dyDescent="0.25">
      <c r="A522" s="31">
        <v>11</v>
      </c>
      <c r="B522" s="31">
        <v>25103</v>
      </c>
      <c r="C522" s="31" t="s">
        <v>217</v>
      </c>
      <c r="D522" s="31" t="s">
        <v>827</v>
      </c>
      <c r="E522" s="31"/>
      <c r="F522" s="31">
        <v>0</v>
      </c>
      <c r="G522" s="31">
        <v>0</v>
      </c>
      <c r="H522" s="31">
        <v>0</v>
      </c>
      <c r="I522" s="31">
        <v>0</v>
      </c>
      <c r="J522" s="31">
        <v>0</v>
      </c>
      <c r="K522" s="31" t="s">
        <v>882</v>
      </c>
      <c r="L522" s="2" t="str">
        <f t="shared" si="64"/>
        <v>Рихтовка</v>
      </c>
      <c r="M522" s="12">
        <f t="shared" si="65"/>
        <v>0</v>
      </c>
      <c r="N522" s="12">
        <f t="shared" si="66"/>
        <v>0</v>
      </c>
      <c r="O522" s="12">
        <f t="shared" si="67"/>
        <v>0</v>
      </c>
      <c r="P522" s="12">
        <f t="shared" si="68"/>
        <v>0</v>
      </c>
      <c r="Q522" s="12">
        <f t="shared" si="69"/>
        <v>0</v>
      </c>
      <c r="R522" s="12">
        <f t="shared" si="70"/>
        <v>0</v>
      </c>
      <c r="S522" s="12">
        <f t="shared" si="71"/>
        <v>0</v>
      </c>
      <c r="T522" s="31">
        <v>0</v>
      </c>
      <c r="U522" s="31">
        <v>0</v>
      </c>
      <c r="V522" s="31">
        <v>0</v>
      </c>
      <c r="W522" s="31">
        <v>0</v>
      </c>
      <c r="X522" s="31">
        <v>0</v>
      </c>
      <c r="Y522" s="31">
        <v>0</v>
      </c>
      <c r="Z522" s="31">
        <v>0</v>
      </c>
      <c r="AA522" s="31">
        <v>0</v>
      </c>
      <c r="AB522" s="31">
        <v>0</v>
      </c>
      <c r="AC522" s="31">
        <v>0</v>
      </c>
      <c r="AD522" s="31">
        <v>0</v>
      </c>
      <c r="AE522" s="31">
        <v>0</v>
      </c>
      <c r="AF522" s="31">
        <v>0</v>
      </c>
      <c r="AG522" s="31">
        <v>0</v>
      </c>
      <c r="AH522" s="31">
        <v>0</v>
      </c>
      <c r="AI522" s="31">
        <v>0</v>
      </c>
      <c r="AJ522" s="31">
        <v>0</v>
      </c>
      <c r="AK522" s="31">
        <v>0</v>
      </c>
      <c r="AL522" s="31">
        <v>0</v>
      </c>
      <c r="AM522" s="31">
        <v>0</v>
      </c>
      <c r="AN522" s="31">
        <v>0</v>
      </c>
      <c r="AO522" s="31">
        <v>0</v>
      </c>
      <c r="AP522" s="31">
        <v>0</v>
      </c>
    </row>
    <row r="523" spans="1:42" x14ac:dyDescent="0.25">
      <c r="A523" s="31">
        <v>11</v>
      </c>
      <c r="B523" s="31">
        <v>25104</v>
      </c>
      <c r="C523" s="31" t="s">
        <v>217</v>
      </c>
      <c r="D523" s="31" t="s">
        <v>828</v>
      </c>
      <c r="E523" s="31"/>
      <c r="F523" s="31">
        <v>0</v>
      </c>
      <c r="G523" s="31">
        <v>0</v>
      </c>
      <c r="H523" s="31">
        <v>0</v>
      </c>
      <c r="I523" s="31">
        <v>0</v>
      </c>
      <c r="J523" s="31">
        <v>0</v>
      </c>
      <c r="K523" s="31" t="s">
        <v>882</v>
      </c>
      <c r="L523" s="2" t="str">
        <f t="shared" si="64"/>
        <v>Рихтовка</v>
      </c>
      <c r="M523" s="12">
        <f t="shared" si="65"/>
        <v>0</v>
      </c>
      <c r="N523" s="12">
        <f t="shared" si="66"/>
        <v>0</v>
      </c>
      <c r="O523" s="12">
        <f t="shared" si="67"/>
        <v>0</v>
      </c>
      <c r="P523" s="12">
        <f t="shared" si="68"/>
        <v>0</v>
      </c>
      <c r="Q523" s="12">
        <f t="shared" si="69"/>
        <v>0</v>
      </c>
      <c r="R523" s="12">
        <f t="shared" si="70"/>
        <v>0</v>
      </c>
      <c r="S523" s="12">
        <f t="shared" si="71"/>
        <v>0</v>
      </c>
      <c r="T523" s="31">
        <v>0</v>
      </c>
      <c r="U523" s="31">
        <v>0</v>
      </c>
      <c r="V523" s="31">
        <v>0</v>
      </c>
      <c r="W523" s="31">
        <v>0</v>
      </c>
      <c r="X523" s="31">
        <v>0</v>
      </c>
      <c r="Y523" s="31">
        <v>0</v>
      </c>
      <c r="Z523" s="31">
        <v>0</v>
      </c>
      <c r="AA523" s="31">
        <v>0</v>
      </c>
      <c r="AB523" s="31">
        <v>0</v>
      </c>
      <c r="AC523" s="31">
        <v>0</v>
      </c>
      <c r="AD523" s="31">
        <v>0</v>
      </c>
      <c r="AE523" s="31">
        <v>0</v>
      </c>
      <c r="AF523" s="31">
        <v>0</v>
      </c>
      <c r="AG523" s="31">
        <v>0</v>
      </c>
      <c r="AH523" s="31">
        <v>0</v>
      </c>
      <c r="AI523" s="31">
        <v>0</v>
      </c>
      <c r="AJ523" s="31">
        <v>0</v>
      </c>
      <c r="AK523" s="31">
        <v>0</v>
      </c>
      <c r="AL523" s="31">
        <v>0</v>
      </c>
      <c r="AM523" s="31">
        <v>0</v>
      </c>
      <c r="AN523" s="31">
        <v>0</v>
      </c>
      <c r="AO523" s="31">
        <v>0</v>
      </c>
      <c r="AP523" s="31">
        <v>0</v>
      </c>
    </row>
    <row r="524" spans="1:42" x14ac:dyDescent="0.25">
      <c r="A524" s="31">
        <v>12</v>
      </c>
      <c r="B524" s="31">
        <v>25104</v>
      </c>
      <c r="C524" s="31" t="s">
        <v>217</v>
      </c>
      <c r="D524" s="31" t="s">
        <v>828</v>
      </c>
      <c r="E524" s="31"/>
      <c r="F524" s="31">
        <v>0</v>
      </c>
      <c r="G524" s="31">
        <v>0</v>
      </c>
      <c r="H524" s="31">
        <v>0</v>
      </c>
      <c r="I524" s="31">
        <v>0</v>
      </c>
      <c r="J524" s="31">
        <v>0</v>
      </c>
      <c r="K524" s="31" t="s">
        <v>882</v>
      </c>
      <c r="L524" s="2" t="str">
        <f t="shared" si="64"/>
        <v>Рихтовка</v>
      </c>
      <c r="M524" s="12">
        <f t="shared" si="65"/>
        <v>0</v>
      </c>
      <c r="N524" s="12">
        <f t="shared" si="66"/>
        <v>0</v>
      </c>
      <c r="O524" s="12">
        <f t="shared" si="67"/>
        <v>0</v>
      </c>
      <c r="P524" s="12">
        <f t="shared" si="68"/>
        <v>0</v>
      </c>
      <c r="Q524" s="12">
        <f t="shared" si="69"/>
        <v>0</v>
      </c>
      <c r="R524" s="12">
        <f t="shared" si="70"/>
        <v>0</v>
      </c>
      <c r="S524" s="12">
        <f t="shared" si="71"/>
        <v>0</v>
      </c>
      <c r="T524" s="31">
        <v>0</v>
      </c>
      <c r="U524" s="31">
        <v>0</v>
      </c>
      <c r="V524" s="31">
        <v>0</v>
      </c>
      <c r="W524" s="31">
        <v>0</v>
      </c>
      <c r="X524" s="31">
        <v>0</v>
      </c>
      <c r="Y524" s="31">
        <v>0</v>
      </c>
      <c r="Z524" s="31">
        <v>0</v>
      </c>
      <c r="AA524" s="31">
        <v>0</v>
      </c>
      <c r="AB524" s="31">
        <v>0</v>
      </c>
      <c r="AC524" s="31">
        <v>0</v>
      </c>
      <c r="AD524" s="31">
        <v>0</v>
      </c>
      <c r="AE524" s="31">
        <v>0</v>
      </c>
      <c r="AF524" s="31">
        <v>0</v>
      </c>
      <c r="AG524" s="31">
        <v>0</v>
      </c>
      <c r="AH524" s="31">
        <v>0</v>
      </c>
      <c r="AI524" s="31">
        <v>0</v>
      </c>
      <c r="AJ524" s="31">
        <v>0</v>
      </c>
      <c r="AK524" s="31">
        <v>0</v>
      </c>
      <c r="AL524" s="31">
        <v>0</v>
      </c>
      <c r="AM524" s="31">
        <v>0</v>
      </c>
      <c r="AN524" s="31">
        <v>0</v>
      </c>
      <c r="AO524" s="31">
        <v>0</v>
      </c>
      <c r="AP524" s="31">
        <v>0</v>
      </c>
    </row>
    <row r="525" spans="1:42" x14ac:dyDescent="0.25">
      <c r="A525" s="31">
        <v>12</v>
      </c>
      <c r="B525" s="31">
        <v>25104</v>
      </c>
      <c r="C525" s="31" t="s">
        <v>217</v>
      </c>
      <c r="D525" s="31" t="s">
        <v>829</v>
      </c>
      <c r="E525" s="31"/>
      <c r="F525" s="31">
        <v>0</v>
      </c>
      <c r="G525" s="31">
        <v>0</v>
      </c>
      <c r="H525" s="31">
        <v>0</v>
      </c>
      <c r="I525" s="31">
        <v>0</v>
      </c>
      <c r="J525" s="31">
        <v>0</v>
      </c>
      <c r="K525" s="31" t="s">
        <v>882</v>
      </c>
      <c r="L525" s="2" t="str">
        <f t="shared" si="64"/>
        <v>Рихтовка</v>
      </c>
      <c r="M525" s="12">
        <f t="shared" si="65"/>
        <v>0</v>
      </c>
      <c r="N525" s="12">
        <f t="shared" si="66"/>
        <v>0</v>
      </c>
      <c r="O525" s="12">
        <f t="shared" si="67"/>
        <v>0</v>
      </c>
      <c r="P525" s="12">
        <f t="shared" si="68"/>
        <v>0</v>
      </c>
      <c r="Q525" s="12">
        <f t="shared" si="69"/>
        <v>0</v>
      </c>
      <c r="R525" s="12">
        <f t="shared" si="70"/>
        <v>0</v>
      </c>
      <c r="S525" s="12">
        <f t="shared" si="71"/>
        <v>0</v>
      </c>
      <c r="T525" s="31">
        <v>0</v>
      </c>
      <c r="U525" s="31">
        <v>0</v>
      </c>
      <c r="V525" s="31">
        <v>0</v>
      </c>
      <c r="W525" s="31">
        <v>0</v>
      </c>
      <c r="X525" s="31">
        <v>0</v>
      </c>
      <c r="Y525" s="31">
        <v>0</v>
      </c>
      <c r="Z525" s="31">
        <v>0</v>
      </c>
      <c r="AA525" s="31">
        <v>0</v>
      </c>
      <c r="AB525" s="31">
        <v>0</v>
      </c>
      <c r="AC525" s="31">
        <v>0</v>
      </c>
      <c r="AD525" s="31">
        <v>0</v>
      </c>
      <c r="AE525" s="31">
        <v>0</v>
      </c>
      <c r="AF525" s="31">
        <v>0</v>
      </c>
      <c r="AG525" s="31">
        <v>0</v>
      </c>
      <c r="AH525" s="31">
        <v>0</v>
      </c>
      <c r="AI525" s="31">
        <v>0</v>
      </c>
      <c r="AJ525" s="31">
        <v>0</v>
      </c>
      <c r="AK525" s="31">
        <v>0</v>
      </c>
      <c r="AL525" s="31">
        <v>0</v>
      </c>
      <c r="AM525" s="31">
        <v>0</v>
      </c>
      <c r="AN525" s="31">
        <v>0</v>
      </c>
      <c r="AO525" s="31">
        <v>0</v>
      </c>
      <c r="AP525" s="31">
        <v>0</v>
      </c>
    </row>
    <row r="526" spans="1:42" x14ac:dyDescent="0.25">
      <c r="A526" s="31">
        <v>12</v>
      </c>
      <c r="B526" s="31">
        <v>25104</v>
      </c>
      <c r="C526" s="31" t="s">
        <v>217</v>
      </c>
      <c r="D526" s="31" t="s">
        <v>830</v>
      </c>
      <c r="E526" s="31"/>
      <c r="F526" s="31">
        <v>0</v>
      </c>
      <c r="G526" s="31">
        <v>0</v>
      </c>
      <c r="H526" s="31">
        <v>0</v>
      </c>
      <c r="I526" s="31">
        <v>0</v>
      </c>
      <c r="J526" s="31">
        <v>0</v>
      </c>
      <c r="K526" s="31" t="s">
        <v>882</v>
      </c>
      <c r="L526" s="2" t="str">
        <f t="shared" si="64"/>
        <v>Рихтовка</v>
      </c>
      <c r="M526" s="12">
        <f t="shared" si="65"/>
        <v>0</v>
      </c>
      <c r="N526" s="12">
        <f t="shared" si="66"/>
        <v>0</v>
      </c>
      <c r="O526" s="12">
        <f t="shared" si="67"/>
        <v>0</v>
      </c>
      <c r="P526" s="12">
        <f t="shared" si="68"/>
        <v>0</v>
      </c>
      <c r="Q526" s="12">
        <f t="shared" si="69"/>
        <v>0</v>
      </c>
      <c r="R526" s="12">
        <f t="shared" si="70"/>
        <v>0</v>
      </c>
      <c r="S526" s="12">
        <f t="shared" si="71"/>
        <v>0</v>
      </c>
      <c r="T526" s="31">
        <v>0</v>
      </c>
      <c r="U526" s="31">
        <v>0</v>
      </c>
      <c r="V526" s="31">
        <v>0</v>
      </c>
      <c r="W526" s="31">
        <v>0</v>
      </c>
      <c r="X526" s="31">
        <v>0</v>
      </c>
      <c r="Y526" s="31">
        <v>0</v>
      </c>
      <c r="Z526" s="31">
        <v>0</v>
      </c>
      <c r="AA526" s="31">
        <v>0</v>
      </c>
      <c r="AB526" s="31">
        <v>0</v>
      </c>
      <c r="AC526" s="31">
        <v>0</v>
      </c>
      <c r="AD526" s="31">
        <v>0</v>
      </c>
      <c r="AE526" s="31">
        <v>0</v>
      </c>
      <c r="AF526" s="31">
        <v>0</v>
      </c>
      <c r="AG526" s="31">
        <v>0</v>
      </c>
      <c r="AH526" s="31">
        <v>0</v>
      </c>
      <c r="AI526" s="31">
        <v>0</v>
      </c>
      <c r="AJ526" s="31">
        <v>0</v>
      </c>
      <c r="AK526" s="31">
        <v>0</v>
      </c>
      <c r="AL526" s="31">
        <v>0</v>
      </c>
      <c r="AM526" s="31">
        <v>0</v>
      </c>
      <c r="AN526" s="31">
        <v>0</v>
      </c>
      <c r="AO526" s="31">
        <v>0</v>
      </c>
      <c r="AP526" s="31">
        <v>0</v>
      </c>
    </row>
    <row r="527" spans="1:42" x14ac:dyDescent="0.25">
      <c r="A527" s="31">
        <v>12</v>
      </c>
      <c r="B527" s="31">
        <v>25104</v>
      </c>
      <c r="C527" s="31" t="s">
        <v>217</v>
      </c>
      <c r="D527" s="31" t="s">
        <v>831</v>
      </c>
      <c r="E527" s="31"/>
      <c r="F527" s="31">
        <v>0</v>
      </c>
      <c r="G527" s="31">
        <v>0</v>
      </c>
      <c r="H527" s="31">
        <v>0</v>
      </c>
      <c r="I527" s="31">
        <v>0</v>
      </c>
      <c r="J527" s="31">
        <v>0</v>
      </c>
      <c r="K527" s="31" t="s">
        <v>882</v>
      </c>
      <c r="L527" s="2" t="str">
        <f t="shared" si="64"/>
        <v>Рихтовка</v>
      </c>
      <c r="M527" s="12">
        <f t="shared" si="65"/>
        <v>0</v>
      </c>
      <c r="N527" s="12">
        <f t="shared" si="66"/>
        <v>0</v>
      </c>
      <c r="O527" s="12">
        <f t="shared" si="67"/>
        <v>0</v>
      </c>
      <c r="P527" s="12">
        <f t="shared" si="68"/>
        <v>0</v>
      </c>
      <c r="Q527" s="12">
        <f t="shared" si="69"/>
        <v>0</v>
      </c>
      <c r="R527" s="12">
        <f t="shared" si="70"/>
        <v>0</v>
      </c>
      <c r="S527" s="12">
        <f t="shared" si="71"/>
        <v>0</v>
      </c>
      <c r="T527" s="31">
        <v>0</v>
      </c>
      <c r="U527" s="31">
        <v>0</v>
      </c>
      <c r="V527" s="31">
        <v>0</v>
      </c>
      <c r="W527" s="31">
        <v>0</v>
      </c>
      <c r="X527" s="31">
        <v>0</v>
      </c>
      <c r="Y527" s="31">
        <v>0</v>
      </c>
      <c r="Z527" s="31">
        <v>0</v>
      </c>
      <c r="AA527" s="31">
        <v>0</v>
      </c>
      <c r="AB527" s="31">
        <v>0</v>
      </c>
      <c r="AC527" s="31">
        <v>0</v>
      </c>
      <c r="AD527" s="31">
        <v>0</v>
      </c>
      <c r="AE527" s="31">
        <v>0</v>
      </c>
      <c r="AF527" s="31">
        <v>0</v>
      </c>
      <c r="AG527" s="31">
        <v>0</v>
      </c>
      <c r="AH527" s="31">
        <v>0</v>
      </c>
      <c r="AI527" s="31">
        <v>0</v>
      </c>
      <c r="AJ527" s="31">
        <v>0</v>
      </c>
      <c r="AK527" s="31">
        <v>0</v>
      </c>
      <c r="AL527" s="31">
        <v>0</v>
      </c>
      <c r="AM527" s="31">
        <v>0</v>
      </c>
      <c r="AN527" s="31">
        <v>0</v>
      </c>
      <c r="AO527" s="31">
        <v>0</v>
      </c>
      <c r="AP527" s="31">
        <v>0</v>
      </c>
    </row>
    <row r="528" spans="1:42" x14ac:dyDescent="0.25">
      <c r="A528" s="31">
        <v>12</v>
      </c>
      <c r="B528" s="31">
        <v>25104</v>
      </c>
      <c r="C528" s="31" t="s">
        <v>217</v>
      </c>
      <c r="D528" s="31" t="s">
        <v>832</v>
      </c>
      <c r="E528" s="31"/>
      <c r="F528" s="31">
        <v>0</v>
      </c>
      <c r="G528" s="31">
        <v>0</v>
      </c>
      <c r="H528" s="31">
        <v>0</v>
      </c>
      <c r="I528" s="31">
        <v>0</v>
      </c>
      <c r="J528" s="31">
        <v>0</v>
      </c>
      <c r="K528" s="31" t="s">
        <v>882</v>
      </c>
      <c r="L528" s="2" t="str">
        <f t="shared" si="64"/>
        <v>Рихтовка</v>
      </c>
      <c r="M528" s="12">
        <f t="shared" si="65"/>
        <v>0</v>
      </c>
      <c r="N528" s="12">
        <f t="shared" si="66"/>
        <v>0</v>
      </c>
      <c r="O528" s="12">
        <f t="shared" si="67"/>
        <v>0</v>
      </c>
      <c r="P528" s="12">
        <f t="shared" si="68"/>
        <v>0</v>
      </c>
      <c r="Q528" s="12">
        <f t="shared" si="69"/>
        <v>0</v>
      </c>
      <c r="R528" s="12">
        <f t="shared" si="70"/>
        <v>0</v>
      </c>
      <c r="S528" s="12">
        <f t="shared" si="71"/>
        <v>0</v>
      </c>
      <c r="T528" s="31">
        <v>0</v>
      </c>
      <c r="U528" s="31">
        <v>0</v>
      </c>
      <c r="V528" s="31">
        <v>0</v>
      </c>
      <c r="W528" s="31">
        <v>0</v>
      </c>
      <c r="X528" s="31">
        <v>0</v>
      </c>
      <c r="Y528" s="31">
        <v>0</v>
      </c>
      <c r="Z528" s="31">
        <v>0</v>
      </c>
      <c r="AA528" s="31">
        <v>0</v>
      </c>
      <c r="AB528" s="31">
        <v>0</v>
      </c>
      <c r="AC528" s="31">
        <v>0</v>
      </c>
      <c r="AD528" s="31">
        <v>0</v>
      </c>
      <c r="AE528" s="31">
        <v>0</v>
      </c>
      <c r="AF528" s="31">
        <v>0</v>
      </c>
      <c r="AG528" s="31">
        <v>0</v>
      </c>
      <c r="AH528" s="31">
        <v>0</v>
      </c>
      <c r="AI528" s="31">
        <v>0</v>
      </c>
      <c r="AJ528" s="31">
        <v>0</v>
      </c>
      <c r="AK528" s="31">
        <v>0</v>
      </c>
      <c r="AL528" s="31">
        <v>0</v>
      </c>
      <c r="AM528" s="31">
        <v>0</v>
      </c>
      <c r="AN528" s="31">
        <v>0</v>
      </c>
      <c r="AO528" s="31">
        <v>0</v>
      </c>
      <c r="AP528" s="31">
        <v>0</v>
      </c>
    </row>
    <row r="529" spans="1:42" x14ac:dyDescent="0.25">
      <c r="A529" s="31">
        <v>12</v>
      </c>
      <c r="B529" s="31">
        <v>25104</v>
      </c>
      <c r="C529" s="31" t="s">
        <v>217</v>
      </c>
      <c r="D529" s="31" t="s">
        <v>833</v>
      </c>
      <c r="E529" s="31"/>
      <c r="F529" s="31">
        <v>0</v>
      </c>
      <c r="G529" s="31">
        <v>0</v>
      </c>
      <c r="H529" s="31">
        <v>0</v>
      </c>
      <c r="I529" s="31">
        <v>0</v>
      </c>
      <c r="J529" s="31">
        <v>0</v>
      </c>
      <c r="K529" s="31" t="s">
        <v>882</v>
      </c>
      <c r="L529" s="2" t="str">
        <f t="shared" si="64"/>
        <v>Рихтовка</v>
      </c>
      <c r="M529" s="12">
        <f t="shared" si="65"/>
        <v>0</v>
      </c>
      <c r="N529" s="12">
        <f t="shared" si="66"/>
        <v>0</v>
      </c>
      <c r="O529" s="12">
        <f t="shared" si="67"/>
        <v>0</v>
      </c>
      <c r="P529" s="12">
        <f t="shared" si="68"/>
        <v>0</v>
      </c>
      <c r="Q529" s="12">
        <f t="shared" si="69"/>
        <v>0</v>
      </c>
      <c r="R529" s="12">
        <f t="shared" si="70"/>
        <v>0</v>
      </c>
      <c r="S529" s="12">
        <f t="shared" si="71"/>
        <v>0</v>
      </c>
      <c r="T529" s="31">
        <v>0</v>
      </c>
      <c r="U529" s="31">
        <v>0</v>
      </c>
      <c r="V529" s="31">
        <v>0</v>
      </c>
      <c r="W529" s="31">
        <v>0</v>
      </c>
      <c r="X529" s="31">
        <v>0</v>
      </c>
      <c r="Y529" s="31">
        <v>0</v>
      </c>
      <c r="Z529" s="31">
        <v>0</v>
      </c>
      <c r="AA529" s="31">
        <v>0</v>
      </c>
      <c r="AB529" s="31">
        <v>0</v>
      </c>
      <c r="AC529" s="31">
        <v>0</v>
      </c>
      <c r="AD529" s="31">
        <v>0</v>
      </c>
      <c r="AE529" s="31">
        <v>0</v>
      </c>
      <c r="AF529" s="31">
        <v>0</v>
      </c>
      <c r="AG529" s="31">
        <v>0</v>
      </c>
      <c r="AH529" s="31">
        <v>0</v>
      </c>
      <c r="AI529" s="31">
        <v>0</v>
      </c>
      <c r="AJ529" s="31">
        <v>0</v>
      </c>
      <c r="AK529" s="31">
        <v>0</v>
      </c>
      <c r="AL529" s="31">
        <v>0</v>
      </c>
      <c r="AM529" s="31">
        <v>0</v>
      </c>
      <c r="AN529" s="31">
        <v>0</v>
      </c>
      <c r="AO529" s="31">
        <v>0</v>
      </c>
      <c r="AP529" s="31">
        <v>0</v>
      </c>
    </row>
    <row r="530" spans="1:42" x14ac:dyDescent="0.25">
      <c r="A530" s="31">
        <v>12</v>
      </c>
      <c r="B530" s="31">
        <v>25104</v>
      </c>
      <c r="C530" s="31" t="s">
        <v>217</v>
      </c>
      <c r="D530" s="31" t="s">
        <v>834</v>
      </c>
      <c r="E530" s="31"/>
      <c r="F530" s="31">
        <v>0</v>
      </c>
      <c r="G530" s="31">
        <v>0</v>
      </c>
      <c r="H530" s="31">
        <v>0</v>
      </c>
      <c r="I530" s="31">
        <v>0</v>
      </c>
      <c r="J530" s="31">
        <v>0</v>
      </c>
      <c r="K530" s="31" t="s">
        <v>882</v>
      </c>
      <c r="L530" s="2" t="str">
        <f t="shared" si="64"/>
        <v>Рихтовка</v>
      </c>
      <c r="M530" s="12">
        <f t="shared" si="65"/>
        <v>0</v>
      </c>
      <c r="N530" s="12">
        <f t="shared" si="66"/>
        <v>0</v>
      </c>
      <c r="O530" s="12">
        <f t="shared" si="67"/>
        <v>0</v>
      </c>
      <c r="P530" s="12">
        <f t="shared" si="68"/>
        <v>0</v>
      </c>
      <c r="Q530" s="12">
        <f t="shared" si="69"/>
        <v>0</v>
      </c>
      <c r="R530" s="12">
        <f t="shared" si="70"/>
        <v>0</v>
      </c>
      <c r="S530" s="12">
        <f t="shared" si="71"/>
        <v>0</v>
      </c>
      <c r="T530" s="31">
        <v>0</v>
      </c>
      <c r="U530" s="31">
        <v>0</v>
      </c>
      <c r="V530" s="31">
        <v>0</v>
      </c>
      <c r="W530" s="31">
        <v>0</v>
      </c>
      <c r="X530" s="31">
        <v>0</v>
      </c>
      <c r="Y530" s="31">
        <v>0</v>
      </c>
      <c r="Z530" s="31">
        <v>0</v>
      </c>
      <c r="AA530" s="31">
        <v>0</v>
      </c>
      <c r="AB530" s="31">
        <v>0</v>
      </c>
      <c r="AC530" s="31">
        <v>0</v>
      </c>
      <c r="AD530" s="31">
        <v>0</v>
      </c>
      <c r="AE530" s="31">
        <v>0</v>
      </c>
      <c r="AF530" s="31">
        <v>0</v>
      </c>
      <c r="AG530" s="31">
        <v>0</v>
      </c>
      <c r="AH530" s="31">
        <v>0</v>
      </c>
      <c r="AI530" s="31">
        <v>0</v>
      </c>
      <c r="AJ530" s="31">
        <v>0</v>
      </c>
      <c r="AK530" s="31">
        <v>0</v>
      </c>
      <c r="AL530" s="31">
        <v>0</v>
      </c>
      <c r="AM530" s="31">
        <v>0</v>
      </c>
      <c r="AN530" s="31">
        <v>0</v>
      </c>
      <c r="AO530" s="31">
        <v>0</v>
      </c>
      <c r="AP530" s="31">
        <v>0</v>
      </c>
    </row>
    <row r="531" spans="1:42" x14ac:dyDescent="0.25">
      <c r="A531" s="31">
        <v>12</v>
      </c>
      <c r="B531" s="31">
        <v>25104</v>
      </c>
      <c r="C531" s="31" t="s">
        <v>217</v>
      </c>
      <c r="D531" s="31" t="s">
        <v>835</v>
      </c>
      <c r="E531" s="31"/>
      <c r="F531" s="31">
        <v>0</v>
      </c>
      <c r="G531" s="31">
        <v>0</v>
      </c>
      <c r="H531" s="31">
        <v>0</v>
      </c>
      <c r="I531" s="31">
        <v>0</v>
      </c>
      <c r="J531" s="31">
        <v>0</v>
      </c>
      <c r="K531" s="31" t="s">
        <v>882</v>
      </c>
      <c r="L531" s="2" t="str">
        <f t="shared" si="64"/>
        <v>Рихтовка</v>
      </c>
      <c r="M531" s="12">
        <f t="shared" si="65"/>
        <v>0</v>
      </c>
      <c r="N531" s="12">
        <f t="shared" si="66"/>
        <v>0</v>
      </c>
      <c r="O531" s="12">
        <f t="shared" si="67"/>
        <v>0</v>
      </c>
      <c r="P531" s="12">
        <f t="shared" si="68"/>
        <v>0</v>
      </c>
      <c r="Q531" s="12">
        <f t="shared" si="69"/>
        <v>0</v>
      </c>
      <c r="R531" s="12">
        <f t="shared" si="70"/>
        <v>0</v>
      </c>
      <c r="S531" s="12">
        <f t="shared" si="71"/>
        <v>0</v>
      </c>
      <c r="T531" s="31">
        <v>0</v>
      </c>
      <c r="U531" s="31">
        <v>0</v>
      </c>
      <c r="V531" s="31">
        <v>0</v>
      </c>
      <c r="W531" s="31">
        <v>0</v>
      </c>
      <c r="X531" s="31">
        <v>0</v>
      </c>
      <c r="Y531" s="31">
        <v>0</v>
      </c>
      <c r="Z531" s="31">
        <v>0</v>
      </c>
      <c r="AA531" s="31">
        <v>0</v>
      </c>
      <c r="AB531" s="31">
        <v>0</v>
      </c>
      <c r="AC531" s="31">
        <v>0</v>
      </c>
      <c r="AD531" s="31">
        <v>0</v>
      </c>
      <c r="AE531" s="31">
        <v>0</v>
      </c>
      <c r="AF531" s="31">
        <v>0</v>
      </c>
      <c r="AG531" s="31">
        <v>0</v>
      </c>
      <c r="AH531" s="31">
        <v>0</v>
      </c>
      <c r="AI531" s="31">
        <v>0</v>
      </c>
      <c r="AJ531" s="31">
        <v>0</v>
      </c>
      <c r="AK531" s="31">
        <v>0</v>
      </c>
      <c r="AL531" s="31">
        <v>0</v>
      </c>
      <c r="AM531" s="31">
        <v>0</v>
      </c>
      <c r="AN531" s="31">
        <v>0</v>
      </c>
      <c r="AO531" s="31">
        <v>0</v>
      </c>
      <c r="AP531" s="31">
        <v>0</v>
      </c>
    </row>
    <row r="532" spans="1:42" x14ac:dyDescent="0.25">
      <c r="A532" s="31">
        <v>12</v>
      </c>
      <c r="B532" s="31">
        <v>25130</v>
      </c>
      <c r="C532" s="31" t="s">
        <v>217</v>
      </c>
      <c r="D532" s="31" t="s">
        <v>930</v>
      </c>
      <c r="E532" s="31"/>
      <c r="F532" s="31">
        <v>0</v>
      </c>
      <c r="G532" s="31">
        <v>0</v>
      </c>
      <c r="H532" s="31">
        <v>0</v>
      </c>
      <c r="I532" s="31">
        <v>0</v>
      </c>
      <c r="J532" s="31">
        <v>0</v>
      </c>
      <c r="K532" s="31" t="s">
        <v>882</v>
      </c>
      <c r="L532" s="2" t="str">
        <f t="shared" si="64"/>
        <v>Рихтовка</v>
      </c>
      <c r="M532" s="12">
        <f t="shared" si="65"/>
        <v>0</v>
      </c>
      <c r="N532" s="12">
        <f t="shared" si="66"/>
        <v>0</v>
      </c>
      <c r="O532" s="12">
        <f t="shared" si="67"/>
        <v>0</v>
      </c>
      <c r="P532" s="12">
        <f t="shared" si="68"/>
        <v>0</v>
      </c>
      <c r="Q532" s="12">
        <f t="shared" si="69"/>
        <v>0</v>
      </c>
      <c r="R532" s="12">
        <f t="shared" si="70"/>
        <v>0</v>
      </c>
      <c r="S532" s="12">
        <f t="shared" si="71"/>
        <v>0</v>
      </c>
      <c r="T532" s="31">
        <v>0</v>
      </c>
      <c r="U532" s="31">
        <v>0</v>
      </c>
      <c r="V532" s="31">
        <v>0</v>
      </c>
      <c r="W532" s="31">
        <v>0</v>
      </c>
      <c r="X532" s="31">
        <v>0</v>
      </c>
      <c r="Y532" s="31">
        <v>0</v>
      </c>
      <c r="Z532" s="31">
        <v>0</v>
      </c>
      <c r="AA532" s="31">
        <v>0</v>
      </c>
      <c r="AB532" s="31">
        <v>0</v>
      </c>
      <c r="AC532" s="31">
        <v>0</v>
      </c>
      <c r="AD532" s="31">
        <v>0</v>
      </c>
      <c r="AE532" s="31">
        <v>0</v>
      </c>
      <c r="AF532" s="31">
        <v>0</v>
      </c>
      <c r="AG532" s="31">
        <v>0</v>
      </c>
      <c r="AH532" s="31">
        <v>0</v>
      </c>
      <c r="AI532" s="31">
        <v>0</v>
      </c>
      <c r="AJ532" s="31">
        <v>0</v>
      </c>
      <c r="AK532" s="31">
        <v>0</v>
      </c>
      <c r="AL532" s="31">
        <v>0</v>
      </c>
      <c r="AM532" s="31">
        <v>0</v>
      </c>
      <c r="AN532" s="31">
        <v>0</v>
      </c>
      <c r="AO532" s="31">
        <v>0</v>
      </c>
      <c r="AP532" s="31">
        <v>0</v>
      </c>
    </row>
    <row r="533" spans="1:42" x14ac:dyDescent="0.25">
      <c r="A533" s="31">
        <v>12</v>
      </c>
      <c r="B533" s="31">
        <v>25104</v>
      </c>
      <c r="C533" s="31" t="s">
        <v>217</v>
      </c>
      <c r="D533" s="31" t="s">
        <v>836</v>
      </c>
      <c r="E533" s="31"/>
      <c r="F533" s="31">
        <v>0</v>
      </c>
      <c r="G533" s="31">
        <v>0</v>
      </c>
      <c r="H533" s="31">
        <v>0</v>
      </c>
      <c r="I533" s="31">
        <v>0</v>
      </c>
      <c r="J533" s="31">
        <v>0</v>
      </c>
      <c r="K533" s="31" t="s">
        <v>882</v>
      </c>
      <c r="L533" s="2" t="str">
        <f t="shared" si="64"/>
        <v>Рихтовка</v>
      </c>
      <c r="M533" s="12">
        <f t="shared" si="65"/>
        <v>0</v>
      </c>
      <c r="N533" s="12">
        <f t="shared" si="66"/>
        <v>0</v>
      </c>
      <c r="O533" s="12">
        <f t="shared" si="67"/>
        <v>0</v>
      </c>
      <c r="P533" s="12">
        <f t="shared" si="68"/>
        <v>0</v>
      </c>
      <c r="Q533" s="12">
        <f t="shared" si="69"/>
        <v>0</v>
      </c>
      <c r="R533" s="12">
        <f t="shared" si="70"/>
        <v>0</v>
      </c>
      <c r="S533" s="12">
        <f t="shared" si="71"/>
        <v>0</v>
      </c>
      <c r="T533" s="31">
        <v>0</v>
      </c>
      <c r="U533" s="31">
        <v>0</v>
      </c>
      <c r="V533" s="31">
        <v>0</v>
      </c>
      <c r="W533" s="31">
        <v>0</v>
      </c>
      <c r="X533" s="31">
        <v>0</v>
      </c>
      <c r="Y533" s="31">
        <v>0</v>
      </c>
      <c r="Z533" s="31">
        <v>0</v>
      </c>
      <c r="AA533" s="31">
        <v>0</v>
      </c>
      <c r="AB533" s="31">
        <v>0</v>
      </c>
      <c r="AC533" s="31">
        <v>0</v>
      </c>
      <c r="AD533" s="31">
        <v>0</v>
      </c>
      <c r="AE533" s="31">
        <v>0</v>
      </c>
      <c r="AF533" s="31">
        <v>0</v>
      </c>
      <c r="AG533" s="31">
        <v>0</v>
      </c>
      <c r="AH533" s="31">
        <v>0</v>
      </c>
      <c r="AI533" s="31">
        <v>0</v>
      </c>
      <c r="AJ533" s="31">
        <v>0</v>
      </c>
      <c r="AK533" s="31">
        <v>0</v>
      </c>
      <c r="AL533" s="31">
        <v>0</v>
      </c>
      <c r="AM533" s="31">
        <v>0</v>
      </c>
      <c r="AN533" s="31">
        <v>0</v>
      </c>
      <c r="AO533" s="31">
        <v>0</v>
      </c>
      <c r="AP533" s="31">
        <v>0</v>
      </c>
    </row>
    <row r="534" spans="1:42" x14ac:dyDescent="0.25">
      <c r="A534" s="31">
        <v>12</v>
      </c>
      <c r="B534" s="31">
        <v>25104</v>
      </c>
      <c r="C534" s="31" t="s">
        <v>217</v>
      </c>
      <c r="D534" s="31" t="s">
        <v>837</v>
      </c>
      <c r="E534" s="31"/>
      <c r="F534" s="31">
        <v>0</v>
      </c>
      <c r="G534" s="31">
        <v>0</v>
      </c>
      <c r="H534" s="31">
        <v>0</v>
      </c>
      <c r="I534" s="31">
        <v>0</v>
      </c>
      <c r="J534" s="31">
        <v>0</v>
      </c>
      <c r="K534" s="31" t="s">
        <v>882</v>
      </c>
      <c r="L534" s="2" t="str">
        <f t="shared" si="64"/>
        <v>Рихтовка</v>
      </c>
      <c r="M534" s="12">
        <f t="shared" si="65"/>
        <v>0</v>
      </c>
      <c r="N534" s="12">
        <f t="shared" si="66"/>
        <v>0</v>
      </c>
      <c r="O534" s="12">
        <f t="shared" si="67"/>
        <v>0</v>
      </c>
      <c r="P534" s="12">
        <f t="shared" si="68"/>
        <v>0</v>
      </c>
      <c r="Q534" s="12">
        <f t="shared" si="69"/>
        <v>0</v>
      </c>
      <c r="R534" s="12">
        <f t="shared" si="70"/>
        <v>0</v>
      </c>
      <c r="S534" s="12">
        <f t="shared" si="71"/>
        <v>0</v>
      </c>
      <c r="T534" s="31">
        <v>0</v>
      </c>
      <c r="U534" s="31">
        <v>0</v>
      </c>
      <c r="V534" s="31">
        <v>0</v>
      </c>
      <c r="W534" s="31">
        <v>0</v>
      </c>
      <c r="X534" s="31">
        <v>0</v>
      </c>
      <c r="Y534" s="31">
        <v>0</v>
      </c>
      <c r="Z534" s="31">
        <v>0</v>
      </c>
      <c r="AA534" s="31">
        <v>0</v>
      </c>
      <c r="AB534" s="31">
        <v>0</v>
      </c>
      <c r="AC534" s="31">
        <v>0</v>
      </c>
      <c r="AD534" s="31">
        <v>0</v>
      </c>
      <c r="AE534" s="31">
        <v>0</v>
      </c>
      <c r="AF534" s="31">
        <v>0</v>
      </c>
      <c r="AG534" s="31">
        <v>0</v>
      </c>
      <c r="AH534" s="31">
        <v>0</v>
      </c>
      <c r="AI534" s="31">
        <v>0</v>
      </c>
      <c r="AJ534" s="31">
        <v>0</v>
      </c>
      <c r="AK534" s="31">
        <v>0</v>
      </c>
      <c r="AL534" s="31">
        <v>0</v>
      </c>
      <c r="AM534" s="31">
        <v>0</v>
      </c>
      <c r="AN534" s="31">
        <v>0</v>
      </c>
      <c r="AO534" s="31">
        <v>0</v>
      </c>
      <c r="AP534" s="31">
        <v>0</v>
      </c>
    </row>
    <row r="535" spans="1:42" x14ac:dyDescent="0.25">
      <c r="A535" s="31">
        <v>12</v>
      </c>
      <c r="B535" s="31">
        <v>25104</v>
      </c>
      <c r="C535" s="31" t="s">
        <v>217</v>
      </c>
      <c r="D535" s="31" t="s">
        <v>838</v>
      </c>
      <c r="E535" s="31"/>
      <c r="F535" s="31">
        <v>0</v>
      </c>
      <c r="G535" s="31">
        <v>0</v>
      </c>
      <c r="H535" s="31">
        <v>0</v>
      </c>
      <c r="I535" s="31">
        <v>0</v>
      </c>
      <c r="J535" s="31">
        <v>0</v>
      </c>
      <c r="K535" s="31" t="s">
        <v>882</v>
      </c>
      <c r="L535" s="2" t="str">
        <f t="shared" si="64"/>
        <v>Рихтовка</v>
      </c>
      <c r="M535" s="12">
        <f t="shared" si="65"/>
        <v>0</v>
      </c>
      <c r="N535" s="12">
        <f t="shared" si="66"/>
        <v>0</v>
      </c>
      <c r="O535" s="12">
        <f t="shared" si="67"/>
        <v>0</v>
      </c>
      <c r="P535" s="12">
        <f t="shared" si="68"/>
        <v>0</v>
      </c>
      <c r="Q535" s="12">
        <f t="shared" si="69"/>
        <v>0</v>
      </c>
      <c r="R535" s="12">
        <f t="shared" si="70"/>
        <v>0</v>
      </c>
      <c r="S535" s="12">
        <f t="shared" si="71"/>
        <v>0</v>
      </c>
      <c r="T535" s="31">
        <v>0</v>
      </c>
      <c r="U535" s="31">
        <v>0</v>
      </c>
      <c r="V535" s="31">
        <v>0</v>
      </c>
      <c r="W535" s="31">
        <v>0</v>
      </c>
      <c r="X535" s="31">
        <v>0</v>
      </c>
      <c r="Y535" s="31">
        <v>0</v>
      </c>
      <c r="Z535" s="31">
        <v>0</v>
      </c>
      <c r="AA535" s="31">
        <v>0</v>
      </c>
      <c r="AB535" s="31">
        <v>0</v>
      </c>
      <c r="AC535" s="31">
        <v>0</v>
      </c>
      <c r="AD535" s="31">
        <v>0</v>
      </c>
      <c r="AE535" s="31">
        <v>0</v>
      </c>
      <c r="AF535" s="31">
        <v>0</v>
      </c>
      <c r="AG535" s="31">
        <v>0</v>
      </c>
      <c r="AH535" s="31">
        <v>0</v>
      </c>
      <c r="AI535" s="31">
        <v>0</v>
      </c>
      <c r="AJ535" s="31">
        <v>0</v>
      </c>
      <c r="AK535" s="31">
        <v>0</v>
      </c>
      <c r="AL535" s="31">
        <v>0</v>
      </c>
      <c r="AM535" s="31">
        <v>0</v>
      </c>
      <c r="AN535" s="31">
        <v>0</v>
      </c>
      <c r="AO535" s="31">
        <v>0</v>
      </c>
      <c r="AP535" s="31">
        <v>0</v>
      </c>
    </row>
    <row r="536" spans="1:42" x14ac:dyDescent="0.25">
      <c r="A536" s="31">
        <v>12</v>
      </c>
      <c r="B536" s="31">
        <v>25131</v>
      </c>
      <c r="C536" s="31" t="s">
        <v>217</v>
      </c>
      <c r="D536" s="31" t="s">
        <v>931</v>
      </c>
      <c r="E536" s="31"/>
      <c r="F536" s="31">
        <v>0</v>
      </c>
      <c r="G536" s="31">
        <v>0</v>
      </c>
      <c r="H536" s="31">
        <v>0</v>
      </c>
      <c r="I536" s="31">
        <v>0</v>
      </c>
      <c r="J536" s="31">
        <v>0</v>
      </c>
      <c r="K536" s="31" t="s">
        <v>882</v>
      </c>
      <c r="L536" s="2" t="str">
        <f t="shared" si="64"/>
        <v>Рихтовка</v>
      </c>
      <c r="M536" s="12">
        <f t="shared" si="65"/>
        <v>0</v>
      </c>
      <c r="N536" s="12">
        <f t="shared" si="66"/>
        <v>0</v>
      </c>
      <c r="O536" s="12">
        <f t="shared" si="67"/>
        <v>0</v>
      </c>
      <c r="P536" s="12">
        <f t="shared" si="68"/>
        <v>0</v>
      </c>
      <c r="Q536" s="12">
        <f t="shared" si="69"/>
        <v>0</v>
      </c>
      <c r="R536" s="12">
        <f t="shared" si="70"/>
        <v>0</v>
      </c>
      <c r="S536" s="12">
        <f t="shared" si="71"/>
        <v>0</v>
      </c>
      <c r="T536" s="31">
        <v>0</v>
      </c>
      <c r="U536" s="31">
        <v>0</v>
      </c>
      <c r="V536" s="31">
        <v>0</v>
      </c>
      <c r="W536" s="31">
        <v>0</v>
      </c>
      <c r="X536" s="31">
        <v>0</v>
      </c>
      <c r="Y536" s="31">
        <v>0</v>
      </c>
      <c r="Z536" s="31">
        <v>0</v>
      </c>
      <c r="AA536" s="31">
        <v>0</v>
      </c>
      <c r="AB536" s="31">
        <v>0</v>
      </c>
      <c r="AC536" s="31">
        <v>0</v>
      </c>
      <c r="AD536" s="31">
        <v>0</v>
      </c>
      <c r="AE536" s="31">
        <v>0</v>
      </c>
      <c r="AF536" s="31">
        <v>0</v>
      </c>
      <c r="AG536" s="31">
        <v>0</v>
      </c>
      <c r="AH536" s="31">
        <v>0</v>
      </c>
      <c r="AI536" s="31">
        <v>0</v>
      </c>
      <c r="AJ536" s="31">
        <v>0</v>
      </c>
      <c r="AK536" s="31">
        <v>0</v>
      </c>
      <c r="AL536" s="31">
        <v>0</v>
      </c>
      <c r="AM536" s="31">
        <v>0</v>
      </c>
      <c r="AN536" s="31">
        <v>0</v>
      </c>
      <c r="AO536" s="31">
        <v>0</v>
      </c>
      <c r="AP536" s="31">
        <v>0</v>
      </c>
    </row>
    <row r="537" spans="1:42" x14ac:dyDescent="0.25">
      <c r="A537" s="31">
        <v>12</v>
      </c>
      <c r="B537" s="31">
        <v>25104</v>
      </c>
      <c r="C537" s="31" t="s">
        <v>217</v>
      </c>
      <c r="D537" s="31" t="s">
        <v>839</v>
      </c>
      <c r="E537" s="31"/>
      <c r="F537" s="31">
        <v>0</v>
      </c>
      <c r="G537" s="31">
        <v>0</v>
      </c>
      <c r="H537" s="31">
        <v>0</v>
      </c>
      <c r="I537" s="31">
        <v>0</v>
      </c>
      <c r="J537" s="31">
        <v>0</v>
      </c>
      <c r="K537" s="31" t="s">
        <v>882</v>
      </c>
      <c r="L537" s="2" t="str">
        <f t="shared" si="64"/>
        <v>Рихтовка</v>
      </c>
      <c r="M537" s="12">
        <f t="shared" si="65"/>
        <v>0</v>
      </c>
      <c r="N537" s="12">
        <f t="shared" si="66"/>
        <v>0</v>
      </c>
      <c r="O537" s="12">
        <f t="shared" si="67"/>
        <v>0</v>
      </c>
      <c r="P537" s="12">
        <f t="shared" si="68"/>
        <v>0</v>
      </c>
      <c r="Q537" s="12">
        <f t="shared" si="69"/>
        <v>0</v>
      </c>
      <c r="R537" s="12">
        <f t="shared" si="70"/>
        <v>0</v>
      </c>
      <c r="S537" s="12">
        <f t="shared" si="71"/>
        <v>0</v>
      </c>
      <c r="T537" s="31">
        <v>0</v>
      </c>
      <c r="U537" s="31">
        <v>0</v>
      </c>
      <c r="V537" s="31">
        <v>0</v>
      </c>
      <c r="W537" s="31">
        <v>0</v>
      </c>
      <c r="X537" s="31">
        <v>0</v>
      </c>
      <c r="Y537" s="31">
        <v>0</v>
      </c>
      <c r="Z537" s="31">
        <v>0</v>
      </c>
      <c r="AA537" s="31">
        <v>0</v>
      </c>
      <c r="AB537" s="31">
        <v>0</v>
      </c>
      <c r="AC537" s="31">
        <v>0</v>
      </c>
      <c r="AD537" s="31">
        <v>0</v>
      </c>
      <c r="AE537" s="31">
        <v>0</v>
      </c>
      <c r="AF537" s="31">
        <v>0</v>
      </c>
      <c r="AG537" s="31">
        <v>0</v>
      </c>
      <c r="AH537" s="31">
        <v>0</v>
      </c>
      <c r="AI537" s="31">
        <v>0</v>
      </c>
      <c r="AJ537" s="31">
        <v>0</v>
      </c>
      <c r="AK537" s="31">
        <v>0</v>
      </c>
      <c r="AL537" s="31">
        <v>0</v>
      </c>
      <c r="AM537" s="31">
        <v>0</v>
      </c>
      <c r="AN537" s="31">
        <v>0</v>
      </c>
      <c r="AO537" s="31">
        <v>0</v>
      </c>
      <c r="AP537" s="31">
        <v>0</v>
      </c>
    </row>
    <row r="538" spans="1:42" x14ac:dyDescent="0.25">
      <c r="A538" s="31">
        <v>12</v>
      </c>
      <c r="B538" s="31">
        <v>25104</v>
      </c>
      <c r="C538" s="31" t="s">
        <v>217</v>
      </c>
      <c r="D538" s="31" t="s">
        <v>840</v>
      </c>
      <c r="E538" s="31"/>
      <c r="F538" s="31">
        <v>0</v>
      </c>
      <c r="G538" s="31">
        <v>0</v>
      </c>
      <c r="H538" s="31">
        <v>0</v>
      </c>
      <c r="I538" s="31">
        <v>0</v>
      </c>
      <c r="J538" s="31">
        <v>0</v>
      </c>
      <c r="K538" s="31" t="s">
        <v>882</v>
      </c>
      <c r="L538" s="2" t="str">
        <f t="shared" si="64"/>
        <v>Рихтовка</v>
      </c>
      <c r="M538" s="12">
        <f t="shared" si="65"/>
        <v>0</v>
      </c>
      <c r="N538" s="12">
        <f t="shared" si="66"/>
        <v>0</v>
      </c>
      <c r="O538" s="12">
        <f t="shared" si="67"/>
        <v>0</v>
      </c>
      <c r="P538" s="12">
        <f t="shared" si="68"/>
        <v>0</v>
      </c>
      <c r="Q538" s="12">
        <f t="shared" si="69"/>
        <v>0</v>
      </c>
      <c r="R538" s="12">
        <f t="shared" si="70"/>
        <v>0</v>
      </c>
      <c r="S538" s="12">
        <f t="shared" si="71"/>
        <v>0</v>
      </c>
      <c r="T538" s="31">
        <v>0</v>
      </c>
      <c r="U538" s="31">
        <v>0</v>
      </c>
      <c r="V538" s="31">
        <v>0</v>
      </c>
      <c r="W538" s="31">
        <v>0</v>
      </c>
      <c r="X538" s="31">
        <v>0</v>
      </c>
      <c r="Y538" s="31">
        <v>0</v>
      </c>
      <c r="Z538" s="31">
        <v>0</v>
      </c>
      <c r="AA538" s="31">
        <v>0</v>
      </c>
      <c r="AB538" s="31">
        <v>0</v>
      </c>
      <c r="AC538" s="31">
        <v>0</v>
      </c>
      <c r="AD538" s="31">
        <v>0</v>
      </c>
      <c r="AE538" s="31">
        <v>0</v>
      </c>
      <c r="AF538" s="31">
        <v>0</v>
      </c>
      <c r="AG538" s="31">
        <v>0</v>
      </c>
      <c r="AH538" s="31">
        <v>0</v>
      </c>
      <c r="AI538" s="31">
        <v>0</v>
      </c>
      <c r="AJ538" s="31">
        <v>0</v>
      </c>
      <c r="AK538" s="31">
        <v>0</v>
      </c>
      <c r="AL538" s="31">
        <v>0</v>
      </c>
      <c r="AM538" s="31">
        <v>0</v>
      </c>
      <c r="AN538" s="31">
        <v>0</v>
      </c>
      <c r="AO538" s="31">
        <v>0</v>
      </c>
      <c r="AP538" s="31">
        <v>0</v>
      </c>
    </row>
    <row r="539" spans="1:42" x14ac:dyDescent="0.25">
      <c r="A539" s="31">
        <v>12</v>
      </c>
      <c r="B539" s="31">
        <v>25104</v>
      </c>
      <c r="C539" s="31" t="s">
        <v>217</v>
      </c>
      <c r="D539" s="31" t="s">
        <v>841</v>
      </c>
      <c r="E539" s="31"/>
      <c r="F539" s="31">
        <v>0</v>
      </c>
      <c r="G539" s="31">
        <v>0</v>
      </c>
      <c r="H539" s="31">
        <v>0</v>
      </c>
      <c r="I539" s="31">
        <v>0</v>
      </c>
      <c r="J539" s="31">
        <v>0</v>
      </c>
      <c r="K539" s="31" t="s">
        <v>882</v>
      </c>
      <c r="L539" s="2" t="str">
        <f t="shared" si="64"/>
        <v>Рихтовка</v>
      </c>
      <c r="M539" s="12">
        <f t="shared" si="65"/>
        <v>0</v>
      </c>
      <c r="N539" s="12">
        <f t="shared" si="66"/>
        <v>0</v>
      </c>
      <c r="O539" s="12">
        <f t="shared" si="67"/>
        <v>0</v>
      </c>
      <c r="P539" s="12">
        <f t="shared" si="68"/>
        <v>0</v>
      </c>
      <c r="Q539" s="12">
        <f t="shared" si="69"/>
        <v>0</v>
      </c>
      <c r="R539" s="12">
        <f t="shared" si="70"/>
        <v>0</v>
      </c>
      <c r="S539" s="12">
        <f t="shared" si="71"/>
        <v>0</v>
      </c>
      <c r="T539" s="31">
        <v>0</v>
      </c>
      <c r="U539" s="31">
        <v>0</v>
      </c>
      <c r="V539" s="31">
        <v>0</v>
      </c>
      <c r="W539" s="31">
        <v>0</v>
      </c>
      <c r="X539" s="31">
        <v>0</v>
      </c>
      <c r="Y539" s="31">
        <v>0</v>
      </c>
      <c r="Z539" s="31">
        <v>0</v>
      </c>
      <c r="AA539" s="31">
        <v>0</v>
      </c>
      <c r="AB539" s="31">
        <v>0</v>
      </c>
      <c r="AC539" s="31">
        <v>0</v>
      </c>
      <c r="AD539" s="31">
        <v>0</v>
      </c>
      <c r="AE539" s="31">
        <v>0</v>
      </c>
      <c r="AF539" s="31">
        <v>0</v>
      </c>
      <c r="AG539" s="31">
        <v>0</v>
      </c>
      <c r="AH539" s="31">
        <v>0</v>
      </c>
      <c r="AI539" s="31">
        <v>0</v>
      </c>
      <c r="AJ539" s="31">
        <v>0</v>
      </c>
      <c r="AK539" s="31">
        <v>0</v>
      </c>
      <c r="AL539" s="31">
        <v>0</v>
      </c>
      <c r="AM539" s="31">
        <v>0</v>
      </c>
      <c r="AN539" s="31">
        <v>0</v>
      </c>
      <c r="AO539" s="31">
        <v>0</v>
      </c>
      <c r="AP539" s="31">
        <v>0</v>
      </c>
    </row>
    <row r="540" spans="1:42" x14ac:dyDescent="0.25">
      <c r="A540" s="31">
        <v>12</v>
      </c>
      <c r="B540" s="31">
        <v>25150</v>
      </c>
      <c r="C540" s="31" t="s">
        <v>217</v>
      </c>
      <c r="D540" s="31" t="s">
        <v>959</v>
      </c>
      <c r="E540" s="31"/>
      <c r="F540" s="31">
        <v>0</v>
      </c>
      <c r="G540" s="31">
        <v>0</v>
      </c>
      <c r="H540" s="31">
        <v>0</v>
      </c>
      <c r="I540" s="31">
        <v>0</v>
      </c>
      <c r="J540" s="31">
        <v>0</v>
      </c>
      <c r="K540" s="31" t="s">
        <v>882</v>
      </c>
      <c r="L540" s="2" t="str">
        <f t="shared" si="64"/>
        <v>Рихтовка</v>
      </c>
      <c r="M540" s="12">
        <f t="shared" si="65"/>
        <v>0</v>
      </c>
      <c r="N540" s="12">
        <f t="shared" si="66"/>
        <v>0</v>
      </c>
      <c r="O540" s="12">
        <f t="shared" si="67"/>
        <v>0</v>
      </c>
      <c r="P540" s="12">
        <f t="shared" si="68"/>
        <v>0</v>
      </c>
      <c r="Q540" s="12">
        <f t="shared" si="69"/>
        <v>0</v>
      </c>
      <c r="R540" s="12">
        <f t="shared" si="70"/>
        <v>0</v>
      </c>
      <c r="S540" s="12">
        <f t="shared" si="71"/>
        <v>0</v>
      </c>
      <c r="T540" s="31">
        <v>0</v>
      </c>
      <c r="U540" s="31">
        <v>0</v>
      </c>
      <c r="V540" s="31">
        <v>0</v>
      </c>
      <c r="W540" s="31">
        <v>0</v>
      </c>
      <c r="X540" s="31">
        <v>0</v>
      </c>
      <c r="Y540" s="31">
        <v>0</v>
      </c>
      <c r="Z540" s="31">
        <v>0</v>
      </c>
      <c r="AA540" s="31">
        <v>0</v>
      </c>
      <c r="AB540" s="31">
        <v>0</v>
      </c>
      <c r="AC540" s="31">
        <v>0</v>
      </c>
      <c r="AD540" s="31">
        <v>0</v>
      </c>
      <c r="AE540" s="31">
        <v>0</v>
      </c>
      <c r="AF540" s="31">
        <v>0</v>
      </c>
      <c r="AG540" s="31">
        <v>0</v>
      </c>
      <c r="AH540" s="31">
        <v>0</v>
      </c>
      <c r="AI540" s="31">
        <v>0</v>
      </c>
      <c r="AJ540" s="31">
        <v>0</v>
      </c>
      <c r="AK540" s="31">
        <v>0</v>
      </c>
      <c r="AL540" s="31">
        <v>0</v>
      </c>
      <c r="AM540" s="31">
        <v>0</v>
      </c>
      <c r="AN540" s="31">
        <v>0</v>
      </c>
      <c r="AO540" s="31">
        <v>0</v>
      </c>
      <c r="AP540" s="31">
        <v>0</v>
      </c>
    </row>
    <row r="541" spans="1:42" x14ac:dyDescent="0.25">
      <c r="A541" s="31">
        <v>11</v>
      </c>
      <c r="B541" s="31">
        <v>13809</v>
      </c>
      <c r="C541" s="31">
        <v>1</v>
      </c>
      <c r="D541" s="31" t="s">
        <v>842</v>
      </c>
      <c r="E541" s="31"/>
      <c r="F541" s="31">
        <v>0</v>
      </c>
      <c r="G541" s="31">
        <v>0</v>
      </c>
      <c r="H541" s="31">
        <v>0</v>
      </c>
      <c r="I541" s="31">
        <v>0</v>
      </c>
      <c r="J541" s="31">
        <v>0</v>
      </c>
      <c r="K541" s="31" t="s">
        <v>882</v>
      </c>
      <c r="L541" s="2" t="str">
        <f t="shared" si="64"/>
        <v>Рихтовка</v>
      </c>
      <c r="M541" s="12">
        <f t="shared" si="65"/>
        <v>0</v>
      </c>
      <c r="N541" s="12">
        <f t="shared" si="66"/>
        <v>0</v>
      </c>
      <c r="O541" s="12">
        <f t="shared" si="67"/>
        <v>0</v>
      </c>
      <c r="P541" s="12">
        <f t="shared" si="68"/>
        <v>0</v>
      </c>
      <c r="Q541" s="12">
        <f t="shared" si="69"/>
        <v>0</v>
      </c>
      <c r="R541" s="12">
        <f t="shared" si="70"/>
        <v>0</v>
      </c>
      <c r="S541" s="12">
        <f t="shared" si="71"/>
        <v>0</v>
      </c>
      <c r="T541" s="31">
        <v>0</v>
      </c>
      <c r="U541" s="31">
        <v>0</v>
      </c>
      <c r="V541" s="31">
        <v>0</v>
      </c>
      <c r="W541" s="31">
        <v>0</v>
      </c>
      <c r="X541" s="31">
        <v>0</v>
      </c>
      <c r="Y541" s="31">
        <v>0</v>
      </c>
      <c r="Z541" s="31">
        <v>0</v>
      </c>
      <c r="AA541" s="31">
        <v>0</v>
      </c>
      <c r="AB541" s="31">
        <v>0</v>
      </c>
      <c r="AC541" s="31">
        <v>0</v>
      </c>
      <c r="AD541" s="31">
        <v>0</v>
      </c>
      <c r="AE541" s="31">
        <v>0</v>
      </c>
      <c r="AF541" s="31">
        <v>0</v>
      </c>
      <c r="AG541" s="31">
        <v>0</v>
      </c>
      <c r="AH541" s="31">
        <v>0</v>
      </c>
      <c r="AI541" s="31">
        <v>0</v>
      </c>
      <c r="AJ541" s="31">
        <v>0</v>
      </c>
      <c r="AK541" s="31">
        <v>0</v>
      </c>
      <c r="AL541" s="31">
        <v>0</v>
      </c>
      <c r="AM541" s="31">
        <v>0</v>
      </c>
      <c r="AN541" s="31">
        <v>0</v>
      </c>
      <c r="AO541" s="31">
        <v>0</v>
      </c>
      <c r="AP541" s="31">
        <v>0</v>
      </c>
    </row>
    <row r="542" spans="1:42" x14ac:dyDescent="0.25">
      <c r="A542" s="31">
        <v>11</v>
      </c>
      <c r="B542" s="31">
        <v>13809</v>
      </c>
      <c r="C542" s="31">
        <v>2</v>
      </c>
      <c r="D542" s="31" t="s">
        <v>842</v>
      </c>
      <c r="E542" s="31"/>
      <c r="F542" s="31">
        <v>0</v>
      </c>
      <c r="G542" s="31">
        <v>0</v>
      </c>
      <c r="H542" s="31">
        <v>0</v>
      </c>
      <c r="I542" s="31">
        <v>0</v>
      </c>
      <c r="J542" s="31">
        <v>0</v>
      </c>
      <c r="K542" s="31" t="s">
        <v>882</v>
      </c>
      <c r="L542" s="2" t="str">
        <f t="shared" si="64"/>
        <v>Рихтовка</v>
      </c>
      <c r="M542" s="12">
        <f t="shared" si="65"/>
        <v>0</v>
      </c>
      <c r="N542" s="12">
        <f t="shared" si="66"/>
        <v>0</v>
      </c>
      <c r="O542" s="12">
        <f t="shared" si="67"/>
        <v>0</v>
      </c>
      <c r="P542" s="12">
        <f t="shared" si="68"/>
        <v>0</v>
      </c>
      <c r="Q542" s="12">
        <f t="shared" si="69"/>
        <v>0</v>
      </c>
      <c r="R542" s="12">
        <f t="shared" si="70"/>
        <v>0</v>
      </c>
      <c r="S542" s="12">
        <f t="shared" si="71"/>
        <v>0</v>
      </c>
      <c r="T542" s="31">
        <v>0</v>
      </c>
      <c r="U542" s="31">
        <v>0</v>
      </c>
      <c r="V542" s="31">
        <v>0</v>
      </c>
      <c r="W542" s="31">
        <v>0</v>
      </c>
      <c r="X542" s="31">
        <v>0</v>
      </c>
      <c r="Y542" s="31">
        <v>0</v>
      </c>
      <c r="Z542" s="31">
        <v>0</v>
      </c>
      <c r="AA542" s="31">
        <v>0</v>
      </c>
      <c r="AB542" s="31">
        <v>0</v>
      </c>
      <c r="AC542" s="31">
        <v>0</v>
      </c>
      <c r="AD542" s="31">
        <v>0</v>
      </c>
      <c r="AE542" s="31">
        <v>0</v>
      </c>
      <c r="AF542" s="31">
        <v>0</v>
      </c>
      <c r="AG542" s="31">
        <v>0</v>
      </c>
      <c r="AH542" s="31">
        <v>0</v>
      </c>
      <c r="AI542" s="31">
        <v>0</v>
      </c>
      <c r="AJ542" s="31">
        <v>0</v>
      </c>
      <c r="AK542" s="31">
        <v>0</v>
      </c>
      <c r="AL542" s="31">
        <v>0</v>
      </c>
      <c r="AM542" s="31">
        <v>0</v>
      </c>
      <c r="AN542" s="31">
        <v>0</v>
      </c>
      <c r="AO542" s="31">
        <v>0</v>
      </c>
      <c r="AP542" s="31">
        <v>0</v>
      </c>
    </row>
    <row r="543" spans="1:42" x14ac:dyDescent="0.25">
      <c r="A543" s="31">
        <v>13</v>
      </c>
      <c r="B543" s="31">
        <v>13809</v>
      </c>
      <c r="C543" s="31">
        <v>1</v>
      </c>
      <c r="D543" s="31" t="s">
        <v>842</v>
      </c>
      <c r="E543" s="31"/>
      <c r="F543" s="31">
        <v>0</v>
      </c>
      <c r="G543" s="31">
        <v>0</v>
      </c>
      <c r="H543" s="31">
        <v>0</v>
      </c>
      <c r="I543" s="31">
        <v>0</v>
      </c>
      <c r="J543" s="31">
        <v>0</v>
      </c>
      <c r="K543" s="31" t="s">
        <v>882</v>
      </c>
      <c r="L543" s="2" t="str">
        <f t="shared" si="64"/>
        <v>Рихтовка</v>
      </c>
      <c r="M543" s="12">
        <f t="shared" si="65"/>
        <v>0</v>
      </c>
      <c r="N543" s="12">
        <f t="shared" si="66"/>
        <v>0</v>
      </c>
      <c r="O543" s="12">
        <f t="shared" si="67"/>
        <v>0</v>
      </c>
      <c r="P543" s="12">
        <f t="shared" si="68"/>
        <v>0</v>
      </c>
      <c r="Q543" s="12">
        <f t="shared" si="69"/>
        <v>0</v>
      </c>
      <c r="R543" s="12">
        <f t="shared" si="70"/>
        <v>0</v>
      </c>
      <c r="S543" s="12">
        <f t="shared" si="71"/>
        <v>0</v>
      </c>
      <c r="T543" s="31">
        <v>0</v>
      </c>
      <c r="U543" s="31">
        <v>0</v>
      </c>
      <c r="V543" s="31">
        <v>0</v>
      </c>
      <c r="W543" s="31">
        <v>0</v>
      </c>
      <c r="X543" s="31">
        <v>0</v>
      </c>
      <c r="Y543" s="31">
        <v>0</v>
      </c>
      <c r="Z543" s="31">
        <v>0</v>
      </c>
      <c r="AA543" s="31">
        <v>0</v>
      </c>
      <c r="AB543" s="31">
        <v>0</v>
      </c>
      <c r="AC543" s="31">
        <v>0</v>
      </c>
      <c r="AD543" s="31">
        <v>0</v>
      </c>
      <c r="AE543" s="31">
        <v>0</v>
      </c>
      <c r="AF543" s="31">
        <v>0</v>
      </c>
      <c r="AG543" s="31">
        <v>0</v>
      </c>
      <c r="AH543" s="31">
        <v>0</v>
      </c>
      <c r="AI543" s="31">
        <v>0</v>
      </c>
      <c r="AJ543" s="31">
        <v>0</v>
      </c>
      <c r="AK543" s="31">
        <v>0</v>
      </c>
      <c r="AL543" s="31">
        <v>0</v>
      </c>
      <c r="AM543" s="31">
        <v>0</v>
      </c>
      <c r="AN543" s="31">
        <v>0</v>
      </c>
      <c r="AO543" s="31">
        <v>0</v>
      </c>
      <c r="AP543" s="31">
        <v>0</v>
      </c>
    </row>
    <row r="544" spans="1:42" x14ac:dyDescent="0.25">
      <c r="A544" s="31">
        <v>13</v>
      </c>
      <c r="B544" s="31">
        <v>13809</v>
      </c>
      <c r="C544" s="31">
        <v>2</v>
      </c>
      <c r="D544" s="31" t="s">
        <v>842</v>
      </c>
      <c r="E544" s="31"/>
      <c r="F544" s="31">
        <v>0</v>
      </c>
      <c r="G544" s="31">
        <v>0</v>
      </c>
      <c r="H544" s="31">
        <v>0</v>
      </c>
      <c r="I544" s="31">
        <v>0</v>
      </c>
      <c r="J544" s="31">
        <v>0</v>
      </c>
      <c r="K544" s="31" t="s">
        <v>882</v>
      </c>
      <c r="L544" s="2" t="str">
        <f t="shared" si="64"/>
        <v>Рихтовка</v>
      </c>
      <c r="M544" s="12">
        <f t="shared" si="65"/>
        <v>0</v>
      </c>
      <c r="N544" s="12">
        <f t="shared" si="66"/>
        <v>0</v>
      </c>
      <c r="O544" s="12">
        <f t="shared" si="67"/>
        <v>0</v>
      </c>
      <c r="P544" s="12">
        <f t="shared" si="68"/>
        <v>0</v>
      </c>
      <c r="Q544" s="12">
        <f t="shared" si="69"/>
        <v>0</v>
      </c>
      <c r="R544" s="12">
        <f t="shared" si="70"/>
        <v>0</v>
      </c>
      <c r="S544" s="12">
        <f t="shared" si="71"/>
        <v>0</v>
      </c>
      <c r="T544" s="31">
        <v>0</v>
      </c>
      <c r="U544" s="31">
        <v>0</v>
      </c>
      <c r="V544" s="31">
        <v>0</v>
      </c>
      <c r="W544" s="31">
        <v>0</v>
      </c>
      <c r="X544" s="31">
        <v>0</v>
      </c>
      <c r="Y544" s="31">
        <v>0</v>
      </c>
      <c r="Z544" s="31">
        <v>0</v>
      </c>
      <c r="AA544" s="31">
        <v>0</v>
      </c>
      <c r="AB544" s="31">
        <v>0</v>
      </c>
      <c r="AC544" s="31">
        <v>0</v>
      </c>
      <c r="AD544" s="31">
        <v>0</v>
      </c>
      <c r="AE544" s="31">
        <v>0</v>
      </c>
      <c r="AF544" s="31">
        <v>0</v>
      </c>
      <c r="AG544" s="31">
        <v>0</v>
      </c>
      <c r="AH544" s="31">
        <v>0</v>
      </c>
      <c r="AI544" s="31">
        <v>0</v>
      </c>
      <c r="AJ544" s="31">
        <v>0</v>
      </c>
      <c r="AK544" s="31">
        <v>0</v>
      </c>
      <c r="AL544" s="31">
        <v>0</v>
      </c>
      <c r="AM544" s="31">
        <v>0</v>
      </c>
      <c r="AN544" s="31">
        <v>0</v>
      </c>
      <c r="AO544" s="31">
        <v>0</v>
      </c>
      <c r="AP544" s="31">
        <v>0</v>
      </c>
    </row>
    <row r="545" spans="1:42" x14ac:dyDescent="0.25">
      <c r="A545" s="31">
        <v>13</v>
      </c>
      <c r="B545" s="31">
        <v>13809</v>
      </c>
      <c r="C545" s="31">
        <v>1</v>
      </c>
      <c r="D545" s="31" t="s">
        <v>843</v>
      </c>
      <c r="E545" s="31"/>
      <c r="F545" s="31">
        <v>0</v>
      </c>
      <c r="G545" s="31">
        <v>0</v>
      </c>
      <c r="H545" s="31">
        <v>0</v>
      </c>
      <c r="I545" s="31">
        <v>0</v>
      </c>
      <c r="J545" s="31">
        <v>0</v>
      </c>
      <c r="K545" s="31" t="s">
        <v>882</v>
      </c>
      <c r="L545" s="2" t="str">
        <f t="shared" si="64"/>
        <v>Рихтовка</v>
      </c>
      <c r="M545" s="12">
        <f t="shared" si="65"/>
        <v>0</v>
      </c>
      <c r="N545" s="12">
        <f t="shared" si="66"/>
        <v>0</v>
      </c>
      <c r="O545" s="12">
        <f t="shared" si="67"/>
        <v>0</v>
      </c>
      <c r="P545" s="12">
        <f t="shared" si="68"/>
        <v>0</v>
      </c>
      <c r="Q545" s="12">
        <f t="shared" si="69"/>
        <v>0</v>
      </c>
      <c r="R545" s="12">
        <f t="shared" si="70"/>
        <v>0</v>
      </c>
      <c r="S545" s="12">
        <f t="shared" si="71"/>
        <v>0</v>
      </c>
      <c r="T545" s="31">
        <v>0</v>
      </c>
      <c r="U545" s="31">
        <v>0</v>
      </c>
      <c r="V545" s="31">
        <v>0</v>
      </c>
      <c r="W545" s="31">
        <v>0</v>
      </c>
      <c r="X545" s="31">
        <v>0</v>
      </c>
      <c r="Y545" s="31">
        <v>0</v>
      </c>
      <c r="Z545" s="31">
        <v>0</v>
      </c>
      <c r="AA545" s="31">
        <v>0</v>
      </c>
      <c r="AB545" s="31">
        <v>0</v>
      </c>
      <c r="AC545" s="31">
        <v>0</v>
      </c>
      <c r="AD545" s="31">
        <v>0</v>
      </c>
      <c r="AE545" s="31">
        <v>0</v>
      </c>
      <c r="AF545" s="31">
        <v>0</v>
      </c>
      <c r="AG545" s="31">
        <v>0</v>
      </c>
      <c r="AH545" s="31">
        <v>0</v>
      </c>
      <c r="AI545" s="31">
        <v>0</v>
      </c>
      <c r="AJ545" s="31">
        <v>0</v>
      </c>
      <c r="AK545" s="31">
        <v>0</v>
      </c>
      <c r="AL545" s="31">
        <v>0</v>
      </c>
      <c r="AM545" s="31">
        <v>0</v>
      </c>
      <c r="AN545" s="31">
        <v>0</v>
      </c>
      <c r="AO545" s="31">
        <v>0</v>
      </c>
      <c r="AP545" s="31">
        <v>0</v>
      </c>
    </row>
    <row r="546" spans="1:42" x14ac:dyDescent="0.25">
      <c r="A546" s="31">
        <v>13</v>
      </c>
      <c r="B546" s="31">
        <v>13809</v>
      </c>
      <c r="C546" s="31">
        <v>1</v>
      </c>
      <c r="D546" s="31" t="s">
        <v>844</v>
      </c>
      <c r="E546" s="31"/>
      <c r="F546" s="31">
        <v>0</v>
      </c>
      <c r="G546" s="31">
        <v>0</v>
      </c>
      <c r="H546" s="31">
        <v>0</v>
      </c>
      <c r="I546" s="31">
        <v>0</v>
      </c>
      <c r="J546" s="31">
        <v>0</v>
      </c>
      <c r="K546" s="31" t="s">
        <v>882</v>
      </c>
      <c r="L546" s="2" t="str">
        <f t="shared" si="64"/>
        <v>Рихтовка</v>
      </c>
      <c r="M546" s="12">
        <f t="shared" si="65"/>
        <v>0</v>
      </c>
      <c r="N546" s="12">
        <f t="shared" si="66"/>
        <v>0</v>
      </c>
      <c r="O546" s="12">
        <f t="shared" si="67"/>
        <v>0</v>
      </c>
      <c r="P546" s="12">
        <f t="shared" si="68"/>
        <v>0</v>
      </c>
      <c r="Q546" s="12">
        <f t="shared" si="69"/>
        <v>0</v>
      </c>
      <c r="R546" s="12">
        <f t="shared" si="70"/>
        <v>0</v>
      </c>
      <c r="S546" s="12">
        <f t="shared" si="71"/>
        <v>0</v>
      </c>
      <c r="T546" s="31">
        <v>0</v>
      </c>
      <c r="U546" s="31">
        <v>0</v>
      </c>
      <c r="V546" s="31">
        <v>0</v>
      </c>
      <c r="W546" s="31">
        <v>0</v>
      </c>
      <c r="X546" s="31">
        <v>0</v>
      </c>
      <c r="Y546" s="31">
        <v>0</v>
      </c>
      <c r="Z546" s="31">
        <v>0</v>
      </c>
      <c r="AA546" s="31">
        <v>0</v>
      </c>
      <c r="AB546" s="31">
        <v>0</v>
      </c>
      <c r="AC546" s="31">
        <v>0</v>
      </c>
      <c r="AD546" s="31">
        <v>0</v>
      </c>
      <c r="AE546" s="31">
        <v>0</v>
      </c>
      <c r="AF546" s="31">
        <v>0</v>
      </c>
      <c r="AG546" s="31">
        <v>0</v>
      </c>
      <c r="AH546" s="31">
        <v>0</v>
      </c>
      <c r="AI546" s="31">
        <v>0</v>
      </c>
      <c r="AJ546" s="31">
        <v>0</v>
      </c>
      <c r="AK546" s="31">
        <v>0</v>
      </c>
      <c r="AL546" s="31">
        <v>0</v>
      </c>
      <c r="AM546" s="31">
        <v>0</v>
      </c>
      <c r="AN546" s="31">
        <v>0</v>
      </c>
      <c r="AO546" s="31">
        <v>0</v>
      </c>
      <c r="AP546" s="31">
        <v>0</v>
      </c>
    </row>
    <row r="547" spans="1:42" x14ac:dyDescent="0.25">
      <c r="A547" s="31">
        <v>13</v>
      </c>
      <c r="B547" s="31">
        <v>13809</v>
      </c>
      <c r="C547" s="31">
        <v>1</v>
      </c>
      <c r="D547" s="31" t="s">
        <v>845</v>
      </c>
      <c r="E547" s="31"/>
      <c r="F547" s="31">
        <v>0</v>
      </c>
      <c r="G547" s="31">
        <v>0</v>
      </c>
      <c r="H547" s="31">
        <v>0</v>
      </c>
      <c r="I547" s="31">
        <v>0</v>
      </c>
      <c r="J547" s="31">
        <v>0</v>
      </c>
      <c r="K547" s="31" t="s">
        <v>882</v>
      </c>
      <c r="L547" s="2" t="str">
        <f t="shared" si="64"/>
        <v>Рихтовка</v>
      </c>
      <c r="M547" s="12">
        <f t="shared" si="65"/>
        <v>0</v>
      </c>
      <c r="N547" s="12">
        <f t="shared" si="66"/>
        <v>0</v>
      </c>
      <c r="O547" s="12">
        <f t="shared" si="67"/>
        <v>0</v>
      </c>
      <c r="P547" s="12">
        <f t="shared" si="68"/>
        <v>0</v>
      </c>
      <c r="Q547" s="12">
        <f t="shared" si="69"/>
        <v>0</v>
      </c>
      <c r="R547" s="12">
        <f t="shared" si="70"/>
        <v>0</v>
      </c>
      <c r="S547" s="12">
        <f t="shared" si="71"/>
        <v>0</v>
      </c>
      <c r="T547" s="31">
        <v>0</v>
      </c>
      <c r="U547" s="31">
        <v>0</v>
      </c>
      <c r="V547" s="31">
        <v>0</v>
      </c>
      <c r="W547" s="31">
        <v>0</v>
      </c>
      <c r="X547" s="31">
        <v>0</v>
      </c>
      <c r="Y547" s="31">
        <v>0</v>
      </c>
      <c r="Z547" s="31">
        <v>0</v>
      </c>
      <c r="AA547" s="31">
        <v>0</v>
      </c>
      <c r="AB547" s="31">
        <v>0</v>
      </c>
      <c r="AC547" s="31">
        <v>0</v>
      </c>
      <c r="AD547" s="31">
        <v>0</v>
      </c>
      <c r="AE547" s="31">
        <v>0</v>
      </c>
      <c r="AF547" s="31">
        <v>0</v>
      </c>
      <c r="AG547" s="31">
        <v>0</v>
      </c>
      <c r="AH547" s="31">
        <v>0</v>
      </c>
      <c r="AI547" s="31">
        <v>0</v>
      </c>
      <c r="AJ547" s="31">
        <v>0</v>
      </c>
      <c r="AK547" s="31">
        <v>0</v>
      </c>
      <c r="AL547" s="31">
        <v>0</v>
      </c>
      <c r="AM547" s="31">
        <v>0</v>
      </c>
      <c r="AN547" s="31">
        <v>0</v>
      </c>
      <c r="AO547" s="31">
        <v>0</v>
      </c>
      <c r="AP547" s="31">
        <v>0</v>
      </c>
    </row>
    <row r="548" spans="1:42" x14ac:dyDescent="0.25">
      <c r="A548" s="31">
        <v>13</v>
      </c>
      <c r="B548" s="31">
        <v>13809</v>
      </c>
      <c r="C548" s="31">
        <v>1</v>
      </c>
      <c r="D548" s="31" t="s">
        <v>846</v>
      </c>
      <c r="E548" s="31"/>
      <c r="F548" s="31">
        <v>0</v>
      </c>
      <c r="G548" s="31">
        <v>0</v>
      </c>
      <c r="H548" s="31">
        <v>0</v>
      </c>
      <c r="I548" s="31">
        <v>0</v>
      </c>
      <c r="J548" s="31">
        <v>0</v>
      </c>
      <c r="K548" s="31" t="s">
        <v>882</v>
      </c>
      <c r="L548" s="2" t="str">
        <f t="shared" si="64"/>
        <v>Рихтовка</v>
      </c>
      <c r="M548" s="12">
        <f t="shared" si="65"/>
        <v>0</v>
      </c>
      <c r="N548" s="12">
        <f t="shared" si="66"/>
        <v>0</v>
      </c>
      <c r="O548" s="12">
        <f t="shared" si="67"/>
        <v>0</v>
      </c>
      <c r="P548" s="12">
        <f t="shared" si="68"/>
        <v>0</v>
      </c>
      <c r="Q548" s="12">
        <f t="shared" si="69"/>
        <v>0</v>
      </c>
      <c r="R548" s="12">
        <f t="shared" si="70"/>
        <v>0</v>
      </c>
      <c r="S548" s="12">
        <f t="shared" si="71"/>
        <v>0</v>
      </c>
      <c r="T548" s="31">
        <v>0</v>
      </c>
      <c r="U548" s="31">
        <v>0</v>
      </c>
      <c r="V548" s="31">
        <v>0</v>
      </c>
      <c r="W548" s="31">
        <v>0</v>
      </c>
      <c r="X548" s="31">
        <v>0</v>
      </c>
      <c r="Y548" s="31">
        <v>0</v>
      </c>
      <c r="Z548" s="31">
        <v>0</v>
      </c>
      <c r="AA548" s="31">
        <v>0</v>
      </c>
      <c r="AB548" s="31">
        <v>0</v>
      </c>
      <c r="AC548" s="31">
        <v>0</v>
      </c>
      <c r="AD548" s="31">
        <v>0</v>
      </c>
      <c r="AE548" s="31">
        <v>0</v>
      </c>
      <c r="AF548" s="31">
        <v>0</v>
      </c>
      <c r="AG548" s="31">
        <v>0</v>
      </c>
      <c r="AH548" s="31">
        <v>0</v>
      </c>
      <c r="AI548" s="31">
        <v>0</v>
      </c>
      <c r="AJ548" s="31">
        <v>0</v>
      </c>
      <c r="AK548" s="31">
        <v>0</v>
      </c>
      <c r="AL548" s="31">
        <v>0</v>
      </c>
      <c r="AM548" s="31">
        <v>0</v>
      </c>
      <c r="AN548" s="31">
        <v>0</v>
      </c>
      <c r="AO548" s="31">
        <v>0</v>
      </c>
      <c r="AP548" s="31">
        <v>0</v>
      </c>
    </row>
    <row r="549" spans="1:42" x14ac:dyDescent="0.25">
      <c r="A549" s="31">
        <v>13</v>
      </c>
      <c r="B549" s="31">
        <v>13809</v>
      </c>
      <c r="C549" s="31">
        <v>1</v>
      </c>
      <c r="D549" s="31" t="s">
        <v>847</v>
      </c>
      <c r="E549" s="31"/>
      <c r="F549" s="31">
        <v>0</v>
      </c>
      <c r="G549" s="31">
        <v>0</v>
      </c>
      <c r="H549" s="31">
        <v>0</v>
      </c>
      <c r="I549" s="31">
        <v>0</v>
      </c>
      <c r="J549" s="31">
        <v>0</v>
      </c>
      <c r="K549" s="31" t="s">
        <v>882</v>
      </c>
      <c r="L549" s="2" t="str">
        <f t="shared" si="64"/>
        <v>Рихтовка</v>
      </c>
      <c r="M549" s="12">
        <f t="shared" si="65"/>
        <v>0</v>
      </c>
      <c r="N549" s="12">
        <f t="shared" si="66"/>
        <v>0</v>
      </c>
      <c r="O549" s="12">
        <f t="shared" si="67"/>
        <v>0</v>
      </c>
      <c r="P549" s="12">
        <f t="shared" si="68"/>
        <v>0</v>
      </c>
      <c r="Q549" s="12">
        <f t="shared" si="69"/>
        <v>0</v>
      </c>
      <c r="R549" s="12">
        <f t="shared" si="70"/>
        <v>0</v>
      </c>
      <c r="S549" s="12">
        <f t="shared" si="71"/>
        <v>0</v>
      </c>
      <c r="T549" s="31">
        <v>0</v>
      </c>
      <c r="U549" s="31">
        <v>0</v>
      </c>
      <c r="V549" s="31">
        <v>0</v>
      </c>
      <c r="W549" s="31">
        <v>0</v>
      </c>
      <c r="X549" s="31">
        <v>0</v>
      </c>
      <c r="Y549" s="31">
        <v>0</v>
      </c>
      <c r="Z549" s="31">
        <v>0</v>
      </c>
      <c r="AA549" s="31">
        <v>0</v>
      </c>
      <c r="AB549" s="31">
        <v>0</v>
      </c>
      <c r="AC549" s="31">
        <v>0</v>
      </c>
      <c r="AD549" s="31">
        <v>0</v>
      </c>
      <c r="AE549" s="31">
        <v>0</v>
      </c>
      <c r="AF549" s="31">
        <v>0</v>
      </c>
      <c r="AG549" s="31">
        <v>0</v>
      </c>
      <c r="AH549" s="31">
        <v>0</v>
      </c>
      <c r="AI549" s="31">
        <v>0</v>
      </c>
      <c r="AJ549" s="31">
        <v>0</v>
      </c>
      <c r="AK549" s="31">
        <v>0</v>
      </c>
      <c r="AL549" s="31">
        <v>0</v>
      </c>
      <c r="AM549" s="31">
        <v>0</v>
      </c>
      <c r="AN549" s="31">
        <v>0</v>
      </c>
      <c r="AO549" s="31">
        <v>0</v>
      </c>
      <c r="AP549" s="31">
        <v>0</v>
      </c>
    </row>
    <row r="550" spans="1:42" x14ac:dyDescent="0.25">
      <c r="A550" s="31">
        <v>13</v>
      </c>
      <c r="B550" s="31">
        <v>13809</v>
      </c>
      <c r="C550" s="31">
        <v>1</v>
      </c>
      <c r="D550" s="31" t="s">
        <v>848</v>
      </c>
      <c r="E550" s="31"/>
      <c r="F550" s="31">
        <v>0</v>
      </c>
      <c r="G550" s="31">
        <v>0</v>
      </c>
      <c r="H550" s="31">
        <v>0</v>
      </c>
      <c r="I550" s="31">
        <v>0</v>
      </c>
      <c r="J550" s="31">
        <v>0</v>
      </c>
      <c r="K550" s="31" t="s">
        <v>882</v>
      </c>
      <c r="L550" s="2" t="str">
        <f t="shared" si="64"/>
        <v>Рихтовка</v>
      </c>
      <c r="M550" s="12">
        <f t="shared" si="65"/>
        <v>0</v>
      </c>
      <c r="N550" s="12">
        <f t="shared" si="66"/>
        <v>0</v>
      </c>
      <c r="O550" s="12">
        <f t="shared" si="67"/>
        <v>0</v>
      </c>
      <c r="P550" s="12">
        <f t="shared" si="68"/>
        <v>0</v>
      </c>
      <c r="Q550" s="12">
        <f t="shared" si="69"/>
        <v>0</v>
      </c>
      <c r="R550" s="12">
        <f t="shared" si="70"/>
        <v>0</v>
      </c>
      <c r="S550" s="12">
        <f t="shared" si="71"/>
        <v>0</v>
      </c>
      <c r="T550" s="31">
        <v>0</v>
      </c>
      <c r="U550" s="31">
        <v>0</v>
      </c>
      <c r="V550" s="31">
        <v>0</v>
      </c>
      <c r="W550" s="31">
        <v>0</v>
      </c>
      <c r="X550" s="31">
        <v>0</v>
      </c>
      <c r="Y550" s="31">
        <v>0</v>
      </c>
      <c r="Z550" s="31">
        <v>0</v>
      </c>
      <c r="AA550" s="31">
        <v>0</v>
      </c>
      <c r="AB550" s="31">
        <v>0</v>
      </c>
      <c r="AC550" s="31">
        <v>0</v>
      </c>
      <c r="AD550" s="31">
        <v>0</v>
      </c>
      <c r="AE550" s="31">
        <v>0</v>
      </c>
      <c r="AF550" s="31">
        <v>0</v>
      </c>
      <c r="AG550" s="31">
        <v>0</v>
      </c>
      <c r="AH550" s="31">
        <v>0</v>
      </c>
      <c r="AI550" s="31">
        <v>0</v>
      </c>
      <c r="AJ550" s="31">
        <v>0</v>
      </c>
      <c r="AK550" s="31">
        <v>0</v>
      </c>
      <c r="AL550" s="31">
        <v>0</v>
      </c>
      <c r="AM550" s="31">
        <v>0</v>
      </c>
      <c r="AN550" s="31">
        <v>0</v>
      </c>
      <c r="AO550" s="31">
        <v>0</v>
      </c>
      <c r="AP550" s="31">
        <v>0</v>
      </c>
    </row>
    <row r="551" spans="1:42" x14ac:dyDescent="0.25">
      <c r="A551" s="31">
        <v>13</v>
      </c>
      <c r="B551" s="31">
        <v>13809</v>
      </c>
      <c r="C551" s="31">
        <v>1</v>
      </c>
      <c r="D551" s="31" t="s">
        <v>849</v>
      </c>
      <c r="E551" s="31"/>
      <c r="F551" s="31">
        <v>0</v>
      </c>
      <c r="G551" s="31">
        <v>0</v>
      </c>
      <c r="H551" s="31">
        <v>0</v>
      </c>
      <c r="I551" s="31">
        <v>0</v>
      </c>
      <c r="J551" s="31">
        <v>0</v>
      </c>
      <c r="K551" s="31" t="s">
        <v>882</v>
      </c>
      <c r="L551" s="2" t="str">
        <f t="shared" si="64"/>
        <v>Рихтовка</v>
      </c>
      <c r="M551" s="12">
        <f t="shared" si="65"/>
        <v>0</v>
      </c>
      <c r="N551" s="12">
        <f t="shared" si="66"/>
        <v>0</v>
      </c>
      <c r="O551" s="12">
        <f t="shared" si="67"/>
        <v>0</v>
      </c>
      <c r="P551" s="12">
        <f t="shared" si="68"/>
        <v>0</v>
      </c>
      <c r="Q551" s="12">
        <f t="shared" si="69"/>
        <v>0</v>
      </c>
      <c r="R551" s="12">
        <f t="shared" si="70"/>
        <v>0</v>
      </c>
      <c r="S551" s="12">
        <f t="shared" si="71"/>
        <v>0</v>
      </c>
      <c r="T551" s="31">
        <v>0</v>
      </c>
      <c r="U551" s="31">
        <v>0</v>
      </c>
      <c r="V551" s="31">
        <v>0</v>
      </c>
      <c r="W551" s="31">
        <v>0</v>
      </c>
      <c r="X551" s="31">
        <v>0</v>
      </c>
      <c r="Y551" s="31">
        <v>0</v>
      </c>
      <c r="Z551" s="31">
        <v>0</v>
      </c>
      <c r="AA551" s="31">
        <v>0</v>
      </c>
      <c r="AB551" s="31">
        <v>0</v>
      </c>
      <c r="AC551" s="31">
        <v>0</v>
      </c>
      <c r="AD551" s="31">
        <v>0</v>
      </c>
      <c r="AE551" s="31">
        <v>0</v>
      </c>
      <c r="AF551" s="31">
        <v>0</v>
      </c>
      <c r="AG551" s="31">
        <v>0</v>
      </c>
      <c r="AH551" s="31">
        <v>0</v>
      </c>
      <c r="AI551" s="31">
        <v>0</v>
      </c>
      <c r="AJ551" s="31">
        <v>0</v>
      </c>
      <c r="AK551" s="31">
        <v>0</v>
      </c>
      <c r="AL551" s="31">
        <v>0</v>
      </c>
      <c r="AM551" s="31">
        <v>0</v>
      </c>
      <c r="AN551" s="31">
        <v>0</v>
      </c>
      <c r="AO551" s="31">
        <v>0</v>
      </c>
      <c r="AP551" s="31">
        <v>0</v>
      </c>
    </row>
    <row r="552" spans="1:42" x14ac:dyDescent="0.25">
      <c r="A552" s="31">
        <v>13</v>
      </c>
      <c r="B552" s="31">
        <v>13809</v>
      </c>
      <c r="C552" s="31">
        <v>1</v>
      </c>
      <c r="D552" s="31" t="s">
        <v>850</v>
      </c>
      <c r="E552" s="31"/>
      <c r="F552" s="31">
        <v>0</v>
      </c>
      <c r="G552" s="31">
        <v>0</v>
      </c>
      <c r="H552" s="31">
        <v>0</v>
      </c>
      <c r="I552" s="31">
        <v>0</v>
      </c>
      <c r="J552" s="31">
        <v>0</v>
      </c>
      <c r="K552" s="31" t="s">
        <v>882</v>
      </c>
      <c r="L552" s="2" t="str">
        <f t="shared" si="64"/>
        <v>Рихтовка</v>
      </c>
      <c r="M552" s="12">
        <f t="shared" si="65"/>
        <v>0</v>
      </c>
      <c r="N552" s="12">
        <f t="shared" si="66"/>
        <v>0</v>
      </c>
      <c r="O552" s="12">
        <f t="shared" si="67"/>
        <v>0</v>
      </c>
      <c r="P552" s="12">
        <f t="shared" si="68"/>
        <v>0</v>
      </c>
      <c r="Q552" s="12">
        <f t="shared" si="69"/>
        <v>0</v>
      </c>
      <c r="R552" s="12">
        <f t="shared" si="70"/>
        <v>0</v>
      </c>
      <c r="S552" s="12">
        <f t="shared" si="71"/>
        <v>0</v>
      </c>
      <c r="T552" s="31">
        <v>0</v>
      </c>
      <c r="U552" s="31">
        <v>0</v>
      </c>
      <c r="V552" s="31">
        <v>0</v>
      </c>
      <c r="W552" s="31">
        <v>0</v>
      </c>
      <c r="X552" s="31">
        <v>0</v>
      </c>
      <c r="Y552" s="31">
        <v>0</v>
      </c>
      <c r="Z552" s="31">
        <v>0</v>
      </c>
      <c r="AA552" s="31">
        <v>0</v>
      </c>
      <c r="AB552" s="31">
        <v>0</v>
      </c>
      <c r="AC552" s="31">
        <v>0</v>
      </c>
      <c r="AD552" s="31">
        <v>0</v>
      </c>
      <c r="AE552" s="31">
        <v>0</v>
      </c>
      <c r="AF552" s="31">
        <v>0</v>
      </c>
      <c r="AG552" s="31">
        <v>0</v>
      </c>
      <c r="AH552" s="31">
        <v>0</v>
      </c>
      <c r="AI552" s="31">
        <v>0</v>
      </c>
      <c r="AJ552" s="31">
        <v>0</v>
      </c>
      <c r="AK552" s="31">
        <v>0</v>
      </c>
      <c r="AL552" s="31">
        <v>0</v>
      </c>
      <c r="AM552" s="31">
        <v>0</v>
      </c>
      <c r="AN552" s="31">
        <v>0</v>
      </c>
      <c r="AO552" s="31">
        <v>0</v>
      </c>
      <c r="AP552" s="31">
        <v>0</v>
      </c>
    </row>
    <row r="553" spans="1:42" x14ac:dyDescent="0.25">
      <c r="A553" s="31">
        <v>13</v>
      </c>
      <c r="B553" s="31">
        <v>13809</v>
      </c>
      <c r="C553" s="31">
        <v>2</v>
      </c>
      <c r="D553" s="31" t="s">
        <v>843</v>
      </c>
      <c r="E553" s="31"/>
      <c r="F553" s="31">
        <v>0</v>
      </c>
      <c r="G553" s="31">
        <v>0</v>
      </c>
      <c r="H553" s="31">
        <v>0</v>
      </c>
      <c r="I553" s="31">
        <v>0</v>
      </c>
      <c r="J553" s="31">
        <v>0</v>
      </c>
      <c r="K553" s="31" t="s">
        <v>882</v>
      </c>
      <c r="L553" s="2" t="str">
        <f t="shared" si="64"/>
        <v>Рихтовка</v>
      </c>
      <c r="M553" s="12">
        <f t="shared" si="65"/>
        <v>0</v>
      </c>
      <c r="N553" s="12">
        <f t="shared" si="66"/>
        <v>0</v>
      </c>
      <c r="O553" s="12">
        <f t="shared" si="67"/>
        <v>0</v>
      </c>
      <c r="P553" s="12">
        <f t="shared" si="68"/>
        <v>0</v>
      </c>
      <c r="Q553" s="12">
        <f t="shared" si="69"/>
        <v>0</v>
      </c>
      <c r="R553" s="12">
        <f t="shared" si="70"/>
        <v>0</v>
      </c>
      <c r="S553" s="12">
        <f t="shared" si="71"/>
        <v>0</v>
      </c>
      <c r="T553" s="31">
        <v>0</v>
      </c>
      <c r="U553" s="31">
        <v>0</v>
      </c>
      <c r="V553" s="31">
        <v>0</v>
      </c>
      <c r="W553" s="31">
        <v>0</v>
      </c>
      <c r="X553" s="31">
        <v>0</v>
      </c>
      <c r="Y553" s="31">
        <v>0</v>
      </c>
      <c r="Z553" s="31">
        <v>0</v>
      </c>
      <c r="AA553" s="31">
        <v>0</v>
      </c>
      <c r="AB553" s="31">
        <v>0</v>
      </c>
      <c r="AC553" s="31">
        <v>0</v>
      </c>
      <c r="AD553" s="31">
        <v>0</v>
      </c>
      <c r="AE553" s="31">
        <v>0</v>
      </c>
      <c r="AF553" s="31">
        <v>0</v>
      </c>
      <c r="AG553" s="31">
        <v>0</v>
      </c>
      <c r="AH553" s="31">
        <v>0</v>
      </c>
      <c r="AI553" s="31">
        <v>0</v>
      </c>
      <c r="AJ553" s="31">
        <v>0</v>
      </c>
      <c r="AK553" s="31">
        <v>0</v>
      </c>
      <c r="AL553" s="31">
        <v>0</v>
      </c>
      <c r="AM553" s="31">
        <v>0</v>
      </c>
      <c r="AN553" s="31">
        <v>0</v>
      </c>
      <c r="AO553" s="31">
        <v>0</v>
      </c>
      <c r="AP553" s="31">
        <v>0</v>
      </c>
    </row>
    <row r="554" spans="1:42" x14ac:dyDescent="0.25">
      <c r="A554" s="31">
        <v>13</v>
      </c>
      <c r="B554" s="31">
        <v>13809</v>
      </c>
      <c r="C554" s="31">
        <v>2</v>
      </c>
      <c r="D554" s="31" t="s">
        <v>844</v>
      </c>
      <c r="E554" s="31"/>
      <c r="F554" s="31">
        <v>0</v>
      </c>
      <c r="G554" s="31">
        <v>0</v>
      </c>
      <c r="H554" s="31">
        <v>0</v>
      </c>
      <c r="I554" s="31">
        <v>0</v>
      </c>
      <c r="J554" s="31">
        <v>0</v>
      </c>
      <c r="K554" s="31" t="s">
        <v>882</v>
      </c>
      <c r="L554" s="2" t="str">
        <f t="shared" si="64"/>
        <v>Рихтовка</v>
      </c>
      <c r="M554" s="12">
        <f t="shared" si="65"/>
        <v>0</v>
      </c>
      <c r="N554" s="12">
        <f t="shared" si="66"/>
        <v>0</v>
      </c>
      <c r="O554" s="12">
        <f t="shared" si="67"/>
        <v>0</v>
      </c>
      <c r="P554" s="12">
        <f t="shared" si="68"/>
        <v>0</v>
      </c>
      <c r="Q554" s="12">
        <f t="shared" si="69"/>
        <v>0</v>
      </c>
      <c r="R554" s="12">
        <f t="shared" si="70"/>
        <v>0</v>
      </c>
      <c r="S554" s="12">
        <f t="shared" si="71"/>
        <v>0</v>
      </c>
      <c r="T554" s="31">
        <v>0</v>
      </c>
      <c r="U554" s="31">
        <v>0</v>
      </c>
      <c r="V554" s="31">
        <v>0</v>
      </c>
      <c r="W554" s="31">
        <v>0</v>
      </c>
      <c r="X554" s="31">
        <v>0</v>
      </c>
      <c r="Y554" s="31">
        <v>0</v>
      </c>
      <c r="Z554" s="31">
        <v>0</v>
      </c>
      <c r="AA554" s="31">
        <v>0</v>
      </c>
      <c r="AB554" s="31">
        <v>0</v>
      </c>
      <c r="AC554" s="31">
        <v>0</v>
      </c>
      <c r="AD554" s="31">
        <v>0</v>
      </c>
      <c r="AE554" s="31">
        <v>0</v>
      </c>
      <c r="AF554" s="31">
        <v>0</v>
      </c>
      <c r="AG554" s="31">
        <v>0</v>
      </c>
      <c r="AH554" s="31">
        <v>0</v>
      </c>
      <c r="AI554" s="31">
        <v>0</v>
      </c>
      <c r="AJ554" s="31">
        <v>0</v>
      </c>
      <c r="AK554" s="31">
        <v>0</v>
      </c>
      <c r="AL554" s="31">
        <v>0</v>
      </c>
      <c r="AM554" s="31">
        <v>0</v>
      </c>
      <c r="AN554" s="31">
        <v>0</v>
      </c>
      <c r="AO554" s="31">
        <v>0</v>
      </c>
      <c r="AP554" s="31">
        <v>0</v>
      </c>
    </row>
    <row r="555" spans="1:42" x14ac:dyDescent="0.25">
      <c r="A555" s="31">
        <v>13</v>
      </c>
      <c r="B555" s="31">
        <v>13809</v>
      </c>
      <c r="C555" s="31">
        <v>2</v>
      </c>
      <c r="D555" s="31" t="s">
        <v>845</v>
      </c>
      <c r="E555" s="31"/>
      <c r="F555" s="31">
        <v>0</v>
      </c>
      <c r="G555" s="31">
        <v>0</v>
      </c>
      <c r="H555" s="31">
        <v>0</v>
      </c>
      <c r="I555" s="31">
        <v>0</v>
      </c>
      <c r="J555" s="31">
        <v>0</v>
      </c>
      <c r="K555" s="31" t="s">
        <v>882</v>
      </c>
      <c r="L555" s="2" t="str">
        <f t="shared" si="64"/>
        <v>Рихтовка</v>
      </c>
      <c r="M555" s="12">
        <f t="shared" si="65"/>
        <v>0</v>
      </c>
      <c r="N555" s="12">
        <f t="shared" si="66"/>
        <v>0</v>
      </c>
      <c r="O555" s="12">
        <f t="shared" si="67"/>
        <v>0</v>
      </c>
      <c r="P555" s="12">
        <f t="shared" si="68"/>
        <v>0</v>
      </c>
      <c r="Q555" s="12">
        <f t="shared" si="69"/>
        <v>0</v>
      </c>
      <c r="R555" s="12">
        <f t="shared" si="70"/>
        <v>0</v>
      </c>
      <c r="S555" s="12">
        <f t="shared" si="71"/>
        <v>0</v>
      </c>
      <c r="T555" s="31">
        <v>0</v>
      </c>
      <c r="U555" s="31">
        <v>0</v>
      </c>
      <c r="V555" s="31">
        <v>0</v>
      </c>
      <c r="W555" s="31">
        <v>0</v>
      </c>
      <c r="X555" s="31">
        <v>0</v>
      </c>
      <c r="Y555" s="31">
        <v>0</v>
      </c>
      <c r="Z555" s="31">
        <v>0</v>
      </c>
      <c r="AA555" s="31">
        <v>0</v>
      </c>
      <c r="AB555" s="31">
        <v>0</v>
      </c>
      <c r="AC555" s="31">
        <v>0</v>
      </c>
      <c r="AD555" s="31">
        <v>0</v>
      </c>
      <c r="AE555" s="31">
        <v>0</v>
      </c>
      <c r="AF555" s="31">
        <v>0</v>
      </c>
      <c r="AG555" s="31">
        <v>0</v>
      </c>
      <c r="AH555" s="31">
        <v>0</v>
      </c>
      <c r="AI555" s="31">
        <v>0</v>
      </c>
      <c r="AJ555" s="31">
        <v>0</v>
      </c>
      <c r="AK555" s="31">
        <v>0</v>
      </c>
      <c r="AL555" s="31">
        <v>0</v>
      </c>
      <c r="AM555" s="31">
        <v>0</v>
      </c>
      <c r="AN555" s="31">
        <v>0</v>
      </c>
      <c r="AO555" s="31">
        <v>0</v>
      </c>
      <c r="AP555" s="31">
        <v>0</v>
      </c>
    </row>
    <row r="556" spans="1:42" x14ac:dyDescent="0.25">
      <c r="A556" s="31">
        <v>13</v>
      </c>
      <c r="B556" s="31">
        <v>13809</v>
      </c>
      <c r="C556" s="31">
        <v>2</v>
      </c>
      <c r="D556" s="31" t="s">
        <v>846</v>
      </c>
      <c r="E556" s="31"/>
      <c r="F556" s="31">
        <v>0</v>
      </c>
      <c r="G556" s="31">
        <v>0</v>
      </c>
      <c r="H556" s="31">
        <v>0</v>
      </c>
      <c r="I556" s="31">
        <v>0</v>
      </c>
      <c r="J556" s="31">
        <v>0</v>
      </c>
      <c r="K556" s="31" t="s">
        <v>882</v>
      </c>
      <c r="L556" s="2" t="str">
        <f t="shared" si="64"/>
        <v>Рихтовка</v>
      </c>
      <c r="M556" s="12">
        <f t="shared" si="65"/>
        <v>0</v>
      </c>
      <c r="N556" s="12">
        <f t="shared" si="66"/>
        <v>0</v>
      </c>
      <c r="O556" s="12">
        <f t="shared" si="67"/>
        <v>0</v>
      </c>
      <c r="P556" s="12">
        <f t="shared" si="68"/>
        <v>0</v>
      </c>
      <c r="Q556" s="12">
        <f t="shared" si="69"/>
        <v>0</v>
      </c>
      <c r="R556" s="12">
        <f t="shared" si="70"/>
        <v>0</v>
      </c>
      <c r="S556" s="12">
        <f t="shared" si="71"/>
        <v>0</v>
      </c>
      <c r="T556" s="31">
        <v>0</v>
      </c>
      <c r="U556" s="31">
        <v>0</v>
      </c>
      <c r="V556" s="31">
        <v>0</v>
      </c>
      <c r="W556" s="31">
        <v>0</v>
      </c>
      <c r="X556" s="31">
        <v>0</v>
      </c>
      <c r="Y556" s="31">
        <v>0</v>
      </c>
      <c r="Z556" s="31">
        <v>0</v>
      </c>
      <c r="AA556" s="31">
        <v>0</v>
      </c>
      <c r="AB556" s="31">
        <v>0</v>
      </c>
      <c r="AC556" s="31">
        <v>0</v>
      </c>
      <c r="AD556" s="31">
        <v>0</v>
      </c>
      <c r="AE556" s="31">
        <v>0</v>
      </c>
      <c r="AF556" s="31">
        <v>0</v>
      </c>
      <c r="AG556" s="31">
        <v>0</v>
      </c>
      <c r="AH556" s="31">
        <v>0</v>
      </c>
      <c r="AI556" s="31">
        <v>0</v>
      </c>
      <c r="AJ556" s="31">
        <v>0</v>
      </c>
      <c r="AK556" s="31">
        <v>0</v>
      </c>
      <c r="AL556" s="31">
        <v>0</v>
      </c>
      <c r="AM556" s="31">
        <v>0</v>
      </c>
      <c r="AN556" s="31">
        <v>0</v>
      </c>
      <c r="AO556" s="31">
        <v>0</v>
      </c>
      <c r="AP556" s="31">
        <v>0</v>
      </c>
    </row>
    <row r="557" spans="1:42" x14ac:dyDescent="0.25">
      <c r="A557" s="31">
        <v>13</v>
      </c>
      <c r="B557" s="31">
        <v>13809</v>
      </c>
      <c r="C557" s="31">
        <v>2</v>
      </c>
      <c r="D557" s="31" t="s">
        <v>847</v>
      </c>
      <c r="E557" s="31"/>
      <c r="F557" s="31">
        <v>0</v>
      </c>
      <c r="G557" s="31">
        <v>0</v>
      </c>
      <c r="H557" s="31">
        <v>0</v>
      </c>
      <c r="I557" s="31">
        <v>0</v>
      </c>
      <c r="J557" s="31">
        <v>0</v>
      </c>
      <c r="K557" s="31" t="s">
        <v>882</v>
      </c>
      <c r="L557" s="2" t="str">
        <f t="shared" si="64"/>
        <v>Рихтовка</v>
      </c>
      <c r="M557" s="12">
        <f t="shared" si="65"/>
        <v>0</v>
      </c>
      <c r="N557" s="12">
        <f t="shared" si="66"/>
        <v>0</v>
      </c>
      <c r="O557" s="12">
        <f t="shared" si="67"/>
        <v>0</v>
      </c>
      <c r="P557" s="12">
        <f t="shared" si="68"/>
        <v>0</v>
      </c>
      <c r="Q557" s="12">
        <f t="shared" si="69"/>
        <v>0</v>
      </c>
      <c r="R557" s="12">
        <f t="shared" si="70"/>
        <v>0</v>
      </c>
      <c r="S557" s="12">
        <f t="shared" si="71"/>
        <v>0</v>
      </c>
      <c r="T557" s="31">
        <v>0</v>
      </c>
      <c r="U557" s="31">
        <v>0</v>
      </c>
      <c r="V557" s="31">
        <v>0</v>
      </c>
      <c r="W557" s="31">
        <v>0</v>
      </c>
      <c r="X557" s="31">
        <v>0</v>
      </c>
      <c r="Y557" s="31">
        <v>0</v>
      </c>
      <c r="Z557" s="31">
        <v>0</v>
      </c>
      <c r="AA557" s="31">
        <v>0</v>
      </c>
      <c r="AB557" s="31">
        <v>0</v>
      </c>
      <c r="AC557" s="31">
        <v>0</v>
      </c>
      <c r="AD557" s="31">
        <v>0</v>
      </c>
      <c r="AE557" s="31">
        <v>0</v>
      </c>
      <c r="AF557" s="31">
        <v>0</v>
      </c>
      <c r="AG557" s="31">
        <v>0</v>
      </c>
      <c r="AH557" s="31">
        <v>0</v>
      </c>
      <c r="AI557" s="31">
        <v>0</v>
      </c>
      <c r="AJ557" s="31">
        <v>0</v>
      </c>
      <c r="AK557" s="31">
        <v>0</v>
      </c>
      <c r="AL557" s="31">
        <v>0</v>
      </c>
      <c r="AM557" s="31">
        <v>0</v>
      </c>
      <c r="AN557" s="31">
        <v>0</v>
      </c>
      <c r="AO557" s="31">
        <v>0</v>
      </c>
      <c r="AP557" s="31">
        <v>0</v>
      </c>
    </row>
    <row r="558" spans="1:42" x14ac:dyDescent="0.25">
      <c r="A558" s="31">
        <v>13</v>
      </c>
      <c r="B558" s="31">
        <v>13809</v>
      </c>
      <c r="C558" s="31">
        <v>2</v>
      </c>
      <c r="D558" s="31" t="s">
        <v>848</v>
      </c>
      <c r="E558" s="31"/>
      <c r="F558" s="31">
        <v>0</v>
      </c>
      <c r="G558" s="31">
        <v>0</v>
      </c>
      <c r="H558" s="31">
        <v>0</v>
      </c>
      <c r="I558" s="31">
        <v>0</v>
      </c>
      <c r="J558" s="31">
        <v>0</v>
      </c>
      <c r="K558" s="31" t="s">
        <v>882</v>
      </c>
      <c r="L558" s="2" t="str">
        <f t="shared" si="64"/>
        <v>Рихтовка</v>
      </c>
      <c r="M558" s="12">
        <f t="shared" si="65"/>
        <v>0</v>
      </c>
      <c r="N558" s="12">
        <f t="shared" si="66"/>
        <v>0</v>
      </c>
      <c r="O558" s="12">
        <f t="shared" si="67"/>
        <v>0</v>
      </c>
      <c r="P558" s="12">
        <f t="shared" si="68"/>
        <v>0</v>
      </c>
      <c r="Q558" s="12">
        <f t="shared" si="69"/>
        <v>0</v>
      </c>
      <c r="R558" s="12">
        <f t="shared" si="70"/>
        <v>0</v>
      </c>
      <c r="S558" s="12">
        <f t="shared" si="71"/>
        <v>0</v>
      </c>
      <c r="T558" s="31">
        <v>0</v>
      </c>
      <c r="U558" s="31">
        <v>0</v>
      </c>
      <c r="V558" s="31">
        <v>0</v>
      </c>
      <c r="W558" s="31">
        <v>0</v>
      </c>
      <c r="X558" s="31">
        <v>0</v>
      </c>
      <c r="Y558" s="31">
        <v>0</v>
      </c>
      <c r="Z558" s="31">
        <v>0</v>
      </c>
      <c r="AA558" s="31">
        <v>0</v>
      </c>
      <c r="AB558" s="31">
        <v>0</v>
      </c>
      <c r="AC558" s="31">
        <v>0</v>
      </c>
      <c r="AD558" s="31">
        <v>0</v>
      </c>
      <c r="AE558" s="31">
        <v>0</v>
      </c>
      <c r="AF558" s="31">
        <v>0</v>
      </c>
      <c r="AG558" s="31">
        <v>0</v>
      </c>
      <c r="AH558" s="31">
        <v>0</v>
      </c>
      <c r="AI558" s="31">
        <v>0</v>
      </c>
      <c r="AJ558" s="31">
        <v>0</v>
      </c>
      <c r="AK558" s="31">
        <v>0</v>
      </c>
      <c r="AL558" s="31">
        <v>0</v>
      </c>
      <c r="AM558" s="31">
        <v>0</v>
      </c>
      <c r="AN558" s="31">
        <v>0</v>
      </c>
      <c r="AO558" s="31">
        <v>0</v>
      </c>
      <c r="AP558" s="31">
        <v>0</v>
      </c>
    </row>
    <row r="559" spans="1:42" x14ac:dyDescent="0.25">
      <c r="A559" s="31">
        <v>13</v>
      </c>
      <c r="B559" s="31">
        <v>13809</v>
      </c>
      <c r="C559" s="31">
        <v>2</v>
      </c>
      <c r="D559" s="31" t="s">
        <v>849</v>
      </c>
      <c r="E559" s="31"/>
      <c r="F559" s="31">
        <v>0</v>
      </c>
      <c r="G559" s="31">
        <v>0</v>
      </c>
      <c r="H559" s="31">
        <v>0</v>
      </c>
      <c r="I559" s="31">
        <v>0</v>
      </c>
      <c r="J559" s="31">
        <v>0</v>
      </c>
      <c r="K559" s="31" t="s">
        <v>882</v>
      </c>
      <c r="L559" s="2" t="str">
        <f t="shared" si="64"/>
        <v>Рихтовка</v>
      </c>
      <c r="M559" s="12">
        <f t="shared" si="65"/>
        <v>0</v>
      </c>
      <c r="N559" s="12">
        <f t="shared" si="66"/>
        <v>0</v>
      </c>
      <c r="O559" s="12">
        <f t="shared" si="67"/>
        <v>0</v>
      </c>
      <c r="P559" s="12">
        <f t="shared" si="68"/>
        <v>0</v>
      </c>
      <c r="Q559" s="12">
        <f t="shared" si="69"/>
        <v>0</v>
      </c>
      <c r="R559" s="12">
        <f t="shared" si="70"/>
        <v>0</v>
      </c>
      <c r="S559" s="12">
        <f t="shared" si="71"/>
        <v>0</v>
      </c>
      <c r="T559" s="31">
        <v>0</v>
      </c>
      <c r="U559" s="31">
        <v>0</v>
      </c>
      <c r="V559" s="31">
        <v>0</v>
      </c>
      <c r="W559" s="31">
        <v>0</v>
      </c>
      <c r="X559" s="31">
        <v>0</v>
      </c>
      <c r="Y559" s="31">
        <v>0</v>
      </c>
      <c r="Z559" s="31">
        <v>0</v>
      </c>
      <c r="AA559" s="31">
        <v>0</v>
      </c>
      <c r="AB559" s="31">
        <v>0</v>
      </c>
      <c r="AC559" s="31">
        <v>0</v>
      </c>
      <c r="AD559" s="31">
        <v>0</v>
      </c>
      <c r="AE559" s="31">
        <v>0</v>
      </c>
      <c r="AF559" s="31">
        <v>0</v>
      </c>
      <c r="AG559" s="31">
        <v>0</v>
      </c>
      <c r="AH559" s="31">
        <v>0</v>
      </c>
      <c r="AI559" s="31">
        <v>0</v>
      </c>
      <c r="AJ559" s="31">
        <v>0</v>
      </c>
      <c r="AK559" s="31">
        <v>0</v>
      </c>
      <c r="AL559" s="31">
        <v>0</v>
      </c>
      <c r="AM559" s="31">
        <v>0</v>
      </c>
      <c r="AN559" s="31">
        <v>0</v>
      </c>
      <c r="AO559" s="31">
        <v>0</v>
      </c>
      <c r="AP559" s="31">
        <v>0</v>
      </c>
    </row>
    <row r="560" spans="1:42" x14ac:dyDescent="0.25">
      <c r="A560" s="31">
        <v>13</v>
      </c>
      <c r="B560" s="31">
        <v>13809</v>
      </c>
      <c r="C560" s="31">
        <v>2</v>
      </c>
      <c r="D560" s="31" t="s">
        <v>850</v>
      </c>
      <c r="E560" s="31"/>
      <c r="F560" s="31">
        <v>0</v>
      </c>
      <c r="G560" s="31">
        <v>0</v>
      </c>
      <c r="H560" s="31">
        <v>0</v>
      </c>
      <c r="I560" s="31">
        <v>0</v>
      </c>
      <c r="J560" s="31">
        <v>0</v>
      </c>
      <c r="K560" s="31" t="s">
        <v>882</v>
      </c>
      <c r="L560" s="2" t="str">
        <f t="shared" si="64"/>
        <v>Рихтовка</v>
      </c>
      <c r="M560" s="12">
        <f t="shared" si="65"/>
        <v>0</v>
      </c>
      <c r="N560" s="12">
        <f t="shared" si="66"/>
        <v>0</v>
      </c>
      <c r="O560" s="12">
        <f t="shared" si="67"/>
        <v>0</v>
      </c>
      <c r="P560" s="12">
        <f t="shared" si="68"/>
        <v>0</v>
      </c>
      <c r="Q560" s="12">
        <f t="shared" si="69"/>
        <v>0</v>
      </c>
      <c r="R560" s="12">
        <f t="shared" si="70"/>
        <v>0</v>
      </c>
      <c r="S560" s="12">
        <f t="shared" si="71"/>
        <v>0</v>
      </c>
      <c r="T560" s="31">
        <v>0</v>
      </c>
      <c r="U560" s="31">
        <v>0</v>
      </c>
      <c r="V560" s="31">
        <v>0</v>
      </c>
      <c r="W560" s="31">
        <v>0</v>
      </c>
      <c r="X560" s="31">
        <v>0</v>
      </c>
      <c r="Y560" s="31">
        <v>0</v>
      </c>
      <c r="Z560" s="31">
        <v>0</v>
      </c>
      <c r="AA560" s="31">
        <v>0</v>
      </c>
      <c r="AB560" s="31">
        <v>0</v>
      </c>
      <c r="AC560" s="31">
        <v>0</v>
      </c>
      <c r="AD560" s="31">
        <v>0</v>
      </c>
      <c r="AE560" s="31">
        <v>0</v>
      </c>
      <c r="AF560" s="31">
        <v>0</v>
      </c>
      <c r="AG560" s="31">
        <v>0</v>
      </c>
      <c r="AH560" s="31">
        <v>0</v>
      </c>
      <c r="AI560" s="31">
        <v>0</v>
      </c>
      <c r="AJ560" s="31">
        <v>0</v>
      </c>
      <c r="AK560" s="31">
        <v>0</v>
      </c>
      <c r="AL560" s="31">
        <v>0</v>
      </c>
      <c r="AM560" s="31">
        <v>0</v>
      </c>
      <c r="AN560" s="31">
        <v>0</v>
      </c>
      <c r="AO560" s="31">
        <v>0</v>
      </c>
      <c r="AP560" s="31">
        <v>0</v>
      </c>
    </row>
    <row r="561" spans="1:42" x14ac:dyDescent="0.25">
      <c r="A561" s="31">
        <v>13</v>
      </c>
      <c r="B561" s="31">
        <v>13883</v>
      </c>
      <c r="C561" s="31">
        <v>1</v>
      </c>
      <c r="D561" s="31" t="s">
        <v>932</v>
      </c>
      <c r="E561" s="31"/>
      <c r="F561" s="31">
        <v>0</v>
      </c>
      <c r="G561" s="31">
        <v>0</v>
      </c>
      <c r="H561" s="31">
        <v>0</v>
      </c>
      <c r="I561" s="31">
        <v>0</v>
      </c>
      <c r="J561" s="31">
        <v>0</v>
      </c>
      <c r="K561" s="31" t="s">
        <v>882</v>
      </c>
      <c r="L561" s="2" t="str">
        <f t="shared" si="64"/>
        <v>Рихтовка</v>
      </c>
      <c r="M561" s="12">
        <f t="shared" si="65"/>
        <v>0</v>
      </c>
      <c r="N561" s="12">
        <f t="shared" si="66"/>
        <v>0</v>
      </c>
      <c r="O561" s="12">
        <f t="shared" si="67"/>
        <v>0</v>
      </c>
      <c r="P561" s="12">
        <f t="shared" si="68"/>
        <v>0</v>
      </c>
      <c r="Q561" s="12">
        <f t="shared" si="69"/>
        <v>0</v>
      </c>
      <c r="R561" s="12">
        <f t="shared" si="70"/>
        <v>0</v>
      </c>
      <c r="S561" s="12">
        <f t="shared" si="71"/>
        <v>0</v>
      </c>
      <c r="T561" s="31">
        <v>0</v>
      </c>
      <c r="U561" s="31">
        <v>0</v>
      </c>
      <c r="V561" s="31">
        <v>0</v>
      </c>
      <c r="W561" s="31">
        <v>0</v>
      </c>
      <c r="X561" s="31">
        <v>0</v>
      </c>
      <c r="Y561" s="31">
        <v>0</v>
      </c>
      <c r="Z561" s="31">
        <v>0</v>
      </c>
      <c r="AA561" s="31">
        <v>0</v>
      </c>
      <c r="AB561" s="31">
        <v>0</v>
      </c>
      <c r="AC561" s="31">
        <v>0</v>
      </c>
      <c r="AD561" s="31">
        <v>0</v>
      </c>
      <c r="AE561" s="31">
        <v>0</v>
      </c>
      <c r="AF561" s="31">
        <v>0</v>
      </c>
      <c r="AG561" s="31">
        <v>0</v>
      </c>
      <c r="AH561" s="31">
        <v>0</v>
      </c>
      <c r="AI561" s="31">
        <v>0</v>
      </c>
      <c r="AJ561" s="31">
        <v>0</v>
      </c>
      <c r="AK561" s="31">
        <v>0</v>
      </c>
      <c r="AL561" s="31">
        <v>0</v>
      </c>
      <c r="AM561" s="31">
        <v>0</v>
      </c>
      <c r="AN561" s="31">
        <v>0</v>
      </c>
      <c r="AO561" s="31">
        <v>0</v>
      </c>
      <c r="AP561" s="31">
        <v>0</v>
      </c>
    </row>
    <row r="562" spans="1:42" x14ac:dyDescent="0.25">
      <c r="A562" s="31">
        <v>13</v>
      </c>
      <c r="B562" s="31">
        <v>13882</v>
      </c>
      <c r="C562" s="31">
        <v>2</v>
      </c>
      <c r="D562" s="31" t="s">
        <v>851</v>
      </c>
      <c r="E562" s="31"/>
      <c r="F562" s="31">
        <v>0</v>
      </c>
      <c r="G562" s="31">
        <v>0</v>
      </c>
      <c r="H562" s="31">
        <v>0</v>
      </c>
      <c r="I562" s="31">
        <v>0</v>
      </c>
      <c r="J562" s="31">
        <v>0</v>
      </c>
      <c r="K562" s="31" t="s">
        <v>882</v>
      </c>
      <c r="L562" s="2" t="str">
        <f t="shared" si="64"/>
        <v>Рихтовка</v>
      </c>
      <c r="M562" s="12">
        <f t="shared" si="65"/>
        <v>0</v>
      </c>
      <c r="N562" s="12">
        <f t="shared" si="66"/>
        <v>0</v>
      </c>
      <c r="O562" s="12">
        <f t="shared" si="67"/>
        <v>0</v>
      </c>
      <c r="P562" s="12">
        <f t="shared" si="68"/>
        <v>0</v>
      </c>
      <c r="Q562" s="12">
        <f t="shared" si="69"/>
        <v>0</v>
      </c>
      <c r="R562" s="12">
        <f t="shared" si="70"/>
        <v>0</v>
      </c>
      <c r="S562" s="12">
        <f t="shared" si="71"/>
        <v>0</v>
      </c>
      <c r="T562" s="31">
        <v>0</v>
      </c>
      <c r="U562" s="31">
        <v>0</v>
      </c>
      <c r="V562" s="31">
        <v>0</v>
      </c>
      <c r="W562" s="31">
        <v>0</v>
      </c>
      <c r="X562" s="31">
        <v>0</v>
      </c>
      <c r="Y562" s="31">
        <v>0</v>
      </c>
      <c r="Z562" s="31">
        <v>0</v>
      </c>
      <c r="AA562" s="31">
        <v>0</v>
      </c>
      <c r="AB562" s="31">
        <v>0</v>
      </c>
      <c r="AC562" s="31">
        <v>0</v>
      </c>
      <c r="AD562" s="31">
        <v>0</v>
      </c>
      <c r="AE562" s="31">
        <v>0</v>
      </c>
      <c r="AF562" s="31">
        <v>0</v>
      </c>
      <c r="AG562" s="31">
        <v>0</v>
      </c>
      <c r="AH562" s="31">
        <v>0</v>
      </c>
      <c r="AI562" s="31">
        <v>0</v>
      </c>
      <c r="AJ562" s="31">
        <v>0</v>
      </c>
      <c r="AK562" s="31">
        <v>0</v>
      </c>
      <c r="AL562" s="31">
        <v>0</v>
      </c>
      <c r="AM562" s="31">
        <v>0</v>
      </c>
      <c r="AN562" s="31">
        <v>0</v>
      </c>
      <c r="AO562" s="31">
        <v>0</v>
      </c>
      <c r="AP562" s="31">
        <v>0</v>
      </c>
    </row>
    <row r="563" spans="1:42" x14ac:dyDescent="0.25">
      <c r="A563" s="31">
        <v>13</v>
      </c>
      <c r="B563" s="31">
        <v>13882</v>
      </c>
      <c r="C563" s="31">
        <v>2</v>
      </c>
      <c r="D563" s="31" t="s">
        <v>852</v>
      </c>
      <c r="E563" s="31"/>
      <c r="F563" s="31">
        <v>0</v>
      </c>
      <c r="G563" s="31">
        <v>0</v>
      </c>
      <c r="H563" s="31">
        <v>0</v>
      </c>
      <c r="I563" s="31">
        <v>0</v>
      </c>
      <c r="J563" s="31">
        <v>0</v>
      </c>
      <c r="K563" s="31" t="s">
        <v>882</v>
      </c>
      <c r="L563" s="2" t="str">
        <f t="shared" si="64"/>
        <v>Рихтовка</v>
      </c>
      <c r="M563" s="12">
        <f t="shared" si="65"/>
        <v>0</v>
      </c>
      <c r="N563" s="12">
        <f t="shared" si="66"/>
        <v>0</v>
      </c>
      <c r="O563" s="12">
        <f t="shared" si="67"/>
        <v>0</v>
      </c>
      <c r="P563" s="12">
        <f t="shared" si="68"/>
        <v>0</v>
      </c>
      <c r="Q563" s="12">
        <f t="shared" si="69"/>
        <v>0</v>
      </c>
      <c r="R563" s="12">
        <f t="shared" si="70"/>
        <v>0</v>
      </c>
      <c r="S563" s="12">
        <f t="shared" si="71"/>
        <v>0</v>
      </c>
      <c r="T563" s="31">
        <v>0</v>
      </c>
      <c r="U563" s="31">
        <v>0</v>
      </c>
      <c r="V563" s="31">
        <v>0</v>
      </c>
      <c r="W563" s="31">
        <v>0</v>
      </c>
      <c r="X563" s="31">
        <v>0</v>
      </c>
      <c r="Y563" s="31">
        <v>0</v>
      </c>
      <c r="Z563" s="31">
        <v>0</v>
      </c>
      <c r="AA563" s="31">
        <v>0</v>
      </c>
      <c r="AB563" s="31">
        <v>0</v>
      </c>
      <c r="AC563" s="31">
        <v>0</v>
      </c>
      <c r="AD563" s="31">
        <v>0</v>
      </c>
      <c r="AE563" s="31">
        <v>0</v>
      </c>
      <c r="AF563" s="31">
        <v>0</v>
      </c>
      <c r="AG563" s="31">
        <v>0</v>
      </c>
      <c r="AH563" s="31">
        <v>0</v>
      </c>
      <c r="AI563" s="31">
        <v>0</v>
      </c>
      <c r="AJ563" s="31">
        <v>0</v>
      </c>
      <c r="AK563" s="31">
        <v>0</v>
      </c>
      <c r="AL563" s="31">
        <v>0</v>
      </c>
      <c r="AM563" s="31">
        <v>0</v>
      </c>
      <c r="AN563" s="31">
        <v>0</v>
      </c>
      <c r="AO563" s="31">
        <v>0</v>
      </c>
      <c r="AP563" s="31">
        <v>0</v>
      </c>
    </row>
    <row r="564" spans="1:42" x14ac:dyDescent="0.25">
      <c r="A564" s="31">
        <v>13</v>
      </c>
      <c r="B564" s="31">
        <v>13882</v>
      </c>
      <c r="C564" s="31">
        <v>2</v>
      </c>
      <c r="D564" s="31" t="s">
        <v>853</v>
      </c>
      <c r="E564" s="31"/>
      <c r="F564" s="31">
        <v>0</v>
      </c>
      <c r="G564" s="31">
        <v>0</v>
      </c>
      <c r="H564" s="31">
        <v>0</v>
      </c>
      <c r="I564" s="31">
        <v>0</v>
      </c>
      <c r="J564" s="31">
        <v>0</v>
      </c>
      <c r="K564" s="31" t="s">
        <v>882</v>
      </c>
      <c r="L564" s="2" t="str">
        <f t="shared" si="64"/>
        <v>Рихтовка</v>
      </c>
      <c r="M564" s="12">
        <f t="shared" si="65"/>
        <v>0</v>
      </c>
      <c r="N564" s="12">
        <f t="shared" si="66"/>
        <v>0</v>
      </c>
      <c r="O564" s="12">
        <f t="shared" si="67"/>
        <v>0</v>
      </c>
      <c r="P564" s="12">
        <f t="shared" si="68"/>
        <v>0</v>
      </c>
      <c r="Q564" s="12">
        <f t="shared" si="69"/>
        <v>0</v>
      </c>
      <c r="R564" s="12">
        <f t="shared" si="70"/>
        <v>0</v>
      </c>
      <c r="S564" s="12">
        <f t="shared" si="71"/>
        <v>0</v>
      </c>
      <c r="T564" s="31">
        <v>0</v>
      </c>
      <c r="U564" s="31">
        <v>0</v>
      </c>
      <c r="V564" s="31">
        <v>0</v>
      </c>
      <c r="W564" s="31">
        <v>0</v>
      </c>
      <c r="X564" s="31">
        <v>0</v>
      </c>
      <c r="Y564" s="31">
        <v>0</v>
      </c>
      <c r="Z564" s="31">
        <v>0</v>
      </c>
      <c r="AA564" s="31">
        <v>0</v>
      </c>
      <c r="AB564" s="31">
        <v>0</v>
      </c>
      <c r="AC564" s="31">
        <v>0</v>
      </c>
      <c r="AD564" s="31">
        <v>0</v>
      </c>
      <c r="AE564" s="31">
        <v>0</v>
      </c>
      <c r="AF564" s="31">
        <v>0</v>
      </c>
      <c r="AG564" s="31">
        <v>0</v>
      </c>
      <c r="AH564" s="31">
        <v>0</v>
      </c>
      <c r="AI564" s="31">
        <v>0</v>
      </c>
      <c r="AJ564" s="31">
        <v>0</v>
      </c>
      <c r="AK564" s="31">
        <v>0</v>
      </c>
      <c r="AL564" s="31">
        <v>0</v>
      </c>
      <c r="AM564" s="31">
        <v>0</v>
      </c>
      <c r="AN564" s="31">
        <v>0</v>
      </c>
      <c r="AO564" s="31">
        <v>0</v>
      </c>
      <c r="AP564" s="31">
        <v>0</v>
      </c>
    </row>
    <row r="565" spans="1:42" x14ac:dyDescent="0.25">
      <c r="A565" s="31">
        <v>13</v>
      </c>
      <c r="B565" s="31">
        <v>25138</v>
      </c>
      <c r="C565" s="31" t="s">
        <v>439</v>
      </c>
      <c r="D565" s="31" t="s">
        <v>933</v>
      </c>
      <c r="E565" s="31"/>
      <c r="F565" s="31">
        <v>0</v>
      </c>
      <c r="G565" s="31">
        <v>0</v>
      </c>
      <c r="H565" s="31">
        <v>0</v>
      </c>
      <c r="I565" s="31">
        <v>0</v>
      </c>
      <c r="J565" s="31">
        <v>0</v>
      </c>
      <c r="K565" s="31" t="s">
        <v>882</v>
      </c>
      <c r="L565" s="2" t="str">
        <f t="shared" si="64"/>
        <v>Рихтовка</v>
      </c>
      <c r="M565" s="12">
        <f t="shared" si="65"/>
        <v>0</v>
      </c>
      <c r="N565" s="12">
        <f t="shared" si="66"/>
        <v>0</v>
      </c>
      <c r="O565" s="12">
        <f t="shared" si="67"/>
        <v>0</v>
      </c>
      <c r="P565" s="12">
        <f t="shared" si="68"/>
        <v>0</v>
      </c>
      <c r="Q565" s="12">
        <f t="shared" si="69"/>
        <v>0</v>
      </c>
      <c r="R565" s="12">
        <f t="shared" si="70"/>
        <v>0</v>
      </c>
      <c r="S565" s="12">
        <f t="shared" si="71"/>
        <v>0</v>
      </c>
      <c r="T565" s="31">
        <v>0</v>
      </c>
      <c r="U565" s="31">
        <v>0</v>
      </c>
      <c r="V565" s="31">
        <v>0</v>
      </c>
      <c r="W565" s="31">
        <v>0</v>
      </c>
      <c r="X565" s="31">
        <v>0</v>
      </c>
      <c r="Y565" s="31">
        <v>0</v>
      </c>
      <c r="Z565" s="31">
        <v>0</v>
      </c>
      <c r="AA565" s="31">
        <v>0</v>
      </c>
      <c r="AB565" s="31">
        <v>0</v>
      </c>
      <c r="AC565" s="31">
        <v>0</v>
      </c>
      <c r="AD565" s="31">
        <v>0</v>
      </c>
      <c r="AE565" s="31">
        <v>0</v>
      </c>
      <c r="AF565" s="31">
        <v>0</v>
      </c>
      <c r="AG565" s="31">
        <v>0</v>
      </c>
      <c r="AH565" s="31">
        <v>0</v>
      </c>
      <c r="AI565" s="31">
        <v>0</v>
      </c>
      <c r="AJ565" s="31">
        <v>0</v>
      </c>
      <c r="AK565" s="31">
        <v>0</v>
      </c>
      <c r="AL565" s="31">
        <v>0</v>
      </c>
      <c r="AM565" s="31">
        <v>0</v>
      </c>
      <c r="AN565" s="31">
        <v>0</v>
      </c>
      <c r="AO565" s="31">
        <v>0</v>
      </c>
      <c r="AP565" s="31">
        <v>0</v>
      </c>
    </row>
    <row r="566" spans="1:42" x14ac:dyDescent="0.25">
      <c r="A566" s="31">
        <v>13</v>
      </c>
      <c r="B566" s="31">
        <v>25138</v>
      </c>
      <c r="C566" s="31" t="s">
        <v>440</v>
      </c>
      <c r="D566" s="31" t="s">
        <v>934</v>
      </c>
      <c r="E566" s="31"/>
      <c r="F566" s="31">
        <v>0</v>
      </c>
      <c r="G566" s="31">
        <v>0</v>
      </c>
      <c r="H566" s="31">
        <v>0</v>
      </c>
      <c r="I566" s="31">
        <v>0</v>
      </c>
      <c r="J566" s="31">
        <v>0</v>
      </c>
      <c r="K566" s="31" t="s">
        <v>882</v>
      </c>
      <c r="L566" s="2" t="str">
        <f t="shared" si="64"/>
        <v>Рихтовка</v>
      </c>
      <c r="M566" s="12">
        <f t="shared" si="65"/>
        <v>0</v>
      </c>
      <c r="N566" s="12">
        <f t="shared" si="66"/>
        <v>0</v>
      </c>
      <c r="O566" s="12">
        <f t="shared" si="67"/>
        <v>0</v>
      </c>
      <c r="P566" s="12">
        <f t="shared" si="68"/>
        <v>0</v>
      </c>
      <c r="Q566" s="12">
        <f t="shared" si="69"/>
        <v>0</v>
      </c>
      <c r="R566" s="12">
        <f t="shared" si="70"/>
        <v>0</v>
      </c>
      <c r="S566" s="12">
        <f t="shared" si="71"/>
        <v>0</v>
      </c>
      <c r="T566" s="31">
        <v>0</v>
      </c>
      <c r="U566" s="31">
        <v>0</v>
      </c>
      <c r="V566" s="31">
        <v>0</v>
      </c>
      <c r="W566" s="31">
        <v>0</v>
      </c>
      <c r="X566" s="31">
        <v>0</v>
      </c>
      <c r="Y566" s="31">
        <v>0</v>
      </c>
      <c r="Z566" s="31">
        <v>0</v>
      </c>
      <c r="AA566" s="31">
        <v>0</v>
      </c>
      <c r="AB566" s="31">
        <v>0</v>
      </c>
      <c r="AC566" s="31">
        <v>0</v>
      </c>
      <c r="AD566" s="31">
        <v>0</v>
      </c>
      <c r="AE566" s="31">
        <v>0</v>
      </c>
      <c r="AF566" s="31">
        <v>0</v>
      </c>
      <c r="AG566" s="31">
        <v>0</v>
      </c>
      <c r="AH566" s="31">
        <v>0</v>
      </c>
      <c r="AI566" s="31">
        <v>0</v>
      </c>
      <c r="AJ566" s="31">
        <v>0</v>
      </c>
      <c r="AK566" s="31">
        <v>0</v>
      </c>
      <c r="AL566" s="31">
        <v>0</v>
      </c>
      <c r="AM566" s="31">
        <v>0</v>
      </c>
      <c r="AN566" s="31">
        <v>0</v>
      </c>
      <c r="AO566" s="31">
        <v>0</v>
      </c>
      <c r="AP566" s="31">
        <v>0</v>
      </c>
    </row>
    <row r="567" spans="1:42" x14ac:dyDescent="0.25">
      <c r="A567" s="31">
        <v>13</v>
      </c>
      <c r="B567" s="31">
        <v>25105</v>
      </c>
      <c r="C567" s="31">
        <v>3</v>
      </c>
      <c r="D567" s="31" t="s">
        <v>854</v>
      </c>
      <c r="E567" s="31"/>
      <c r="F567" s="31">
        <v>0</v>
      </c>
      <c r="G567" s="31">
        <v>0</v>
      </c>
      <c r="H567" s="31">
        <v>0</v>
      </c>
      <c r="I567" s="31">
        <v>0</v>
      </c>
      <c r="J567" s="31">
        <v>0</v>
      </c>
      <c r="K567" s="31" t="s">
        <v>882</v>
      </c>
      <c r="L567" s="2" t="str">
        <f t="shared" si="64"/>
        <v>Рихтовка</v>
      </c>
      <c r="M567" s="12">
        <f t="shared" si="65"/>
        <v>0</v>
      </c>
      <c r="N567" s="12">
        <f t="shared" si="66"/>
        <v>0</v>
      </c>
      <c r="O567" s="12">
        <f t="shared" si="67"/>
        <v>0</v>
      </c>
      <c r="P567" s="12">
        <f t="shared" si="68"/>
        <v>0</v>
      </c>
      <c r="Q567" s="12">
        <f t="shared" si="69"/>
        <v>0</v>
      </c>
      <c r="R567" s="12">
        <f t="shared" si="70"/>
        <v>0</v>
      </c>
      <c r="S567" s="12">
        <f t="shared" si="71"/>
        <v>0</v>
      </c>
      <c r="T567" s="31">
        <v>0</v>
      </c>
      <c r="U567" s="31">
        <v>0</v>
      </c>
      <c r="V567" s="31">
        <v>0</v>
      </c>
      <c r="W567" s="31">
        <v>0</v>
      </c>
      <c r="X567" s="31">
        <v>0</v>
      </c>
      <c r="Y567" s="31">
        <v>0</v>
      </c>
      <c r="Z567" s="31">
        <v>0</v>
      </c>
      <c r="AA567" s="31">
        <v>0</v>
      </c>
      <c r="AB567" s="31">
        <v>0</v>
      </c>
      <c r="AC567" s="31">
        <v>0</v>
      </c>
      <c r="AD567" s="31">
        <v>0</v>
      </c>
      <c r="AE567" s="31">
        <v>0</v>
      </c>
      <c r="AF567" s="31">
        <v>0</v>
      </c>
      <c r="AG567" s="31">
        <v>0</v>
      </c>
      <c r="AH567" s="31">
        <v>0</v>
      </c>
      <c r="AI567" s="31">
        <v>0</v>
      </c>
      <c r="AJ567" s="31">
        <v>0</v>
      </c>
      <c r="AK567" s="31">
        <v>0</v>
      </c>
      <c r="AL567" s="31">
        <v>0</v>
      </c>
      <c r="AM567" s="31">
        <v>0</v>
      </c>
      <c r="AN567" s="31">
        <v>0</v>
      </c>
      <c r="AO567" s="31">
        <v>0</v>
      </c>
      <c r="AP567" s="31">
        <v>0</v>
      </c>
    </row>
    <row r="568" spans="1:42" x14ac:dyDescent="0.25">
      <c r="A568" s="31">
        <v>13</v>
      </c>
      <c r="B568" s="31">
        <v>25133</v>
      </c>
      <c r="C568" s="31" t="s">
        <v>446</v>
      </c>
      <c r="D568" s="31" t="s">
        <v>935</v>
      </c>
      <c r="E568" s="31"/>
      <c r="F568" s="31">
        <v>0</v>
      </c>
      <c r="G568" s="31">
        <v>0</v>
      </c>
      <c r="H568" s="31">
        <v>0</v>
      </c>
      <c r="I568" s="31">
        <v>0</v>
      </c>
      <c r="J568" s="31">
        <v>0</v>
      </c>
      <c r="K568" s="31" t="s">
        <v>882</v>
      </c>
      <c r="L568" s="2" t="str">
        <f t="shared" si="64"/>
        <v>Рихтовка</v>
      </c>
      <c r="M568" s="12">
        <f t="shared" si="65"/>
        <v>0</v>
      </c>
      <c r="N568" s="12">
        <f t="shared" si="66"/>
        <v>0</v>
      </c>
      <c r="O568" s="12">
        <f t="shared" si="67"/>
        <v>0</v>
      </c>
      <c r="P568" s="12">
        <f t="shared" si="68"/>
        <v>0</v>
      </c>
      <c r="Q568" s="12">
        <f t="shared" si="69"/>
        <v>0</v>
      </c>
      <c r="R568" s="12">
        <f t="shared" si="70"/>
        <v>0</v>
      </c>
      <c r="S568" s="12">
        <f t="shared" si="71"/>
        <v>0</v>
      </c>
      <c r="T568" s="31">
        <v>0</v>
      </c>
      <c r="U568" s="31">
        <v>0</v>
      </c>
      <c r="V568" s="31">
        <v>0</v>
      </c>
      <c r="W568" s="31">
        <v>0</v>
      </c>
      <c r="X568" s="31">
        <v>0</v>
      </c>
      <c r="Y568" s="31">
        <v>0</v>
      </c>
      <c r="Z568" s="31">
        <v>0</v>
      </c>
      <c r="AA568" s="31">
        <v>0</v>
      </c>
      <c r="AB568" s="31">
        <v>0</v>
      </c>
      <c r="AC568" s="31">
        <v>0</v>
      </c>
      <c r="AD568" s="31">
        <v>0</v>
      </c>
      <c r="AE568" s="31">
        <v>0</v>
      </c>
      <c r="AF568" s="31">
        <v>0</v>
      </c>
      <c r="AG568" s="31">
        <v>0</v>
      </c>
      <c r="AH568" s="31">
        <v>0</v>
      </c>
      <c r="AI568" s="31">
        <v>0</v>
      </c>
      <c r="AJ568" s="31">
        <v>0</v>
      </c>
      <c r="AK568" s="31">
        <v>0</v>
      </c>
      <c r="AL568" s="31">
        <v>0</v>
      </c>
      <c r="AM568" s="31">
        <v>0</v>
      </c>
      <c r="AN568" s="31">
        <v>0</v>
      </c>
      <c r="AO568" s="31">
        <v>0</v>
      </c>
      <c r="AP568" s="31">
        <v>0</v>
      </c>
    </row>
    <row r="569" spans="1:42" x14ac:dyDescent="0.25">
      <c r="A569" s="31">
        <v>13</v>
      </c>
      <c r="B569" s="31">
        <v>25133</v>
      </c>
      <c r="C569" s="31" t="s">
        <v>446</v>
      </c>
      <c r="D569" s="31" t="s">
        <v>936</v>
      </c>
      <c r="E569" s="31"/>
      <c r="F569" s="31">
        <v>0</v>
      </c>
      <c r="G569" s="31">
        <v>0</v>
      </c>
      <c r="H569" s="31">
        <v>0</v>
      </c>
      <c r="I569" s="31">
        <v>0</v>
      </c>
      <c r="J569" s="31">
        <v>0</v>
      </c>
      <c r="K569" s="31" t="s">
        <v>882</v>
      </c>
      <c r="L569" s="2" t="str">
        <f t="shared" si="64"/>
        <v>Рихтовка</v>
      </c>
      <c r="M569" s="12">
        <f t="shared" si="65"/>
        <v>0</v>
      </c>
      <c r="N569" s="12">
        <f t="shared" si="66"/>
        <v>0</v>
      </c>
      <c r="O569" s="12">
        <f t="shared" si="67"/>
        <v>0</v>
      </c>
      <c r="P569" s="12">
        <f t="shared" si="68"/>
        <v>0</v>
      </c>
      <c r="Q569" s="12">
        <f t="shared" si="69"/>
        <v>0</v>
      </c>
      <c r="R569" s="12">
        <f t="shared" si="70"/>
        <v>0</v>
      </c>
      <c r="S569" s="12">
        <f t="shared" si="71"/>
        <v>0</v>
      </c>
      <c r="T569" s="31">
        <v>0</v>
      </c>
      <c r="U569" s="31">
        <v>0</v>
      </c>
      <c r="V569" s="31">
        <v>0</v>
      </c>
      <c r="W569" s="31">
        <v>0</v>
      </c>
      <c r="X569" s="31">
        <v>0</v>
      </c>
      <c r="Y569" s="31">
        <v>0</v>
      </c>
      <c r="Z569" s="31">
        <v>0</v>
      </c>
      <c r="AA569" s="31">
        <v>0</v>
      </c>
      <c r="AB569" s="31">
        <v>0</v>
      </c>
      <c r="AC569" s="31">
        <v>0</v>
      </c>
      <c r="AD569" s="31">
        <v>0</v>
      </c>
      <c r="AE569" s="31">
        <v>0</v>
      </c>
      <c r="AF569" s="31">
        <v>0</v>
      </c>
      <c r="AG569" s="31">
        <v>0</v>
      </c>
      <c r="AH569" s="31">
        <v>0</v>
      </c>
      <c r="AI569" s="31">
        <v>0</v>
      </c>
      <c r="AJ569" s="31">
        <v>0</v>
      </c>
      <c r="AK569" s="31">
        <v>0</v>
      </c>
      <c r="AL569" s="31">
        <v>0</v>
      </c>
      <c r="AM569" s="31">
        <v>0</v>
      </c>
      <c r="AN569" s="31">
        <v>0</v>
      </c>
      <c r="AO569" s="31">
        <v>0</v>
      </c>
      <c r="AP569" s="31">
        <v>0</v>
      </c>
    </row>
    <row r="570" spans="1:42" x14ac:dyDescent="0.25">
      <c r="A570" s="31">
        <v>13</v>
      </c>
      <c r="B570" s="31">
        <v>25133</v>
      </c>
      <c r="C570" s="31" t="s">
        <v>446</v>
      </c>
      <c r="D570" s="31" t="s">
        <v>937</v>
      </c>
      <c r="E570" s="31"/>
      <c r="F570" s="31">
        <v>0</v>
      </c>
      <c r="G570" s="31">
        <v>0</v>
      </c>
      <c r="H570" s="31">
        <v>0</v>
      </c>
      <c r="I570" s="31">
        <v>0</v>
      </c>
      <c r="J570" s="31">
        <v>0</v>
      </c>
      <c r="K570" s="31" t="s">
        <v>882</v>
      </c>
      <c r="L570" s="2" t="str">
        <f t="shared" si="64"/>
        <v>Рихтовка</v>
      </c>
      <c r="M570" s="12">
        <f t="shared" si="65"/>
        <v>0</v>
      </c>
      <c r="N570" s="12">
        <f t="shared" si="66"/>
        <v>0</v>
      </c>
      <c r="O570" s="12">
        <f t="shared" si="67"/>
        <v>0</v>
      </c>
      <c r="P570" s="12">
        <f t="shared" si="68"/>
        <v>0</v>
      </c>
      <c r="Q570" s="12">
        <f t="shared" si="69"/>
        <v>0</v>
      </c>
      <c r="R570" s="12">
        <f t="shared" si="70"/>
        <v>0</v>
      </c>
      <c r="S570" s="12">
        <f t="shared" si="71"/>
        <v>0</v>
      </c>
      <c r="T570" s="31">
        <v>0</v>
      </c>
      <c r="U570" s="31">
        <v>0</v>
      </c>
      <c r="V570" s="31">
        <v>0</v>
      </c>
      <c r="W570" s="31">
        <v>0</v>
      </c>
      <c r="X570" s="31">
        <v>0</v>
      </c>
      <c r="Y570" s="31">
        <v>0</v>
      </c>
      <c r="Z570" s="31">
        <v>0</v>
      </c>
      <c r="AA570" s="31">
        <v>0</v>
      </c>
      <c r="AB570" s="31">
        <v>0</v>
      </c>
      <c r="AC570" s="31">
        <v>0</v>
      </c>
      <c r="AD570" s="31">
        <v>0</v>
      </c>
      <c r="AE570" s="31">
        <v>0</v>
      </c>
      <c r="AF570" s="31">
        <v>0</v>
      </c>
      <c r="AG570" s="31">
        <v>0</v>
      </c>
      <c r="AH570" s="31">
        <v>0</v>
      </c>
      <c r="AI570" s="31">
        <v>0</v>
      </c>
      <c r="AJ570" s="31">
        <v>0</v>
      </c>
      <c r="AK570" s="31">
        <v>0</v>
      </c>
      <c r="AL570" s="31">
        <v>0</v>
      </c>
      <c r="AM570" s="31">
        <v>0</v>
      </c>
      <c r="AN570" s="31">
        <v>0</v>
      </c>
      <c r="AO570" s="31">
        <v>0</v>
      </c>
      <c r="AP570" s="31">
        <v>0</v>
      </c>
    </row>
    <row r="571" spans="1:42" x14ac:dyDescent="0.25">
      <c r="A571" s="31">
        <v>13</v>
      </c>
      <c r="B571" s="31">
        <v>25134</v>
      </c>
      <c r="C571" s="31">
        <v>2</v>
      </c>
      <c r="D571" s="31" t="s">
        <v>938</v>
      </c>
      <c r="E571" s="31"/>
      <c r="F571" s="31">
        <v>0</v>
      </c>
      <c r="G571" s="31">
        <v>0</v>
      </c>
      <c r="H571" s="31">
        <v>0</v>
      </c>
      <c r="I571" s="31">
        <v>0</v>
      </c>
      <c r="J571" s="31">
        <v>0</v>
      </c>
      <c r="K571" s="31" t="s">
        <v>882</v>
      </c>
      <c r="L571" s="2" t="str">
        <f t="shared" si="64"/>
        <v>Рихтовка</v>
      </c>
      <c r="M571" s="12">
        <f t="shared" si="65"/>
        <v>0</v>
      </c>
      <c r="N571" s="12">
        <f t="shared" si="66"/>
        <v>0</v>
      </c>
      <c r="O571" s="12">
        <f t="shared" si="67"/>
        <v>0</v>
      </c>
      <c r="P571" s="12">
        <f t="shared" si="68"/>
        <v>0</v>
      </c>
      <c r="Q571" s="12">
        <f t="shared" si="69"/>
        <v>0</v>
      </c>
      <c r="R571" s="12">
        <f t="shared" si="70"/>
        <v>0</v>
      </c>
      <c r="S571" s="12">
        <f t="shared" si="71"/>
        <v>0</v>
      </c>
      <c r="T571" s="31">
        <v>0</v>
      </c>
      <c r="U571" s="31">
        <v>0</v>
      </c>
      <c r="V571" s="31">
        <v>0</v>
      </c>
      <c r="W571" s="31">
        <v>0</v>
      </c>
      <c r="X571" s="31">
        <v>0</v>
      </c>
      <c r="Y571" s="31">
        <v>0</v>
      </c>
      <c r="Z571" s="31">
        <v>0</v>
      </c>
      <c r="AA571" s="31">
        <v>0</v>
      </c>
      <c r="AB571" s="31">
        <v>0</v>
      </c>
      <c r="AC571" s="31">
        <v>0</v>
      </c>
      <c r="AD571" s="31">
        <v>0</v>
      </c>
      <c r="AE571" s="31">
        <v>0</v>
      </c>
      <c r="AF571" s="31">
        <v>0</v>
      </c>
      <c r="AG571" s="31">
        <v>0</v>
      </c>
      <c r="AH571" s="31">
        <v>0</v>
      </c>
      <c r="AI571" s="31">
        <v>0</v>
      </c>
      <c r="AJ571" s="31">
        <v>0</v>
      </c>
      <c r="AK571" s="31">
        <v>0</v>
      </c>
      <c r="AL571" s="31">
        <v>0</v>
      </c>
      <c r="AM571" s="31">
        <v>0</v>
      </c>
      <c r="AN571" s="31">
        <v>0</v>
      </c>
      <c r="AO571" s="31">
        <v>0</v>
      </c>
      <c r="AP571" s="31">
        <v>0</v>
      </c>
    </row>
    <row r="572" spans="1:42" x14ac:dyDescent="0.25">
      <c r="A572" s="31">
        <v>13</v>
      </c>
      <c r="B572" s="31">
        <v>13880</v>
      </c>
      <c r="C572" s="31">
        <v>1</v>
      </c>
      <c r="D572" s="31" t="s">
        <v>855</v>
      </c>
      <c r="E572" s="31"/>
      <c r="F572" s="31">
        <v>0</v>
      </c>
      <c r="G572" s="31">
        <v>0</v>
      </c>
      <c r="H572" s="31">
        <v>0</v>
      </c>
      <c r="I572" s="31">
        <v>0</v>
      </c>
      <c r="J572" s="31">
        <v>0</v>
      </c>
      <c r="K572" s="31" t="s">
        <v>882</v>
      </c>
      <c r="L572" s="2" t="str">
        <f t="shared" si="64"/>
        <v>Рихтовка</v>
      </c>
      <c r="M572" s="12">
        <f t="shared" si="65"/>
        <v>0</v>
      </c>
      <c r="N572" s="12">
        <f t="shared" si="66"/>
        <v>0</v>
      </c>
      <c r="O572" s="12">
        <f t="shared" si="67"/>
        <v>0</v>
      </c>
      <c r="P572" s="12">
        <f t="shared" si="68"/>
        <v>0</v>
      </c>
      <c r="Q572" s="12">
        <f t="shared" si="69"/>
        <v>0</v>
      </c>
      <c r="R572" s="12">
        <f t="shared" si="70"/>
        <v>0</v>
      </c>
      <c r="S572" s="12">
        <f t="shared" si="71"/>
        <v>0</v>
      </c>
      <c r="T572" s="31">
        <v>0</v>
      </c>
      <c r="U572" s="31">
        <v>0</v>
      </c>
      <c r="V572" s="31">
        <v>0</v>
      </c>
      <c r="W572" s="31">
        <v>0</v>
      </c>
      <c r="X572" s="31">
        <v>0</v>
      </c>
      <c r="Y572" s="31">
        <v>0</v>
      </c>
      <c r="Z572" s="31">
        <v>0</v>
      </c>
      <c r="AA572" s="31">
        <v>0</v>
      </c>
      <c r="AB572" s="31">
        <v>0</v>
      </c>
      <c r="AC572" s="31">
        <v>0</v>
      </c>
      <c r="AD572" s="31">
        <v>0</v>
      </c>
      <c r="AE572" s="31">
        <v>0</v>
      </c>
      <c r="AF572" s="31">
        <v>0</v>
      </c>
      <c r="AG572" s="31">
        <v>0</v>
      </c>
      <c r="AH572" s="31">
        <v>0</v>
      </c>
      <c r="AI572" s="31">
        <v>0</v>
      </c>
      <c r="AJ572" s="31">
        <v>0</v>
      </c>
      <c r="AK572" s="31">
        <v>0</v>
      </c>
      <c r="AL572" s="31">
        <v>0</v>
      </c>
      <c r="AM572" s="31">
        <v>0</v>
      </c>
      <c r="AN572" s="31">
        <v>0</v>
      </c>
      <c r="AO572" s="31">
        <v>0</v>
      </c>
      <c r="AP572" s="31">
        <v>0</v>
      </c>
    </row>
    <row r="573" spans="1:42" x14ac:dyDescent="0.25">
      <c r="A573" s="31">
        <v>13</v>
      </c>
      <c r="B573" s="31">
        <v>13880</v>
      </c>
      <c r="C573" s="31">
        <v>1</v>
      </c>
      <c r="D573" s="31" t="s">
        <v>856</v>
      </c>
      <c r="E573" s="31"/>
      <c r="F573" s="31">
        <v>0</v>
      </c>
      <c r="G573" s="31">
        <v>0</v>
      </c>
      <c r="H573" s="31">
        <v>0</v>
      </c>
      <c r="I573" s="31">
        <v>0</v>
      </c>
      <c r="J573" s="31">
        <v>0</v>
      </c>
      <c r="K573" s="31" t="s">
        <v>882</v>
      </c>
      <c r="L573" s="2" t="str">
        <f t="shared" si="64"/>
        <v>Рихтовка</v>
      </c>
      <c r="M573" s="12">
        <f t="shared" si="65"/>
        <v>0</v>
      </c>
      <c r="N573" s="12">
        <f t="shared" si="66"/>
        <v>0</v>
      </c>
      <c r="O573" s="12">
        <f t="shared" si="67"/>
        <v>0</v>
      </c>
      <c r="P573" s="12">
        <f t="shared" si="68"/>
        <v>0</v>
      </c>
      <c r="Q573" s="12">
        <f t="shared" si="69"/>
        <v>0</v>
      </c>
      <c r="R573" s="12">
        <f t="shared" si="70"/>
        <v>0</v>
      </c>
      <c r="S573" s="12">
        <f t="shared" si="71"/>
        <v>0</v>
      </c>
      <c r="T573" s="31">
        <v>0</v>
      </c>
      <c r="U573" s="31">
        <v>0</v>
      </c>
      <c r="V573" s="31">
        <v>0</v>
      </c>
      <c r="W573" s="31">
        <v>0</v>
      </c>
      <c r="X573" s="31">
        <v>0</v>
      </c>
      <c r="Y573" s="31">
        <v>0</v>
      </c>
      <c r="Z573" s="31">
        <v>0</v>
      </c>
      <c r="AA573" s="31">
        <v>0</v>
      </c>
      <c r="AB573" s="31">
        <v>0</v>
      </c>
      <c r="AC573" s="31">
        <v>0</v>
      </c>
      <c r="AD573" s="31">
        <v>0</v>
      </c>
      <c r="AE573" s="31">
        <v>0</v>
      </c>
      <c r="AF573" s="31">
        <v>0</v>
      </c>
      <c r="AG573" s="31">
        <v>0</v>
      </c>
      <c r="AH573" s="31">
        <v>0</v>
      </c>
      <c r="AI573" s="31">
        <v>0</v>
      </c>
      <c r="AJ573" s="31">
        <v>0</v>
      </c>
      <c r="AK573" s="31">
        <v>0</v>
      </c>
      <c r="AL573" s="31">
        <v>0</v>
      </c>
      <c r="AM573" s="31">
        <v>0</v>
      </c>
      <c r="AN573" s="31">
        <v>0</v>
      </c>
      <c r="AO573" s="31">
        <v>0</v>
      </c>
      <c r="AP573" s="31">
        <v>0</v>
      </c>
    </row>
    <row r="574" spans="1:42" x14ac:dyDescent="0.25">
      <c r="A574" s="31">
        <v>13</v>
      </c>
      <c r="B574" s="31">
        <v>13880</v>
      </c>
      <c r="C574" s="31">
        <v>1</v>
      </c>
      <c r="D574" s="31" t="s">
        <v>857</v>
      </c>
      <c r="E574" s="31"/>
      <c r="F574" s="31">
        <v>0</v>
      </c>
      <c r="G574" s="31">
        <v>0</v>
      </c>
      <c r="H574" s="31">
        <v>0</v>
      </c>
      <c r="I574" s="31">
        <v>0</v>
      </c>
      <c r="J574" s="31">
        <v>0</v>
      </c>
      <c r="K574" s="31" t="s">
        <v>882</v>
      </c>
      <c r="L574" s="2" t="str">
        <f t="shared" si="64"/>
        <v>Рихтовка</v>
      </c>
      <c r="M574" s="12">
        <f t="shared" si="65"/>
        <v>0</v>
      </c>
      <c r="N574" s="12">
        <f t="shared" si="66"/>
        <v>0</v>
      </c>
      <c r="O574" s="12">
        <f t="shared" si="67"/>
        <v>0</v>
      </c>
      <c r="P574" s="12">
        <f t="shared" si="68"/>
        <v>0</v>
      </c>
      <c r="Q574" s="12">
        <f t="shared" si="69"/>
        <v>0</v>
      </c>
      <c r="R574" s="12">
        <f t="shared" si="70"/>
        <v>0</v>
      </c>
      <c r="S574" s="12">
        <f t="shared" si="71"/>
        <v>0</v>
      </c>
      <c r="T574" s="31">
        <v>0</v>
      </c>
      <c r="U574" s="31">
        <v>0</v>
      </c>
      <c r="V574" s="31">
        <v>0</v>
      </c>
      <c r="W574" s="31">
        <v>0</v>
      </c>
      <c r="X574" s="31">
        <v>0</v>
      </c>
      <c r="Y574" s="31">
        <v>0</v>
      </c>
      <c r="Z574" s="31">
        <v>0</v>
      </c>
      <c r="AA574" s="31">
        <v>0</v>
      </c>
      <c r="AB574" s="31">
        <v>0</v>
      </c>
      <c r="AC574" s="31">
        <v>0</v>
      </c>
      <c r="AD574" s="31">
        <v>0</v>
      </c>
      <c r="AE574" s="31">
        <v>0</v>
      </c>
      <c r="AF574" s="31">
        <v>0</v>
      </c>
      <c r="AG574" s="31">
        <v>0</v>
      </c>
      <c r="AH574" s="31">
        <v>0</v>
      </c>
      <c r="AI574" s="31">
        <v>0</v>
      </c>
      <c r="AJ574" s="31">
        <v>0</v>
      </c>
      <c r="AK574" s="31">
        <v>0</v>
      </c>
      <c r="AL574" s="31">
        <v>0</v>
      </c>
      <c r="AM574" s="31">
        <v>0</v>
      </c>
      <c r="AN574" s="31">
        <v>0</v>
      </c>
      <c r="AO574" s="31">
        <v>0</v>
      </c>
      <c r="AP574" s="31">
        <v>0</v>
      </c>
    </row>
    <row r="575" spans="1:42" x14ac:dyDescent="0.25">
      <c r="A575" s="31">
        <v>13</v>
      </c>
      <c r="B575" s="31">
        <v>13880</v>
      </c>
      <c r="C575" s="31">
        <v>1</v>
      </c>
      <c r="D575" s="31" t="s">
        <v>858</v>
      </c>
      <c r="E575" s="31"/>
      <c r="F575" s="31">
        <v>0</v>
      </c>
      <c r="G575" s="31">
        <v>0</v>
      </c>
      <c r="H575" s="31">
        <v>0</v>
      </c>
      <c r="I575" s="31">
        <v>0</v>
      </c>
      <c r="J575" s="31">
        <v>0</v>
      </c>
      <c r="K575" s="31" t="s">
        <v>882</v>
      </c>
      <c r="L575" s="2" t="str">
        <f t="shared" si="64"/>
        <v>Рихтовка</v>
      </c>
      <c r="M575" s="12">
        <f t="shared" si="65"/>
        <v>0</v>
      </c>
      <c r="N575" s="12">
        <f t="shared" si="66"/>
        <v>0</v>
      </c>
      <c r="O575" s="12">
        <f t="shared" si="67"/>
        <v>0</v>
      </c>
      <c r="P575" s="12">
        <f t="shared" si="68"/>
        <v>0</v>
      </c>
      <c r="Q575" s="12">
        <f t="shared" si="69"/>
        <v>0</v>
      </c>
      <c r="R575" s="12">
        <f t="shared" si="70"/>
        <v>0</v>
      </c>
      <c r="S575" s="12">
        <f t="shared" si="71"/>
        <v>0</v>
      </c>
      <c r="T575" s="31">
        <v>0</v>
      </c>
      <c r="U575" s="31">
        <v>0</v>
      </c>
      <c r="V575" s="31">
        <v>0</v>
      </c>
      <c r="W575" s="31">
        <v>0</v>
      </c>
      <c r="X575" s="31">
        <v>0</v>
      </c>
      <c r="Y575" s="31">
        <v>0</v>
      </c>
      <c r="Z575" s="31">
        <v>0</v>
      </c>
      <c r="AA575" s="31">
        <v>0</v>
      </c>
      <c r="AB575" s="31">
        <v>0</v>
      </c>
      <c r="AC575" s="31">
        <v>0</v>
      </c>
      <c r="AD575" s="31">
        <v>0</v>
      </c>
      <c r="AE575" s="31">
        <v>0</v>
      </c>
      <c r="AF575" s="31">
        <v>0</v>
      </c>
      <c r="AG575" s="31">
        <v>0</v>
      </c>
      <c r="AH575" s="31">
        <v>0</v>
      </c>
      <c r="AI575" s="31">
        <v>0</v>
      </c>
      <c r="AJ575" s="31">
        <v>0</v>
      </c>
      <c r="AK575" s="31">
        <v>0</v>
      </c>
      <c r="AL575" s="31">
        <v>0</v>
      </c>
      <c r="AM575" s="31">
        <v>0</v>
      </c>
      <c r="AN575" s="31">
        <v>0</v>
      </c>
      <c r="AO575" s="31">
        <v>0</v>
      </c>
      <c r="AP575" s="31">
        <v>0</v>
      </c>
    </row>
    <row r="576" spans="1:42" x14ac:dyDescent="0.25">
      <c r="A576" s="31">
        <v>13</v>
      </c>
      <c r="B576" s="31">
        <v>13880</v>
      </c>
      <c r="C576" s="31">
        <v>1</v>
      </c>
      <c r="D576" s="31" t="s">
        <v>859</v>
      </c>
      <c r="E576" s="31"/>
      <c r="F576" s="31">
        <v>0</v>
      </c>
      <c r="G576" s="31">
        <v>0</v>
      </c>
      <c r="H576" s="31">
        <v>0</v>
      </c>
      <c r="I576" s="31">
        <v>0</v>
      </c>
      <c r="J576" s="31">
        <v>0</v>
      </c>
      <c r="K576" s="31" t="s">
        <v>882</v>
      </c>
      <c r="L576" s="2" t="str">
        <f t="shared" si="64"/>
        <v>Рихтовка</v>
      </c>
      <c r="M576" s="12">
        <f t="shared" si="65"/>
        <v>0</v>
      </c>
      <c r="N576" s="12">
        <f t="shared" si="66"/>
        <v>0</v>
      </c>
      <c r="O576" s="12">
        <f t="shared" si="67"/>
        <v>0</v>
      </c>
      <c r="P576" s="12">
        <f t="shared" si="68"/>
        <v>0</v>
      </c>
      <c r="Q576" s="12">
        <f t="shared" si="69"/>
        <v>0</v>
      </c>
      <c r="R576" s="12">
        <f t="shared" si="70"/>
        <v>0</v>
      </c>
      <c r="S576" s="12">
        <f t="shared" si="71"/>
        <v>0</v>
      </c>
      <c r="T576" s="31">
        <v>0</v>
      </c>
      <c r="U576" s="31">
        <v>0</v>
      </c>
      <c r="V576" s="31">
        <v>0</v>
      </c>
      <c r="W576" s="31">
        <v>0</v>
      </c>
      <c r="X576" s="31">
        <v>0</v>
      </c>
      <c r="Y576" s="31">
        <v>0</v>
      </c>
      <c r="Z576" s="31">
        <v>0</v>
      </c>
      <c r="AA576" s="31">
        <v>0</v>
      </c>
      <c r="AB576" s="31">
        <v>0</v>
      </c>
      <c r="AC576" s="31">
        <v>0</v>
      </c>
      <c r="AD576" s="31">
        <v>0</v>
      </c>
      <c r="AE576" s="31">
        <v>0</v>
      </c>
      <c r="AF576" s="31">
        <v>0</v>
      </c>
      <c r="AG576" s="31">
        <v>0</v>
      </c>
      <c r="AH576" s="31">
        <v>0</v>
      </c>
      <c r="AI576" s="31">
        <v>0</v>
      </c>
      <c r="AJ576" s="31">
        <v>0</v>
      </c>
      <c r="AK576" s="31">
        <v>0</v>
      </c>
      <c r="AL576" s="31">
        <v>0</v>
      </c>
      <c r="AM576" s="31">
        <v>0</v>
      </c>
      <c r="AN576" s="31">
        <v>0</v>
      </c>
      <c r="AO576" s="31">
        <v>0</v>
      </c>
      <c r="AP576" s="31">
        <v>0</v>
      </c>
    </row>
    <row r="577" spans="1:42" x14ac:dyDescent="0.25">
      <c r="A577" s="31">
        <v>13</v>
      </c>
      <c r="B577" s="31">
        <v>13880</v>
      </c>
      <c r="C577" s="31">
        <v>1</v>
      </c>
      <c r="D577" s="31" t="s">
        <v>860</v>
      </c>
      <c r="E577" s="31"/>
      <c r="F577" s="31">
        <v>0</v>
      </c>
      <c r="G577" s="31">
        <v>0</v>
      </c>
      <c r="H577" s="31">
        <v>0</v>
      </c>
      <c r="I577" s="31">
        <v>0</v>
      </c>
      <c r="J577" s="31">
        <v>0</v>
      </c>
      <c r="K577" s="31" t="s">
        <v>882</v>
      </c>
      <c r="L577" s="2" t="str">
        <f t="shared" si="64"/>
        <v>Рихтовка</v>
      </c>
      <c r="M577" s="12">
        <f t="shared" si="65"/>
        <v>0</v>
      </c>
      <c r="N577" s="12">
        <f t="shared" si="66"/>
        <v>0</v>
      </c>
      <c r="O577" s="12">
        <f t="shared" si="67"/>
        <v>0</v>
      </c>
      <c r="P577" s="12">
        <f t="shared" si="68"/>
        <v>0</v>
      </c>
      <c r="Q577" s="12">
        <f t="shared" si="69"/>
        <v>0</v>
      </c>
      <c r="R577" s="12">
        <f t="shared" si="70"/>
        <v>0</v>
      </c>
      <c r="S577" s="12">
        <f t="shared" si="71"/>
        <v>0</v>
      </c>
      <c r="T577" s="31">
        <v>0</v>
      </c>
      <c r="U577" s="31">
        <v>0</v>
      </c>
      <c r="V577" s="31">
        <v>0</v>
      </c>
      <c r="W577" s="31">
        <v>0</v>
      </c>
      <c r="X577" s="31">
        <v>0</v>
      </c>
      <c r="Y577" s="31">
        <v>0</v>
      </c>
      <c r="Z577" s="31">
        <v>0</v>
      </c>
      <c r="AA577" s="31">
        <v>0</v>
      </c>
      <c r="AB577" s="31">
        <v>0</v>
      </c>
      <c r="AC577" s="31">
        <v>0</v>
      </c>
      <c r="AD577" s="31">
        <v>0</v>
      </c>
      <c r="AE577" s="31">
        <v>0</v>
      </c>
      <c r="AF577" s="31">
        <v>0</v>
      </c>
      <c r="AG577" s="31">
        <v>0</v>
      </c>
      <c r="AH577" s="31">
        <v>0</v>
      </c>
      <c r="AI577" s="31">
        <v>0</v>
      </c>
      <c r="AJ577" s="31">
        <v>0</v>
      </c>
      <c r="AK577" s="31">
        <v>0</v>
      </c>
      <c r="AL577" s="31">
        <v>0</v>
      </c>
      <c r="AM577" s="31">
        <v>0</v>
      </c>
      <c r="AN577" s="31">
        <v>0</v>
      </c>
      <c r="AO577" s="31">
        <v>0</v>
      </c>
      <c r="AP577" s="31">
        <v>0</v>
      </c>
    </row>
    <row r="578" spans="1:42" x14ac:dyDescent="0.25">
      <c r="A578" s="31">
        <v>13</v>
      </c>
      <c r="B578" s="31">
        <v>13880</v>
      </c>
      <c r="C578" s="31">
        <v>2</v>
      </c>
      <c r="D578" s="31" t="s">
        <v>855</v>
      </c>
      <c r="E578" s="31"/>
      <c r="F578" s="31">
        <v>0</v>
      </c>
      <c r="G578" s="31">
        <v>0</v>
      </c>
      <c r="H578" s="31">
        <v>0</v>
      </c>
      <c r="I578" s="31">
        <v>0</v>
      </c>
      <c r="J578" s="31">
        <v>0</v>
      </c>
      <c r="K578" s="31" t="s">
        <v>882</v>
      </c>
      <c r="L578" s="2" t="str">
        <f t="shared" ref="L578:L641" si="72">IF($M578=N578,$N$1,IF($M578=O578,$O$1,IF($M578=P578,$P$1,IF($M578=Q578,$Q$1,IF($M578=R578,$R$1,$S$1)))))</f>
        <v>Рихтовка</v>
      </c>
      <c r="M578" s="12">
        <f t="shared" ref="M578:M641" si="73">MAX(N578,O578,P578,Q578,R578,S578)</f>
        <v>0</v>
      </c>
      <c r="N578" s="12">
        <f t="shared" ref="N578:N641" si="74">T578+U578+V578</f>
        <v>0</v>
      </c>
      <c r="O578" s="12">
        <f t="shared" ref="O578:O641" si="75">W578+X578+Y578</f>
        <v>0</v>
      </c>
      <c r="P578" s="12">
        <f t="shared" ref="P578:P641" si="76">Z578+AA578+AB578</f>
        <v>0</v>
      </c>
      <c r="Q578" s="12">
        <f t="shared" ref="Q578:Q641" si="77">AC578+AD578+AE578</f>
        <v>0</v>
      </c>
      <c r="R578" s="12">
        <f t="shared" ref="R578:R641" si="78">AF578+AG578+AH578</f>
        <v>0</v>
      </c>
      <c r="S578" s="12">
        <f t="shared" ref="S578:S641" si="79">AI578+AJ578+AK578</f>
        <v>0</v>
      </c>
      <c r="T578" s="31">
        <v>0</v>
      </c>
      <c r="U578" s="31">
        <v>0</v>
      </c>
      <c r="V578" s="31">
        <v>0</v>
      </c>
      <c r="W578" s="31">
        <v>0</v>
      </c>
      <c r="X578" s="31">
        <v>0</v>
      </c>
      <c r="Y578" s="31">
        <v>0</v>
      </c>
      <c r="Z578" s="31">
        <v>0</v>
      </c>
      <c r="AA578" s="31">
        <v>0</v>
      </c>
      <c r="AB578" s="31">
        <v>0</v>
      </c>
      <c r="AC578" s="31">
        <v>0</v>
      </c>
      <c r="AD578" s="31">
        <v>0</v>
      </c>
      <c r="AE578" s="31">
        <v>0</v>
      </c>
      <c r="AF578" s="31">
        <v>0</v>
      </c>
      <c r="AG578" s="31">
        <v>0</v>
      </c>
      <c r="AH578" s="31">
        <v>0</v>
      </c>
      <c r="AI578" s="31">
        <v>0</v>
      </c>
      <c r="AJ578" s="31">
        <v>0</v>
      </c>
      <c r="AK578" s="31">
        <v>0</v>
      </c>
      <c r="AL578" s="31">
        <v>0</v>
      </c>
      <c r="AM578" s="31">
        <v>0</v>
      </c>
      <c r="AN578" s="31">
        <v>0</v>
      </c>
      <c r="AO578" s="31">
        <v>0</v>
      </c>
      <c r="AP578" s="31">
        <v>0</v>
      </c>
    </row>
    <row r="579" spans="1:42" x14ac:dyDescent="0.25">
      <c r="A579" s="31">
        <v>13</v>
      </c>
      <c r="B579" s="31">
        <v>13880</v>
      </c>
      <c r="C579" s="31">
        <v>2</v>
      </c>
      <c r="D579" s="31" t="s">
        <v>856</v>
      </c>
      <c r="E579" s="31"/>
      <c r="F579" s="31">
        <v>0</v>
      </c>
      <c r="G579" s="31">
        <v>0</v>
      </c>
      <c r="H579" s="31">
        <v>0</v>
      </c>
      <c r="I579" s="31">
        <v>0</v>
      </c>
      <c r="J579" s="31">
        <v>0</v>
      </c>
      <c r="K579" s="31" t="s">
        <v>882</v>
      </c>
      <c r="L579" s="2" t="str">
        <f t="shared" si="72"/>
        <v>Рихтовка</v>
      </c>
      <c r="M579" s="12">
        <f t="shared" si="73"/>
        <v>0</v>
      </c>
      <c r="N579" s="12">
        <f t="shared" si="74"/>
        <v>0</v>
      </c>
      <c r="O579" s="12">
        <f t="shared" si="75"/>
        <v>0</v>
      </c>
      <c r="P579" s="12">
        <f t="shared" si="76"/>
        <v>0</v>
      </c>
      <c r="Q579" s="12">
        <f t="shared" si="77"/>
        <v>0</v>
      </c>
      <c r="R579" s="12">
        <f t="shared" si="78"/>
        <v>0</v>
      </c>
      <c r="S579" s="12">
        <f t="shared" si="79"/>
        <v>0</v>
      </c>
      <c r="T579" s="31">
        <v>0</v>
      </c>
      <c r="U579" s="31">
        <v>0</v>
      </c>
      <c r="V579" s="31">
        <v>0</v>
      </c>
      <c r="W579" s="31">
        <v>0</v>
      </c>
      <c r="X579" s="31">
        <v>0</v>
      </c>
      <c r="Y579" s="31">
        <v>0</v>
      </c>
      <c r="Z579" s="31">
        <v>0</v>
      </c>
      <c r="AA579" s="31">
        <v>0</v>
      </c>
      <c r="AB579" s="31">
        <v>0</v>
      </c>
      <c r="AC579" s="31">
        <v>0</v>
      </c>
      <c r="AD579" s="31">
        <v>0</v>
      </c>
      <c r="AE579" s="31">
        <v>0</v>
      </c>
      <c r="AF579" s="31">
        <v>0</v>
      </c>
      <c r="AG579" s="31">
        <v>0</v>
      </c>
      <c r="AH579" s="31">
        <v>0</v>
      </c>
      <c r="AI579" s="31">
        <v>0</v>
      </c>
      <c r="AJ579" s="31">
        <v>0</v>
      </c>
      <c r="AK579" s="31">
        <v>0</v>
      </c>
      <c r="AL579" s="31">
        <v>0</v>
      </c>
      <c r="AM579" s="31">
        <v>0</v>
      </c>
      <c r="AN579" s="31">
        <v>0</v>
      </c>
      <c r="AO579" s="31">
        <v>0</v>
      </c>
      <c r="AP579" s="31">
        <v>0</v>
      </c>
    </row>
    <row r="580" spans="1:42" x14ac:dyDescent="0.25">
      <c r="A580" s="31">
        <v>13</v>
      </c>
      <c r="B580" s="31">
        <v>13880</v>
      </c>
      <c r="C580" s="31">
        <v>2</v>
      </c>
      <c r="D580" s="31" t="s">
        <v>857</v>
      </c>
      <c r="E580" s="31"/>
      <c r="F580" s="31">
        <v>0</v>
      </c>
      <c r="G580" s="31">
        <v>0</v>
      </c>
      <c r="H580" s="31">
        <v>0</v>
      </c>
      <c r="I580" s="31">
        <v>0</v>
      </c>
      <c r="J580" s="31">
        <v>0</v>
      </c>
      <c r="K580" s="31" t="s">
        <v>882</v>
      </c>
      <c r="L580" s="2" t="str">
        <f t="shared" si="72"/>
        <v>Рихтовка</v>
      </c>
      <c r="M580" s="12">
        <f t="shared" si="73"/>
        <v>0</v>
      </c>
      <c r="N580" s="12">
        <f t="shared" si="74"/>
        <v>0</v>
      </c>
      <c r="O580" s="12">
        <f t="shared" si="75"/>
        <v>0</v>
      </c>
      <c r="P580" s="12">
        <f t="shared" si="76"/>
        <v>0</v>
      </c>
      <c r="Q580" s="12">
        <f t="shared" si="77"/>
        <v>0</v>
      </c>
      <c r="R580" s="12">
        <f t="shared" si="78"/>
        <v>0</v>
      </c>
      <c r="S580" s="12">
        <f t="shared" si="79"/>
        <v>0</v>
      </c>
      <c r="T580" s="31">
        <v>0</v>
      </c>
      <c r="U580" s="31">
        <v>0</v>
      </c>
      <c r="V580" s="31">
        <v>0</v>
      </c>
      <c r="W580" s="31">
        <v>0</v>
      </c>
      <c r="X580" s="31">
        <v>0</v>
      </c>
      <c r="Y580" s="31">
        <v>0</v>
      </c>
      <c r="Z580" s="31">
        <v>0</v>
      </c>
      <c r="AA580" s="31">
        <v>0</v>
      </c>
      <c r="AB580" s="31">
        <v>0</v>
      </c>
      <c r="AC580" s="31">
        <v>0</v>
      </c>
      <c r="AD580" s="31">
        <v>0</v>
      </c>
      <c r="AE580" s="31">
        <v>0</v>
      </c>
      <c r="AF580" s="31">
        <v>0</v>
      </c>
      <c r="AG580" s="31">
        <v>0</v>
      </c>
      <c r="AH580" s="31">
        <v>0</v>
      </c>
      <c r="AI580" s="31">
        <v>0</v>
      </c>
      <c r="AJ580" s="31">
        <v>0</v>
      </c>
      <c r="AK580" s="31">
        <v>0</v>
      </c>
      <c r="AL580" s="31">
        <v>0</v>
      </c>
      <c r="AM580" s="31">
        <v>0</v>
      </c>
      <c r="AN580" s="31">
        <v>0</v>
      </c>
      <c r="AO580" s="31">
        <v>0</v>
      </c>
      <c r="AP580" s="31">
        <v>0</v>
      </c>
    </row>
    <row r="581" spans="1:42" x14ac:dyDescent="0.25">
      <c r="A581" s="31">
        <v>13</v>
      </c>
      <c r="B581" s="31">
        <v>13880</v>
      </c>
      <c r="C581" s="31">
        <v>2</v>
      </c>
      <c r="D581" s="31" t="s">
        <v>858</v>
      </c>
      <c r="E581" s="31"/>
      <c r="F581" s="31">
        <v>0</v>
      </c>
      <c r="G581" s="31">
        <v>0</v>
      </c>
      <c r="H581" s="31">
        <v>0</v>
      </c>
      <c r="I581" s="31">
        <v>0</v>
      </c>
      <c r="J581" s="31">
        <v>0</v>
      </c>
      <c r="K581" s="31" t="s">
        <v>882</v>
      </c>
      <c r="L581" s="2" t="str">
        <f t="shared" si="72"/>
        <v>Рихтовка</v>
      </c>
      <c r="M581" s="12">
        <f t="shared" si="73"/>
        <v>0</v>
      </c>
      <c r="N581" s="12">
        <f t="shared" si="74"/>
        <v>0</v>
      </c>
      <c r="O581" s="12">
        <f t="shared" si="75"/>
        <v>0</v>
      </c>
      <c r="P581" s="12">
        <f t="shared" si="76"/>
        <v>0</v>
      </c>
      <c r="Q581" s="12">
        <f t="shared" si="77"/>
        <v>0</v>
      </c>
      <c r="R581" s="12">
        <f t="shared" si="78"/>
        <v>0</v>
      </c>
      <c r="S581" s="12">
        <f t="shared" si="79"/>
        <v>0</v>
      </c>
      <c r="T581" s="31">
        <v>0</v>
      </c>
      <c r="U581" s="31">
        <v>0</v>
      </c>
      <c r="V581" s="31">
        <v>0</v>
      </c>
      <c r="W581" s="31">
        <v>0</v>
      </c>
      <c r="X581" s="31">
        <v>0</v>
      </c>
      <c r="Y581" s="31">
        <v>0</v>
      </c>
      <c r="Z581" s="31">
        <v>0</v>
      </c>
      <c r="AA581" s="31">
        <v>0</v>
      </c>
      <c r="AB581" s="31">
        <v>0</v>
      </c>
      <c r="AC581" s="31">
        <v>0</v>
      </c>
      <c r="AD581" s="31">
        <v>0</v>
      </c>
      <c r="AE581" s="31">
        <v>0</v>
      </c>
      <c r="AF581" s="31">
        <v>0</v>
      </c>
      <c r="AG581" s="31">
        <v>0</v>
      </c>
      <c r="AH581" s="31">
        <v>0</v>
      </c>
      <c r="AI581" s="31">
        <v>0</v>
      </c>
      <c r="AJ581" s="31">
        <v>0</v>
      </c>
      <c r="AK581" s="31">
        <v>0</v>
      </c>
      <c r="AL581" s="31">
        <v>0</v>
      </c>
      <c r="AM581" s="31">
        <v>0</v>
      </c>
      <c r="AN581" s="31">
        <v>0</v>
      </c>
      <c r="AO581" s="31">
        <v>0</v>
      </c>
      <c r="AP581" s="31">
        <v>0</v>
      </c>
    </row>
    <row r="582" spans="1:42" x14ac:dyDescent="0.25">
      <c r="A582" s="31">
        <v>13</v>
      </c>
      <c r="B582" s="31">
        <v>13880</v>
      </c>
      <c r="C582" s="31">
        <v>2</v>
      </c>
      <c r="D582" s="31" t="s">
        <v>859</v>
      </c>
      <c r="E582" s="31"/>
      <c r="F582" s="31">
        <v>0</v>
      </c>
      <c r="G582" s="31">
        <v>0</v>
      </c>
      <c r="H582" s="31">
        <v>0</v>
      </c>
      <c r="I582" s="31">
        <v>0</v>
      </c>
      <c r="J582" s="31">
        <v>0</v>
      </c>
      <c r="K582" s="31" t="s">
        <v>882</v>
      </c>
      <c r="L582" s="2" t="str">
        <f t="shared" si="72"/>
        <v>Рихтовка</v>
      </c>
      <c r="M582" s="12">
        <f t="shared" si="73"/>
        <v>0</v>
      </c>
      <c r="N582" s="12">
        <f t="shared" si="74"/>
        <v>0</v>
      </c>
      <c r="O582" s="12">
        <f t="shared" si="75"/>
        <v>0</v>
      </c>
      <c r="P582" s="12">
        <f t="shared" si="76"/>
        <v>0</v>
      </c>
      <c r="Q582" s="12">
        <f t="shared" si="77"/>
        <v>0</v>
      </c>
      <c r="R582" s="12">
        <f t="shared" si="78"/>
        <v>0</v>
      </c>
      <c r="S582" s="12">
        <f t="shared" si="79"/>
        <v>0</v>
      </c>
      <c r="T582" s="31">
        <v>0</v>
      </c>
      <c r="U582" s="31">
        <v>0</v>
      </c>
      <c r="V582" s="31">
        <v>0</v>
      </c>
      <c r="W582" s="31">
        <v>0</v>
      </c>
      <c r="X582" s="31">
        <v>0</v>
      </c>
      <c r="Y582" s="31">
        <v>0</v>
      </c>
      <c r="Z582" s="31">
        <v>0</v>
      </c>
      <c r="AA582" s="31">
        <v>0</v>
      </c>
      <c r="AB582" s="31">
        <v>0</v>
      </c>
      <c r="AC582" s="31">
        <v>0</v>
      </c>
      <c r="AD582" s="31">
        <v>0</v>
      </c>
      <c r="AE582" s="31">
        <v>0</v>
      </c>
      <c r="AF582" s="31">
        <v>0</v>
      </c>
      <c r="AG582" s="31">
        <v>0</v>
      </c>
      <c r="AH582" s="31">
        <v>0</v>
      </c>
      <c r="AI582" s="31">
        <v>0</v>
      </c>
      <c r="AJ582" s="31">
        <v>0</v>
      </c>
      <c r="AK582" s="31">
        <v>0</v>
      </c>
      <c r="AL582" s="31">
        <v>0</v>
      </c>
      <c r="AM582" s="31">
        <v>0</v>
      </c>
      <c r="AN582" s="31">
        <v>0</v>
      </c>
      <c r="AO582" s="31">
        <v>0</v>
      </c>
      <c r="AP582" s="31">
        <v>0</v>
      </c>
    </row>
    <row r="583" spans="1:42" x14ac:dyDescent="0.25">
      <c r="A583" s="31">
        <v>13</v>
      </c>
      <c r="B583" s="31">
        <v>13880</v>
      </c>
      <c r="C583" s="31">
        <v>2</v>
      </c>
      <c r="D583" s="31" t="s">
        <v>860</v>
      </c>
      <c r="E583" s="31"/>
      <c r="F583" s="31">
        <v>0</v>
      </c>
      <c r="G583" s="31">
        <v>0</v>
      </c>
      <c r="H583" s="31">
        <v>0</v>
      </c>
      <c r="I583" s="31">
        <v>0</v>
      </c>
      <c r="J583" s="31">
        <v>0</v>
      </c>
      <c r="K583" s="31" t="s">
        <v>882</v>
      </c>
      <c r="L583" s="2" t="str">
        <f t="shared" si="72"/>
        <v>Рихтовка</v>
      </c>
      <c r="M583" s="12">
        <f t="shared" si="73"/>
        <v>0</v>
      </c>
      <c r="N583" s="12">
        <f t="shared" si="74"/>
        <v>0</v>
      </c>
      <c r="O583" s="12">
        <f t="shared" si="75"/>
        <v>0</v>
      </c>
      <c r="P583" s="12">
        <f t="shared" si="76"/>
        <v>0</v>
      </c>
      <c r="Q583" s="12">
        <f t="shared" si="77"/>
        <v>0</v>
      </c>
      <c r="R583" s="12">
        <f t="shared" si="78"/>
        <v>0</v>
      </c>
      <c r="S583" s="12">
        <f t="shared" si="79"/>
        <v>0</v>
      </c>
      <c r="T583" s="31">
        <v>0</v>
      </c>
      <c r="U583" s="31">
        <v>0</v>
      </c>
      <c r="V583" s="31">
        <v>0</v>
      </c>
      <c r="W583" s="31">
        <v>0</v>
      </c>
      <c r="X583" s="31">
        <v>0</v>
      </c>
      <c r="Y583" s="31">
        <v>0</v>
      </c>
      <c r="Z583" s="31">
        <v>0</v>
      </c>
      <c r="AA583" s="31">
        <v>0</v>
      </c>
      <c r="AB583" s="31">
        <v>0</v>
      </c>
      <c r="AC583" s="31">
        <v>0</v>
      </c>
      <c r="AD583" s="31">
        <v>0</v>
      </c>
      <c r="AE583" s="31">
        <v>0</v>
      </c>
      <c r="AF583" s="31">
        <v>0</v>
      </c>
      <c r="AG583" s="31">
        <v>0</v>
      </c>
      <c r="AH583" s="31">
        <v>0</v>
      </c>
      <c r="AI583" s="31">
        <v>0</v>
      </c>
      <c r="AJ583" s="31">
        <v>0</v>
      </c>
      <c r="AK583" s="31">
        <v>0</v>
      </c>
      <c r="AL583" s="31">
        <v>0</v>
      </c>
      <c r="AM583" s="31">
        <v>0</v>
      </c>
      <c r="AN583" s="31">
        <v>0</v>
      </c>
      <c r="AO583" s="31">
        <v>0</v>
      </c>
      <c r="AP583" s="31">
        <v>0</v>
      </c>
    </row>
    <row r="584" spans="1:42" x14ac:dyDescent="0.25">
      <c r="A584" s="31">
        <v>14</v>
      </c>
      <c r="B584" s="31">
        <v>13880</v>
      </c>
      <c r="C584" s="31">
        <v>1</v>
      </c>
      <c r="D584" s="31" t="s">
        <v>861</v>
      </c>
      <c r="E584" s="31"/>
      <c r="F584" s="31">
        <v>0</v>
      </c>
      <c r="G584" s="31">
        <v>0</v>
      </c>
      <c r="H584" s="31">
        <v>0</v>
      </c>
      <c r="I584" s="31">
        <v>0</v>
      </c>
      <c r="J584" s="31">
        <v>0</v>
      </c>
      <c r="K584" s="31" t="s">
        <v>882</v>
      </c>
      <c r="L584" s="2" t="str">
        <f t="shared" si="72"/>
        <v>Рихтовка</v>
      </c>
      <c r="M584" s="12">
        <f t="shared" si="73"/>
        <v>0</v>
      </c>
      <c r="N584" s="12">
        <f t="shared" si="74"/>
        <v>0</v>
      </c>
      <c r="O584" s="12">
        <f t="shared" si="75"/>
        <v>0</v>
      </c>
      <c r="P584" s="12">
        <f t="shared" si="76"/>
        <v>0</v>
      </c>
      <c r="Q584" s="12">
        <f t="shared" si="77"/>
        <v>0</v>
      </c>
      <c r="R584" s="12">
        <f t="shared" si="78"/>
        <v>0</v>
      </c>
      <c r="S584" s="12">
        <f t="shared" si="79"/>
        <v>0</v>
      </c>
      <c r="T584" s="31">
        <v>0</v>
      </c>
      <c r="U584" s="31">
        <v>0</v>
      </c>
      <c r="V584" s="31">
        <v>0</v>
      </c>
      <c r="W584" s="31">
        <v>0</v>
      </c>
      <c r="X584" s="31">
        <v>0</v>
      </c>
      <c r="Y584" s="31">
        <v>0</v>
      </c>
      <c r="Z584" s="31">
        <v>0</v>
      </c>
      <c r="AA584" s="31">
        <v>0</v>
      </c>
      <c r="AB584" s="31">
        <v>0</v>
      </c>
      <c r="AC584" s="31">
        <v>0</v>
      </c>
      <c r="AD584" s="31">
        <v>0</v>
      </c>
      <c r="AE584" s="31">
        <v>0</v>
      </c>
      <c r="AF584" s="31">
        <v>0</v>
      </c>
      <c r="AG584" s="31">
        <v>0</v>
      </c>
      <c r="AH584" s="31">
        <v>0</v>
      </c>
      <c r="AI584" s="31">
        <v>0</v>
      </c>
      <c r="AJ584" s="31">
        <v>0</v>
      </c>
      <c r="AK584" s="31">
        <v>0</v>
      </c>
      <c r="AL584" s="31">
        <v>0</v>
      </c>
      <c r="AM584" s="31">
        <v>0</v>
      </c>
      <c r="AN584" s="31">
        <v>0</v>
      </c>
      <c r="AO584" s="31">
        <v>0</v>
      </c>
      <c r="AP584" s="31">
        <v>0</v>
      </c>
    </row>
    <row r="585" spans="1:42" x14ac:dyDescent="0.25">
      <c r="A585" s="31">
        <v>14</v>
      </c>
      <c r="B585" s="31">
        <v>13880</v>
      </c>
      <c r="C585" s="31">
        <v>1</v>
      </c>
      <c r="D585" s="31" t="s">
        <v>862</v>
      </c>
      <c r="E585" s="31"/>
      <c r="F585" s="31">
        <v>0</v>
      </c>
      <c r="G585" s="31">
        <v>0</v>
      </c>
      <c r="H585" s="31">
        <v>0</v>
      </c>
      <c r="I585" s="31">
        <v>0</v>
      </c>
      <c r="J585" s="31">
        <v>0</v>
      </c>
      <c r="K585" s="31" t="s">
        <v>882</v>
      </c>
      <c r="L585" s="2" t="str">
        <f t="shared" si="72"/>
        <v>Рихтовка</v>
      </c>
      <c r="M585" s="12">
        <f t="shared" si="73"/>
        <v>0</v>
      </c>
      <c r="N585" s="12">
        <f t="shared" si="74"/>
        <v>0</v>
      </c>
      <c r="O585" s="12">
        <f t="shared" si="75"/>
        <v>0</v>
      </c>
      <c r="P585" s="12">
        <f t="shared" si="76"/>
        <v>0</v>
      </c>
      <c r="Q585" s="12">
        <f t="shared" si="77"/>
        <v>0</v>
      </c>
      <c r="R585" s="12">
        <f t="shared" si="78"/>
        <v>0</v>
      </c>
      <c r="S585" s="12">
        <f t="shared" si="79"/>
        <v>0</v>
      </c>
      <c r="T585" s="31">
        <v>0</v>
      </c>
      <c r="U585" s="31">
        <v>0</v>
      </c>
      <c r="V585" s="31">
        <v>0</v>
      </c>
      <c r="W585" s="31">
        <v>0</v>
      </c>
      <c r="X585" s="31">
        <v>0</v>
      </c>
      <c r="Y585" s="31">
        <v>0</v>
      </c>
      <c r="Z585" s="31">
        <v>0</v>
      </c>
      <c r="AA585" s="31">
        <v>0</v>
      </c>
      <c r="AB585" s="31">
        <v>0</v>
      </c>
      <c r="AC585" s="31">
        <v>0</v>
      </c>
      <c r="AD585" s="31">
        <v>0</v>
      </c>
      <c r="AE585" s="31">
        <v>0</v>
      </c>
      <c r="AF585" s="31">
        <v>0</v>
      </c>
      <c r="AG585" s="31">
        <v>0</v>
      </c>
      <c r="AH585" s="31">
        <v>0</v>
      </c>
      <c r="AI585" s="31">
        <v>0</v>
      </c>
      <c r="AJ585" s="31">
        <v>0</v>
      </c>
      <c r="AK585" s="31">
        <v>0</v>
      </c>
      <c r="AL585" s="31">
        <v>0</v>
      </c>
      <c r="AM585" s="31">
        <v>0</v>
      </c>
      <c r="AN585" s="31">
        <v>0</v>
      </c>
      <c r="AO585" s="31">
        <v>0</v>
      </c>
      <c r="AP585" s="31">
        <v>0</v>
      </c>
    </row>
    <row r="586" spans="1:42" x14ac:dyDescent="0.25">
      <c r="A586" s="31">
        <v>14</v>
      </c>
      <c r="B586" s="31">
        <v>13880</v>
      </c>
      <c r="C586" s="31">
        <v>1</v>
      </c>
      <c r="D586" s="31" t="s">
        <v>863</v>
      </c>
      <c r="E586" s="31"/>
      <c r="F586" s="31">
        <v>0</v>
      </c>
      <c r="G586" s="31">
        <v>0</v>
      </c>
      <c r="H586" s="31">
        <v>0</v>
      </c>
      <c r="I586" s="31">
        <v>0</v>
      </c>
      <c r="J586" s="31">
        <v>0</v>
      </c>
      <c r="K586" s="31" t="s">
        <v>882</v>
      </c>
      <c r="L586" s="2" t="str">
        <f t="shared" si="72"/>
        <v>Рихтовка</v>
      </c>
      <c r="M586" s="12">
        <f t="shared" si="73"/>
        <v>0</v>
      </c>
      <c r="N586" s="12">
        <f t="shared" si="74"/>
        <v>0</v>
      </c>
      <c r="O586" s="12">
        <f t="shared" si="75"/>
        <v>0</v>
      </c>
      <c r="P586" s="12">
        <f t="shared" si="76"/>
        <v>0</v>
      </c>
      <c r="Q586" s="12">
        <f t="shared" si="77"/>
        <v>0</v>
      </c>
      <c r="R586" s="12">
        <f t="shared" si="78"/>
        <v>0</v>
      </c>
      <c r="S586" s="12">
        <f t="shared" si="79"/>
        <v>0</v>
      </c>
      <c r="T586" s="31">
        <v>0</v>
      </c>
      <c r="U586" s="31">
        <v>0</v>
      </c>
      <c r="V586" s="31">
        <v>0</v>
      </c>
      <c r="W586" s="31">
        <v>0</v>
      </c>
      <c r="X586" s="31">
        <v>0</v>
      </c>
      <c r="Y586" s="31">
        <v>0</v>
      </c>
      <c r="Z586" s="31">
        <v>0</v>
      </c>
      <c r="AA586" s="31">
        <v>0</v>
      </c>
      <c r="AB586" s="31">
        <v>0</v>
      </c>
      <c r="AC586" s="31">
        <v>0</v>
      </c>
      <c r="AD586" s="31">
        <v>0</v>
      </c>
      <c r="AE586" s="31">
        <v>0</v>
      </c>
      <c r="AF586" s="31">
        <v>0</v>
      </c>
      <c r="AG586" s="31">
        <v>0</v>
      </c>
      <c r="AH586" s="31">
        <v>0</v>
      </c>
      <c r="AI586" s="31">
        <v>0</v>
      </c>
      <c r="AJ586" s="31">
        <v>0</v>
      </c>
      <c r="AK586" s="31">
        <v>0</v>
      </c>
      <c r="AL586" s="31">
        <v>0</v>
      </c>
      <c r="AM586" s="31">
        <v>0</v>
      </c>
      <c r="AN586" s="31">
        <v>0</v>
      </c>
      <c r="AO586" s="31">
        <v>0</v>
      </c>
      <c r="AP586" s="31">
        <v>0</v>
      </c>
    </row>
    <row r="587" spans="1:42" x14ac:dyDescent="0.25">
      <c r="A587" s="31">
        <v>14</v>
      </c>
      <c r="B587" s="31">
        <v>13880</v>
      </c>
      <c r="C587" s="31">
        <v>1</v>
      </c>
      <c r="D587" s="31" t="s">
        <v>864</v>
      </c>
      <c r="E587" s="31"/>
      <c r="F587" s="31">
        <v>0</v>
      </c>
      <c r="G587" s="31">
        <v>0</v>
      </c>
      <c r="H587" s="31">
        <v>0</v>
      </c>
      <c r="I587" s="31">
        <v>0</v>
      </c>
      <c r="J587" s="31">
        <v>0</v>
      </c>
      <c r="K587" s="31" t="s">
        <v>882</v>
      </c>
      <c r="L587" s="2" t="str">
        <f t="shared" si="72"/>
        <v>Рихтовка</v>
      </c>
      <c r="M587" s="12">
        <f t="shared" si="73"/>
        <v>0</v>
      </c>
      <c r="N587" s="12">
        <f t="shared" si="74"/>
        <v>0</v>
      </c>
      <c r="O587" s="12">
        <f t="shared" si="75"/>
        <v>0</v>
      </c>
      <c r="P587" s="12">
        <f t="shared" si="76"/>
        <v>0</v>
      </c>
      <c r="Q587" s="12">
        <f t="shared" si="77"/>
        <v>0</v>
      </c>
      <c r="R587" s="12">
        <f t="shared" si="78"/>
        <v>0</v>
      </c>
      <c r="S587" s="12">
        <f t="shared" si="79"/>
        <v>0</v>
      </c>
      <c r="T587" s="31">
        <v>0</v>
      </c>
      <c r="U587" s="31">
        <v>0</v>
      </c>
      <c r="V587" s="31">
        <v>0</v>
      </c>
      <c r="W587" s="31">
        <v>0</v>
      </c>
      <c r="X587" s="31">
        <v>0</v>
      </c>
      <c r="Y587" s="31">
        <v>0</v>
      </c>
      <c r="Z587" s="31">
        <v>0</v>
      </c>
      <c r="AA587" s="31">
        <v>0</v>
      </c>
      <c r="AB587" s="31">
        <v>0</v>
      </c>
      <c r="AC587" s="31">
        <v>0</v>
      </c>
      <c r="AD587" s="31">
        <v>0</v>
      </c>
      <c r="AE587" s="31">
        <v>0</v>
      </c>
      <c r="AF587" s="31">
        <v>0</v>
      </c>
      <c r="AG587" s="31">
        <v>0</v>
      </c>
      <c r="AH587" s="31">
        <v>0</v>
      </c>
      <c r="AI587" s="31">
        <v>0</v>
      </c>
      <c r="AJ587" s="31">
        <v>0</v>
      </c>
      <c r="AK587" s="31">
        <v>0</v>
      </c>
      <c r="AL587" s="31">
        <v>0</v>
      </c>
      <c r="AM587" s="31">
        <v>0</v>
      </c>
      <c r="AN587" s="31">
        <v>0</v>
      </c>
      <c r="AO587" s="31">
        <v>0</v>
      </c>
      <c r="AP587" s="31">
        <v>0</v>
      </c>
    </row>
    <row r="588" spans="1:42" x14ac:dyDescent="0.25">
      <c r="A588" s="31">
        <v>14</v>
      </c>
      <c r="B588" s="31">
        <v>13880</v>
      </c>
      <c r="C588" s="31">
        <v>1</v>
      </c>
      <c r="D588" s="31" t="s">
        <v>865</v>
      </c>
      <c r="E588" s="31"/>
      <c r="F588" s="31">
        <v>0</v>
      </c>
      <c r="G588" s="31">
        <v>0</v>
      </c>
      <c r="H588" s="31">
        <v>0</v>
      </c>
      <c r="I588" s="31">
        <v>0</v>
      </c>
      <c r="J588" s="31">
        <v>0</v>
      </c>
      <c r="K588" s="31" t="s">
        <v>882</v>
      </c>
      <c r="L588" s="2" t="str">
        <f t="shared" si="72"/>
        <v>Рихтовка</v>
      </c>
      <c r="M588" s="12">
        <f t="shared" si="73"/>
        <v>0</v>
      </c>
      <c r="N588" s="12">
        <f t="shared" si="74"/>
        <v>0</v>
      </c>
      <c r="O588" s="12">
        <f t="shared" si="75"/>
        <v>0</v>
      </c>
      <c r="P588" s="12">
        <f t="shared" si="76"/>
        <v>0</v>
      </c>
      <c r="Q588" s="12">
        <f t="shared" si="77"/>
        <v>0</v>
      </c>
      <c r="R588" s="12">
        <f t="shared" si="78"/>
        <v>0</v>
      </c>
      <c r="S588" s="12">
        <f t="shared" si="79"/>
        <v>0</v>
      </c>
      <c r="T588" s="31">
        <v>0</v>
      </c>
      <c r="U588" s="31">
        <v>0</v>
      </c>
      <c r="V588" s="31">
        <v>0</v>
      </c>
      <c r="W588" s="31">
        <v>0</v>
      </c>
      <c r="X588" s="31">
        <v>0</v>
      </c>
      <c r="Y588" s="31">
        <v>0</v>
      </c>
      <c r="Z588" s="31">
        <v>0</v>
      </c>
      <c r="AA588" s="31">
        <v>0</v>
      </c>
      <c r="AB588" s="31">
        <v>0</v>
      </c>
      <c r="AC588" s="31">
        <v>0</v>
      </c>
      <c r="AD588" s="31">
        <v>0</v>
      </c>
      <c r="AE588" s="31">
        <v>0</v>
      </c>
      <c r="AF588" s="31">
        <v>0</v>
      </c>
      <c r="AG588" s="31">
        <v>0</v>
      </c>
      <c r="AH588" s="31">
        <v>0</v>
      </c>
      <c r="AI588" s="31">
        <v>0</v>
      </c>
      <c r="AJ588" s="31">
        <v>0</v>
      </c>
      <c r="AK588" s="31">
        <v>0</v>
      </c>
      <c r="AL588" s="31">
        <v>0</v>
      </c>
      <c r="AM588" s="31">
        <v>0</v>
      </c>
      <c r="AN588" s="31">
        <v>0</v>
      </c>
      <c r="AO588" s="31">
        <v>0</v>
      </c>
      <c r="AP588" s="31">
        <v>0</v>
      </c>
    </row>
    <row r="589" spans="1:42" x14ac:dyDescent="0.25">
      <c r="A589" s="31">
        <v>14</v>
      </c>
      <c r="B589" s="31">
        <v>13880</v>
      </c>
      <c r="C589" s="31">
        <v>1</v>
      </c>
      <c r="D589" s="31" t="s">
        <v>866</v>
      </c>
      <c r="E589" s="31"/>
      <c r="F589" s="31">
        <v>0</v>
      </c>
      <c r="G589" s="31">
        <v>0</v>
      </c>
      <c r="H589" s="31">
        <v>0</v>
      </c>
      <c r="I589" s="31">
        <v>0</v>
      </c>
      <c r="J589" s="31">
        <v>0</v>
      </c>
      <c r="K589" s="31" t="s">
        <v>882</v>
      </c>
      <c r="L589" s="2" t="str">
        <f t="shared" si="72"/>
        <v>Рихтовка</v>
      </c>
      <c r="M589" s="12">
        <f t="shared" si="73"/>
        <v>0</v>
      </c>
      <c r="N589" s="12">
        <f t="shared" si="74"/>
        <v>0</v>
      </c>
      <c r="O589" s="12">
        <f t="shared" si="75"/>
        <v>0</v>
      </c>
      <c r="P589" s="12">
        <f t="shared" si="76"/>
        <v>0</v>
      </c>
      <c r="Q589" s="12">
        <f t="shared" si="77"/>
        <v>0</v>
      </c>
      <c r="R589" s="12">
        <f t="shared" si="78"/>
        <v>0</v>
      </c>
      <c r="S589" s="12">
        <f t="shared" si="79"/>
        <v>0</v>
      </c>
      <c r="T589" s="31">
        <v>0</v>
      </c>
      <c r="U589" s="31">
        <v>0</v>
      </c>
      <c r="V589" s="31">
        <v>0</v>
      </c>
      <c r="W589" s="31">
        <v>0</v>
      </c>
      <c r="X589" s="31">
        <v>0</v>
      </c>
      <c r="Y589" s="31">
        <v>0</v>
      </c>
      <c r="Z589" s="31">
        <v>0</v>
      </c>
      <c r="AA589" s="31">
        <v>0</v>
      </c>
      <c r="AB589" s="31">
        <v>0</v>
      </c>
      <c r="AC589" s="31">
        <v>0</v>
      </c>
      <c r="AD589" s="31">
        <v>0</v>
      </c>
      <c r="AE589" s="31">
        <v>0</v>
      </c>
      <c r="AF589" s="31">
        <v>0</v>
      </c>
      <c r="AG589" s="31">
        <v>0</v>
      </c>
      <c r="AH589" s="31">
        <v>0</v>
      </c>
      <c r="AI589" s="31">
        <v>0</v>
      </c>
      <c r="AJ589" s="31">
        <v>0</v>
      </c>
      <c r="AK589" s="31">
        <v>0</v>
      </c>
      <c r="AL589" s="31">
        <v>0</v>
      </c>
      <c r="AM589" s="31">
        <v>0</v>
      </c>
      <c r="AN589" s="31">
        <v>0</v>
      </c>
      <c r="AO589" s="31">
        <v>0</v>
      </c>
      <c r="AP589" s="31">
        <v>0</v>
      </c>
    </row>
    <row r="590" spans="1:42" x14ac:dyDescent="0.25">
      <c r="A590" s="31">
        <v>14</v>
      </c>
      <c r="B590" s="31">
        <v>13880</v>
      </c>
      <c r="C590" s="31">
        <v>1</v>
      </c>
      <c r="D590" s="31" t="s">
        <v>867</v>
      </c>
      <c r="E590" s="31"/>
      <c r="F590" s="31">
        <v>0</v>
      </c>
      <c r="G590" s="31">
        <v>0</v>
      </c>
      <c r="H590" s="31">
        <v>0</v>
      </c>
      <c r="I590" s="31">
        <v>0</v>
      </c>
      <c r="J590" s="31">
        <v>0</v>
      </c>
      <c r="K590" s="31" t="s">
        <v>882</v>
      </c>
      <c r="L590" s="2" t="str">
        <f t="shared" si="72"/>
        <v>Рихтовка</v>
      </c>
      <c r="M590" s="12">
        <f t="shared" si="73"/>
        <v>0</v>
      </c>
      <c r="N590" s="12">
        <f t="shared" si="74"/>
        <v>0</v>
      </c>
      <c r="O590" s="12">
        <f t="shared" si="75"/>
        <v>0</v>
      </c>
      <c r="P590" s="12">
        <f t="shared" si="76"/>
        <v>0</v>
      </c>
      <c r="Q590" s="12">
        <f t="shared" si="77"/>
        <v>0</v>
      </c>
      <c r="R590" s="12">
        <f t="shared" si="78"/>
        <v>0</v>
      </c>
      <c r="S590" s="12">
        <f t="shared" si="79"/>
        <v>0</v>
      </c>
      <c r="T590" s="31">
        <v>0</v>
      </c>
      <c r="U590" s="31">
        <v>0</v>
      </c>
      <c r="V590" s="31">
        <v>0</v>
      </c>
      <c r="W590" s="31">
        <v>0</v>
      </c>
      <c r="X590" s="31">
        <v>0</v>
      </c>
      <c r="Y590" s="31">
        <v>0</v>
      </c>
      <c r="Z590" s="31">
        <v>0</v>
      </c>
      <c r="AA590" s="31">
        <v>0</v>
      </c>
      <c r="AB590" s="31">
        <v>0</v>
      </c>
      <c r="AC590" s="31">
        <v>0</v>
      </c>
      <c r="AD590" s="31">
        <v>0</v>
      </c>
      <c r="AE590" s="31">
        <v>0</v>
      </c>
      <c r="AF590" s="31">
        <v>0</v>
      </c>
      <c r="AG590" s="31">
        <v>0</v>
      </c>
      <c r="AH590" s="31">
        <v>0</v>
      </c>
      <c r="AI590" s="31">
        <v>0</v>
      </c>
      <c r="AJ590" s="31">
        <v>0</v>
      </c>
      <c r="AK590" s="31">
        <v>0</v>
      </c>
      <c r="AL590" s="31">
        <v>0</v>
      </c>
      <c r="AM590" s="31">
        <v>0</v>
      </c>
      <c r="AN590" s="31">
        <v>0</v>
      </c>
      <c r="AO590" s="31">
        <v>0</v>
      </c>
      <c r="AP590" s="31">
        <v>0</v>
      </c>
    </row>
    <row r="591" spans="1:42" x14ac:dyDescent="0.25">
      <c r="A591" s="31">
        <v>14</v>
      </c>
      <c r="B591" s="31">
        <v>13880</v>
      </c>
      <c r="C591" s="31">
        <v>1</v>
      </c>
      <c r="D591" s="31" t="s">
        <v>868</v>
      </c>
      <c r="E591" s="31"/>
      <c r="F591" s="31">
        <v>0</v>
      </c>
      <c r="G591" s="31">
        <v>0</v>
      </c>
      <c r="H591" s="31">
        <v>0</v>
      </c>
      <c r="I591" s="31">
        <v>0</v>
      </c>
      <c r="J591" s="31">
        <v>0</v>
      </c>
      <c r="K591" s="31" t="s">
        <v>882</v>
      </c>
      <c r="L591" s="2" t="str">
        <f t="shared" si="72"/>
        <v>Рихтовка</v>
      </c>
      <c r="M591" s="12">
        <f t="shared" si="73"/>
        <v>0</v>
      </c>
      <c r="N591" s="12">
        <f t="shared" si="74"/>
        <v>0</v>
      </c>
      <c r="O591" s="12">
        <f t="shared" si="75"/>
        <v>0</v>
      </c>
      <c r="P591" s="12">
        <f t="shared" si="76"/>
        <v>0</v>
      </c>
      <c r="Q591" s="12">
        <f t="shared" si="77"/>
        <v>0</v>
      </c>
      <c r="R591" s="12">
        <f t="shared" si="78"/>
        <v>0</v>
      </c>
      <c r="S591" s="12">
        <f t="shared" si="79"/>
        <v>0</v>
      </c>
      <c r="T591" s="31">
        <v>0</v>
      </c>
      <c r="U591" s="31">
        <v>0</v>
      </c>
      <c r="V591" s="31">
        <v>0</v>
      </c>
      <c r="W591" s="31">
        <v>0</v>
      </c>
      <c r="X591" s="31">
        <v>0</v>
      </c>
      <c r="Y591" s="31">
        <v>0</v>
      </c>
      <c r="Z591" s="31">
        <v>0</v>
      </c>
      <c r="AA591" s="31">
        <v>0</v>
      </c>
      <c r="AB591" s="31">
        <v>0</v>
      </c>
      <c r="AC591" s="31">
        <v>0</v>
      </c>
      <c r="AD591" s="31">
        <v>0</v>
      </c>
      <c r="AE591" s="31">
        <v>0</v>
      </c>
      <c r="AF591" s="31">
        <v>0</v>
      </c>
      <c r="AG591" s="31">
        <v>0</v>
      </c>
      <c r="AH591" s="31">
        <v>0</v>
      </c>
      <c r="AI591" s="31">
        <v>0</v>
      </c>
      <c r="AJ591" s="31">
        <v>0</v>
      </c>
      <c r="AK591" s="31">
        <v>0</v>
      </c>
      <c r="AL591" s="31">
        <v>0</v>
      </c>
      <c r="AM591" s="31">
        <v>0</v>
      </c>
      <c r="AN591" s="31">
        <v>0</v>
      </c>
      <c r="AO591" s="31">
        <v>0</v>
      </c>
      <c r="AP591" s="31">
        <v>0</v>
      </c>
    </row>
    <row r="592" spans="1:42" x14ac:dyDescent="0.25">
      <c r="A592" s="31">
        <v>14</v>
      </c>
      <c r="B592" s="31">
        <v>13880</v>
      </c>
      <c r="C592" s="31">
        <v>1</v>
      </c>
      <c r="D592" s="31" t="s">
        <v>869</v>
      </c>
      <c r="E592" s="31"/>
      <c r="F592" s="31">
        <v>0</v>
      </c>
      <c r="G592" s="31">
        <v>0</v>
      </c>
      <c r="H592" s="31">
        <v>0</v>
      </c>
      <c r="I592" s="31">
        <v>0</v>
      </c>
      <c r="J592" s="31">
        <v>0</v>
      </c>
      <c r="K592" s="31" t="s">
        <v>882</v>
      </c>
      <c r="L592" s="2" t="str">
        <f t="shared" si="72"/>
        <v>Рихтовка</v>
      </c>
      <c r="M592" s="12">
        <f t="shared" si="73"/>
        <v>0</v>
      </c>
      <c r="N592" s="12">
        <f t="shared" si="74"/>
        <v>0</v>
      </c>
      <c r="O592" s="12">
        <f t="shared" si="75"/>
        <v>0</v>
      </c>
      <c r="P592" s="12">
        <f t="shared" si="76"/>
        <v>0</v>
      </c>
      <c r="Q592" s="12">
        <f t="shared" si="77"/>
        <v>0</v>
      </c>
      <c r="R592" s="12">
        <f t="shared" si="78"/>
        <v>0</v>
      </c>
      <c r="S592" s="12">
        <f t="shared" si="79"/>
        <v>0</v>
      </c>
      <c r="T592" s="31">
        <v>0</v>
      </c>
      <c r="U592" s="31">
        <v>0</v>
      </c>
      <c r="V592" s="31">
        <v>0</v>
      </c>
      <c r="W592" s="31">
        <v>0</v>
      </c>
      <c r="X592" s="31">
        <v>0</v>
      </c>
      <c r="Y592" s="31">
        <v>0</v>
      </c>
      <c r="Z592" s="31">
        <v>0</v>
      </c>
      <c r="AA592" s="31">
        <v>0</v>
      </c>
      <c r="AB592" s="31">
        <v>0</v>
      </c>
      <c r="AC592" s="31">
        <v>0</v>
      </c>
      <c r="AD592" s="31">
        <v>0</v>
      </c>
      <c r="AE592" s="31">
        <v>0</v>
      </c>
      <c r="AF592" s="31">
        <v>0</v>
      </c>
      <c r="AG592" s="31">
        <v>0</v>
      </c>
      <c r="AH592" s="31">
        <v>0</v>
      </c>
      <c r="AI592" s="31">
        <v>0</v>
      </c>
      <c r="AJ592" s="31">
        <v>0</v>
      </c>
      <c r="AK592" s="31">
        <v>0</v>
      </c>
      <c r="AL592" s="31">
        <v>0</v>
      </c>
      <c r="AM592" s="31">
        <v>0</v>
      </c>
      <c r="AN592" s="31">
        <v>0</v>
      </c>
      <c r="AO592" s="31">
        <v>0</v>
      </c>
      <c r="AP592" s="31">
        <v>0</v>
      </c>
    </row>
    <row r="593" spans="1:42" x14ac:dyDescent="0.25">
      <c r="A593" s="31">
        <v>14</v>
      </c>
      <c r="B593" s="31">
        <v>13880</v>
      </c>
      <c r="C593" s="31">
        <v>1</v>
      </c>
      <c r="D593" s="31" t="s">
        <v>870</v>
      </c>
      <c r="E593" s="31"/>
      <c r="F593" s="31">
        <v>0</v>
      </c>
      <c r="G593" s="31">
        <v>0</v>
      </c>
      <c r="H593" s="31">
        <v>0</v>
      </c>
      <c r="I593" s="31">
        <v>0</v>
      </c>
      <c r="J593" s="31">
        <v>0</v>
      </c>
      <c r="K593" s="31" t="s">
        <v>882</v>
      </c>
      <c r="L593" s="2" t="str">
        <f t="shared" si="72"/>
        <v>Рихтовка</v>
      </c>
      <c r="M593" s="12">
        <f t="shared" si="73"/>
        <v>0</v>
      </c>
      <c r="N593" s="12">
        <f t="shared" si="74"/>
        <v>0</v>
      </c>
      <c r="O593" s="12">
        <f t="shared" si="75"/>
        <v>0</v>
      </c>
      <c r="P593" s="12">
        <f t="shared" si="76"/>
        <v>0</v>
      </c>
      <c r="Q593" s="12">
        <f t="shared" si="77"/>
        <v>0</v>
      </c>
      <c r="R593" s="12">
        <f t="shared" si="78"/>
        <v>0</v>
      </c>
      <c r="S593" s="12">
        <f t="shared" si="79"/>
        <v>0</v>
      </c>
      <c r="T593" s="31">
        <v>0</v>
      </c>
      <c r="U593" s="31">
        <v>0</v>
      </c>
      <c r="V593" s="31">
        <v>0</v>
      </c>
      <c r="W593" s="31">
        <v>0</v>
      </c>
      <c r="X593" s="31">
        <v>0</v>
      </c>
      <c r="Y593" s="31">
        <v>0</v>
      </c>
      <c r="Z593" s="31">
        <v>0</v>
      </c>
      <c r="AA593" s="31">
        <v>0</v>
      </c>
      <c r="AB593" s="31">
        <v>0</v>
      </c>
      <c r="AC593" s="31">
        <v>0</v>
      </c>
      <c r="AD593" s="31">
        <v>0</v>
      </c>
      <c r="AE593" s="31">
        <v>0</v>
      </c>
      <c r="AF593" s="31">
        <v>0</v>
      </c>
      <c r="AG593" s="31">
        <v>0</v>
      </c>
      <c r="AH593" s="31">
        <v>0</v>
      </c>
      <c r="AI593" s="31">
        <v>0</v>
      </c>
      <c r="AJ593" s="31">
        <v>0</v>
      </c>
      <c r="AK593" s="31">
        <v>0</v>
      </c>
      <c r="AL593" s="31">
        <v>0</v>
      </c>
      <c r="AM593" s="31">
        <v>0</v>
      </c>
      <c r="AN593" s="31">
        <v>0</v>
      </c>
      <c r="AO593" s="31">
        <v>0</v>
      </c>
      <c r="AP593" s="31">
        <v>0</v>
      </c>
    </row>
    <row r="594" spans="1:42" x14ac:dyDescent="0.25">
      <c r="A594" s="31">
        <v>14</v>
      </c>
      <c r="B594" s="31">
        <v>13880</v>
      </c>
      <c r="C594" s="31">
        <v>2</v>
      </c>
      <c r="D594" s="31" t="s">
        <v>861</v>
      </c>
      <c r="E594" s="31"/>
      <c r="F594" s="31">
        <v>0</v>
      </c>
      <c r="G594" s="31">
        <v>0</v>
      </c>
      <c r="H594" s="31">
        <v>0</v>
      </c>
      <c r="I594" s="31">
        <v>0</v>
      </c>
      <c r="J594" s="31">
        <v>0</v>
      </c>
      <c r="K594" s="31" t="s">
        <v>882</v>
      </c>
      <c r="L594" s="2" t="str">
        <f t="shared" si="72"/>
        <v>Рихтовка</v>
      </c>
      <c r="M594" s="12">
        <f t="shared" si="73"/>
        <v>0</v>
      </c>
      <c r="N594" s="12">
        <f t="shared" si="74"/>
        <v>0</v>
      </c>
      <c r="O594" s="12">
        <f t="shared" si="75"/>
        <v>0</v>
      </c>
      <c r="P594" s="12">
        <f t="shared" si="76"/>
        <v>0</v>
      </c>
      <c r="Q594" s="12">
        <f t="shared" si="77"/>
        <v>0</v>
      </c>
      <c r="R594" s="12">
        <f t="shared" si="78"/>
        <v>0</v>
      </c>
      <c r="S594" s="12">
        <f t="shared" si="79"/>
        <v>0</v>
      </c>
      <c r="T594" s="31">
        <v>0</v>
      </c>
      <c r="U594" s="31">
        <v>0</v>
      </c>
      <c r="V594" s="31">
        <v>0</v>
      </c>
      <c r="W594" s="31">
        <v>0</v>
      </c>
      <c r="X594" s="31">
        <v>0</v>
      </c>
      <c r="Y594" s="31">
        <v>0</v>
      </c>
      <c r="Z594" s="31">
        <v>0</v>
      </c>
      <c r="AA594" s="31">
        <v>0</v>
      </c>
      <c r="AB594" s="31">
        <v>0</v>
      </c>
      <c r="AC594" s="31">
        <v>0</v>
      </c>
      <c r="AD594" s="31">
        <v>0</v>
      </c>
      <c r="AE594" s="31">
        <v>0</v>
      </c>
      <c r="AF594" s="31">
        <v>0</v>
      </c>
      <c r="AG594" s="31">
        <v>0</v>
      </c>
      <c r="AH594" s="31">
        <v>0</v>
      </c>
      <c r="AI594" s="31">
        <v>0</v>
      </c>
      <c r="AJ594" s="31">
        <v>0</v>
      </c>
      <c r="AK594" s="31">
        <v>0</v>
      </c>
      <c r="AL594" s="31">
        <v>0</v>
      </c>
      <c r="AM594" s="31">
        <v>0</v>
      </c>
      <c r="AN594" s="31">
        <v>0</v>
      </c>
      <c r="AO594" s="31">
        <v>0</v>
      </c>
      <c r="AP594" s="31">
        <v>0</v>
      </c>
    </row>
    <row r="595" spans="1:42" x14ac:dyDescent="0.25">
      <c r="A595" s="31">
        <v>14</v>
      </c>
      <c r="B595" s="31">
        <v>13880</v>
      </c>
      <c r="C595" s="31">
        <v>2</v>
      </c>
      <c r="D595" s="31" t="s">
        <v>862</v>
      </c>
      <c r="E595" s="31"/>
      <c r="F595" s="31">
        <v>0</v>
      </c>
      <c r="G595" s="31">
        <v>0</v>
      </c>
      <c r="H595" s="31">
        <v>0</v>
      </c>
      <c r="I595" s="31">
        <v>0</v>
      </c>
      <c r="J595" s="31">
        <v>0</v>
      </c>
      <c r="K595" s="31" t="s">
        <v>882</v>
      </c>
      <c r="L595" s="2" t="str">
        <f t="shared" si="72"/>
        <v>Рихтовка</v>
      </c>
      <c r="M595" s="12">
        <f t="shared" si="73"/>
        <v>0</v>
      </c>
      <c r="N595" s="12">
        <f t="shared" si="74"/>
        <v>0</v>
      </c>
      <c r="O595" s="12">
        <f t="shared" si="75"/>
        <v>0</v>
      </c>
      <c r="P595" s="12">
        <f t="shared" si="76"/>
        <v>0</v>
      </c>
      <c r="Q595" s="12">
        <f t="shared" si="77"/>
        <v>0</v>
      </c>
      <c r="R595" s="12">
        <f t="shared" si="78"/>
        <v>0</v>
      </c>
      <c r="S595" s="12">
        <f t="shared" si="79"/>
        <v>0</v>
      </c>
      <c r="T595" s="31">
        <v>0</v>
      </c>
      <c r="U595" s="31">
        <v>0</v>
      </c>
      <c r="V595" s="31">
        <v>0</v>
      </c>
      <c r="W595" s="31">
        <v>0</v>
      </c>
      <c r="X595" s="31">
        <v>0</v>
      </c>
      <c r="Y595" s="31">
        <v>0</v>
      </c>
      <c r="Z595" s="31">
        <v>0</v>
      </c>
      <c r="AA595" s="31">
        <v>0</v>
      </c>
      <c r="AB595" s="31">
        <v>0</v>
      </c>
      <c r="AC595" s="31">
        <v>0</v>
      </c>
      <c r="AD595" s="31">
        <v>0</v>
      </c>
      <c r="AE595" s="31">
        <v>0</v>
      </c>
      <c r="AF595" s="31">
        <v>0</v>
      </c>
      <c r="AG595" s="31">
        <v>0</v>
      </c>
      <c r="AH595" s="31">
        <v>0</v>
      </c>
      <c r="AI595" s="31">
        <v>0</v>
      </c>
      <c r="AJ595" s="31">
        <v>0</v>
      </c>
      <c r="AK595" s="31">
        <v>0</v>
      </c>
      <c r="AL595" s="31">
        <v>0</v>
      </c>
      <c r="AM595" s="31">
        <v>0</v>
      </c>
      <c r="AN595" s="31">
        <v>0</v>
      </c>
      <c r="AO595" s="31">
        <v>0</v>
      </c>
      <c r="AP595" s="31">
        <v>0</v>
      </c>
    </row>
    <row r="596" spans="1:42" x14ac:dyDescent="0.25">
      <c r="A596" s="31">
        <v>14</v>
      </c>
      <c r="B596" s="31">
        <v>13880</v>
      </c>
      <c r="C596" s="31">
        <v>2</v>
      </c>
      <c r="D596" s="31" t="s">
        <v>863</v>
      </c>
      <c r="E596" s="31"/>
      <c r="F596" s="31">
        <v>0</v>
      </c>
      <c r="G596" s="31">
        <v>0</v>
      </c>
      <c r="H596" s="31">
        <v>0</v>
      </c>
      <c r="I596" s="31">
        <v>0</v>
      </c>
      <c r="J596" s="31">
        <v>0</v>
      </c>
      <c r="K596" s="31" t="s">
        <v>882</v>
      </c>
      <c r="L596" s="2" t="str">
        <f t="shared" si="72"/>
        <v>Рихтовка</v>
      </c>
      <c r="M596" s="12">
        <f t="shared" si="73"/>
        <v>0</v>
      </c>
      <c r="N596" s="12">
        <f t="shared" si="74"/>
        <v>0</v>
      </c>
      <c r="O596" s="12">
        <f t="shared" si="75"/>
        <v>0</v>
      </c>
      <c r="P596" s="12">
        <f t="shared" si="76"/>
        <v>0</v>
      </c>
      <c r="Q596" s="12">
        <f t="shared" si="77"/>
        <v>0</v>
      </c>
      <c r="R596" s="12">
        <f t="shared" si="78"/>
        <v>0</v>
      </c>
      <c r="S596" s="12">
        <f t="shared" si="79"/>
        <v>0</v>
      </c>
      <c r="T596" s="31">
        <v>0</v>
      </c>
      <c r="U596" s="31">
        <v>0</v>
      </c>
      <c r="V596" s="31">
        <v>0</v>
      </c>
      <c r="W596" s="31">
        <v>0</v>
      </c>
      <c r="X596" s="31">
        <v>0</v>
      </c>
      <c r="Y596" s="31">
        <v>0</v>
      </c>
      <c r="Z596" s="31">
        <v>0</v>
      </c>
      <c r="AA596" s="31">
        <v>0</v>
      </c>
      <c r="AB596" s="31">
        <v>0</v>
      </c>
      <c r="AC596" s="31">
        <v>0</v>
      </c>
      <c r="AD596" s="31">
        <v>0</v>
      </c>
      <c r="AE596" s="31">
        <v>0</v>
      </c>
      <c r="AF596" s="31">
        <v>0</v>
      </c>
      <c r="AG596" s="31">
        <v>0</v>
      </c>
      <c r="AH596" s="31">
        <v>0</v>
      </c>
      <c r="AI596" s="31">
        <v>0</v>
      </c>
      <c r="AJ596" s="31">
        <v>0</v>
      </c>
      <c r="AK596" s="31">
        <v>0</v>
      </c>
      <c r="AL596" s="31">
        <v>0</v>
      </c>
      <c r="AM596" s="31">
        <v>0</v>
      </c>
      <c r="AN596" s="31">
        <v>0</v>
      </c>
      <c r="AO596" s="31">
        <v>0</v>
      </c>
      <c r="AP596" s="31">
        <v>0</v>
      </c>
    </row>
    <row r="597" spans="1:42" x14ac:dyDescent="0.25">
      <c r="A597" s="31">
        <v>14</v>
      </c>
      <c r="B597" s="31">
        <v>13880</v>
      </c>
      <c r="C597" s="31">
        <v>2</v>
      </c>
      <c r="D597" s="31" t="s">
        <v>864</v>
      </c>
      <c r="E597" s="31"/>
      <c r="F597" s="31">
        <v>0</v>
      </c>
      <c r="G597" s="31">
        <v>0</v>
      </c>
      <c r="H597" s="31">
        <v>0</v>
      </c>
      <c r="I597" s="31">
        <v>0</v>
      </c>
      <c r="J597" s="31">
        <v>0</v>
      </c>
      <c r="K597" s="31" t="s">
        <v>882</v>
      </c>
      <c r="L597" s="2" t="str">
        <f t="shared" si="72"/>
        <v>Рихтовка</v>
      </c>
      <c r="M597" s="12">
        <f t="shared" si="73"/>
        <v>0</v>
      </c>
      <c r="N597" s="12">
        <f t="shared" si="74"/>
        <v>0</v>
      </c>
      <c r="O597" s="12">
        <f t="shared" si="75"/>
        <v>0</v>
      </c>
      <c r="P597" s="12">
        <f t="shared" si="76"/>
        <v>0</v>
      </c>
      <c r="Q597" s="12">
        <f t="shared" si="77"/>
        <v>0</v>
      </c>
      <c r="R597" s="12">
        <f t="shared" si="78"/>
        <v>0</v>
      </c>
      <c r="S597" s="12">
        <f t="shared" si="79"/>
        <v>0</v>
      </c>
      <c r="T597" s="31">
        <v>0</v>
      </c>
      <c r="U597" s="31">
        <v>0</v>
      </c>
      <c r="V597" s="31">
        <v>0</v>
      </c>
      <c r="W597" s="31">
        <v>0</v>
      </c>
      <c r="X597" s="31">
        <v>0</v>
      </c>
      <c r="Y597" s="31">
        <v>0</v>
      </c>
      <c r="Z597" s="31">
        <v>0</v>
      </c>
      <c r="AA597" s="31">
        <v>0</v>
      </c>
      <c r="AB597" s="31">
        <v>0</v>
      </c>
      <c r="AC597" s="31">
        <v>0</v>
      </c>
      <c r="AD597" s="31">
        <v>0</v>
      </c>
      <c r="AE597" s="31">
        <v>0</v>
      </c>
      <c r="AF597" s="31">
        <v>0</v>
      </c>
      <c r="AG597" s="31">
        <v>0</v>
      </c>
      <c r="AH597" s="31">
        <v>0</v>
      </c>
      <c r="AI597" s="31">
        <v>0</v>
      </c>
      <c r="AJ597" s="31">
        <v>0</v>
      </c>
      <c r="AK597" s="31">
        <v>0</v>
      </c>
      <c r="AL597" s="31">
        <v>0</v>
      </c>
      <c r="AM597" s="31">
        <v>0</v>
      </c>
      <c r="AN597" s="31">
        <v>0</v>
      </c>
      <c r="AO597" s="31">
        <v>0</v>
      </c>
      <c r="AP597" s="31">
        <v>0</v>
      </c>
    </row>
    <row r="598" spans="1:42" x14ac:dyDescent="0.25">
      <c r="A598" s="31">
        <v>14</v>
      </c>
      <c r="B598" s="31">
        <v>13880</v>
      </c>
      <c r="C598" s="31">
        <v>2</v>
      </c>
      <c r="D598" s="31" t="s">
        <v>865</v>
      </c>
      <c r="E598" s="31"/>
      <c r="F598" s="31">
        <v>0</v>
      </c>
      <c r="G598" s="31">
        <v>0</v>
      </c>
      <c r="H598" s="31">
        <v>0</v>
      </c>
      <c r="I598" s="31">
        <v>0</v>
      </c>
      <c r="J598" s="31">
        <v>0</v>
      </c>
      <c r="K598" s="31" t="s">
        <v>882</v>
      </c>
      <c r="L598" s="2" t="str">
        <f t="shared" si="72"/>
        <v>Рихтовка</v>
      </c>
      <c r="M598" s="12">
        <f t="shared" si="73"/>
        <v>0</v>
      </c>
      <c r="N598" s="12">
        <f t="shared" si="74"/>
        <v>0</v>
      </c>
      <c r="O598" s="12">
        <f t="shared" si="75"/>
        <v>0</v>
      </c>
      <c r="P598" s="12">
        <f t="shared" si="76"/>
        <v>0</v>
      </c>
      <c r="Q598" s="12">
        <f t="shared" si="77"/>
        <v>0</v>
      </c>
      <c r="R598" s="12">
        <f t="shared" si="78"/>
        <v>0</v>
      </c>
      <c r="S598" s="12">
        <f t="shared" si="79"/>
        <v>0</v>
      </c>
      <c r="T598" s="31">
        <v>0</v>
      </c>
      <c r="U598" s="31">
        <v>0</v>
      </c>
      <c r="V598" s="31">
        <v>0</v>
      </c>
      <c r="W598" s="31">
        <v>0</v>
      </c>
      <c r="X598" s="31">
        <v>0</v>
      </c>
      <c r="Y598" s="31">
        <v>0</v>
      </c>
      <c r="Z598" s="31">
        <v>0</v>
      </c>
      <c r="AA598" s="31">
        <v>0</v>
      </c>
      <c r="AB598" s="31">
        <v>0</v>
      </c>
      <c r="AC598" s="31">
        <v>0</v>
      </c>
      <c r="AD598" s="31">
        <v>0</v>
      </c>
      <c r="AE598" s="31">
        <v>0</v>
      </c>
      <c r="AF598" s="31">
        <v>0</v>
      </c>
      <c r="AG598" s="31">
        <v>0</v>
      </c>
      <c r="AH598" s="31">
        <v>0</v>
      </c>
      <c r="AI598" s="31">
        <v>0</v>
      </c>
      <c r="AJ598" s="31">
        <v>0</v>
      </c>
      <c r="AK598" s="31">
        <v>0</v>
      </c>
      <c r="AL598" s="31">
        <v>0</v>
      </c>
      <c r="AM598" s="31">
        <v>0</v>
      </c>
      <c r="AN598" s="31">
        <v>0</v>
      </c>
      <c r="AO598" s="31">
        <v>0</v>
      </c>
      <c r="AP598" s="31">
        <v>0</v>
      </c>
    </row>
    <row r="599" spans="1:42" x14ac:dyDescent="0.25">
      <c r="A599" s="31">
        <v>14</v>
      </c>
      <c r="B599" s="31">
        <v>13880</v>
      </c>
      <c r="C599" s="31">
        <v>2</v>
      </c>
      <c r="D599" s="31" t="s">
        <v>866</v>
      </c>
      <c r="E599" s="31"/>
      <c r="F599" s="31">
        <v>0</v>
      </c>
      <c r="G599" s="31">
        <v>0</v>
      </c>
      <c r="H599" s="31">
        <v>0</v>
      </c>
      <c r="I599" s="31">
        <v>0</v>
      </c>
      <c r="J599" s="31">
        <v>0</v>
      </c>
      <c r="K599" s="31" t="s">
        <v>882</v>
      </c>
      <c r="L599" s="2" t="str">
        <f t="shared" si="72"/>
        <v>Рихтовка</v>
      </c>
      <c r="M599" s="12">
        <f t="shared" si="73"/>
        <v>0</v>
      </c>
      <c r="N599" s="12">
        <f t="shared" si="74"/>
        <v>0</v>
      </c>
      <c r="O599" s="12">
        <f t="shared" si="75"/>
        <v>0</v>
      </c>
      <c r="P599" s="12">
        <f t="shared" si="76"/>
        <v>0</v>
      </c>
      <c r="Q599" s="12">
        <f t="shared" si="77"/>
        <v>0</v>
      </c>
      <c r="R599" s="12">
        <f t="shared" si="78"/>
        <v>0</v>
      </c>
      <c r="S599" s="12">
        <f t="shared" si="79"/>
        <v>0</v>
      </c>
      <c r="T599" s="31">
        <v>0</v>
      </c>
      <c r="U599" s="31">
        <v>0</v>
      </c>
      <c r="V599" s="31">
        <v>0</v>
      </c>
      <c r="W599" s="31">
        <v>0</v>
      </c>
      <c r="X599" s="31">
        <v>0</v>
      </c>
      <c r="Y599" s="31">
        <v>0</v>
      </c>
      <c r="Z599" s="31">
        <v>0</v>
      </c>
      <c r="AA599" s="31">
        <v>0</v>
      </c>
      <c r="AB599" s="31">
        <v>0</v>
      </c>
      <c r="AC599" s="31">
        <v>0</v>
      </c>
      <c r="AD599" s="31">
        <v>0</v>
      </c>
      <c r="AE599" s="31">
        <v>0</v>
      </c>
      <c r="AF599" s="31">
        <v>0</v>
      </c>
      <c r="AG599" s="31">
        <v>0</v>
      </c>
      <c r="AH599" s="31">
        <v>0</v>
      </c>
      <c r="AI599" s="31">
        <v>0</v>
      </c>
      <c r="AJ599" s="31">
        <v>0</v>
      </c>
      <c r="AK599" s="31">
        <v>0</v>
      </c>
      <c r="AL599" s="31">
        <v>0</v>
      </c>
      <c r="AM599" s="31">
        <v>0</v>
      </c>
      <c r="AN599" s="31">
        <v>0</v>
      </c>
      <c r="AO599" s="31">
        <v>0</v>
      </c>
      <c r="AP599" s="31">
        <v>0</v>
      </c>
    </row>
    <row r="600" spans="1:42" x14ac:dyDescent="0.25">
      <c r="A600" s="31">
        <v>14</v>
      </c>
      <c r="B600" s="31">
        <v>13880</v>
      </c>
      <c r="C600" s="31">
        <v>2</v>
      </c>
      <c r="D600" s="31" t="s">
        <v>867</v>
      </c>
      <c r="E600" s="31"/>
      <c r="F600" s="31">
        <v>0</v>
      </c>
      <c r="G600" s="31">
        <v>0</v>
      </c>
      <c r="H600" s="31">
        <v>0</v>
      </c>
      <c r="I600" s="31">
        <v>0</v>
      </c>
      <c r="J600" s="31">
        <v>0</v>
      </c>
      <c r="K600" s="31" t="s">
        <v>882</v>
      </c>
      <c r="L600" s="2" t="str">
        <f t="shared" si="72"/>
        <v>Рихтовка</v>
      </c>
      <c r="M600" s="12">
        <f t="shared" si="73"/>
        <v>0</v>
      </c>
      <c r="N600" s="12">
        <f t="shared" si="74"/>
        <v>0</v>
      </c>
      <c r="O600" s="12">
        <f t="shared" si="75"/>
        <v>0</v>
      </c>
      <c r="P600" s="12">
        <f t="shared" si="76"/>
        <v>0</v>
      </c>
      <c r="Q600" s="12">
        <f t="shared" si="77"/>
        <v>0</v>
      </c>
      <c r="R600" s="12">
        <f t="shared" si="78"/>
        <v>0</v>
      </c>
      <c r="S600" s="12">
        <f t="shared" si="79"/>
        <v>0</v>
      </c>
      <c r="T600" s="31">
        <v>0</v>
      </c>
      <c r="U600" s="31">
        <v>0</v>
      </c>
      <c r="V600" s="31">
        <v>0</v>
      </c>
      <c r="W600" s="31">
        <v>0</v>
      </c>
      <c r="X600" s="31">
        <v>0</v>
      </c>
      <c r="Y600" s="31">
        <v>0</v>
      </c>
      <c r="Z600" s="31">
        <v>0</v>
      </c>
      <c r="AA600" s="31">
        <v>0</v>
      </c>
      <c r="AB600" s="31">
        <v>0</v>
      </c>
      <c r="AC600" s="31">
        <v>0</v>
      </c>
      <c r="AD600" s="31">
        <v>0</v>
      </c>
      <c r="AE600" s="31">
        <v>0</v>
      </c>
      <c r="AF600" s="31">
        <v>0</v>
      </c>
      <c r="AG600" s="31">
        <v>0</v>
      </c>
      <c r="AH600" s="31">
        <v>0</v>
      </c>
      <c r="AI600" s="31">
        <v>0</v>
      </c>
      <c r="AJ600" s="31">
        <v>0</v>
      </c>
      <c r="AK600" s="31">
        <v>0</v>
      </c>
      <c r="AL600" s="31">
        <v>0</v>
      </c>
      <c r="AM600" s="31">
        <v>0</v>
      </c>
      <c r="AN600" s="31">
        <v>0</v>
      </c>
      <c r="AO600" s="31">
        <v>0</v>
      </c>
      <c r="AP600" s="31">
        <v>0</v>
      </c>
    </row>
    <row r="601" spans="1:42" x14ac:dyDescent="0.25">
      <c r="A601" s="31">
        <v>14</v>
      </c>
      <c r="B601" s="31">
        <v>13880</v>
      </c>
      <c r="C601" s="31">
        <v>2</v>
      </c>
      <c r="D601" s="31" t="s">
        <v>868</v>
      </c>
      <c r="E601" s="31"/>
      <c r="F601" s="31">
        <v>0</v>
      </c>
      <c r="G601" s="31">
        <v>0</v>
      </c>
      <c r="H601" s="31">
        <v>0</v>
      </c>
      <c r="I601" s="31">
        <v>0</v>
      </c>
      <c r="J601" s="31">
        <v>0</v>
      </c>
      <c r="K601" s="31" t="s">
        <v>882</v>
      </c>
      <c r="L601" s="2" t="str">
        <f t="shared" si="72"/>
        <v>Рихтовка</v>
      </c>
      <c r="M601" s="12">
        <f t="shared" si="73"/>
        <v>0</v>
      </c>
      <c r="N601" s="12">
        <f t="shared" si="74"/>
        <v>0</v>
      </c>
      <c r="O601" s="12">
        <f t="shared" si="75"/>
        <v>0</v>
      </c>
      <c r="P601" s="12">
        <f t="shared" si="76"/>
        <v>0</v>
      </c>
      <c r="Q601" s="12">
        <f t="shared" si="77"/>
        <v>0</v>
      </c>
      <c r="R601" s="12">
        <f t="shared" si="78"/>
        <v>0</v>
      </c>
      <c r="S601" s="12">
        <f t="shared" si="79"/>
        <v>0</v>
      </c>
      <c r="T601" s="31">
        <v>0</v>
      </c>
      <c r="U601" s="31">
        <v>0</v>
      </c>
      <c r="V601" s="31">
        <v>0</v>
      </c>
      <c r="W601" s="31">
        <v>0</v>
      </c>
      <c r="X601" s="31">
        <v>0</v>
      </c>
      <c r="Y601" s="31">
        <v>0</v>
      </c>
      <c r="Z601" s="31">
        <v>0</v>
      </c>
      <c r="AA601" s="31">
        <v>0</v>
      </c>
      <c r="AB601" s="31">
        <v>0</v>
      </c>
      <c r="AC601" s="31">
        <v>0</v>
      </c>
      <c r="AD601" s="31">
        <v>0</v>
      </c>
      <c r="AE601" s="31">
        <v>0</v>
      </c>
      <c r="AF601" s="31">
        <v>0</v>
      </c>
      <c r="AG601" s="31">
        <v>0</v>
      </c>
      <c r="AH601" s="31">
        <v>0</v>
      </c>
      <c r="AI601" s="31">
        <v>0</v>
      </c>
      <c r="AJ601" s="31">
        <v>0</v>
      </c>
      <c r="AK601" s="31">
        <v>0</v>
      </c>
      <c r="AL601" s="31">
        <v>0</v>
      </c>
      <c r="AM601" s="31">
        <v>0</v>
      </c>
      <c r="AN601" s="31">
        <v>0</v>
      </c>
      <c r="AO601" s="31">
        <v>0</v>
      </c>
      <c r="AP601" s="31">
        <v>0</v>
      </c>
    </row>
    <row r="602" spans="1:42" x14ac:dyDescent="0.25">
      <c r="A602" s="31">
        <v>14</v>
      </c>
      <c r="B602" s="31">
        <v>13880</v>
      </c>
      <c r="C602" s="31">
        <v>2</v>
      </c>
      <c r="D602" s="31" t="s">
        <v>869</v>
      </c>
      <c r="E602" s="31"/>
      <c r="F602" s="31">
        <v>0</v>
      </c>
      <c r="G602" s="31">
        <v>0</v>
      </c>
      <c r="H602" s="31">
        <v>0</v>
      </c>
      <c r="I602" s="31">
        <v>0</v>
      </c>
      <c r="J602" s="31">
        <v>0</v>
      </c>
      <c r="K602" s="31" t="s">
        <v>882</v>
      </c>
      <c r="L602" s="2" t="str">
        <f t="shared" si="72"/>
        <v>Рихтовка</v>
      </c>
      <c r="M602" s="12">
        <f t="shared" si="73"/>
        <v>0</v>
      </c>
      <c r="N602" s="12">
        <f t="shared" si="74"/>
        <v>0</v>
      </c>
      <c r="O602" s="12">
        <f t="shared" si="75"/>
        <v>0</v>
      </c>
      <c r="P602" s="12">
        <f t="shared" si="76"/>
        <v>0</v>
      </c>
      <c r="Q602" s="12">
        <f t="shared" si="77"/>
        <v>0</v>
      </c>
      <c r="R602" s="12">
        <f t="shared" si="78"/>
        <v>0</v>
      </c>
      <c r="S602" s="12">
        <f t="shared" si="79"/>
        <v>0</v>
      </c>
      <c r="T602" s="31">
        <v>0</v>
      </c>
      <c r="U602" s="31">
        <v>0</v>
      </c>
      <c r="V602" s="31">
        <v>0</v>
      </c>
      <c r="W602" s="31">
        <v>0</v>
      </c>
      <c r="X602" s="31">
        <v>0</v>
      </c>
      <c r="Y602" s="31">
        <v>0</v>
      </c>
      <c r="Z602" s="31">
        <v>0</v>
      </c>
      <c r="AA602" s="31">
        <v>0</v>
      </c>
      <c r="AB602" s="31">
        <v>0</v>
      </c>
      <c r="AC602" s="31">
        <v>0</v>
      </c>
      <c r="AD602" s="31">
        <v>0</v>
      </c>
      <c r="AE602" s="31">
        <v>0</v>
      </c>
      <c r="AF602" s="31">
        <v>0</v>
      </c>
      <c r="AG602" s="31">
        <v>0</v>
      </c>
      <c r="AH602" s="31">
        <v>0</v>
      </c>
      <c r="AI602" s="31">
        <v>0</v>
      </c>
      <c r="AJ602" s="31">
        <v>0</v>
      </c>
      <c r="AK602" s="31">
        <v>0</v>
      </c>
      <c r="AL602" s="31">
        <v>0</v>
      </c>
      <c r="AM602" s="31">
        <v>0</v>
      </c>
      <c r="AN602" s="31">
        <v>0</v>
      </c>
      <c r="AO602" s="31">
        <v>0</v>
      </c>
      <c r="AP602" s="31">
        <v>0</v>
      </c>
    </row>
    <row r="603" spans="1:42" x14ac:dyDescent="0.25">
      <c r="A603" s="31">
        <v>14</v>
      </c>
      <c r="B603" s="31">
        <v>13880</v>
      </c>
      <c r="C603" s="31">
        <v>2</v>
      </c>
      <c r="D603" s="31" t="s">
        <v>870</v>
      </c>
      <c r="E603" s="31"/>
      <c r="F603" s="31">
        <v>0</v>
      </c>
      <c r="G603" s="31">
        <v>0</v>
      </c>
      <c r="H603" s="31">
        <v>0</v>
      </c>
      <c r="I603" s="31">
        <v>0</v>
      </c>
      <c r="J603" s="31">
        <v>0</v>
      </c>
      <c r="K603" s="31" t="s">
        <v>882</v>
      </c>
      <c r="L603" s="2" t="str">
        <f t="shared" si="72"/>
        <v>Рихтовка</v>
      </c>
      <c r="M603" s="12">
        <f t="shared" si="73"/>
        <v>0</v>
      </c>
      <c r="N603" s="12">
        <f t="shared" si="74"/>
        <v>0</v>
      </c>
      <c r="O603" s="12">
        <f t="shared" si="75"/>
        <v>0</v>
      </c>
      <c r="P603" s="12">
        <f t="shared" si="76"/>
        <v>0</v>
      </c>
      <c r="Q603" s="12">
        <f t="shared" si="77"/>
        <v>0</v>
      </c>
      <c r="R603" s="12">
        <f t="shared" si="78"/>
        <v>0</v>
      </c>
      <c r="S603" s="12">
        <f t="shared" si="79"/>
        <v>0</v>
      </c>
      <c r="T603" s="31">
        <v>0</v>
      </c>
      <c r="U603" s="31">
        <v>0</v>
      </c>
      <c r="V603" s="31">
        <v>0</v>
      </c>
      <c r="W603" s="31">
        <v>0</v>
      </c>
      <c r="X603" s="31">
        <v>0</v>
      </c>
      <c r="Y603" s="31">
        <v>0</v>
      </c>
      <c r="Z603" s="31">
        <v>0</v>
      </c>
      <c r="AA603" s="31">
        <v>0</v>
      </c>
      <c r="AB603" s="31">
        <v>0</v>
      </c>
      <c r="AC603" s="31">
        <v>0</v>
      </c>
      <c r="AD603" s="31">
        <v>0</v>
      </c>
      <c r="AE603" s="31">
        <v>0</v>
      </c>
      <c r="AF603" s="31">
        <v>0</v>
      </c>
      <c r="AG603" s="31">
        <v>0</v>
      </c>
      <c r="AH603" s="31">
        <v>0</v>
      </c>
      <c r="AI603" s="31">
        <v>0</v>
      </c>
      <c r="AJ603" s="31">
        <v>0</v>
      </c>
      <c r="AK603" s="31">
        <v>0</v>
      </c>
      <c r="AL603" s="31">
        <v>0</v>
      </c>
      <c r="AM603" s="31">
        <v>0</v>
      </c>
      <c r="AN603" s="31">
        <v>0</v>
      </c>
      <c r="AO603" s="31">
        <v>0</v>
      </c>
      <c r="AP603" s="31">
        <v>0</v>
      </c>
    </row>
    <row r="604" spans="1:42" x14ac:dyDescent="0.25">
      <c r="A604" s="31">
        <v>14</v>
      </c>
      <c r="B604" s="31">
        <v>13880</v>
      </c>
      <c r="C604" s="31">
        <v>2</v>
      </c>
      <c r="D604" s="31" t="s">
        <v>871</v>
      </c>
      <c r="E604" s="31"/>
      <c r="F604" s="31">
        <v>0</v>
      </c>
      <c r="G604" s="31">
        <v>0</v>
      </c>
      <c r="H604" s="31">
        <v>0</v>
      </c>
      <c r="I604" s="31">
        <v>0</v>
      </c>
      <c r="J604" s="31">
        <v>0</v>
      </c>
      <c r="K604" s="31" t="s">
        <v>882</v>
      </c>
      <c r="L604" s="2" t="str">
        <f t="shared" si="72"/>
        <v>Рихтовка</v>
      </c>
      <c r="M604" s="12">
        <f t="shared" si="73"/>
        <v>0</v>
      </c>
      <c r="N604" s="12">
        <f t="shared" si="74"/>
        <v>0</v>
      </c>
      <c r="O604" s="12">
        <f t="shared" si="75"/>
        <v>0</v>
      </c>
      <c r="P604" s="12">
        <f t="shared" si="76"/>
        <v>0</v>
      </c>
      <c r="Q604" s="12">
        <f t="shared" si="77"/>
        <v>0</v>
      </c>
      <c r="R604" s="12">
        <f t="shared" si="78"/>
        <v>0</v>
      </c>
      <c r="S604" s="12">
        <f t="shared" si="79"/>
        <v>0</v>
      </c>
      <c r="T604" s="31">
        <v>0</v>
      </c>
      <c r="U604" s="31">
        <v>0</v>
      </c>
      <c r="V604" s="31">
        <v>0</v>
      </c>
      <c r="W604" s="31">
        <v>0</v>
      </c>
      <c r="X604" s="31">
        <v>0</v>
      </c>
      <c r="Y604" s="31">
        <v>0</v>
      </c>
      <c r="Z604" s="31">
        <v>0</v>
      </c>
      <c r="AA604" s="31">
        <v>0</v>
      </c>
      <c r="AB604" s="31">
        <v>0</v>
      </c>
      <c r="AC604" s="31">
        <v>0</v>
      </c>
      <c r="AD604" s="31">
        <v>0</v>
      </c>
      <c r="AE604" s="31">
        <v>0</v>
      </c>
      <c r="AF604" s="31">
        <v>0</v>
      </c>
      <c r="AG604" s="31">
        <v>0</v>
      </c>
      <c r="AH604" s="31">
        <v>0</v>
      </c>
      <c r="AI604" s="31">
        <v>0</v>
      </c>
      <c r="AJ604" s="31">
        <v>0</v>
      </c>
      <c r="AK604" s="31">
        <v>0</v>
      </c>
      <c r="AL604" s="31">
        <v>0</v>
      </c>
      <c r="AM604" s="31">
        <v>0</v>
      </c>
      <c r="AN604" s="31">
        <v>0</v>
      </c>
      <c r="AO604" s="31">
        <v>0</v>
      </c>
      <c r="AP604" s="31">
        <v>0</v>
      </c>
    </row>
    <row r="605" spans="1:42" x14ac:dyDescent="0.25">
      <c r="A605" s="31">
        <v>14</v>
      </c>
      <c r="B605" s="31">
        <v>13880</v>
      </c>
      <c r="C605" s="31">
        <v>1</v>
      </c>
      <c r="D605" s="31" t="s">
        <v>872</v>
      </c>
      <c r="E605" s="31"/>
      <c r="F605" s="31">
        <v>0</v>
      </c>
      <c r="G605" s="31">
        <v>0</v>
      </c>
      <c r="H605" s="31">
        <v>0</v>
      </c>
      <c r="I605" s="31">
        <v>0</v>
      </c>
      <c r="J605" s="31">
        <v>0</v>
      </c>
      <c r="K605" s="31" t="s">
        <v>882</v>
      </c>
      <c r="L605" s="2" t="str">
        <f t="shared" si="72"/>
        <v>Рихтовка</v>
      </c>
      <c r="M605" s="12">
        <f t="shared" si="73"/>
        <v>0</v>
      </c>
      <c r="N605" s="12">
        <f t="shared" si="74"/>
        <v>0</v>
      </c>
      <c r="O605" s="12">
        <f t="shared" si="75"/>
        <v>0</v>
      </c>
      <c r="P605" s="12">
        <f t="shared" si="76"/>
        <v>0</v>
      </c>
      <c r="Q605" s="12">
        <f t="shared" si="77"/>
        <v>0</v>
      </c>
      <c r="R605" s="12">
        <f t="shared" si="78"/>
        <v>0</v>
      </c>
      <c r="S605" s="12">
        <f t="shared" si="79"/>
        <v>0</v>
      </c>
      <c r="T605" s="31">
        <v>0</v>
      </c>
      <c r="U605" s="31">
        <v>0</v>
      </c>
      <c r="V605" s="31">
        <v>0</v>
      </c>
      <c r="W605" s="31">
        <v>0</v>
      </c>
      <c r="X605" s="31">
        <v>0</v>
      </c>
      <c r="Y605" s="31">
        <v>0</v>
      </c>
      <c r="Z605" s="31">
        <v>0</v>
      </c>
      <c r="AA605" s="31">
        <v>0</v>
      </c>
      <c r="AB605" s="31">
        <v>0</v>
      </c>
      <c r="AC605" s="31">
        <v>0</v>
      </c>
      <c r="AD605" s="31">
        <v>0</v>
      </c>
      <c r="AE605" s="31">
        <v>0</v>
      </c>
      <c r="AF605" s="31">
        <v>0</v>
      </c>
      <c r="AG605" s="31">
        <v>0</v>
      </c>
      <c r="AH605" s="31">
        <v>0</v>
      </c>
      <c r="AI605" s="31">
        <v>0</v>
      </c>
      <c r="AJ605" s="31">
        <v>0</v>
      </c>
      <c r="AK605" s="31">
        <v>0</v>
      </c>
      <c r="AL605" s="31">
        <v>0</v>
      </c>
      <c r="AM605" s="31">
        <v>0</v>
      </c>
      <c r="AN605" s="31">
        <v>0</v>
      </c>
      <c r="AO605" s="31">
        <v>0</v>
      </c>
      <c r="AP605" s="31">
        <v>0</v>
      </c>
    </row>
    <row r="606" spans="1:42" x14ac:dyDescent="0.25">
      <c r="A606" s="31">
        <v>14</v>
      </c>
      <c r="B606" s="31">
        <v>13880</v>
      </c>
      <c r="C606" s="31">
        <v>1</v>
      </c>
      <c r="D606" s="31" t="s">
        <v>873</v>
      </c>
      <c r="E606" s="31"/>
      <c r="F606" s="31">
        <v>0</v>
      </c>
      <c r="G606" s="31">
        <v>0</v>
      </c>
      <c r="H606" s="31">
        <v>0</v>
      </c>
      <c r="I606" s="31">
        <v>0</v>
      </c>
      <c r="J606" s="31">
        <v>0</v>
      </c>
      <c r="K606" s="31" t="s">
        <v>882</v>
      </c>
      <c r="L606" s="2" t="str">
        <f t="shared" si="72"/>
        <v>Рихтовка</v>
      </c>
      <c r="M606" s="12">
        <f t="shared" si="73"/>
        <v>0</v>
      </c>
      <c r="N606" s="12">
        <f t="shared" si="74"/>
        <v>0</v>
      </c>
      <c r="O606" s="12">
        <f t="shared" si="75"/>
        <v>0</v>
      </c>
      <c r="P606" s="12">
        <f t="shared" si="76"/>
        <v>0</v>
      </c>
      <c r="Q606" s="12">
        <f t="shared" si="77"/>
        <v>0</v>
      </c>
      <c r="R606" s="12">
        <f t="shared" si="78"/>
        <v>0</v>
      </c>
      <c r="S606" s="12">
        <f t="shared" si="79"/>
        <v>0</v>
      </c>
      <c r="T606" s="31">
        <v>0</v>
      </c>
      <c r="U606" s="31">
        <v>0</v>
      </c>
      <c r="V606" s="31">
        <v>0</v>
      </c>
      <c r="W606" s="31">
        <v>0</v>
      </c>
      <c r="X606" s="31">
        <v>0</v>
      </c>
      <c r="Y606" s="31">
        <v>0</v>
      </c>
      <c r="Z606" s="31">
        <v>0</v>
      </c>
      <c r="AA606" s="31">
        <v>0</v>
      </c>
      <c r="AB606" s="31">
        <v>0</v>
      </c>
      <c r="AC606" s="31">
        <v>0</v>
      </c>
      <c r="AD606" s="31">
        <v>0</v>
      </c>
      <c r="AE606" s="31">
        <v>0</v>
      </c>
      <c r="AF606" s="31">
        <v>0</v>
      </c>
      <c r="AG606" s="31">
        <v>0</v>
      </c>
      <c r="AH606" s="31">
        <v>0</v>
      </c>
      <c r="AI606" s="31">
        <v>0</v>
      </c>
      <c r="AJ606" s="31">
        <v>0</v>
      </c>
      <c r="AK606" s="31">
        <v>0</v>
      </c>
      <c r="AL606" s="31">
        <v>0</v>
      </c>
      <c r="AM606" s="31">
        <v>0</v>
      </c>
      <c r="AN606" s="31">
        <v>0</v>
      </c>
      <c r="AO606" s="31">
        <v>0</v>
      </c>
      <c r="AP606" s="31">
        <v>0</v>
      </c>
    </row>
    <row r="607" spans="1:42" x14ac:dyDescent="0.25">
      <c r="A607" s="31">
        <v>14</v>
      </c>
      <c r="B607" s="31">
        <v>13880</v>
      </c>
      <c r="C607" s="31">
        <v>1</v>
      </c>
      <c r="D607" s="31" t="s">
        <v>874</v>
      </c>
      <c r="E607" s="31"/>
      <c r="F607" s="31">
        <v>0</v>
      </c>
      <c r="G607" s="31">
        <v>0</v>
      </c>
      <c r="H607" s="31">
        <v>0</v>
      </c>
      <c r="I607" s="31">
        <v>0</v>
      </c>
      <c r="J607" s="31">
        <v>0</v>
      </c>
      <c r="K607" s="31" t="s">
        <v>882</v>
      </c>
      <c r="L607" s="2" t="str">
        <f t="shared" si="72"/>
        <v>Рихтовка</v>
      </c>
      <c r="M607" s="12">
        <f t="shared" si="73"/>
        <v>0</v>
      </c>
      <c r="N607" s="12">
        <f t="shared" si="74"/>
        <v>0</v>
      </c>
      <c r="O607" s="12">
        <f t="shared" si="75"/>
        <v>0</v>
      </c>
      <c r="P607" s="12">
        <f t="shared" si="76"/>
        <v>0</v>
      </c>
      <c r="Q607" s="12">
        <f t="shared" si="77"/>
        <v>0</v>
      </c>
      <c r="R607" s="12">
        <f t="shared" si="78"/>
        <v>0</v>
      </c>
      <c r="S607" s="12">
        <f t="shared" si="79"/>
        <v>0</v>
      </c>
      <c r="T607" s="31">
        <v>0</v>
      </c>
      <c r="U607" s="31">
        <v>0</v>
      </c>
      <c r="V607" s="31">
        <v>0</v>
      </c>
      <c r="W607" s="31">
        <v>0</v>
      </c>
      <c r="X607" s="31">
        <v>0</v>
      </c>
      <c r="Y607" s="31">
        <v>0</v>
      </c>
      <c r="Z607" s="31">
        <v>0</v>
      </c>
      <c r="AA607" s="31">
        <v>0</v>
      </c>
      <c r="AB607" s="31">
        <v>0</v>
      </c>
      <c r="AC607" s="31">
        <v>0</v>
      </c>
      <c r="AD607" s="31">
        <v>0</v>
      </c>
      <c r="AE607" s="31">
        <v>0</v>
      </c>
      <c r="AF607" s="31">
        <v>0</v>
      </c>
      <c r="AG607" s="31">
        <v>0</v>
      </c>
      <c r="AH607" s="31">
        <v>0</v>
      </c>
      <c r="AI607" s="31">
        <v>0</v>
      </c>
      <c r="AJ607" s="31">
        <v>0</v>
      </c>
      <c r="AK607" s="31">
        <v>0</v>
      </c>
      <c r="AL607" s="31">
        <v>0</v>
      </c>
      <c r="AM607" s="31">
        <v>0</v>
      </c>
      <c r="AN607" s="31">
        <v>0</v>
      </c>
      <c r="AO607" s="31">
        <v>0</v>
      </c>
      <c r="AP607" s="31">
        <v>0</v>
      </c>
    </row>
    <row r="608" spans="1:42" x14ac:dyDescent="0.25">
      <c r="A608" s="31">
        <v>14</v>
      </c>
      <c r="B608" s="31">
        <v>13880</v>
      </c>
      <c r="C608" s="31">
        <v>1</v>
      </c>
      <c r="D608" s="31" t="s">
        <v>875</v>
      </c>
      <c r="E608" s="31"/>
      <c r="F608" s="31">
        <v>0</v>
      </c>
      <c r="G608" s="31">
        <v>0</v>
      </c>
      <c r="H608" s="31">
        <v>0</v>
      </c>
      <c r="I608" s="31">
        <v>0</v>
      </c>
      <c r="J608" s="31">
        <v>0</v>
      </c>
      <c r="K608" s="31" t="s">
        <v>882</v>
      </c>
      <c r="L608" s="2" t="str">
        <f t="shared" si="72"/>
        <v>Рихтовка</v>
      </c>
      <c r="M608" s="12">
        <f t="shared" si="73"/>
        <v>0</v>
      </c>
      <c r="N608" s="12">
        <f t="shared" si="74"/>
        <v>0</v>
      </c>
      <c r="O608" s="12">
        <f t="shared" si="75"/>
        <v>0</v>
      </c>
      <c r="P608" s="12">
        <f t="shared" si="76"/>
        <v>0</v>
      </c>
      <c r="Q608" s="12">
        <f t="shared" si="77"/>
        <v>0</v>
      </c>
      <c r="R608" s="12">
        <f t="shared" si="78"/>
        <v>0</v>
      </c>
      <c r="S608" s="12">
        <f t="shared" si="79"/>
        <v>0</v>
      </c>
      <c r="T608" s="31">
        <v>0</v>
      </c>
      <c r="U608" s="31">
        <v>0</v>
      </c>
      <c r="V608" s="31">
        <v>0</v>
      </c>
      <c r="W608" s="31">
        <v>0</v>
      </c>
      <c r="X608" s="31">
        <v>0</v>
      </c>
      <c r="Y608" s="31">
        <v>0</v>
      </c>
      <c r="Z608" s="31">
        <v>0</v>
      </c>
      <c r="AA608" s="31">
        <v>0</v>
      </c>
      <c r="AB608" s="31">
        <v>0</v>
      </c>
      <c r="AC608" s="31">
        <v>0</v>
      </c>
      <c r="AD608" s="31">
        <v>0</v>
      </c>
      <c r="AE608" s="31">
        <v>0</v>
      </c>
      <c r="AF608" s="31">
        <v>0</v>
      </c>
      <c r="AG608" s="31">
        <v>0</v>
      </c>
      <c r="AH608" s="31">
        <v>0</v>
      </c>
      <c r="AI608" s="31">
        <v>0</v>
      </c>
      <c r="AJ608" s="31">
        <v>0</v>
      </c>
      <c r="AK608" s="31">
        <v>0</v>
      </c>
      <c r="AL608" s="31">
        <v>0</v>
      </c>
      <c r="AM608" s="31">
        <v>0</v>
      </c>
      <c r="AN608" s="31">
        <v>0</v>
      </c>
      <c r="AO608" s="31">
        <v>0</v>
      </c>
      <c r="AP608" s="31">
        <v>0</v>
      </c>
    </row>
    <row r="609" spans="1:42" x14ac:dyDescent="0.25">
      <c r="A609" s="31">
        <v>14</v>
      </c>
      <c r="B609" s="31">
        <v>25136</v>
      </c>
      <c r="C609" s="31">
        <v>1</v>
      </c>
      <c r="D609" s="31" t="s">
        <v>876</v>
      </c>
      <c r="E609" s="31"/>
      <c r="F609" s="31">
        <v>0</v>
      </c>
      <c r="G609" s="31">
        <v>0</v>
      </c>
      <c r="H609" s="31">
        <v>0</v>
      </c>
      <c r="I609" s="31">
        <v>0</v>
      </c>
      <c r="J609" s="31">
        <v>0</v>
      </c>
      <c r="K609" s="31" t="s">
        <v>882</v>
      </c>
      <c r="L609" s="2" t="str">
        <f t="shared" si="72"/>
        <v>Рихтовка</v>
      </c>
      <c r="M609" s="12">
        <f t="shared" si="73"/>
        <v>0</v>
      </c>
      <c r="N609" s="12">
        <f t="shared" si="74"/>
        <v>0</v>
      </c>
      <c r="O609" s="12">
        <f t="shared" si="75"/>
        <v>0</v>
      </c>
      <c r="P609" s="12">
        <f t="shared" si="76"/>
        <v>0</v>
      </c>
      <c r="Q609" s="12">
        <f t="shared" si="77"/>
        <v>0</v>
      </c>
      <c r="R609" s="12">
        <f t="shared" si="78"/>
        <v>0</v>
      </c>
      <c r="S609" s="12">
        <f t="shared" si="79"/>
        <v>0</v>
      </c>
      <c r="T609" s="31">
        <v>0</v>
      </c>
      <c r="U609" s="31">
        <v>0</v>
      </c>
      <c r="V609" s="31">
        <v>0</v>
      </c>
      <c r="W609" s="31">
        <v>0</v>
      </c>
      <c r="X609" s="31">
        <v>0</v>
      </c>
      <c r="Y609" s="31">
        <v>0</v>
      </c>
      <c r="Z609" s="31">
        <v>0</v>
      </c>
      <c r="AA609" s="31">
        <v>0</v>
      </c>
      <c r="AB609" s="31">
        <v>0</v>
      </c>
      <c r="AC609" s="31">
        <v>0</v>
      </c>
      <c r="AD609" s="31">
        <v>0</v>
      </c>
      <c r="AE609" s="31">
        <v>0</v>
      </c>
      <c r="AF609" s="31">
        <v>0</v>
      </c>
      <c r="AG609" s="31">
        <v>0</v>
      </c>
      <c r="AH609" s="31">
        <v>0</v>
      </c>
      <c r="AI609" s="31">
        <v>0</v>
      </c>
      <c r="AJ609" s="31">
        <v>0</v>
      </c>
      <c r="AK609" s="31">
        <v>0</v>
      </c>
      <c r="AL609" s="31">
        <v>0</v>
      </c>
      <c r="AM609" s="31">
        <v>0</v>
      </c>
      <c r="AN609" s="31">
        <v>0</v>
      </c>
      <c r="AO609" s="31">
        <v>0</v>
      </c>
      <c r="AP609" s="31">
        <v>0</v>
      </c>
    </row>
    <row r="610" spans="1:42" x14ac:dyDescent="0.25">
      <c r="A610" s="31">
        <v>14</v>
      </c>
      <c r="B610" s="31">
        <v>25136</v>
      </c>
      <c r="C610" s="31">
        <v>1</v>
      </c>
      <c r="D610" s="31" t="s">
        <v>877</v>
      </c>
      <c r="E610" s="31"/>
      <c r="F610" s="31">
        <v>0</v>
      </c>
      <c r="G610" s="31">
        <v>0</v>
      </c>
      <c r="H610" s="31">
        <v>0</v>
      </c>
      <c r="I610" s="31">
        <v>0</v>
      </c>
      <c r="J610" s="31">
        <v>0</v>
      </c>
      <c r="K610" s="31" t="s">
        <v>882</v>
      </c>
      <c r="L610" s="2" t="str">
        <f t="shared" si="72"/>
        <v>Рихтовка</v>
      </c>
      <c r="M610" s="12">
        <f t="shared" si="73"/>
        <v>0</v>
      </c>
      <c r="N610" s="12">
        <f t="shared" si="74"/>
        <v>0</v>
      </c>
      <c r="O610" s="12">
        <f t="shared" si="75"/>
        <v>0</v>
      </c>
      <c r="P610" s="12">
        <f t="shared" si="76"/>
        <v>0</v>
      </c>
      <c r="Q610" s="12">
        <f t="shared" si="77"/>
        <v>0</v>
      </c>
      <c r="R610" s="12">
        <f t="shared" si="78"/>
        <v>0</v>
      </c>
      <c r="S610" s="12">
        <f t="shared" si="79"/>
        <v>0</v>
      </c>
      <c r="T610" s="31">
        <v>0</v>
      </c>
      <c r="U610" s="31">
        <v>0</v>
      </c>
      <c r="V610" s="31">
        <v>0</v>
      </c>
      <c r="W610" s="31">
        <v>0</v>
      </c>
      <c r="X610" s="31">
        <v>0</v>
      </c>
      <c r="Y610" s="31">
        <v>0</v>
      </c>
      <c r="Z610" s="31">
        <v>0</v>
      </c>
      <c r="AA610" s="31">
        <v>0</v>
      </c>
      <c r="AB610" s="31">
        <v>0</v>
      </c>
      <c r="AC610" s="31">
        <v>0</v>
      </c>
      <c r="AD610" s="31">
        <v>0</v>
      </c>
      <c r="AE610" s="31">
        <v>0</v>
      </c>
      <c r="AF610" s="31">
        <v>0</v>
      </c>
      <c r="AG610" s="31">
        <v>0</v>
      </c>
      <c r="AH610" s="31">
        <v>0</v>
      </c>
      <c r="AI610" s="31">
        <v>0</v>
      </c>
      <c r="AJ610" s="31">
        <v>0</v>
      </c>
      <c r="AK610" s="31">
        <v>0</v>
      </c>
      <c r="AL610" s="31">
        <v>0</v>
      </c>
      <c r="AM610" s="31">
        <v>0</v>
      </c>
      <c r="AN610" s="31">
        <v>0</v>
      </c>
      <c r="AO610" s="31">
        <v>0</v>
      </c>
      <c r="AP610" s="31">
        <v>0</v>
      </c>
    </row>
    <row r="611" spans="1:42" x14ac:dyDescent="0.25">
      <c r="A611" s="31">
        <v>14</v>
      </c>
      <c r="B611" s="31">
        <v>25136</v>
      </c>
      <c r="C611" s="31">
        <v>2</v>
      </c>
      <c r="D611" s="31" t="s">
        <v>876</v>
      </c>
      <c r="E611" s="31"/>
      <c r="F611" s="31">
        <v>0</v>
      </c>
      <c r="G611" s="31">
        <v>0</v>
      </c>
      <c r="H611" s="31">
        <v>0</v>
      </c>
      <c r="I611" s="31">
        <v>0</v>
      </c>
      <c r="J611" s="31">
        <v>0</v>
      </c>
      <c r="K611" s="31" t="s">
        <v>882</v>
      </c>
      <c r="L611" s="2" t="str">
        <f t="shared" si="72"/>
        <v>Рихтовка</v>
      </c>
      <c r="M611" s="12">
        <f t="shared" si="73"/>
        <v>0</v>
      </c>
      <c r="N611" s="12">
        <f t="shared" si="74"/>
        <v>0</v>
      </c>
      <c r="O611" s="12">
        <f t="shared" si="75"/>
        <v>0</v>
      </c>
      <c r="P611" s="12">
        <f t="shared" si="76"/>
        <v>0</v>
      </c>
      <c r="Q611" s="12">
        <f t="shared" si="77"/>
        <v>0</v>
      </c>
      <c r="R611" s="12">
        <f t="shared" si="78"/>
        <v>0</v>
      </c>
      <c r="S611" s="12">
        <f t="shared" si="79"/>
        <v>0</v>
      </c>
      <c r="T611" s="31">
        <v>0</v>
      </c>
      <c r="U611" s="31">
        <v>0</v>
      </c>
      <c r="V611" s="31">
        <v>0</v>
      </c>
      <c r="W611" s="31">
        <v>0</v>
      </c>
      <c r="X611" s="31">
        <v>0</v>
      </c>
      <c r="Y611" s="31">
        <v>0</v>
      </c>
      <c r="Z611" s="31">
        <v>0</v>
      </c>
      <c r="AA611" s="31">
        <v>0</v>
      </c>
      <c r="AB611" s="31">
        <v>0</v>
      </c>
      <c r="AC611" s="31">
        <v>0</v>
      </c>
      <c r="AD611" s="31">
        <v>0</v>
      </c>
      <c r="AE611" s="31">
        <v>0</v>
      </c>
      <c r="AF611" s="31">
        <v>0</v>
      </c>
      <c r="AG611" s="31">
        <v>0</v>
      </c>
      <c r="AH611" s="31">
        <v>0</v>
      </c>
      <c r="AI611" s="31">
        <v>0</v>
      </c>
      <c r="AJ611" s="31">
        <v>0</v>
      </c>
      <c r="AK611" s="31">
        <v>0</v>
      </c>
      <c r="AL611" s="31">
        <v>0</v>
      </c>
      <c r="AM611" s="31">
        <v>0</v>
      </c>
      <c r="AN611" s="31">
        <v>0</v>
      </c>
      <c r="AO611" s="31">
        <v>0</v>
      </c>
      <c r="AP611" s="31">
        <v>0</v>
      </c>
    </row>
    <row r="612" spans="1:42" x14ac:dyDescent="0.25">
      <c r="A612" s="31">
        <v>14</v>
      </c>
      <c r="B612" s="31">
        <v>25136</v>
      </c>
      <c r="C612" s="31">
        <v>2</v>
      </c>
      <c r="D612" s="31" t="s">
        <v>877</v>
      </c>
      <c r="E612" s="31"/>
      <c r="F612" s="31">
        <v>0</v>
      </c>
      <c r="G612" s="31">
        <v>0</v>
      </c>
      <c r="H612" s="31">
        <v>0</v>
      </c>
      <c r="I612" s="31">
        <v>0</v>
      </c>
      <c r="J612" s="31">
        <v>0</v>
      </c>
      <c r="K612" s="31" t="s">
        <v>882</v>
      </c>
      <c r="L612" s="2" t="str">
        <f t="shared" si="72"/>
        <v>Рихтовка</v>
      </c>
      <c r="M612" s="12">
        <f t="shared" si="73"/>
        <v>0</v>
      </c>
      <c r="N612" s="12">
        <f t="shared" si="74"/>
        <v>0</v>
      </c>
      <c r="O612" s="12">
        <f t="shared" si="75"/>
        <v>0</v>
      </c>
      <c r="P612" s="12">
        <f t="shared" si="76"/>
        <v>0</v>
      </c>
      <c r="Q612" s="12">
        <f t="shared" si="77"/>
        <v>0</v>
      </c>
      <c r="R612" s="12">
        <f t="shared" si="78"/>
        <v>0</v>
      </c>
      <c r="S612" s="12">
        <f t="shared" si="79"/>
        <v>0</v>
      </c>
      <c r="T612" s="31">
        <v>0</v>
      </c>
      <c r="U612" s="31">
        <v>0</v>
      </c>
      <c r="V612" s="31">
        <v>0</v>
      </c>
      <c r="W612" s="31">
        <v>0</v>
      </c>
      <c r="X612" s="31">
        <v>0</v>
      </c>
      <c r="Y612" s="31">
        <v>0</v>
      </c>
      <c r="Z612" s="31">
        <v>0</v>
      </c>
      <c r="AA612" s="31">
        <v>0</v>
      </c>
      <c r="AB612" s="31">
        <v>0</v>
      </c>
      <c r="AC612" s="31">
        <v>0</v>
      </c>
      <c r="AD612" s="31">
        <v>0</v>
      </c>
      <c r="AE612" s="31">
        <v>0</v>
      </c>
      <c r="AF612" s="31">
        <v>0</v>
      </c>
      <c r="AG612" s="31">
        <v>0</v>
      </c>
      <c r="AH612" s="31">
        <v>0</v>
      </c>
      <c r="AI612" s="31">
        <v>0</v>
      </c>
      <c r="AJ612" s="31">
        <v>0</v>
      </c>
      <c r="AK612" s="31">
        <v>0</v>
      </c>
      <c r="AL612" s="31">
        <v>0</v>
      </c>
      <c r="AM612" s="31">
        <v>0</v>
      </c>
      <c r="AN612" s="31">
        <v>0</v>
      </c>
      <c r="AO612" s="31">
        <v>0</v>
      </c>
      <c r="AP612" s="31">
        <v>0</v>
      </c>
    </row>
    <row r="613" spans="1:42" x14ac:dyDescent="0.25">
      <c r="A613" s="31">
        <v>14</v>
      </c>
      <c r="B613" s="31">
        <v>25136</v>
      </c>
      <c r="C613" s="31">
        <v>2</v>
      </c>
      <c r="D613" s="31" t="s">
        <v>878</v>
      </c>
      <c r="E613" s="31"/>
      <c r="F613" s="31">
        <v>0</v>
      </c>
      <c r="G613" s="31">
        <v>0</v>
      </c>
      <c r="H613" s="31">
        <v>0</v>
      </c>
      <c r="I613" s="31">
        <v>0</v>
      </c>
      <c r="J613" s="31">
        <v>0</v>
      </c>
      <c r="K613" s="31" t="s">
        <v>882</v>
      </c>
      <c r="L613" s="2" t="str">
        <f t="shared" si="72"/>
        <v>Рихтовка</v>
      </c>
      <c r="M613" s="12">
        <f t="shared" si="73"/>
        <v>0</v>
      </c>
      <c r="N613" s="12">
        <f t="shared" si="74"/>
        <v>0</v>
      </c>
      <c r="O613" s="12">
        <f t="shared" si="75"/>
        <v>0</v>
      </c>
      <c r="P613" s="12">
        <f t="shared" si="76"/>
        <v>0</v>
      </c>
      <c r="Q613" s="12">
        <f t="shared" si="77"/>
        <v>0</v>
      </c>
      <c r="R613" s="12">
        <f t="shared" si="78"/>
        <v>0</v>
      </c>
      <c r="S613" s="12">
        <f t="shared" si="79"/>
        <v>0</v>
      </c>
      <c r="T613" s="31">
        <v>0</v>
      </c>
      <c r="U613" s="31">
        <v>0</v>
      </c>
      <c r="V613" s="31">
        <v>0</v>
      </c>
      <c r="W613" s="31">
        <v>0</v>
      </c>
      <c r="X613" s="31">
        <v>0</v>
      </c>
      <c r="Y613" s="31">
        <v>0</v>
      </c>
      <c r="Z613" s="31">
        <v>0</v>
      </c>
      <c r="AA613" s="31">
        <v>0</v>
      </c>
      <c r="AB613" s="31">
        <v>0</v>
      </c>
      <c r="AC613" s="31">
        <v>0</v>
      </c>
      <c r="AD613" s="31">
        <v>0</v>
      </c>
      <c r="AE613" s="31">
        <v>0</v>
      </c>
      <c r="AF613" s="31">
        <v>0</v>
      </c>
      <c r="AG613" s="31">
        <v>0</v>
      </c>
      <c r="AH613" s="31">
        <v>0</v>
      </c>
      <c r="AI613" s="31">
        <v>0</v>
      </c>
      <c r="AJ613" s="31">
        <v>0</v>
      </c>
      <c r="AK613" s="31">
        <v>0</v>
      </c>
      <c r="AL613" s="31">
        <v>0</v>
      </c>
      <c r="AM613" s="31">
        <v>0</v>
      </c>
      <c r="AN613" s="31">
        <v>0</v>
      </c>
      <c r="AO613" s="31">
        <v>0</v>
      </c>
      <c r="AP613" s="31">
        <v>0</v>
      </c>
    </row>
    <row r="614" spans="1:42" x14ac:dyDescent="0.25">
      <c r="A614" s="31">
        <v>14</v>
      </c>
      <c r="B614" s="31">
        <v>25191</v>
      </c>
      <c r="C614" s="31" t="s">
        <v>421</v>
      </c>
      <c r="D614" s="31" t="s">
        <v>939</v>
      </c>
      <c r="E614" s="31"/>
      <c r="F614" s="31">
        <v>0</v>
      </c>
      <c r="G614" s="31">
        <v>0</v>
      </c>
      <c r="H614" s="31">
        <v>0</v>
      </c>
      <c r="I614" s="31">
        <v>0</v>
      </c>
      <c r="J614" s="31">
        <v>0</v>
      </c>
      <c r="K614" s="31" t="s">
        <v>882</v>
      </c>
      <c r="L614" s="19" t="str">
        <f t="shared" si="72"/>
        <v>Рихтовка</v>
      </c>
      <c r="M614" s="12">
        <f t="shared" si="73"/>
        <v>0</v>
      </c>
      <c r="N614" s="12">
        <f t="shared" si="74"/>
        <v>0</v>
      </c>
      <c r="O614" s="12">
        <f t="shared" si="75"/>
        <v>0</v>
      </c>
      <c r="P614" s="12">
        <f t="shared" si="76"/>
        <v>0</v>
      </c>
      <c r="Q614" s="12">
        <f t="shared" si="77"/>
        <v>0</v>
      </c>
      <c r="R614" s="12">
        <f t="shared" si="78"/>
        <v>0</v>
      </c>
      <c r="S614" s="12">
        <f t="shared" si="79"/>
        <v>0</v>
      </c>
      <c r="T614" s="31">
        <v>0</v>
      </c>
      <c r="U614" s="31">
        <v>0</v>
      </c>
      <c r="V614" s="31">
        <v>0</v>
      </c>
      <c r="W614" s="31">
        <v>0</v>
      </c>
      <c r="X614" s="31">
        <v>0</v>
      </c>
      <c r="Y614" s="31">
        <v>0</v>
      </c>
      <c r="Z614" s="31">
        <v>0</v>
      </c>
      <c r="AA614" s="31">
        <v>0</v>
      </c>
      <c r="AB614" s="31">
        <v>0</v>
      </c>
      <c r="AC614" s="31">
        <v>0</v>
      </c>
      <c r="AD614" s="31">
        <v>0</v>
      </c>
      <c r="AE614" s="31">
        <v>0</v>
      </c>
      <c r="AF614" s="31">
        <v>0</v>
      </c>
      <c r="AG614" s="31">
        <v>0</v>
      </c>
      <c r="AH614" s="31">
        <v>0</v>
      </c>
      <c r="AI614" s="31">
        <v>0</v>
      </c>
      <c r="AJ614" s="31">
        <v>0</v>
      </c>
      <c r="AK614" s="31">
        <v>0</v>
      </c>
      <c r="AL614" s="31">
        <v>0</v>
      </c>
      <c r="AM614" s="31">
        <v>0</v>
      </c>
      <c r="AN614" s="31">
        <v>0</v>
      </c>
      <c r="AO614" s="31">
        <v>0</v>
      </c>
      <c r="AP614" s="31">
        <v>0</v>
      </c>
    </row>
    <row r="615" spans="1:42" x14ac:dyDescent="0.25">
      <c r="A615" s="31">
        <v>32</v>
      </c>
      <c r="B615" s="31">
        <v>25202</v>
      </c>
      <c r="C615" s="31">
        <v>1</v>
      </c>
      <c r="D615" s="31" t="s">
        <v>1004</v>
      </c>
      <c r="E615" s="31"/>
      <c r="F615" s="31">
        <v>0</v>
      </c>
      <c r="G615" s="31">
        <v>0</v>
      </c>
      <c r="H615" s="31">
        <v>0</v>
      </c>
      <c r="I615" s="31">
        <v>0</v>
      </c>
      <c r="J615" s="31">
        <v>0</v>
      </c>
      <c r="K615" s="31" t="s">
        <v>882</v>
      </c>
      <c r="L615" s="19" t="str">
        <f t="shared" si="72"/>
        <v>Рихтовка</v>
      </c>
      <c r="M615" s="12">
        <f t="shared" si="73"/>
        <v>0</v>
      </c>
      <c r="N615" s="12">
        <f t="shared" si="74"/>
        <v>0</v>
      </c>
      <c r="O615" s="12">
        <f t="shared" si="75"/>
        <v>0</v>
      </c>
      <c r="P615" s="12">
        <f t="shared" si="76"/>
        <v>0</v>
      </c>
      <c r="Q615" s="12">
        <f t="shared" si="77"/>
        <v>0</v>
      </c>
      <c r="R615" s="12">
        <f t="shared" si="78"/>
        <v>0</v>
      </c>
      <c r="S615" s="12">
        <f t="shared" si="79"/>
        <v>0</v>
      </c>
      <c r="T615" s="31">
        <v>0</v>
      </c>
      <c r="U615" s="31">
        <v>0</v>
      </c>
      <c r="V615" s="31">
        <v>0</v>
      </c>
      <c r="W615" s="31">
        <v>0</v>
      </c>
      <c r="X615" s="31">
        <v>0</v>
      </c>
      <c r="Y615" s="31">
        <v>0</v>
      </c>
      <c r="Z615" s="31">
        <v>0</v>
      </c>
      <c r="AA615" s="31">
        <v>0</v>
      </c>
      <c r="AB615" s="31">
        <v>0</v>
      </c>
      <c r="AC615" s="31">
        <v>0</v>
      </c>
      <c r="AD615" s="31">
        <v>0</v>
      </c>
      <c r="AE615" s="31">
        <v>0</v>
      </c>
      <c r="AF615" s="31">
        <v>0</v>
      </c>
      <c r="AG615" s="31">
        <v>0</v>
      </c>
      <c r="AH615" s="31">
        <v>0</v>
      </c>
      <c r="AI615" s="31">
        <v>0</v>
      </c>
      <c r="AJ615" s="31">
        <v>0</v>
      </c>
      <c r="AK615" s="31">
        <v>0</v>
      </c>
      <c r="AL615" s="31">
        <v>0</v>
      </c>
      <c r="AM615" s="31">
        <v>0</v>
      </c>
      <c r="AN615" s="31">
        <v>0</v>
      </c>
      <c r="AO615" s="31">
        <v>0</v>
      </c>
      <c r="AP615" s="31">
        <v>0</v>
      </c>
    </row>
    <row r="616" spans="1:42" x14ac:dyDescent="0.25">
      <c r="A616" s="31">
        <v>32</v>
      </c>
      <c r="B616" s="31">
        <v>25202</v>
      </c>
      <c r="C616" s="31">
        <v>3</v>
      </c>
      <c r="D616" s="31" t="s">
        <v>1005</v>
      </c>
      <c r="E616" s="31"/>
      <c r="F616" s="31">
        <v>0</v>
      </c>
      <c r="G616" s="31">
        <v>0</v>
      </c>
      <c r="H616" s="31">
        <v>0</v>
      </c>
      <c r="I616" s="31">
        <v>0</v>
      </c>
      <c r="J616" s="31">
        <v>0</v>
      </c>
      <c r="K616" s="31" t="s">
        <v>882</v>
      </c>
      <c r="L616" s="19" t="str">
        <f t="shared" si="72"/>
        <v>Рихтовка</v>
      </c>
      <c r="M616" s="12">
        <f t="shared" si="73"/>
        <v>0</v>
      </c>
      <c r="N616" s="12">
        <f t="shared" si="74"/>
        <v>0</v>
      </c>
      <c r="O616" s="12">
        <f t="shared" si="75"/>
        <v>0</v>
      </c>
      <c r="P616" s="12">
        <f t="shared" si="76"/>
        <v>0</v>
      </c>
      <c r="Q616" s="12">
        <f t="shared" si="77"/>
        <v>0</v>
      </c>
      <c r="R616" s="12">
        <f t="shared" si="78"/>
        <v>0</v>
      </c>
      <c r="S616" s="12">
        <f t="shared" si="79"/>
        <v>0</v>
      </c>
      <c r="T616" s="31">
        <v>0</v>
      </c>
      <c r="U616" s="31">
        <v>0</v>
      </c>
      <c r="V616" s="31">
        <v>0</v>
      </c>
      <c r="W616" s="31">
        <v>0</v>
      </c>
      <c r="X616" s="31">
        <v>0</v>
      </c>
      <c r="Y616" s="31">
        <v>0</v>
      </c>
      <c r="Z616" s="31">
        <v>0</v>
      </c>
      <c r="AA616" s="31">
        <v>0</v>
      </c>
      <c r="AB616" s="31">
        <v>0</v>
      </c>
      <c r="AC616" s="31">
        <v>0</v>
      </c>
      <c r="AD616" s="31">
        <v>0</v>
      </c>
      <c r="AE616" s="31">
        <v>0</v>
      </c>
      <c r="AF616" s="31">
        <v>0</v>
      </c>
      <c r="AG616" s="31">
        <v>0</v>
      </c>
      <c r="AH616" s="31">
        <v>0</v>
      </c>
      <c r="AI616" s="31">
        <v>0</v>
      </c>
      <c r="AJ616" s="31">
        <v>0</v>
      </c>
      <c r="AK616" s="31">
        <v>0</v>
      </c>
      <c r="AL616" s="31">
        <v>0</v>
      </c>
      <c r="AM616" s="31">
        <v>0</v>
      </c>
      <c r="AN616" s="31">
        <v>0</v>
      </c>
      <c r="AO616" s="31">
        <v>0</v>
      </c>
      <c r="AP616" s="31">
        <v>0</v>
      </c>
    </row>
    <row r="617" spans="1:42" x14ac:dyDescent="0.25">
      <c r="A617" s="31">
        <v>32</v>
      </c>
      <c r="B617" s="31">
        <v>25202</v>
      </c>
      <c r="C617" s="31">
        <v>1</v>
      </c>
      <c r="D617" s="31" t="s">
        <v>1006</v>
      </c>
      <c r="E617" s="31"/>
      <c r="F617" s="31">
        <v>0</v>
      </c>
      <c r="G617" s="31">
        <v>0</v>
      </c>
      <c r="H617" s="31">
        <v>0</v>
      </c>
      <c r="I617" s="31">
        <v>0</v>
      </c>
      <c r="J617" s="31">
        <v>0</v>
      </c>
      <c r="K617" s="31" t="s">
        <v>882</v>
      </c>
      <c r="L617" s="19" t="str">
        <f t="shared" si="72"/>
        <v>Рихтовка</v>
      </c>
      <c r="M617" s="12">
        <f t="shared" si="73"/>
        <v>0</v>
      </c>
      <c r="N617" s="12">
        <f t="shared" si="74"/>
        <v>0</v>
      </c>
      <c r="O617" s="12">
        <f t="shared" si="75"/>
        <v>0</v>
      </c>
      <c r="P617" s="12">
        <f t="shared" si="76"/>
        <v>0</v>
      </c>
      <c r="Q617" s="12">
        <f t="shared" si="77"/>
        <v>0</v>
      </c>
      <c r="R617" s="12">
        <f t="shared" si="78"/>
        <v>0</v>
      </c>
      <c r="S617" s="12">
        <f t="shared" si="79"/>
        <v>0</v>
      </c>
      <c r="T617" s="31">
        <v>0</v>
      </c>
      <c r="U617" s="31">
        <v>0</v>
      </c>
      <c r="V617" s="31">
        <v>0</v>
      </c>
      <c r="W617" s="31">
        <v>0</v>
      </c>
      <c r="X617" s="31">
        <v>0</v>
      </c>
      <c r="Y617" s="31">
        <v>0</v>
      </c>
      <c r="Z617" s="31">
        <v>0</v>
      </c>
      <c r="AA617" s="31">
        <v>0</v>
      </c>
      <c r="AB617" s="31">
        <v>0</v>
      </c>
      <c r="AC617" s="31">
        <v>0</v>
      </c>
      <c r="AD617" s="31">
        <v>0</v>
      </c>
      <c r="AE617" s="31">
        <v>0</v>
      </c>
      <c r="AF617" s="31">
        <v>0</v>
      </c>
      <c r="AG617" s="31">
        <v>0</v>
      </c>
      <c r="AH617" s="31">
        <v>0</v>
      </c>
      <c r="AI617" s="31">
        <v>0</v>
      </c>
      <c r="AJ617" s="31">
        <v>0</v>
      </c>
      <c r="AK617" s="31">
        <v>0</v>
      </c>
      <c r="AL617" s="31">
        <v>0</v>
      </c>
      <c r="AM617" s="31">
        <v>0</v>
      </c>
      <c r="AN617" s="31">
        <v>0</v>
      </c>
      <c r="AO617" s="31">
        <v>0</v>
      </c>
      <c r="AP617" s="31">
        <v>0</v>
      </c>
    </row>
    <row r="618" spans="1:42" x14ac:dyDescent="0.25">
      <c r="A618" s="31">
        <v>32</v>
      </c>
      <c r="B618" s="31">
        <v>25202</v>
      </c>
      <c r="C618" s="31">
        <v>2</v>
      </c>
      <c r="D618" s="31" t="s">
        <v>1007</v>
      </c>
      <c r="E618" s="31"/>
      <c r="F618" s="31">
        <v>0</v>
      </c>
      <c r="G618" s="31">
        <v>0</v>
      </c>
      <c r="H618" s="31">
        <v>0</v>
      </c>
      <c r="I618" s="31">
        <v>0</v>
      </c>
      <c r="J618" s="31">
        <v>0</v>
      </c>
      <c r="K618" s="31" t="s">
        <v>882</v>
      </c>
      <c r="L618" s="19" t="str">
        <f t="shared" si="72"/>
        <v>Рихтовка</v>
      </c>
      <c r="M618" s="12">
        <f t="shared" si="73"/>
        <v>0</v>
      </c>
      <c r="N618" s="12">
        <f t="shared" si="74"/>
        <v>0</v>
      </c>
      <c r="O618" s="12">
        <f t="shared" si="75"/>
        <v>0</v>
      </c>
      <c r="P618" s="12">
        <f t="shared" si="76"/>
        <v>0</v>
      </c>
      <c r="Q618" s="12">
        <f t="shared" si="77"/>
        <v>0</v>
      </c>
      <c r="R618" s="12">
        <f t="shared" si="78"/>
        <v>0</v>
      </c>
      <c r="S618" s="12">
        <f t="shared" si="79"/>
        <v>0</v>
      </c>
      <c r="T618" s="31">
        <v>0</v>
      </c>
      <c r="U618" s="31">
        <v>0</v>
      </c>
      <c r="V618" s="31">
        <v>0</v>
      </c>
      <c r="W618" s="31">
        <v>0</v>
      </c>
      <c r="X618" s="31">
        <v>0</v>
      </c>
      <c r="Y618" s="31">
        <v>0</v>
      </c>
      <c r="Z618" s="31">
        <v>0</v>
      </c>
      <c r="AA618" s="31">
        <v>0</v>
      </c>
      <c r="AB618" s="31">
        <v>0</v>
      </c>
      <c r="AC618" s="31">
        <v>0</v>
      </c>
      <c r="AD618" s="31">
        <v>0</v>
      </c>
      <c r="AE618" s="31">
        <v>0</v>
      </c>
      <c r="AF618" s="31">
        <v>0</v>
      </c>
      <c r="AG618" s="31">
        <v>0</v>
      </c>
      <c r="AH618" s="31">
        <v>0</v>
      </c>
      <c r="AI618" s="31">
        <v>0</v>
      </c>
      <c r="AJ618" s="31">
        <v>0</v>
      </c>
      <c r="AK618" s="31">
        <v>0</v>
      </c>
      <c r="AL618" s="31">
        <v>0</v>
      </c>
      <c r="AM618" s="31">
        <v>0</v>
      </c>
      <c r="AN618" s="31">
        <v>0</v>
      </c>
      <c r="AO618" s="31">
        <v>0</v>
      </c>
      <c r="AP618" s="31">
        <v>0</v>
      </c>
    </row>
    <row r="619" spans="1:42" x14ac:dyDescent="0.25">
      <c r="A619" s="31">
        <v>32</v>
      </c>
      <c r="B619" s="31">
        <v>25202</v>
      </c>
      <c r="C619" s="31">
        <v>45</v>
      </c>
      <c r="D619" s="31" t="s">
        <v>1008</v>
      </c>
      <c r="E619" s="31"/>
      <c r="F619" s="31">
        <v>0</v>
      </c>
      <c r="G619" s="31">
        <v>0</v>
      </c>
      <c r="H619" s="31">
        <v>0</v>
      </c>
      <c r="I619" s="31">
        <v>0</v>
      </c>
      <c r="J619" s="31">
        <v>0</v>
      </c>
      <c r="K619" s="31" t="s">
        <v>882</v>
      </c>
      <c r="L619" s="19" t="str">
        <f t="shared" si="72"/>
        <v>Рихтовка</v>
      </c>
      <c r="M619" s="12">
        <f t="shared" si="73"/>
        <v>0</v>
      </c>
      <c r="N619" s="12">
        <f t="shared" si="74"/>
        <v>0</v>
      </c>
      <c r="O619" s="12">
        <f t="shared" si="75"/>
        <v>0</v>
      </c>
      <c r="P619" s="12">
        <f t="shared" si="76"/>
        <v>0</v>
      </c>
      <c r="Q619" s="12">
        <f t="shared" si="77"/>
        <v>0</v>
      </c>
      <c r="R619" s="12">
        <f t="shared" si="78"/>
        <v>0</v>
      </c>
      <c r="S619" s="12">
        <f t="shared" si="79"/>
        <v>0</v>
      </c>
      <c r="T619" s="31">
        <v>0</v>
      </c>
      <c r="U619" s="31">
        <v>0</v>
      </c>
      <c r="V619" s="31">
        <v>0</v>
      </c>
      <c r="W619" s="31">
        <v>0</v>
      </c>
      <c r="X619" s="31">
        <v>0</v>
      </c>
      <c r="Y619" s="31">
        <v>0</v>
      </c>
      <c r="Z619" s="31">
        <v>0</v>
      </c>
      <c r="AA619" s="31">
        <v>0</v>
      </c>
      <c r="AB619" s="31">
        <v>0</v>
      </c>
      <c r="AC619" s="31">
        <v>0</v>
      </c>
      <c r="AD619" s="31">
        <v>0</v>
      </c>
      <c r="AE619" s="31">
        <v>0</v>
      </c>
      <c r="AF619" s="31">
        <v>0</v>
      </c>
      <c r="AG619" s="31">
        <v>0</v>
      </c>
      <c r="AH619" s="31">
        <v>0</v>
      </c>
      <c r="AI619" s="31">
        <v>0</v>
      </c>
      <c r="AJ619" s="31">
        <v>0</v>
      </c>
      <c r="AK619" s="31">
        <v>0</v>
      </c>
      <c r="AL619" s="31">
        <v>0</v>
      </c>
      <c r="AM619" s="31">
        <v>0</v>
      </c>
      <c r="AN619" s="31">
        <v>0</v>
      </c>
      <c r="AO619" s="31">
        <v>0</v>
      </c>
      <c r="AP619" s="31">
        <v>0</v>
      </c>
    </row>
    <row r="620" spans="1:42" x14ac:dyDescent="0.25">
      <c r="A620" s="31">
        <v>32</v>
      </c>
      <c r="B620" s="31">
        <v>25202</v>
      </c>
      <c r="C620" s="31">
        <v>24</v>
      </c>
      <c r="D620" s="31" t="s">
        <v>1008</v>
      </c>
      <c r="E620" s="31"/>
      <c r="F620" s="31">
        <v>0</v>
      </c>
      <c r="G620" s="31">
        <v>0</v>
      </c>
      <c r="H620" s="31">
        <v>0</v>
      </c>
      <c r="I620" s="31">
        <v>0</v>
      </c>
      <c r="J620" s="31">
        <v>0</v>
      </c>
      <c r="K620" s="31" t="s">
        <v>882</v>
      </c>
      <c r="L620" s="19" t="str">
        <f t="shared" si="72"/>
        <v>Рихтовка</v>
      </c>
      <c r="M620" s="12">
        <f t="shared" si="73"/>
        <v>0</v>
      </c>
      <c r="N620" s="12">
        <f t="shared" si="74"/>
        <v>0</v>
      </c>
      <c r="O620" s="12">
        <f t="shared" si="75"/>
        <v>0</v>
      </c>
      <c r="P620" s="12">
        <f t="shared" si="76"/>
        <v>0</v>
      </c>
      <c r="Q620" s="12">
        <f t="shared" si="77"/>
        <v>0</v>
      </c>
      <c r="R620" s="12">
        <f t="shared" si="78"/>
        <v>0</v>
      </c>
      <c r="S620" s="12">
        <f t="shared" si="79"/>
        <v>0</v>
      </c>
      <c r="T620" s="31">
        <v>0</v>
      </c>
      <c r="U620" s="31">
        <v>0</v>
      </c>
      <c r="V620" s="31">
        <v>0</v>
      </c>
      <c r="W620" s="31">
        <v>0</v>
      </c>
      <c r="X620" s="31">
        <v>0</v>
      </c>
      <c r="Y620" s="31">
        <v>0</v>
      </c>
      <c r="Z620" s="31">
        <v>0</v>
      </c>
      <c r="AA620" s="31">
        <v>0</v>
      </c>
      <c r="AB620" s="31">
        <v>0</v>
      </c>
      <c r="AC620" s="31">
        <v>0</v>
      </c>
      <c r="AD620" s="31">
        <v>0</v>
      </c>
      <c r="AE620" s="31">
        <v>0</v>
      </c>
      <c r="AF620" s="31">
        <v>0</v>
      </c>
      <c r="AG620" s="31">
        <v>0</v>
      </c>
      <c r="AH620" s="31">
        <v>0</v>
      </c>
      <c r="AI620" s="31">
        <v>0</v>
      </c>
      <c r="AJ620" s="31">
        <v>0</v>
      </c>
      <c r="AK620" s="31">
        <v>0</v>
      </c>
      <c r="AL620" s="31">
        <v>0</v>
      </c>
      <c r="AM620" s="31">
        <v>0</v>
      </c>
      <c r="AN620" s="31">
        <v>0</v>
      </c>
      <c r="AO620" s="31">
        <v>0</v>
      </c>
      <c r="AP620" s="31">
        <v>0</v>
      </c>
    </row>
    <row r="621" spans="1:42" x14ac:dyDescent="0.25">
      <c r="A621" s="31">
        <v>32</v>
      </c>
      <c r="B621" s="31">
        <v>25202</v>
      </c>
      <c r="C621" s="31">
        <v>1</v>
      </c>
      <c r="D621" s="31" t="s">
        <v>1008</v>
      </c>
      <c r="E621" s="31"/>
      <c r="F621" s="31">
        <v>0</v>
      </c>
      <c r="G621" s="31">
        <v>0</v>
      </c>
      <c r="H621" s="31">
        <v>0</v>
      </c>
      <c r="I621" s="31">
        <v>0</v>
      </c>
      <c r="J621" s="31">
        <v>0</v>
      </c>
      <c r="K621" s="31" t="s">
        <v>882</v>
      </c>
      <c r="L621" s="19" t="str">
        <f t="shared" si="72"/>
        <v>Рихтовка</v>
      </c>
      <c r="M621" s="12">
        <f t="shared" si="73"/>
        <v>0</v>
      </c>
      <c r="N621" s="12">
        <f t="shared" si="74"/>
        <v>0</v>
      </c>
      <c r="O621" s="12">
        <f t="shared" si="75"/>
        <v>0</v>
      </c>
      <c r="P621" s="12">
        <f t="shared" si="76"/>
        <v>0</v>
      </c>
      <c r="Q621" s="12">
        <f t="shared" si="77"/>
        <v>0</v>
      </c>
      <c r="R621" s="12">
        <f t="shared" si="78"/>
        <v>0</v>
      </c>
      <c r="S621" s="12">
        <f t="shared" si="79"/>
        <v>0</v>
      </c>
      <c r="T621" s="31">
        <v>0</v>
      </c>
      <c r="U621" s="31">
        <v>0</v>
      </c>
      <c r="V621" s="31">
        <v>0</v>
      </c>
      <c r="W621" s="31">
        <v>0</v>
      </c>
      <c r="X621" s="31">
        <v>0</v>
      </c>
      <c r="Y621" s="31">
        <v>0</v>
      </c>
      <c r="Z621" s="31">
        <v>0</v>
      </c>
      <c r="AA621" s="31">
        <v>0</v>
      </c>
      <c r="AB621" s="31">
        <v>0</v>
      </c>
      <c r="AC621" s="31">
        <v>0</v>
      </c>
      <c r="AD621" s="31">
        <v>0</v>
      </c>
      <c r="AE621" s="31">
        <v>0</v>
      </c>
      <c r="AF621" s="31">
        <v>0</v>
      </c>
      <c r="AG621" s="31">
        <v>0</v>
      </c>
      <c r="AH621" s="31">
        <v>0</v>
      </c>
      <c r="AI621" s="31">
        <v>0</v>
      </c>
      <c r="AJ621" s="31">
        <v>0</v>
      </c>
      <c r="AK621" s="31">
        <v>0</v>
      </c>
      <c r="AL621" s="31">
        <v>0</v>
      </c>
      <c r="AM621" s="31">
        <v>0</v>
      </c>
      <c r="AN621" s="31">
        <v>0</v>
      </c>
      <c r="AO621" s="31">
        <v>0</v>
      </c>
      <c r="AP621" s="31">
        <v>0</v>
      </c>
    </row>
    <row r="622" spans="1:42" x14ac:dyDescent="0.25">
      <c r="A622" s="31">
        <v>32</v>
      </c>
      <c r="B622" s="31">
        <v>25202</v>
      </c>
      <c r="C622" s="31">
        <v>1</v>
      </c>
      <c r="D622" s="31" t="s">
        <v>1009</v>
      </c>
      <c r="E622" s="31"/>
      <c r="F622" s="31">
        <v>0</v>
      </c>
      <c r="G622" s="31">
        <v>0</v>
      </c>
      <c r="H622" s="31">
        <v>0</v>
      </c>
      <c r="I622" s="31">
        <v>0</v>
      </c>
      <c r="J622" s="31">
        <v>0</v>
      </c>
      <c r="K622" s="31" t="s">
        <v>882</v>
      </c>
      <c r="L622" s="19" t="str">
        <f t="shared" si="72"/>
        <v>Рихтовка</v>
      </c>
      <c r="M622" s="12">
        <f t="shared" si="73"/>
        <v>0</v>
      </c>
      <c r="N622" s="12">
        <f t="shared" si="74"/>
        <v>0</v>
      </c>
      <c r="O622" s="12">
        <f t="shared" si="75"/>
        <v>0</v>
      </c>
      <c r="P622" s="12">
        <f t="shared" si="76"/>
        <v>0</v>
      </c>
      <c r="Q622" s="12">
        <f t="shared" si="77"/>
        <v>0</v>
      </c>
      <c r="R622" s="12">
        <f t="shared" si="78"/>
        <v>0</v>
      </c>
      <c r="S622" s="12">
        <f t="shared" si="79"/>
        <v>0</v>
      </c>
      <c r="T622" s="31">
        <v>0</v>
      </c>
      <c r="U622" s="31">
        <v>0</v>
      </c>
      <c r="V622" s="31">
        <v>0</v>
      </c>
      <c r="W622" s="31">
        <v>0</v>
      </c>
      <c r="X622" s="31">
        <v>0</v>
      </c>
      <c r="Y622" s="31">
        <v>0</v>
      </c>
      <c r="Z622" s="31">
        <v>0</v>
      </c>
      <c r="AA622" s="31">
        <v>0</v>
      </c>
      <c r="AB622" s="31">
        <v>0</v>
      </c>
      <c r="AC622" s="31">
        <v>0</v>
      </c>
      <c r="AD622" s="31">
        <v>0</v>
      </c>
      <c r="AE622" s="31">
        <v>0</v>
      </c>
      <c r="AF622" s="31">
        <v>0</v>
      </c>
      <c r="AG622" s="31">
        <v>0</v>
      </c>
      <c r="AH622" s="31">
        <v>0</v>
      </c>
      <c r="AI622" s="31">
        <v>0</v>
      </c>
      <c r="AJ622" s="31">
        <v>0</v>
      </c>
      <c r="AK622" s="31">
        <v>0</v>
      </c>
      <c r="AL622" s="31">
        <v>0</v>
      </c>
      <c r="AM622" s="31">
        <v>0</v>
      </c>
      <c r="AN622" s="31">
        <v>0</v>
      </c>
      <c r="AO622" s="31">
        <v>0</v>
      </c>
      <c r="AP622" s="31">
        <v>0</v>
      </c>
    </row>
    <row r="623" spans="1:42" x14ac:dyDescent="0.25">
      <c r="A623" s="31">
        <v>32</v>
      </c>
      <c r="B623" s="31">
        <v>25202</v>
      </c>
      <c r="C623" s="31">
        <v>1</v>
      </c>
      <c r="D623" s="31" t="s">
        <v>1010</v>
      </c>
      <c r="E623" s="31"/>
      <c r="F623" s="31">
        <v>0</v>
      </c>
      <c r="G623" s="31">
        <v>0</v>
      </c>
      <c r="H623" s="31">
        <v>0</v>
      </c>
      <c r="I623" s="31">
        <v>0</v>
      </c>
      <c r="J623" s="31">
        <v>0</v>
      </c>
      <c r="K623" s="31" t="s">
        <v>882</v>
      </c>
      <c r="L623" s="19" t="str">
        <f t="shared" si="72"/>
        <v>Рихтовка</v>
      </c>
      <c r="M623" s="12">
        <f t="shared" si="73"/>
        <v>0</v>
      </c>
      <c r="N623" s="12">
        <f t="shared" si="74"/>
        <v>0</v>
      </c>
      <c r="O623" s="12">
        <f t="shared" si="75"/>
        <v>0</v>
      </c>
      <c r="P623" s="12">
        <f t="shared" si="76"/>
        <v>0</v>
      </c>
      <c r="Q623" s="12">
        <f t="shared" si="77"/>
        <v>0</v>
      </c>
      <c r="R623" s="12">
        <f t="shared" si="78"/>
        <v>0</v>
      </c>
      <c r="S623" s="12">
        <f t="shared" si="79"/>
        <v>0</v>
      </c>
      <c r="T623" s="31">
        <v>0</v>
      </c>
      <c r="U623" s="31">
        <v>0</v>
      </c>
      <c r="V623" s="31">
        <v>0</v>
      </c>
      <c r="W623" s="31">
        <v>0</v>
      </c>
      <c r="X623" s="31">
        <v>0</v>
      </c>
      <c r="Y623" s="31">
        <v>0</v>
      </c>
      <c r="Z623" s="31">
        <v>0</v>
      </c>
      <c r="AA623" s="31">
        <v>0</v>
      </c>
      <c r="AB623" s="31">
        <v>0</v>
      </c>
      <c r="AC623" s="31">
        <v>0</v>
      </c>
      <c r="AD623" s="31">
        <v>0</v>
      </c>
      <c r="AE623" s="31">
        <v>0</v>
      </c>
      <c r="AF623" s="31">
        <v>0</v>
      </c>
      <c r="AG623" s="31">
        <v>0</v>
      </c>
      <c r="AH623" s="31">
        <v>0</v>
      </c>
      <c r="AI623" s="31">
        <v>0</v>
      </c>
      <c r="AJ623" s="31">
        <v>0</v>
      </c>
      <c r="AK623" s="31">
        <v>0</v>
      </c>
      <c r="AL623" s="31">
        <v>0</v>
      </c>
      <c r="AM623" s="31">
        <v>0</v>
      </c>
      <c r="AN623" s="31">
        <v>0</v>
      </c>
      <c r="AO623" s="31">
        <v>0</v>
      </c>
      <c r="AP623" s="31">
        <v>0</v>
      </c>
    </row>
    <row r="624" spans="1:42" x14ac:dyDescent="0.25">
      <c r="A624" s="31">
        <v>32</v>
      </c>
      <c r="B624" s="31">
        <v>25202</v>
      </c>
      <c r="C624" s="31">
        <v>2</v>
      </c>
      <c r="D624" s="31" t="s">
        <v>1011</v>
      </c>
      <c r="E624" s="31"/>
      <c r="F624" s="31">
        <v>0</v>
      </c>
      <c r="G624" s="31">
        <v>0</v>
      </c>
      <c r="H624" s="31">
        <v>0</v>
      </c>
      <c r="I624" s="31">
        <v>0</v>
      </c>
      <c r="J624" s="31">
        <v>0</v>
      </c>
      <c r="K624" s="31" t="s">
        <v>882</v>
      </c>
      <c r="L624" s="19" t="str">
        <f t="shared" si="72"/>
        <v>Рихтовка</v>
      </c>
      <c r="M624" s="12">
        <f t="shared" si="73"/>
        <v>0</v>
      </c>
      <c r="N624" s="12">
        <f t="shared" si="74"/>
        <v>0</v>
      </c>
      <c r="O624" s="12">
        <f t="shared" si="75"/>
        <v>0</v>
      </c>
      <c r="P624" s="12">
        <f t="shared" si="76"/>
        <v>0</v>
      </c>
      <c r="Q624" s="12">
        <f t="shared" si="77"/>
        <v>0</v>
      </c>
      <c r="R624" s="12">
        <f t="shared" si="78"/>
        <v>0</v>
      </c>
      <c r="S624" s="12">
        <f t="shared" si="79"/>
        <v>0</v>
      </c>
      <c r="T624" s="31">
        <v>0</v>
      </c>
      <c r="U624" s="31">
        <v>0</v>
      </c>
      <c r="V624" s="31">
        <v>0</v>
      </c>
      <c r="W624" s="31">
        <v>0</v>
      </c>
      <c r="X624" s="31">
        <v>0</v>
      </c>
      <c r="Y624" s="31">
        <v>0</v>
      </c>
      <c r="Z624" s="31">
        <v>0</v>
      </c>
      <c r="AA624" s="31">
        <v>0</v>
      </c>
      <c r="AB624" s="31">
        <v>0</v>
      </c>
      <c r="AC624" s="31">
        <v>0</v>
      </c>
      <c r="AD624" s="31">
        <v>0</v>
      </c>
      <c r="AE624" s="31">
        <v>0</v>
      </c>
      <c r="AF624" s="31">
        <v>0</v>
      </c>
      <c r="AG624" s="31">
        <v>0</v>
      </c>
      <c r="AH624" s="31">
        <v>0</v>
      </c>
      <c r="AI624" s="31">
        <v>0</v>
      </c>
      <c r="AJ624" s="31">
        <v>0</v>
      </c>
      <c r="AK624" s="31">
        <v>0</v>
      </c>
      <c r="AL624" s="31">
        <v>0</v>
      </c>
      <c r="AM624" s="31">
        <v>0</v>
      </c>
      <c r="AN624" s="31">
        <v>0</v>
      </c>
      <c r="AO624" s="31">
        <v>0</v>
      </c>
      <c r="AP624" s="31">
        <v>0</v>
      </c>
    </row>
    <row r="625" spans="1:42" x14ac:dyDescent="0.25">
      <c r="A625" s="31">
        <v>32</v>
      </c>
      <c r="B625" s="31">
        <v>25202</v>
      </c>
      <c r="C625" s="31">
        <v>1</v>
      </c>
      <c r="D625" s="31" t="s">
        <v>1012</v>
      </c>
      <c r="E625" s="31"/>
      <c r="F625" s="31">
        <v>0</v>
      </c>
      <c r="G625" s="31">
        <v>0</v>
      </c>
      <c r="H625" s="31">
        <v>0</v>
      </c>
      <c r="I625" s="31">
        <v>0</v>
      </c>
      <c r="J625" s="31">
        <v>0</v>
      </c>
      <c r="K625" s="31" t="s">
        <v>882</v>
      </c>
      <c r="L625" s="19" t="str">
        <f t="shared" si="72"/>
        <v>Рихтовка</v>
      </c>
      <c r="M625" s="12">
        <f t="shared" si="73"/>
        <v>0</v>
      </c>
      <c r="N625" s="12">
        <f t="shared" si="74"/>
        <v>0</v>
      </c>
      <c r="O625" s="12">
        <f t="shared" si="75"/>
        <v>0</v>
      </c>
      <c r="P625" s="12">
        <f t="shared" si="76"/>
        <v>0</v>
      </c>
      <c r="Q625" s="12">
        <f t="shared" si="77"/>
        <v>0</v>
      </c>
      <c r="R625" s="12">
        <f t="shared" si="78"/>
        <v>0</v>
      </c>
      <c r="S625" s="12">
        <f t="shared" si="79"/>
        <v>0</v>
      </c>
      <c r="T625" s="31">
        <v>0</v>
      </c>
      <c r="U625" s="31">
        <v>0</v>
      </c>
      <c r="V625" s="31">
        <v>0</v>
      </c>
      <c r="W625" s="31">
        <v>0</v>
      </c>
      <c r="X625" s="31">
        <v>0</v>
      </c>
      <c r="Y625" s="31">
        <v>0</v>
      </c>
      <c r="Z625" s="31">
        <v>0</v>
      </c>
      <c r="AA625" s="31">
        <v>0</v>
      </c>
      <c r="AB625" s="31">
        <v>0</v>
      </c>
      <c r="AC625" s="31">
        <v>0</v>
      </c>
      <c r="AD625" s="31">
        <v>0</v>
      </c>
      <c r="AE625" s="31">
        <v>0</v>
      </c>
      <c r="AF625" s="31">
        <v>0</v>
      </c>
      <c r="AG625" s="31">
        <v>0</v>
      </c>
      <c r="AH625" s="31">
        <v>0</v>
      </c>
      <c r="AI625" s="31">
        <v>0</v>
      </c>
      <c r="AJ625" s="31">
        <v>0</v>
      </c>
      <c r="AK625" s="31">
        <v>0</v>
      </c>
      <c r="AL625" s="31">
        <v>0</v>
      </c>
      <c r="AM625" s="31">
        <v>0</v>
      </c>
      <c r="AN625" s="31">
        <v>0</v>
      </c>
      <c r="AO625" s="31">
        <v>0</v>
      </c>
      <c r="AP625" s="31">
        <v>0</v>
      </c>
    </row>
    <row r="626" spans="1:42" x14ac:dyDescent="0.25">
      <c r="A626" s="31">
        <v>32</v>
      </c>
      <c r="B626" s="31">
        <v>25202</v>
      </c>
      <c r="C626" s="31">
        <v>1</v>
      </c>
      <c r="D626" s="31" t="s">
        <v>1013</v>
      </c>
      <c r="E626" s="31"/>
      <c r="F626" s="31">
        <v>0</v>
      </c>
      <c r="G626" s="31">
        <v>0</v>
      </c>
      <c r="H626" s="31">
        <v>0</v>
      </c>
      <c r="I626" s="31">
        <v>0</v>
      </c>
      <c r="J626" s="31">
        <v>0</v>
      </c>
      <c r="K626" s="31" t="s">
        <v>882</v>
      </c>
      <c r="L626" s="19" t="str">
        <f t="shared" si="72"/>
        <v>Рихтовка</v>
      </c>
      <c r="M626" s="12">
        <f t="shared" si="73"/>
        <v>0</v>
      </c>
      <c r="N626" s="12">
        <f t="shared" si="74"/>
        <v>0</v>
      </c>
      <c r="O626" s="12">
        <f t="shared" si="75"/>
        <v>0</v>
      </c>
      <c r="P626" s="12">
        <f t="shared" si="76"/>
        <v>0</v>
      </c>
      <c r="Q626" s="12">
        <f t="shared" si="77"/>
        <v>0</v>
      </c>
      <c r="R626" s="12">
        <f t="shared" si="78"/>
        <v>0</v>
      </c>
      <c r="S626" s="12">
        <f t="shared" si="79"/>
        <v>0</v>
      </c>
      <c r="T626" s="31">
        <v>0</v>
      </c>
      <c r="U626" s="31">
        <v>0</v>
      </c>
      <c r="V626" s="31">
        <v>0</v>
      </c>
      <c r="W626" s="31">
        <v>0</v>
      </c>
      <c r="X626" s="31">
        <v>0</v>
      </c>
      <c r="Y626" s="31">
        <v>0</v>
      </c>
      <c r="Z626" s="31">
        <v>0</v>
      </c>
      <c r="AA626" s="31">
        <v>0</v>
      </c>
      <c r="AB626" s="31">
        <v>0</v>
      </c>
      <c r="AC626" s="31">
        <v>0</v>
      </c>
      <c r="AD626" s="31">
        <v>0</v>
      </c>
      <c r="AE626" s="31">
        <v>0</v>
      </c>
      <c r="AF626" s="31">
        <v>0</v>
      </c>
      <c r="AG626" s="31">
        <v>0</v>
      </c>
      <c r="AH626" s="31">
        <v>0</v>
      </c>
      <c r="AI626" s="31">
        <v>0</v>
      </c>
      <c r="AJ626" s="31">
        <v>0</v>
      </c>
      <c r="AK626" s="31">
        <v>0</v>
      </c>
      <c r="AL626" s="31">
        <v>0</v>
      </c>
      <c r="AM626" s="31">
        <v>0</v>
      </c>
      <c r="AN626" s="31">
        <v>0</v>
      </c>
      <c r="AO626" s="31">
        <v>0</v>
      </c>
      <c r="AP626" s="31">
        <v>0</v>
      </c>
    </row>
    <row r="627" spans="1:42" x14ac:dyDescent="0.25">
      <c r="A627" s="31">
        <v>32</v>
      </c>
      <c r="B627" s="31">
        <v>25202</v>
      </c>
      <c r="C627" s="31">
        <v>1</v>
      </c>
      <c r="D627" s="31" t="s">
        <v>1014</v>
      </c>
      <c r="E627" s="31"/>
      <c r="F627" s="31">
        <v>0</v>
      </c>
      <c r="G627" s="31">
        <v>0</v>
      </c>
      <c r="H627" s="31">
        <v>0</v>
      </c>
      <c r="I627" s="31">
        <v>0</v>
      </c>
      <c r="J627" s="31">
        <v>0</v>
      </c>
      <c r="K627" s="31" t="s">
        <v>882</v>
      </c>
      <c r="L627" s="19" t="str">
        <f t="shared" si="72"/>
        <v>Рихтовка</v>
      </c>
      <c r="M627" s="12">
        <f t="shared" si="73"/>
        <v>0</v>
      </c>
      <c r="N627" s="12">
        <f t="shared" si="74"/>
        <v>0</v>
      </c>
      <c r="O627" s="12">
        <f t="shared" si="75"/>
        <v>0</v>
      </c>
      <c r="P627" s="12">
        <f t="shared" si="76"/>
        <v>0</v>
      </c>
      <c r="Q627" s="12">
        <f t="shared" si="77"/>
        <v>0</v>
      </c>
      <c r="R627" s="12">
        <f t="shared" si="78"/>
        <v>0</v>
      </c>
      <c r="S627" s="12">
        <f t="shared" si="79"/>
        <v>0</v>
      </c>
      <c r="T627" s="31">
        <v>0</v>
      </c>
      <c r="U627" s="31">
        <v>0</v>
      </c>
      <c r="V627" s="31">
        <v>0</v>
      </c>
      <c r="W627" s="31">
        <v>0</v>
      </c>
      <c r="X627" s="31">
        <v>0</v>
      </c>
      <c r="Y627" s="31">
        <v>0</v>
      </c>
      <c r="Z627" s="31">
        <v>0</v>
      </c>
      <c r="AA627" s="31">
        <v>0</v>
      </c>
      <c r="AB627" s="31">
        <v>0</v>
      </c>
      <c r="AC627" s="31">
        <v>0</v>
      </c>
      <c r="AD627" s="31">
        <v>0</v>
      </c>
      <c r="AE627" s="31">
        <v>0</v>
      </c>
      <c r="AF627" s="31">
        <v>0</v>
      </c>
      <c r="AG627" s="31">
        <v>0</v>
      </c>
      <c r="AH627" s="31">
        <v>0</v>
      </c>
      <c r="AI627" s="31">
        <v>0</v>
      </c>
      <c r="AJ627" s="31">
        <v>0</v>
      </c>
      <c r="AK627" s="31">
        <v>0</v>
      </c>
      <c r="AL627" s="31">
        <v>0</v>
      </c>
      <c r="AM627" s="31">
        <v>0</v>
      </c>
      <c r="AN627" s="31">
        <v>0</v>
      </c>
      <c r="AO627" s="31">
        <v>0</v>
      </c>
      <c r="AP627" s="31">
        <v>0</v>
      </c>
    </row>
    <row r="628" spans="1:42" x14ac:dyDescent="0.25">
      <c r="A628" s="31">
        <v>32</v>
      </c>
      <c r="B628" s="31">
        <v>25202</v>
      </c>
      <c r="C628" s="31">
        <v>1</v>
      </c>
      <c r="D628" s="31" t="s">
        <v>1015</v>
      </c>
      <c r="E628" s="31"/>
      <c r="F628" s="31">
        <v>0</v>
      </c>
      <c r="G628" s="31">
        <v>0</v>
      </c>
      <c r="H628" s="31">
        <v>0</v>
      </c>
      <c r="I628" s="31">
        <v>0</v>
      </c>
      <c r="J628" s="31">
        <v>0</v>
      </c>
      <c r="K628" s="31" t="s">
        <v>882</v>
      </c>
      <c r="L628" s="19" t="str">
        <f t="shared" si="72"/>
        <v>Рихтовка</v>
      </c>
      <c r="M628" s="12">
        <f t="shared" si="73"/>
        <v>0</v>
      </c>
      <c r="N628" s="12">
        <f t="shared" si="74"/>
        <v>0</v>
      </c>
      <c r="O628" s="12">
        <f t="shared" si="75"/>
        <v>0</v>
      </c>
      <c r="P628" s="12">
        <f t="shared" si="76"/>
        <v>0</v>
      </c>
      <c r="Q628" s="12">
        <f t="shared" si="77"/>
        <v>0</v>
      </c>
      <c r="R628" s="12">
        <f t="shared" si="78"/>
        <v>0</v>
      </c>
      <c r="S628" s="12">
        <f t="shared" si="79"/>
        <v>0</v>
      </c>
      <c r="T628" s="31">
        <v>0</v>
      </c>
      <c r="U628" s="31">
        <v>0</v>
      </c>
      <c r="V628" s="31">
        <v>0</v>
      </c>
      <c r="W628" s="31">
        <v>0</v>
      </c>
      <c r="X628" s="31">
        <v>0</v>
      </c>
      <c r="Y628" s="31">
        <v>0</v>
      </c>
      <c r="Z628" s="31">
        <v>0</v>
      </c>
      <c r="AA628" s="31">
        <v>0</v>
      </c>
      <c r="AB628" s="31">
        <v>0</v>
      </c>
      <c r="AC628" s="31">
        <v>0</v>
      </c>
      <c r="AD628" s="31">
        <v>0</v>
      </c>
      <c r="AE628" s="31">
        <v>0</v>
      </c>
      <c r="AF628" s="31">
        <v>0</v>
      </c>
      <c r="AG628" s="31">
        <v>0</v>
      </c>
      <c r="AH628" s="31">
        <v>0</v>
      </c>
      <c r="AI628" s="31">
        <v>0</v>
      </c>
      <c r="AJ628" s="31">
        <v>0</v>
      </c>
      <c r="AK628" s="31">
        <v>0</v>
      </c>
      <c r="AL628" s="31">
        <v>0</v>
      </c>
      <c r="AM628" s="31">
        <v>0</v>
      </c>
      <c r="AN628" s="31">
        <v>0</v>
      </c>
      <c r="AO628" s="31">
        <v>0</v>
      </c>
      <c r="AP628" s="31">
        <v>0</v>
      </c>
    </row>
    <row r="629" spans="1:42" x14ac:dyDescent="0.25">
      <c r="A629" s="31">
        <v>32</v>
      </c>
      <c r="B629" s="31">
        <v>25202</v>
      </c>
      <c r="C629" s="31">
        <v>31</v>
      </c>
      <c r="D629" s="31" t="s">
        <v>1015</v>
      </c>
      <c r="E629" s="31"/>
      <c r="F629" s="31">
        <v>0</v>
      </c>
      <c r="G629" s="31">
        <v>0</v>
      </c>
      <c r="H629" s="31">
        <v>0</v>
      </c>
      <c r="I629" s="31">
        <v>0</v>
      </c>
      <c r="J629" s="31">
        <v>0</v>
      </c>
      <c r="K629" s="31" t="s">
        <v>882</v>
      </c>
      <c r="L629" s="19" t="str">
        <f t="shared" si="72"/>
        <v>Рихтовка</v>
      </c>
      <c r="M629" s="12">
        <f t="shared" si="73"/>
        <v>0</v>
      </c>
      <c r="N629" s="12">
        <f t="shared" si="74"/>
        <v>0</v>
      </c>
      <c r="O629" s="12">
        <f t="shared" si="75"/>
        <v>0</v>
      </c>
      <c r="P629" s="12">
        <f t="shared" si="76"/>
        <v>0</v>
      </c>
      <c r="Q629" s="12">
        <f t="shared" si="77"/>
        <v>0</v>
      </c>
      <c r="R629" s="12">
        <f t="shared" si="78"/>
        <v>0</v>
      </c>
      <c r="S629" s="12">
        <f t="shared" si="79"/>
        <v>0</v>
      </c>
      <c r="T629" s="31">
        <v>0</v>
      </c>
      <c r="U629" s="31">
        <v>0</v>
      </c>
      <c r="V629" s="31">
        <v>0</v>
      </c>
      <c r="W629" s="31">
        <v>0</v>
      </c>
      <c r="X629" s="31">
        <v>0</v>
      </c>
      <c r="Y629" s="31">
        <v>0</v>
      </c>
      <c r="Z629" s="31">
        <v>0</v>
      </c>
      <c r="AA629" s="31">
        <v>0</v>
      </c>
      <c r="AB629" s="31">
        <v>0</v>
      </c>
      <c r="AC629" s="31">
        <v>0</v>
      </c>
      <c r="AD629" s="31">
        <v>0</v>
      </c>
      <c r="AE629" s="31">
        <v>0</v>
      </c>
      <c r="AF629" s="31">
        <v>0</v>
      </c>
      <c r="AG629" s="31">
        <v>0</v>
      </c>
      <c r="AH629" s="31">
        <v>0</v>
      </c>
      <c r="AI629" s="31">
        <v>0</v>
      </c>
      <c r="AJ629" s="31">
        <v>0</v>
      </c>
      <c r="AK629" s="31">
        <v>0</v>
      </c>
      <c r="AL629" s="31">
        <v>0</v>
      </c>
      <c r="AM629" s="31">
        <v>0</v>
      </c>
      <c r="AN629" s="31">
        <v>0</v>
      </c>
      <c r="AO629" s="31">
        <v>0</v>
      </c>
      <c r="AP629" s="31">
        <v>0</v>
      </c>
    </row>
    <row r="630" spans="1:42" x14ac:dyDescent="0.25">
      <c r="A630" s="31">
        <v>32</v>
      </c>
      <c r="B630" s="31">
        <v>25202</v>
      </c>
      <c r="C630" s="31">
        <v>11</v>
      </c>
      <c r="D630" s="31" t="s">
        <v>1015</v>
      </c>
      <c r="E630" s="31"/>
      <c r="F630" s="31">
        <v>0</v>
      </c>
      <c r="G630" s="31">
        <v>0</v>
      </c>
      <c r="H630" s="31">
        <v>0</v>
      </c>
      <c r="I630" s="31">
        <v>0</v>
      </c>
      <c r="J630" s="31">
        <v>0</v>
      </c>
      <c r="K630" s="31" t="s">
        <v>882</v>
      </c>
      <c r="L630" s="19" t="str">
        <f t="shared" si="72"/>
        <v>Рихтовка</v>
      </c>
      <c r="M630" s="12">
        <f t="shared" si="73"/>
        <v>0</v>
      </c>
      <c r="N630" s="12">
        <f t="shared" si="74"/>
        <v>0</v>
      </c>
      <c r="O630" s="12">
        <f t="shared" si="75"/>
        <v>0</v>
      </c>
      <c r="P630" s="12">
        <f t="shared" si="76"/>
        <v>0</v>
      </c>
      <c r="Q630" s="12">
        <f t="shared" si="77"/>
        <v>0</v>
      </c>
      <c r="R630" s="12">
        <f t="shared" si="78"/>
        <v>0</v>
      </c>
      <c r="S630" s="12">
        <f t="shared" si="79"/>
        <v>0</v>
      </c>
      <c r="T630" s="31">
        <v>0</v>
      </c>
      <c r="U630" s="31">
        <v>0</v>
      </c>
      <c r="V630" s="31">
        <v>0</v>
      </c>
      <c r="W630" s="31">
        <v>0</v>
      </c>
      <c r="X630" s="31">
        <v>0</v>
      </c>
      <c r="Y630" s="31">
        <v>0</v>
      </c>
      <c r="Z630" s="31">
        <v>0</v>
      </c>
      <c r="AA630" s="31">
        <v>0</v>
      </c>
      <c r="AB630" s="31">
        <v>0</v>
      </c>
      <c r="AC630" s="31">
        <v>0</v>
      </c>
      <c r="AD630" s="31">
        <v>0</v>
      </c>
      <c r="AE630" s="31">
        <v>0</v>
      </c>
      <c r="AF630" s="31">
        <v>0</v>
      </c>
      <c r="AG630" s="31">
        <v>0</v>
      </c>
      <c r="AH630" s="31">
        <v>0</v>
      </c>
      <c r="AI630" s="31">
        <v>0</v>
      </c>
      <c r="AJ630" s="31">
        <v>0</v>
      </c>
      <c r="AK630" s="31">
        <v>0</v>
      </c>
      <c r="AL630" s="31">
        <v>0</v>
      </c>
      <c r="AM630" s="31">
        <v>0</v>
      </c>
      <c r="AN630" s="31">
        <v>0</v>
      </c>
      <c r="AO630" s="31">
        <v>0</v>
      </c>
      <c r="AP630" s="31">
        <v>0</v>
      </c>
    </row>
    <row r="631" spans="1:42" x14ac:dyDescent="0.25">
      <c r="A631" s="31">
        <v>32</v>
      </c>
      <c r="B631" s="31">
        <v>25202</v>
      </c>
      <c r="C631" s="31">
        <v>41</v>
      </c>
      <c r="D631" s="31" t="s">
        <v>1015</v>
      </c>
      <c r="E631" s="31"/>
      <c r="F631" s="31">
        <v>0</v>
      </c>
      <c r="G631" s="31">
        <v>0</v>
      </c>
      <c r="H631" s="31">
        <v>0</v>
      </c>
      <c r="I631" s="31">
        <v>0</v>
      </c>
      <c r="J631" s="31">
        <v>0</v>
      </c>
      <c r="K631" s="31" t="s">
        <v>882</v>
      </c>
      <c r="L631" s="19" t="str">
        <f t="shared" si="72"/>
        <v>Рихтовка</v>
      </c>
      <c r="M631" s="12">
        <f t="shared" si="73"/>
        <v>0</v>
      </c>
      <c r="N631" s="12">
        <f t="shared" si="74"/>
        <v>0</v>
      </c>
      <c r="O631" s="12">
        <f t="shared" si="75"/>
        <v>0</v>
      </c>
      <c r="P631" s="12">
        <f t="shared" si="76"/>
        <v>0</v>
      </c>
      <c r="Q631" s="12">
        <f t="shared" si="77"/>
        <v>0</v>
      </c>
      <c r="R631" s="12">
        <f t="shared" si="78"/>
        <v>0</v>
      </c>
      <c r="S631" s="12">
        <f t="shared" si="79"/>
        <v>0</v>
      </c>
      <c r="T631" s="31">
        <v>0</v>
      </c>
      <c r="U631" s="31">
        <v>0</v>
      </c>
      <c r="V631" s="31">
        <v>0</v>
      </c>
      <c r="W631" s="31">
        <v>0</v>
      </c>
      <c r="X631" s="31">
        <v>0</v>
      </c>
      <c r="Y631" s="31">
        <v>0</v>
      </c>
      <c r="Z631" s="31">
        <v>0</v>
      </c>
      <c r="AA631" s="31">
        <v>0</v>
      </c>
      <c r="AB631" s="31">
        <v>0</v>
      </c>
      <c r="AC631" s="31">
        <v>0</v>
      </c>
      <c r="AD631" s="31">
        <v>0</v>
      </c>
      <c r="AE631" s="31">
        <v>0</v>
      </c>
      <c r="AF631" s="31">
        <v>0</v>
      </c>
      <c r="AG631" s="31">
        <v>0</v>
      </c>
      <c r="AH631" s="31">
        <v>0</v>
      </c>
      <c r="AI631" s="31">
        <v>0</v>
      </c>
      <c r="AJ631" s="31">
        <v>0</v>
      </c>
      <c r="AK631" s="31">
        <v>0</v>
      </c>
      <c r="AL631" s="31">
        <v>0</v>
      </c>
      <c r="AM631" s="31">
        <v>0</v>
      </c>
      <c r="AN631" s="31">
        <v>0</v>
      </c>
      <c r="AO631" s="31">
        <v>0</v>
      </c>
      <c r="AP631" s="31">
        <v>0</v>
      </c>
    </row>
    <row r="632" spans="1:42" x14ac:dyDescent="0.25">
      <c r="A632" s="31">
        <v>32</v>
      </c>
      <c r="B632" s="31">
        <v>25202</v>
      </c>
      <c r="C632" s="31">
        <v>1</v>
      </c>
      <c r="D632" s="31" t="s">
        <v>1016</v>
      </c>
      <c r="E632" s="31"/>
      <c r="F632" s="31">
        <v>0</v>
      </c>
      <c r="G632" s="31">
        <v>0</v>
      </c>
      <c r="H632" s="31">
        <v>0</v>
      </c>
      <c r="I632" s="31">
        <v>0</v>
      </c>
      <c r="J632" s="31">
        <v>0</v>
      </c>
      <c r="K632" s="31" t="s">
        <v>882</v>
      </c>
      <c r="L632" s="19" t="str">
        <f t="shared" si="72"/>
        <v>Рихтовка</v>
      </c>
      <c r="M632" s="12">
        <f t="shared" si="73"/>
        <v>0</v>
      </c>
      <c r="N632" s="12">
        <f t="shared" si="74"/>
        <v>0</v>
      </c>
      <c r="O632" s="12">
        <f t="shared" si="75"/>
        <v>0</v>
      </c>
      <c r="P632" s="12">
        <f t="shared" si="76"/>
        <v>0</v>
      </c>
      <c r="Q632" s="12">
        <f t="shared" si="77"/>
        <v>0</v>
      </c>
      <c r="R632" s="12">
        <f t="shared" si="78"/>
        <v>0</v>
      </c>
      <c r="S632" s="12">
        <f t="shared" si="79"/>
        <v>0</v>
      </c>
      <c r="T632" s="31">
        <v>0</v>
      </c>
      <c r="U632" s="31">
        <v>0</v>
      </c>
      <c r="V632" s="31">
        <v>0</v>
      </c>
      <c r="W632" s="31">
        <v>0</v>
      </c>
      <c r="X632" s="31">
        <v>0</v>
      </c>
      <c r="Y632" s="31">
        <v>0</v>
      </c>
      <c r="Z632" s="31">
        <v>0</v>
      </c>
      <c r="AA632" s="31">
        <v>0</v>
      </c>
      <c r="AB632" s="31">
        <v>0</v>
      </c>
      <c r="AC632" s="31">
        <v>0</v>
      </c>
      <c r="AD632" s="31">
        <v>0</v>
      </c>
      <c r="AE632" s="31">
        <v>0</v>
      </c>
      <c r="AF632" s="31">
        <v>0</v>
      </c>
      <c r="AG632" s="31">
        <v>0</v>
      </c>
      <c r="AH632" s="31">
        <v>0</v>
      </c>
      <c r="AI632" s="31">
        <v>0</v>
      </c>
      <c r="AJ632" s="31">
        <v>0</v>
      </c>
      <c r="AK632" s="31">
        <v>0</v>
      </c>
      <c r="AL632" s="31">
        <v>0</v>
      </c>
      <c r="AM632" s="31">
        <v>0</v>
      </c>
      <c r="AN632" s="31">
        <v>0</v>
      </c>
      <c r="AO632" s="31">
        <v>0</v>
      </c>
      <c r="AP632" s="31">
        <v>0</v>
      </c>
    </row>
    <row r="633" spans="1:42" x14ac:dyDescent="0.25">
      <c r="A633" s="31">
        <v>32</v>
      </c>
      <c r="B633" s="31">
        <v>25236</v>
      </c>
      <c r="C633" s="31">
        <v>12</v>
      </c>
      <c r="D633" s="31" t="s">
        <v>1017</v>
      </c>
      <c r="E633" s="31"/>
      <c r="F633" s="31">
        <v>0</v>
      </c>
      <c r="G633" s="31">
        <v>0</v>
      </c>
      <c r="H633" s="31">
        <v>0</v>
      </c>
      <c r="I633" s="31">
        <v>0</v>
      </c>
      <c r="J633" s="31">
        <v>0</v>
      </c>
      <c r="K633" s="31" t="s">
        <v>882</v>
      </c>
      <c r="L633" s="19" t="str">
        <f t="shared" si="72"/>
        <v>Рихтовка</v>
      </c>
      <c r="M633" s="12">
        <f t="shared" si="73"/>
        <v>0</v>
      </c>
      <c r="N633" s="12">
        <f t="shared" si="74"/>
        <v>0</v>
      </c>
      <c r="O633" s="12">
        <f t="shared" si="75"/>
        <v>0</v>
      </c>
      <c r="P633" s="12">
        <f t="shared" si="76"/>
        <v>0</v>
      </c>
      <c r="Q633" s="12">
        <f t="shared" si="77"/>
        <v>0</v>
      </c>
      <c r="R633" s="12">
        <f t="shared" si="78"/>
        <v>0</v>
      </c>
      <c r="S633" s="12">
        <f t="shared" si="79"/>
        <v>0</v>
      </c>
      <c r="T633" s="31">
        <v>0</v>
      </c>
      <c r="U633" s="31">
        <v>0</v>
      </c>
      <c r="V633" s="31">
        <v>0</v>
      </c>
      <c r="W633" s="31">
        <v>0</v>
      </c>
      <c r="X633" s="31">
        <v>0</v>
      </c>
      <c r="Y633" s="31">
        <v>0</v>
      </c>
      <c r="Z633" s="31">
        <v>0</v>
      </c>
      <c r="AA633" s="31">
        <v>0</v>
      </c>
      <c r="AB633" s="31">
        <v>0</v>
      </c>
      <c r="AC633" s="31">
        <v>0</v>
      </c>
      <c r="AD633" s="31">
        <v>0</v>
      </c>
      <c r="AE633" s="31">
        <v>0</v>
      </c>
      <c r="AF633" s="31">
        <v>0</v>
      </c>
      <c r="AG633" s="31">
        <v>0</v>
      </c>
      <c r="AH633" s="31">
        <v>0</v>
      </c>
      <c r="AI633" s="31">
        <v>0</v>
      </c>
      <c r="AJ633" s="31">
        <v>0</v>
      </c>
      <c r="AK633" s="31">
        <v>0</v>
      </c>
      <c r="AL633" s="31">
        <v>0</v>
      </c>
      <c r="AM633" s="31">
        <v>0</v>
      </c>
      <c r="AN633" s="31">
        <v>0</v>
      </c>
      <c r="AO633" s="31">
        <v>0</v>
      </c>
      <c r="AP633" s="31">
        <v>0</v>
      </c>
    </row>
    <row r="634" spans="1:42" x14ac:dyDescent="0.25">
      <c r="A634" s="31">
        <v>32</v>
      </c>
      <c r="B634" s="31">
        <v>25202</v>
      </c>
      <c r="C634" s="31">
        <v>13</v>
      </c>
      <c r="D634" s="31" t="s">
        <v>1017</v>
      </c>
      <c r="E634" s="31"/>
      <c r="F634" s="31">
        <v>0</v>
      </c>
      <c r="G634" s="31">
        <v>0</v>
      </c>
      <c r="H634" s="31">
        <v>0</v>
      </c>
      <c r="I634" s="31">
        <v>0</v>
      </c>
      <c r="J634" s="31">
        <v>0</v>
      </c>
      <c r="K634" s="31" t="s">
        <v>882</v>
      </c>
      <c r="L634" s="19" t="str">
        <f t="shared" si="72"/>
        <v>Рихтовка</v>
      </c>
      <c r="M634" s="12">
        <f t="shared" si="73"/>
        <v>0</v>
      </c>
      <c r="N634" s="12">
        <f t="shared" si="74"/>
        <v>0</v>
      </c>
      <c r="O634" s="12">
        <f t="shared" si="75"/>
        <v>0</v>
      </c>
      <c r="P634" s="12">
        <f t="shared" si="76"/>
        <v>0</v>
      </c>
      <c r="Q634" s="12">
        <f t="shared" si="77"/>
        <v>0</v>
      </c>
      <c r="R634" s="12">
        <f t="shared" si="78"/>
        <v>0</v>
      </c>
      <c r="S634" s="12">
        <f t="shared" si="79"/>
        <v>0</v>
      </c>
      <c r="T634" s="31">
        <v>0</v>
      </c>
      <c r="U634" s="31">
        <v>0</v>
      </c>
      <c r="V634" s="31">
        <v>0</v>
      </c>
      <c r="W634" s="31">
        <v>0</v>
      </c>
      <c r="X634" s="31">
        <v>0</v>
      </c>
      <c r="Y634" s="31">
        <v>0</v>
      </c>
      <c r="Z634" s="31">
        <v>0</v>
      </c>
      <c r="AA634" s="31">
        <v>0</v>
      </c>
      <c r="AB634" s="31">
        <v>0</v>
      </c>
      <c r="AC634" s="31">
        <v>0</v>
      </c>
      <c r="AD634" s="31">
        <v>0</v>
      </c>
      <c r="AE634" s="31">
        <v>0</v>
      </c>
      <c r="AF634" s="31">
        <v>0</v>
      </c>
      <c r="AG634" s="31">
        <v>0</v>
      </c>
      <c r="AH634" s="31">
        <v>0</v>
      </c>
      <c r="AI634" s="31">
        <v>0</v>
      </c>
      <c r="AJ634" s="31">
        <v>0</v>
      </c>
      <c r="AK634" s="31">
        <v>0</v>
      </c>
      <c r="AL634" s="31">
        <v>0</v>
      </c>
      <c r="AM634" s="31">
        <v>0</v>
      </c>
      <c r="AN634" s="31">
        <v>0</v>
      </c>
      <c r="AO634" s="31">
        <v>0</v>
      </c>
      <c r="AP634" s="31">
        <v>0</v>
      </c>
    </row>
    <row r="635" spans="1:42" x14ac:dyDescent="0.25">
      <c r="A635" s="31">
        <v>32</v>
      </c>
      <c r="B635" s="31">
        <v>25236</v>
      </c>
      <c r="C635" s="31">
        <v>21</v>
      </c>
      <c r="D635" s="31" t="s">
        <v>1017</v>
      </c>
      <c r="E635" s="31"/>
      <c r="F635" s="31">
        <v>0</v>
      </c>
      <c r="G635" s="31">
        <v>0</v>
      </c>
      <c r="H635" s="31">
        <v>0</v>
      </c>
      <c r="I635" s="31">
        <v>0</v>
      </c>
      <c r="J635" s="31">
        <v>0</v>
      </c>
      <c r="K635" s="31" t="s">
        <v>882</v>
      </c>
      <c r="L635" s="19" t="str">
        <f t="shared" si="72"/>
        <v>Рихтовка</v>
      </c>
      <c r="M635" s="12">
        <f t="shared" si="73"/>
        <v>0</v>
      </c>
      <c r="N635" s="12">
        <f t="shared" si="74"/>
        <v>0</v>
      </c>
      <c r="O635" s="12">
        <f t="shared" si="75"/>
        <v>0</v>
      </c>
      <c r="P635" s="12">
        <f t="shared" si="76"/>
        <v>0</v>
      </c>
      <c r="Q635" s="12">
        <f t="shared" si="77"/>
        <v>0</v>
      </c>
      <c r="R635" s="12">
        <f t="shared" si="78"/>
        <v>0</v>
      </c>
      <c r="S635" s="12">
        <f t="shared" si="79"/>
        <v>0</v>
      </c>
      <c r="T635" s="31">
        <v>0</v>
      </c>
      <c r="U635" s="31">
        <v>0</v>
      </c>
      <c r="V635" s="31">
        <v>0</v>
      </c>
      <c r="W635" s="31">
        <v>0</v>
      </c>
      <c r="X635" s="31">
        <v>0</v>
      </c>
      <c r="Y635" s="31">
        <v>0</v>
      </c>
      <c r="Z635" s="31">
        <v>0</v>
      </c>
      <c r="AA635" s="31">
        <v>0</v>
      </c>
      <c r="AB635" s="31">
        <v>0</v>
      </c>
      <c r="AC635" s="31">
        <v>0</v>
      </c>
      <c r="AD635" s="31">
        <v>0</v>
      </c>
      <c r="AE635" s="31">
        <v>0</v>
      </c>
      <c r="AF635" s="31">
        <v>0</v>
      </c>
      <c r="AG635" s="31">
        <v>0</v>
      </c>
      <c r="AH635" s="31">
        <v>0</v>
      </c>
      <c r="AI635" s="31">
        <v>0</v>
      </c>
      <c r="AJ635" s="31">
        <v>0</v>
      </c>
      <c r="AK635" s="31">
        <v>0</v>
      </c>
      <c r="AL635" s="31">
        <v>0</v>
      </c>
      <c r="AM635" s="31">
        <v>0</v>
      </c>
      <c r="AN635" s="31">
        <v>0</v>
      </c>
      <c r="AO635" s="31">
        <v>0</v>
      </c>
      <c r="AP635" s="31">
        <v>0</v>
      </c>
    </row>
    <row r="636" spans="1:42" x14ac:dyDescent="0.25">
      <c r="A636" s="31">
        <v>32</v>
      </c>
      <c r="B636" s="31">
        <v>25236</v>
      </c>
      <c r="C636" s="31">
        <v>1</v>
      </c>
      <c r="D636" s="31" t="s">
        <v>1017</v>
      </c>
      <c r="E636" s="31"/>
      <c r="F636" s="31">
        <v>0</v>
      </c>
      <c r="G636" s="31">
        <v>0</v>
      </c>
      <c r="H636" s="31">
        <v>0</v>
      </c>
      <c r="I636" s="31">
        <v>0</v>
      </c>
      <c r="J636" s="31">
        <v>0</v>
      </c>
      <c r="K636" s="31" t="s">
        <v>882</v>
      </c>
      <c r="L636" s="19" t="str">
        <f t="shared" si="72"/>
        <v>Рихтовка</v>
      </c>
      <c r="M636" s="12">
        <f t="shared" si="73"/>
        <v>0</v>
      </c>
      <c r="N636" s="12">
        <f t="shared" si="74"/>
        <v>0</v>
      </c>
      <c r="O636" s="12">
        <f t="shared" si="75"/>
        <v>0</v>
      </c>
      <c r="P636" s="12">
        <f t="shared" si="76"/>
        <v>0</v>
      </c>
      <c r="Q636" s="12">
        <f t="shared" si="77"/>
        <v>0</v>
      </c>
      <c r="R636" s="12">
        <f t="shared" si="78"/>
        <v>0</v>
      </c>
      <c r="S636" s="12">
        <f t="shared" si="79"/>
        <v>0</v>
      </c>
      <c r="T636" s="31">
        <v>0</v>
      </c>
      <c r="U636" s="31">
        <v>0</v>
      </c>
      <c r="V636" s="31">
        <v>0</v>
      </c>
      <c r="W636" s="31">
        <v>0</v>
      </c>
      <c r="X636" s="31">
        <v>0</v>
      </c>
      <c r="Y636" s="31">
        <v>0</v>
      </c>
      <c r="Z636" s="31">
        <v>0</v>
      </c>
      <c r="AA636" s="31">
        <v>0</v>
      </c>
      <c r="AB636" s="31">
        <v>0</v>
      </c>
      <c r="AC636" s="31">
        <v>0</v>
      </c>
      <c r="AD636" s="31">
        <v>0</v>
      </c>
      <c r="AE636" s="31">
        <v>0</v>
      </c>
      <c r="AF636" s="31">
        <v>0</v>
      </c>
      <c r="AG636" s="31">
        <v>0</v>
      </c>
      <c r="AH636" s="31">
        <v>0</v>
      </c>
      <c r="AI636" s="31">
        <v>0</v>
      </c>
      <c r="AJ636" s="31">
        <v>0</v>
      </c>
      <c r="AK636" s="31">
        <v>0</v>
      </c>
      <c r="AL636" s="31">
        <v>0</v>
      </c>
      <c r="AM636" s="31">
        <v>0</v>
      </c>
      <c r="AN636" s="31">
        <v>0</v>
      </c>
      <c r="AO636" s="31">
        <v>0</v>
      </c>
      <c r="AP636" s="31">
        <v>0</v>
      </c>
    </row>
    <row r="637" spans="1:42" x14ac:dyDescent="0.25">
      <c r="A637" s="31">
        <v>32</v>
      </c>
      <c r="B637" s="31">
        <v>25236</v>
      </c>
      <c r="C637" s="31">
        <v>12</v>
      </c>
      <c r="D637" s="31" t="s">
        <v>1017</v>
      </c>
      <c r="E637" s="31"/>
      <c r="F637" s="31">
        <v>0</v>
      </c>
      <c r="G637" s="31">
        <v>0</v>
      </c>
      <c r="H637" s="31">
        <v>0</v>
      </c>
      <c r="I637" s="31">
        <v>0</v>
      </c>
      <c r="J637" s="31">
        <v>0</v>
      </c>
      <c r="K637" s="31" t="s">
        <v>882</v>
      </c>
      <c r="L637" s="19" t="str">
        <f t="shared" si="72"/>
        <v>Рихтовка</v>
      </c>
      <c r="M637" s="12">
        <f t="shared" si="73"/>
        <v>0</v>
      </c>
      <c r="N637" s="12">
        <f t="shared" si="74"/>
        <v>0</v>
      </c>
      <c r="O637" s="12">
        <f t="shared" si="75"/>
        <v>0</v>
      </c>
      <c r="P637" s="12">
        <f t="shared" si="76"/>
        <v>0</v>
      </c>
      <c r="Q637" s="12">
        <f t="shared" si="77"/>
        <v>0</v>
      </c>
      <c r="R637" s="12">
        <f t="shared" si="78"/>
        <v>0</v>
      </c>
      <c r="S637" s="12">
        <f t="shared" si="79"/>
        <v>0</v>
      </c>
      <c r="T637" s="31">
        <v>0</v>
      </c>
      <c r="U637" s="31">
        <v>0</v>
      </c>
      <c r="V637" s="31">
        <v>0</v>
      </c>
      <c r="W637" s="31">
        <v>0</v>
      </c>
      <c r="X637" s="31">
        <v>0</v>
      </c>
      <c r="Y637" s="31">
        <v>0</v>
      </c>
      <c r="Z637" s="31">
        <v>0</v>
      </c>
      <c r="AA637" s="31">
        <v>0</v>
      </c>
      <c r="AB637" s="31">
        <v>0</v>
      </c>
      <c r="AC637" s="31">
        <v>0</v>
      </c>
      <c r="AD637" s="31">
        <v>0</v>
      </c>
      <c r="AE637" s="31">
        <v>0</v>
      </c>
      <c r="AF637" s="31">
        <v>0</v>
      </c>
      <c r="AG637" s="31">
        <v>0</v>
      </c>
      <c r="AH637" s="31">
        <v>0</v>
      </c>
      <c r="AI637" s="31">
        <v>0</v>
      </c>
      <c r="AJ637" s="31">
        <v>0</v>
      </c>
      <c r="AK637" s="31">
        <v>0</v>
      </c>
      <c r="AL637" s="31">
        <v>0</v>
      </c>
      <c r="AM637" s="31">
        <v>0</v>
      </c>
      <c r="AN637" s="31">
        <v>0</v>
      </c>
      <c r="AO637" s="31">
        <v>0</v>
      </c>
      <c r="AP637" s="31">
        <v>0</v>
      </c>
    </row>
    <row r="638" spans="1:42" x14ac:dyDescent="0.25">
      <c r="A638" s="31">
        <v>32</v>
      </c>
      <c r="B638" s="31">
        <v>25236</v>
      </c>
      <c r="C638" s="31">
        <v>11</v>
      </c>
      <c r="D638" s="31" t="s">
        <v>1017</v>
      </c>
      <c r="E638" s="31"/>
      <c r="F638" s="31">
        <v>0</v>
      </c>
      <c r="G638" s="31">
        <v>0</v>
      </c>
      <c r="H638" s="31">
        <v>0</v>
      </c>
      <c r="I638" s="31">
        <v>0</v>
      </c>
      <c r="J638" s="31">
        <v>0</v>
      </c>
      <c r="K638" s="31" t="s">
        <v>882</v>
      </c>
      <c r="L638" s="19" t="str">
        <f t="shared" si="72"/>
        <v>Рихтовка</v>
      </c>
      <c r="M638" s="12">
        <f t="shared" si="73"/>
        <v>0</v>
      </c>
      <c r="N638" s="12">
        <f t="shared" si="74"/>
        <v>0</v>
      </c>
      <c r="O638" s="12">
        <f t="shared" si="75"/>
        <v>0</v>
      </c>
      <c r="P638" s="12">
        <f t="shared" si="76"/>
        <v>0</v>
      </c>
      <c r="Q638" s="12">
        <f t="shared" si="77"/>
        <v>0</v>
      </c>
      <c r="R638" s="12">
        <f t="shared" si="78"/>
        <v>0</v>
      </c>
      <c r="S638" s="12">
        <f t="shared" si="79"/>
        <v>0</v>
      </c>
      <c r="T638" s="31">
        <v>0</v>
      </c>
      <c r="U638" s="31">
        <v>0</v>
      </c>
      <c r="V638" s="31">
        <v>0</v>
      </c>
      <c r="W638" s="31">
        <v>0</v>
      </c>
      <c r="X638" s="31">
        <v>0</v>
      </c>
      <c r="Y638" s="31">
        <v>0</v>
      </c>
      <c r="Z638" s="31">
        <v>0</v>
      </c>
      <c r="AA638" s="31">
        <v>0</v>
      </c>
      <c r="AB638" s="31">
        <v>0</v>
      </c>
      <c r="AC638" s="31">
        <v>0</v>
      </c>
      <c r="AD638" s="31">
        <v>0</v>
      </c>
      <c r="AE638" s="31">
        <v>0</v>
      </c>
      <c r="AF638" s="31">
        <v>0</v>
      </c>
      <c r="AG638" s="31">
        <v>0</v>
      </c>
      <c r="AH638" s="31">
        <v>0</v>
      </c>
      <c r="AI638" s="31">
        <v>0</v>
      </c>
      <c r="AJ638" s="31">
        <v>0</v>
      </c>
      <c r="AK638" s="31">
        <v>0</v>
      </c>
      <c r="AL638" s="31">
        <v>0</v>
      </c>
      <c r="AM638" s="31">
        <v>0</v>
      </c>
      <c r="AN638" s="31">
        <v>0</v>
      </c>
      <c r="AO638" s="31">
        <v>0</v>
      </c>
      <c r="AP638" s="31">
        <v>0</v>
      </c>
    </row>
    <row r="639" spans="1:42" x14ac:dyDescent="0.25">
      <c r="A639" s="31">
        <v>32</v>
      </c>
      <c r="B639" s="31">
        <v>25237</v>
      </c>
      <c r="C639" s="31">
        <v>1</v>
      </c>
      <c r="D639" s="31" t="s">
        <v>1018</v>
      </c>
      <c r="E639" s="31"/>
      <c r="F639" s="31">
        <v>0</v>
      </c>
      <c r="G639" s="31">
        <v>0</v>
      </c>
      <c r="H639" s="31">
        <v>0</v>
      </c>
      <c r="I639" s="31">
        <v>0</v>
      </c>
      <c r="J639" s="31">
        <v>0</v>
      </c>
      <c r="K639" s="31" t="s">
        <v>882</v>
      </c>
      <c r="L639" s="19" t="str">
        <f t="shared" si="72"/>
        <v>Рихтовка</v>
      </c>
      <c r="M639" s="12">
        <f t="shared" si="73"/>
        <v>0</v>
      </c>
      <c r="N639" s="12">
        <f t="shared" si="74"/>
        <v>0</v>
      </c>
      <c r="O639" s="12">
        <f t="shared" si="75"/>
        <v>0</v>
      </c>
      <c r="P639" s="12">
        <f t="shared" si="76"/>
        <v>0</v>
      </c>
      <c r="Q639" s="12">
        <f t="shared" si="77"/>
        <v>0</v>
      </c>
      <c r="R639" s="12">
        <f t="shared" si="78"/>
        <v>0</v>
      </c>
      <c r="S639" s="12">
        <f t="shared" si="79"/>
        <v>0</v>
      </c>
      <c r="T639" s="31">
        <v>0</v>
      </c>
      <c r="U639" s="31">
        <v>0</v>
      </c>
      <c r="V639" s="31">
        <v>0</v>
      </c>
      <c r="W639" s="31">
        <v>0</v>
      </c>
      <c r="X639" s="31">
        <v>0</v>
      </c>
      <c r="Y639" s="31">
        <v>0</v>
      </c>
      <c r="Z639" s="31">
        <v>0</v>
      </c>
      <c r="AA639" s="31">
        <v>0</v>
      </c>
      <c r="AB639" s="31">
        <v>0</v>
      </c>
      <c r="AC639" s="31">
        <v>0</v>
      </c>
      <c r="AD639" s="31">
        <v>0</v>
      </c>
      <c r="AE639" s="31">
        <v>0</v>
      </c>
      <c r="AF639" s="31">
        <v>0</v>
      </c>
      <c r="AG639" s="31">
        <v>0</v>
      </c>
      <c r="AH639" s="31">
        <v>0</v>
      </c>
      <c r="AI639" s="31">
        <v>0</v>
      </c>
      <c r="AJ639" s="31">
        <v>0</v>
      </c>
      <c r="AK639" s="31">
        <v>0</v>
      </c>
      <c r="AL639" s="31">
        <v>0</v>
      </c>
      <c r="AM639" s="31">
        <v>0</v>
      </c>
      <c r="AN639" s="31">
        <v>0</v>
      </c>
      <c r="AO639" s="31">
        <v>0</v>
      </c>
      <c r="AP639" s="31">
        <v>0</v>
      </c>
    </row>
    <row r="640" spans="1:42" x14ac:dyDescent="0.25">
      <c r="A640" s="31">
        <v>32</v>
      </c>
      <c r="B640" s="31">
        <v>25231</v>
      </c>
      <c r="C640" s="31">
        <v>1</v>
      </c>
      <c r="D640" s="31" t="s">
        <v>1019</v>
      </c>
      <c r="E640" s="31"/>
      <c r="F640" s="31">
        <v>0</v>
      </c>
      <c r="G640" s="31">
        <v>0</v>
      </c>
      <c r="H640" s="31">
        <v>0</v>
      </c>
      <c r="I640" s="31">
        <v>0</v>
      </c>
      <c r="J640" s="31">
        <v>0</v>
      </c>
      <c r="K640" s="31" t="s">
        <v>882</v>
      </c>
      <c r="L640" s="19" t="str">
        <f t="shared" si="72"/>
        <v>Рихтовка</v>
      </c>
      <c r="M640" s="12">
        <f t="shared" si="73"/>
        <v>0</v>
      </c>
      <c r="N640" s="12">
        <f t="shared" si="74"/>
        <v>0</v>
      </c>
      <c r="O640" s="12">
        <f t="shared" si="75"/>
        <v>0</v>
      </c>
      <c r="P640" s="12">
        <f t="shared" si="76"/>
        <v>0</v>
      </c>
      <c r="Q640" s="12">
        <f t="shared" si="77"/>
        <v>0</v>
      </c>
      <c r="R640" s="12">
        <f t="shared" si="78"/>
        <v>0</v>
      </c>
      <c r="S640" s="12">
        <f t="shared" si="79"/>
        <v>0</v>
      </c>
      <c r="T640" s="31">
        <v>0</v>
      </c>
      <c r="U640" s="31">
        <v>0</v>
      </c>
      <c r="V640" s="31">
        <v>0</v>
      </c>
      <c r="W640" s="31">
        <v>0</v>
      </c>
      <c r="X640" s="31">
        <v>0</v>
      </c>
      <c r="Y640" s="31">
        <v>0</v>
      </c>
      <c r="Z640" s="31">
        <v>0</v>
      </c>
      <c r="AA640" s="31">
        <v>0</v>
      </c>
      <c r="AB640" s="31">
        <v>0</v>
      </c>
      <c r="AC640" s="31">
        <v>0</v>
      </c>
      <c r="AD640" s="31">
        <v>0</v>
      </c>
      <c r="AE640" s="31">
        <v>0</v>
      </c>
      <c r="AF640" s="31">
        <v>0</v>
      </c>
      <c r="AG640" s="31">
        <v>0</v>
      </c>
      <c r="AH640" s="31">
        <v>0</v>
      </c>
      <c r="AI640" s="31">
        <v>0</v>
      </c>
      <c r="AJ640" s="31">
        <v>0</v>
      </c>
      <c r="AK640" s="31">
        <v>0</v>
      </c>
      <c r="AL640" s="31">
        <v>0</v>
      </c>
      <c r="AM640" s="31">
        <v>0</v>
      </c>
      <c r="AN640" s="31">
        <v>0</v>
      </c>
      <c r="AO640" s="31">
        <v>0</v>
      </c>
      <c r="AP640" s="31">
        <v>0</v>
      </c>
    </row>
    <row r="641" spans="1:42" x14ac:dyDescent="0.25">
      <c r="A641" s="31">
        <v>32</v>
      </c>
      <c r="B641" s="31">
        <v>25233</v>
      </c>
      <c r="C641" s="31">
        <v>1</v>
      </c>
      <c r="D641" s="31" t="s">
        <v>1020</v>
      </c>
      <c r="E641" s="31"/>
      <c r="F641" s="31">
        <v>0</v>
      </c>
      <c r="G641" s="31">
        <v>0</v>
      </c>
      <c r="H641" s="31">
        <v>0</v>
      </c>
      <c r="I641" s="31">
        <v>0</v>
      </c>
      <c r="J641" s="31">
        <v>0</v>
      </c>
      <c r="K641" s="31" t="s">
        <v>882</v>
      </c>
      <c r="L641" s="19" t="str">
        <f t="shared" si="72"/>
        <v>Рихтовка</v>
      </c>
      <c r="M641" s="12">
        <f t="shared" si="73"/>
        <v>0</v>
      </c>
      <c r="N641" s="12">
        <f t="shared" si="74"/>
        <v>0</v>
      </c>
      <c r="O641" s="12">
        <f t="shared" si="75"/>
        <v>0</v>
      </c>
      <c r="P641" s="12">
        <f t="shared" si="76"/>
        <v>0</v>
      </c>
      <c r="Q641" s="12">
        <f t="shared" si="77"/>
        <v>0</v>
      </c>
      <c r="R641" s="12">
        <f t="shared" si="78"/>
        <v>0</v>
      </c>
      <c r="S641" s="12">
        <f t="shared" si="79"/>
        <v>0</v>
      </c>
      <c r="T641" s="31">
        <v>0</v>
      </c>
      <c r="U641" s="31">
        <v>0</v>
      </c>
      <c r="V641" s="31">
        <v>0</v>
      </c>
      <c r="W641" s="31">
        <v>0</v>
      </c>
      <c r="X641" s="31">
        <v>0</v>
      </c>
      <c r="Y641" s="31">
        <v>0</v>
      </c>
      <c r="Z641" s="31">
        <v>0</v>
      </c>
      <c r="AA641" s="31">
        <v>0</v>
      </c>
      <c r="AB641" s="31">
        <v>0</v>
      </c>
      <c r="AC641" s="31">
        <v>0</v>
      </c>
      <c r="AD641" s="31">
        <v>0</v>
      </c>
      <c r="AE641" s="31">
        <v>0</v>
      </c>
      <c r="AF641" s="31">
        <v>0</v>
      </c>
      <c r="AG641" s="31">
        <v>0</v>
      </c>
      <c r="AH641" s="31">
        <v>0</v>
      </c>
      <c r="AI641" s="31">
        <v>0</v>
      </c>
      <c r="AJ641" s="31">
        <v>0</v>
      </c>
      <c r="AK641" s="31">
        <v>0</v>
      </c>
      <c r="AL641" s="31">
        <v>0</v>
      </c>
      <c r="AM641" s="31">
        <v>0</v>
      </c>
      <c r="AN641" s="31">
        <v>0</v>
      </c>
      <c r="AO641" s="31">
        <v>0</v>
      </c>
      <c r="AP641" s="31">
        <v>0</v>
      </c>
    </row>
    <row r="642" spans="1:42" x14ac:dyDescent="0.25">
      <c r="A642" s="31">
        <v>32</v>
      </c>
      <c r="B642" s="31">
        <v>25235</v>
      </c>
      <c r="C642" s="31">
        <v>1</v>
      </c>
      <c r="D642" s="31" t="s">
        <v>1021</v>
      </c>
      <c r="E642" s="31"/>
      <c r="F642" s="31">
        <v>0</v>
      </c>
      <c r="G642" s="31">
        <v>0</v>
      </c>
      <c r="H642" s="31">
        <v>0</v>
      </c>
      <c r="I642" s="31">
        <v>0</v>
      </c>
      <c r="J642" s="31">
        <v>0</v>
      </c>
      <c r="K642" s="31" t="s">
        <v>882</v>
      </c>
      <c r="L642" s="19" t="str">
        <f t="shared" ref="L642:L687" si="80">IF($M642=N642,$N$1,IF($M642=O642,$O$1,IF($M642=P642,$P$1,IF($M642=Q642,$Q$1,IF($M642=R642,$R$1,$S$1)))))</f>
        <v>Рихтовка</v>
      </c>
      <c r="M642" s="12">
        <f t="shared" ref="M642:M687" si="81">MAX(N642,O642,P642,Q642,R642,S642)</f>
        <v>0</v>
      </c>
      <c r="N642" s="12">
        <f t="shared" ref="N642:N687" si="82">T642+U642+V642</f>
        <v>0</v>
      </c>
      <c r="O642" s="12">
        <f t="shared" ref="O642:O687" si="83">W642+X642+Y642</f>
        <v>0</v>
      </c>
      <c r="P642" s="12">
        <f t="shared" ref="P642:P687" si="84">Z642+AA642+AB642</f>
        <v>0</v>
      </c>
      <c r="Q642" s="12">
        <f t="shared" ref="Q642:Q687" si="85">AC642+AD642+AE642</f>
        <v>0</v>
      </c>
      <c r="R642" s="12">
        <f t="shared" ref="R642:R687" si="86">AF642+AG642+AH642</f>
        <v>0</v>
      </c>
      <c r="S642" s="12">
        <f t="shared" ref="S642:S687" si="87">AI642+AJ642+AK642</f>
        <v>0</v>
      </c>
      <c r="T642" s="31">
        <v>0</v>
      </c>
      <c r="U642" s="31">
        <v>0</v>
      </c>
      <c r="V642" s="31">
        <v>0</v>
      </c>
      <c r="W642" s="31">
        <v>0</v>
      </c>
      <c r="X642" s="31">
        <v>0</v>
      </c>
      <c r="Y642" s="31">
        <v>0</v>
      </c>
      <c r="Z642" s="31">
        <v>0</v>
      </c>
      <c r="AA642" s="31">
        <v>0</v>
      </c>
      <c r="AB642" s="31">
        <v>0</v>
      </c>
      <c r="AC642" s="31">
        <v>0</v>
      </c>
      <c r="AD642" s="31">
        <v>0</v>
      </c>
      <c r="AE642" s="31">
        <v>0</v>
      </c>
      <c r="AF642" s="31">
        <v>0</v>
      </c>
      <c r="AG642" s="31">
        <v>0</v>
      </c>
      <c r="AH642" s="31">
        <v>0</v>
      </c>
      <c r="AI642" s="31">
        <v>0</v>
      </c>
      <c r="AJ642" s="31">
        <v>0</v>
      </c>
      <c r="AK642" s="31">
        <v>0</v>
      </c>
      <c r="AL642" s="31">
        <v>0</v>
      </c>
      <c r="AM642" s="31">
        <v>0</v>
      </c>
      <c r="AN642" s="31">
        <v>0</v>
      </c>
      <c r="AO642" s="31">
        <v>0</v>
      </c>
      <c r="AP642" s="31">
        <v>0</v>
      </c>
    </row>
    <row r="643" spans="1:42" x14ac:dyDescent="0.25">
      <c r="A643" s="31">
        <v>32</v>
      </c>
      <c r="B643" s="31">
        <v>25201</v>
      </c>
      <c r="C643" s="31">
        <v>1</v>
      </c>
      <c r="D643" s="31" t="s">
        <v>1022</v>
      </c>
      <c r="E643" s="31"/>
      <c r="F643" s="31">
        <v>0</v>
      </c>
      <c r="G643" s="31">
        <v>0</v>
      </c>
      <c r="H643" s="31">
        <v>0</v>
      </c>
      <c r="I643" s="31">
        <v>0</v>
      </c>
      <c r="J643" s="31">
        <v>0</v>
      </c>
      <c r="K643" s="31" t="s">
        <v>882</v>
      </c>
      <c r="L643" s="19" t="str">
        <f t="shared" si="80"/>
        <v>Рихтовка</v>
      </c>
      <c r="M643" s="12">
        <f t="shared" si="81"/>
        <v>0</v>
      </c>
      <c r="N643" s="12">
        <f t="shared" si="82"/>
        <v>0</v>
      </c>
      <c r="O643" s="12">
        <f t="shared" si="83"/>
        <v>0</v>
      </c>
      <c r="P643" s="12">
        <f t="shared" si="84"/>
        <v>0</v>
      </c>
      <c r="Q643" s="12">
        <f t="shared" si="85"/>
        <v>0</v>
      </c>
      <c r="R643" s="12">
        <f t="shared" si="86"/>
        <v>0</v>
      </c>
      <c r="S643" s="12">
        <f t="shared" si="87"/>
        <v>0</v>
      </c>
      <c r="T643" s="31">
        <v>0</v>
      </c>
      <c r="U643" s="31">
        <v>0</v>
      </c>
      <c r="V643" s="31">
        <v>0</v>
      </c>
      <c r="W643" s="31">
        <v>0</v>
      </c>
      <c r="X643" s="31">
        <v>0</v>
      </c>
      <c r="Y643" s="31">
        <v>0</v>
      </c>
      <c r="Z643" s="31">
        <v>0</v>
      </c>
      <c r="AA643" s="31">
        <v>0</v>
      </c>
      <c r="AB643" s="31">
        <v>0</v>
      </c>
      <c r="AC643" s="31">
        <v>0</v>
      </c>
      <c r="AD643" s="31">
        <v>0</v>
      </c>
      <c r="AE643" s="31">
        <v>0</v>
      </c>
      <c r="AF643" s="31">
        <v>0</v>
      </c>
      <c r="AG643" s="31">
        <v>0</v>
      </c>
      <c r="AH643" s="31">
        <v>0</v>
      </c>
      <c r="AI643" s="31">
        <v>0</v>
      </c>
      <c r="AJ643" s="31">
        <v>0</v>
      </c>
      <c r="AK643" s="31">
        <v>0</v>
      </c>
      <c r="AL643" s="31">
        <v>0</v>
      </c>
      <c r="AM643" s="31">
        <v>0</v>
      </c>
      <c r="AN643" s="31">
        <v>0</v>
      </c>
      <c r="AO643" s="31">
        <v>0</v>
      </c>
      <c r="AP643" s="31">
        <v>0</v>
      </c>
    </row>
    <row r="644" spans="1:42" x14ac:dyDescent="0.25">
      <c r="A644" s="31">
        <v>32</v>
      </c>
      <c r="B644" s="31">
        <v>25201</v>
      </c>
      <c r="C644" s="31">
        <v>3</v>
      </c>
      <c r="D644" s="31" t="s">
        <v>1023</v>
      </c>
      <c r="E644" s="31"/>
      <c r="F644" s="31">
        <v>0</v>
      </c>
      <c r="G644" s="31">
        <v>0</v>
      </c>
      <c r="H644" s="31">
        <v>0</v>
      </c>
      <c r="I644" s="31">
        <v>0</v>
      </c>
      <c r="J644" s="31">
        <v>0</v>
      </c>
      <c r="K644" s="31" t="s">
        <v>882</v>
      </c>
      <c r="L644" s="19" t="str">
        <f t="shared" si="80"/>
        <v>Рихтовка</v>
      </c>
      <c r="M644" s="12">
        <f t="shared" si="81"/>
        <v>0</v>
      </c>
      <c r="N644" s="12">
        <f t="shared" si="82"/>
        <v>0</v>
      </c>
      <c r="O644" s="12">
        <f t="shared" si="83"/>
        <v>0</v>
      </c>
      <c r="P644" s="12">
        <f t="shared" si="84"/>
        <v>0</v>
      </c>
      <c r="Q644" s="12">
        <f t="shared" si="85"/>
        <v>0</v>
      </c>
      <c r="R644" s="12">
        <f t="shared" si="86"/>
        <v>0</v>
      </c>
      <c r="S644" s="12">
        <f t="shared" si="87"/>
        <v>0</v>
      </c>
      <c r="T644" s="31">
        <v>0</v>
      </c>
      <c r="U644" s="31">
        <v>0</v>
      </c>
      <c r="V644" s="31">
        <v>0</v>
      </c>
      <c r="W644" s="31">
        <v>0</v>
      </c>
      <c r="X644" s="31">
        <v>0</v>
      </c>
      <c r="Y644" s="31">
        <v>0</v>
      </c>
      <c r="Z644" s="31">
        <v>0</v>
      </c>
      <c r="AA644" s="31">
        <v>0</v>
      </c>
      <c r="AB644" s="31">
        <v>0</v>
      </c>
      <c r="AC644" s="31">
        <v>0</v>
      </c>
      <c r="AD644" s="31">
        <v>0</v>
      </c>
      <c r="AE644" s="31">
        <v>0</v>
      </c>
      <c r="AF644" s="31">
        <v>0</v>
      </c>
      <c r="AG644" s="31">
        <v>0</v>
      </c>
      <c r="AH644" s="31">
        <v>0</v>
      </c>
      <c r="AI644" s="31">
        <v>0</v>
      </c>
      <c r="AJ644" s="31">
        <v>0</v>
      </c>
      <c r="AK644" s="31">
        <v>0</v>
      </c>
      <c r="AL644" s="31">
        <v>0</v>
      </c>
      <c r="AM644" s="31">
        <v>0</v>
      </c>
      <c r="AN644" s="31">
        <v>0</v>
      </c>
      <c r="AO644" s="31">
        <v>0</v>
      </c>
      <c r="AP644" s="31">
        <v>0</v>
      </c>
    </row>
    <row r="645" spans="1:42" x14ac:dyDescent="0.25">
      <c r="A645" s="31">
        <v>32</v>
      </c>
      <c r="B645" s="31">
        <v>25201</v>
      </c>
      <c r="C645" s="31">
        <v>1</v>
      </c>
      <c r="D645" s="31" t="s">
        <v>1024</v>
      </c>
      <c r="E645" s="31"/>
      <c r="F645" s="31">
        <v>0</v>
      </c>
      <c r="G645" s="31">
        <v>0</v>
      </c>
      <c r="H645" s="31">
        <v>0</v>
      </c>
      <c r="I645" s="31">
        <v>0</v>
      </c>
      <c r="J645" s="31">
        <v>0</v>
      </c>
      <c r="K645" s="31" t="s">
        <v>882</v>
      </c>
      <c r="L645" s="19" t="str">
        <f t="shared" si="80"/>
        <v>Рихтовка</v>
      </c>
      <c r="M645" s="12">
        <f t="shared" si="81"/>
        <v>0</v>
      </c>
      <c r="N645" s="12">
        <f t="shared" si="82"/>
        <v>0</v>
      </c>
      <c r="O645" s="12">
        <f t="shared" si="83"/>
        <v>0</v>
      </c>
      <c r="P645" s="12">
        <f t="shared" si="84"/>
        <v>0</v>
      </c>
      <c r="Q645" s="12">
        <f t="shared" si="85"/>
        <v>0</v>
      </c>
      <c r="R645" s="12">
        <f t="shared" si="86"/>
        <v>0</v>
      </c>
      <c r="S645" s="12">
        <f t="shared" si="87"/>
        <v>0</v>
      </c>
      <c r="T645" s="31">
        <v>0</v>
      </c>
      <c r="U645" s="31">
        <v>0</v>
      </c>
      <c r="V645" s="31">
        <v>0</v>
      </c>
      <c r="W645" s="31">
        <v>0</v>
      </c>
      <c r="X645" s="31">
        <v>0</v>
      </c>
      <c r="Y645" s="31">
        <v>0</v>
      </c>
      <c r="Z645" s="31">
        <v>0</v>
      </c>
      <c r="AA645" s="31">
        <v>0</v>
      </c>
      <c r="AB645" s="31">
        <v>0</v>
      </c>
      <c r="AC645" s="31">
        <v>0</v>
      </c>
      <c r="AD645" s="31">
        <v>0</v>
      </c>
      <c r="AE645" s="31">
        <v>0</v>
      </c>
      <c r="AF645" s="31">
        <v>0</v>
      </c>
      <c r="AG645" s="31">
        <v>0</v>
      </c>
      <c r="AH645" s="31">
        <v>0</v>
      </c>
      <c r="AI645" s="31">
        <v>0</v>
      </c>
      <c r="AJ645" s="31">
        <v>0</v>
      </c>
      <c r="AK645" s="31">
        <v>0</v>
      </c>
      <c r="AL645" s="31">
        <v>0</v>
      </c>
      <c r="AM645" s="31">
        <v>0</v>
      </c>
      <c r="AN645" s="31">
        <v>0</v>
      </c>
      <c r="AO645" s="31">
        <v>0</v>
      </c>
      <c r="AP645" s="31">
        <v>0</v>
      </c>
    </row>
    <row r="646" spans="1:42" x14ac:dyDescent="0.25">
      <c r="A646" s="31">
        <v>32</v>
      </c>
      <c r="B646" s="31">
        <v>25201</v>
      </c>
      <c r="C646" s="31">
        <v>1</v>
      </c>
      <c r="D646" s="31" t="s">
        <v>1025</v>
      </c>
      <c r="E646" s="31"/>
      <c r="F646" s="31">
        <v>0</v>
      </c>
      <c r="G646" s="31">
        <v>0</v>
      </c>
      <c r="H646" s="31">
        <v>0</v>
      </c>
      <c r="I646" s="31">
        <v>0</v>
      </c>
      <c r="J646" s="31">
        <v>0</v>
      </c>
      <c r="K646" s="31" t="s">
        <v>882</v>
      </c>
      <c r="L646" s="19" t="str">
        <f t="shared" si="80"/>
        <v>Рихтовка</v>
      </c>
      <c r="M646" s="12">
        <f t="shared" si="81"/>
        <v>0</v>
      </c>
      <c r="N646" s="12">
        <f t="shared" si="82"/>
        <v>0</v>
      </c>
      <c r="O646" s="12">
        <f t="shared" si="83"/>
        <v>0</v>
      </c>
      <c r="P646" s="12">
        <f t="shared" si="84"/>
        <v>0</v>
      </c>
      <c r="Q646" s="12">
        <f t="shared" si="85"/>
        <v>0</v>
      </c>
      <c r="R646" s="12">
        <f t="shared" si="86"/>
        <v>0</v>
      </c>
      <c r="S646" s="12">
        <f t="shared" si="87"/>
        <v>0</v>
      </c>
      <c r="T646" s="31">
        <v>0</v>
      </c>
      <c r="U646" s="31">
        <v>0</v>
      </c>
      <c r="V646" s="31">
        <v>0</v>
      </c>
      <c r="W646" s="31">
        <v>0</v>
      </c>
      <c r="X646" s="31">
        <v>0</v>
      </c>
      <c r="Y646" s="31">
        <v>0</v>
      </c>
      <c r="Z646" s="31">
        <v>0</v>
      </c>
      <c r="AA646" s="31">
        <v>0</v>
      </c>
      <c r="AB646" s="31">
        <v>0</v>
      </c>
      <c r="AC646" s="31">
        <v>0</v>
      </c>
      <c r="AD646" s="31">
        <v>0</v>
      </c>
      <c r="AE646" s="31">
        <v>0</v>
      </c>
      <c r="AF646" s="31">
        <v>0</v>
      </c>
      <c r="AG646" s="31">
        <v>0</v>
      </c>
      <c r="AH646" s="31">
        <v>0</v>
      </c>
      <c r="AI646" s="31">
        <v>0</v>
      </c>
      <c r="AJ646" s="31">
        <v>0</v>
      </c>
      <c r="AK646" s="31">
        <v>0</v>
      </c>
      <c r="AL646" s="31">
        <v>0</v>
      </c>
      <c r="AM646" s="31">
        <v>0</v>
      </c>
      <c r="AN646" s="31">
        <v>0</v>
      </c>
      <c r="AO646" s="31">
        <v>0</v>
      </c>
      <c r="AP646" s="31">
        <v>0</v>
      </c>
    </row>
    <row r="647" spans="1:42" x14ac:dyDescent="0.25">
      <c r="A647" s="31">
        <v>32</v>
      </c>
      <c r="B647" s="31">
        <v>25201</v>
      </c>
      <c r="C647" s="31">
        <v>2</v>
      </c>
      <c r="D647" s="31" t="s">
        <v>1025</v>
      </c>
      <c r="E647" s="31"/>
      <c r="F647" s="31">
        <v>0</v>
      </c>
      <c r="G647" s="31">
        <v>0</v>
      </c>
      <c r="H647" s="31">
        <v>0</v>
      </c>
      <c r="I647" s="31">
        <v>0</v>
      </c>
      <c r="J647" s="31">
        <v>0</v>
      </c>
      <c r="K647" s="31" t="s">
        <v>882</v>
      </c>
      <c r="L647" s="19" t="str">
        <f t="shared" si="80"/>
        <v>Рихтовка</v>
      </c>
      <c r="M647" s="12">
        <f t="shared" si="81"/>
        <v>0</v>
      </c>
      <c r="N647" s="12">
        <f t="shared" si="82"/>
        <v>0</v>
      </c>
      <c r="O647" s="12">
        <f t="shared" si="83"/>
        <v>0</v>
      </c>
      <c r="P647" s="12">
        <f t="shared" si="84"/>
        <v>0</v>
      </c>
      <c r="Q647" s="12">
        <f t="shared" si="85"/>
        <v>0</v>
      </c>
      <c r="R647" s="12">
        <f t="shared" si="86"/>
        <v>0</v>
      </c>
      <c r="S647" s="12">
        <f t="shared" si="87"/>
        <v>0</v>
      </c>
      <c r="T647" s="31">
        <v>0</v>
      </c>
      <c r="U647" s="31">
        <v>0</v>
      </c>
      <c r="V647" s="31">
        <v>0</v>
      </c>
      <c r="W647" s="31">
        <v>0</v>
      </c>
      <c r="X647" s="31">
        <v>0</v>
      </c>
      <c r="Y647" s="31">
        <v>0</v>
      </c>
      <c r="Z647" s="31">
        <v>0</v>
      </c>
      <c r="AA647" s="31">
        <v>0</v>
      </c>
      <c r="AB647" s="31">
        <v>0</v>
      </c>
      <c r="AC647" s="31">
        <v>0</v>
      </c>
      <c r="AD647" s="31">
        <v>0</v>
      </c>
      <c r="AE647" s="31">
        <v>0</v>
      </c>
      <c r="AF647" s="31">
        <v>0</v>
      </c>
      <c r="AG647" s="31">
        <v>0</v>
      </c>
      <c r="AH647" s="31">
        <v>0</v>
      </c>
      <c r="AI647" s="31">
        <v>0</v>
      </c>
      <c r="AJ647" s="31">
        <v>0</v>
      </c>
      <c r="AK647" s="31">
        <v>0</v>
      </c>
      <c r="AL647" s="31">
        <v>0</v>
      </c>
      <c r="AM647" s="31">
        <v>0</v>
      </c>
      <c r="AN647" s="31">
        <v>0</v>
      </c>
      <c r="AO647" s="31">
        <v>0</v>
      </c>
      <c r="AP647" s="31">
        <v>0</v>
      </c>
    </row>
    <row r="648" spans="1:42" x14ac:dyDescent="0.25">
      <c r="A648" s="31">
        <v>32</v>
      </c>
      <c r="B648" s="31">
        <v>25201</v>
      </c>
      <c r="C648" s="31">
        <v>1</v>
      </c>
      <c r="D648" s="31" t="s">
        <v>1026</v>
      </c>
      <c r="E648" s="31"/>
      <c r="F648" s="31">
        <v>0</v>
      </c>
      <c r="G648" s="31">
        <v>0</v>
      </c>
      <c r="H648" s="31">
        <v>0</v>
      </c>
      <c r="I648" s="31">
        <v>0</v>
      </c>
      <c r="J648" s="31">
        <v>0</v>
      </c>
      <c r="K648" s="31" t="s">
        <v>882</v>
      </c>
      <c r="L648" s="19" t="str">
        <f t="shared" si="80"/>
        <v>Рихтовка</v>
      </c>
      <c r="M648" s="12">
        <f t="shared" si="81"/>
        <v>0</v>
      </c>
      <c r="N648" s="12">
        <f t="shared" si="82"/>
        <v>0</v>
      </c>
      <c r="O648" s="12">
        <f t="shared" si="83"/>
        <v>0</v>
      </c>
      <c r="P648" s="12">
        <f t="shared" si="84"/>
        <v>0</v>
      </c>
      <c r="Q648" s="12">
        <f t="shared" si="85"/>
        <v>0</v>
      </c>
      <c r="R648" s="12">
        <f t="shared" si="86"/>
        <v>0</v>
      </c>
      <c r="S648" s="12">
        <f t="shared" si="87"/>
        <v>0</v>
      </c>
      <c r="T648" s="31">
        <v>0</v>
      </c>
      <c r="U648" s="31">
        <v>0</v>
      </c>
      <c r="V648" s="31">
        <v>0</v>
      </c>
      <c r="W648" s="31">
        <v>0</v>
      </c>
      <c r="X648" s="31">
        <v>0</v>
      </c>
      <c r="Y648" s="31">
        <v>0</v>
      </c>
      <c r="Z648" s="31">
        <v>0</v>
      </c>
      <c r="AA648" s="31">
        <v>0</v>
      </c>
      <c r="AB648" s="31">
        <v>0</v>
      </c>
      <c r="AC648" s="31">
        <v>0</v>
      </c>
      <c r="AD648" s="31">
        <v>0</v>
      </c>
      <c r="AE648" s="31">
        <v>0</v>
      </c>
      <c r="AF648" s="31">
        <v>0</v>
      </c>
      <c r="AG648" s="31">
        <v>0</v>
      </c>
      <c r="AH648" s="31">
        <v>0</v>
      </c>
      <c r="AI648" s="31">
        <v>0</v>
      </c>
      <c r="AJ648" s="31">
        <v>0</v>
      </c>
      <c r="AK648" s="31">
        <v>0</v>
      </c>
      <c r="AL648" s="31">
        <v>0</v>
      </c>
      <c r="AM648" s="31">
        <v>0</v>
      </c>
      <c r="AN648" s="31">
        <v>0</v>
      </c>
      <c r="AO648" s="31">
        <v>0</v>
      </c>
      <c r="AP648" s="31">
        <v>0</v>
      </c>
    </row>
    <row r="649" spans="1:42" x14ac:dyDescent="0.25">
      <c r="A649" s="31">
        <v>32</v>
      </c>
      <c r="B649" s="31">
        <v>25201</v>
      </c>
      <c r="C649" s="31">
        <v>4</v>
      </c>
      <c r="D649" s="31" t="s">
        <v>1027</v>
      </c>
      <c r="E649" s="31"/>
      <c r="F649" s="31">
        <v>0</v>
      </c>
      <c r="G649" s="31">
        <v>0</v>
      </c>
      <c r="H649" s="31">
        <v>0</v>
      </c>
      <c r="I649" s="31">
        <v>0</v>
      </c>
      <c r="J649" s="31">
        <v>0</v>
      </c>
      <c r="K649" s="31" t="s">
        <v>882</v>
      </c>
      <c r="L649" s="19" t="str">
        <f t="shared" si="80"/>
        <v>Рихтовка</v>
      </c>
      <c r="M649" s="12">
        <f t="shared" si="81"/>
        <v>0</v>
      </c>
      <c r="N649" s="12">
        <f t="shared" si="82"/>
        <v>0</v>
      </c>
      <c r="O649" s="12">
        <f t="shared" si="83"/>
        <v>0</v>
      </c>
      <c r="P649" s="12">
        <f t="shared" si="84"/>
        <v>0</v>
      </c>
      <c r="Q649" s="12">
        <f t="shared" si="85"/>
        <v>0</v>
      </c>
      <c r="R649" s="12">
        <f t="shared" si="86"/>
        <v>0</v>
      </c>
      <c r="S649" s="12">
        <f t="shared" si="87"/>
        <v>0</v>
      </c>
      <c r="T649" s="31">
        <v>0</v>
      </c>
      <c r="U649" s="31">
        <v>0</v>
      </c>
      <c r="V649" s="31">
        <v>0</v>
      </c>
      <c r="W649" s="31">
        <v>0</v>
      </c>
      <c r="X649" s="31">
        <v>0</v>
      </c>
      <c r="Y649" s="31">
        <v>0</v>
      </c>
      <c r="Z649" s="31">
        <v>0</v>
      </c>
      <c r="AA649" s="31">
        <v>0</v>
      </c>
      <c r="AB649" s="31">
        <v>0</v>
      </c>
      <c r="AC649" s="31">
        <v>0</v>
      </c>
      <c r="AD649" s="31">
        <v>0</v>
      </c>
      <c r="AE649" s="31">
        <v>0</v>
      </c>
      <c r="AF649" s="31">
        <v>0</v>
      </c>
      <c r="AG649" s="31">
        <v>0</v>
      </c>
      <c r="AH649" s="31">
        <v>0</v>
      </c>
      <c r="AI649" s="31">
        <v>0</v>
      </c>
      <c r="AJ649" s="31">
        <v>0</v>
      </c>
      <c r="AK649" s="31">
        <v>0</v>
      </c>
      <c r="AL649" s="31">
        <v>0</v>
      </c>
      <c r="AM649" s="31">
        <v>0</v>
      </c>
      <c r="AN649" s="31">
        <v>0</v>
      </c>
      <c r="AO649" s="31">
        <v>0</v>
      </c>
      <c r="AP649" s="31">
        <v>0</v>
      </c>
    </row>
    <row r="650" spans="1:42" x14ac:dyDescent="0.25">
      <c r="A650" s="31">
        <v>32</v>
      </c>
      <c r="B650" s="31">
        <v>25201</v>
      </c>
      <c r="C650" s="31">
        <v>1</v>
      </c>
      <c r="D650" s="31" t="s">
        <v>1028</v>
      </c>
      <c r="E650" s="31"/>
      <c r="F650" s="31">
        <v>0</v>
      </c>
      <c r="G650" s="31">
        <v>0</v>
      </c>
      <c r="H650" s="31">
        <v>0</v>
      </c>
      <c r="I650" s="31">
        <v>0</v>
      </c>
      <c r="J650" s="31">
        <v>0</v>
      </c>
      <c r="K650" s="31" t="s">
        <v>882</v>
      </c>
      <c r="L650" s="19" t="str">
        <f t="shared" si="80"/>
        <v>Рихтовка</v>
      </c>
      <c r="M650" s="12">
        <f t="shared" si="81"/>
        <v>0</v>
      </c>
      <c r="N650" s="12">
        <f t="shared" si="82"/>
        <v>0</v>
      </c>
      <c r="O650" s="12">
        <f t="shared" si="83"/>
        <v>0</v>
      </c>
      <c r="P650" s="12">
        <f t="shared" si="84"/>
        <v>0</v>
      </c>
      <c r="Q650" s="12">
        <f t="shared" si="85"/>
        <v>0</v>
      </c>
      <c r="R650" s="12">
        <f t="shared" si="86"/>
        <v>0</v>
      </c>
      <c r="S650" s="12">
        <f t="shared" si="87"/>
        <v>0</v>
      </c>
      <c r="T650" s="31">
        <v>0</v>
      </c>
      <c r="U650" s="31">
        <v>0</v>
      </c>
      <c r="V650" s="31">
        <v>0</v>
      </c>
      <c r="W650" s="31">
        <v>0</v>
      </c>
      <c r="X650" s="31">
        <v>0</v>
      </c>
      <c r="Y650" s="31">
        <v>0</v>
      </c>
      <c r="Z650" s="31">
        <v>0</v>
      </c>
      <c r="AA650" s="31">
        <v>0</v>
      </c>
      <c r="AB650" s="31">
        <v>0</v>
      </c>
      <c r="AC650" s="31">
        <v>0</v>
      </c>
      <c r="AD650" s="31">
        <v>0</v>
      </c>
      <c r="AE650" s="31">
        <v>0</v>
      </c>
      <c r="AF650" s="31">
        <v>0</v>
      </c>
      <c r="AG650" s="31">
        <v>0</v>
      </c>
      <c r="AH650" s="31">
        <v>0</v>
      </c>
      <c r="AI650" s="31">
        <v>0</v>
      </c>
      <c r="AJ650" s="31">
        <v>0</v>
      </c>
      <c r="AK650" s="31">
        <v>0</v>
      </c>
      <c r="AL650" s="31">
        <v>0</v>
      </c>
      <c r="AM650" s="31">
        <v>0</v>
      </c>
      <c r="AN650" s="31">
        <v>0</v>
      </c>
      <c r="AO650" s="31">
        <v>0</v>
      </c>
      <c r="AP650" s="31">
        <v>0</v>
      </c>
    </row>
    <row r="651" spans="1:42" x14ac:dyDescent="0.25">
      <c r="A651" s="31">
        <v>32</v>
      </c>
      <c r="B651" s="31">
        <v>25201</v>
      </c>
      <c r="C651" s="31">
        <v>2</v>
      </c>
      <c r="D651" s="31" t="s">
        <v>1029</v>
      </c>
      <c r="E651" s="31"/>
      <c r="F651" s="31">
        <v>0</v>
      </c>
      <c r="G651" s="31">
        <v>0</v>
      </c>
      <c r="H651" s="31">
        <v>0</v>
      </c>
      <c r="I651" s="31">
        <v>0</v>
      </c>
      <c r="J651" s="31">
        <v>0</v>
      </c>
      <c r="K651" s="31" t="s">
        <v>882</v>
      </c>
      <c r="L651" s="19" t="str">
        <f t="shared" si="80"/>
        <v>Рихтовка</v>
      </c>
      <c r="M651" s="12">
        <f t="shared" si="81"/>
        <v>0</v>
      </c>
      <c r="N651" s="12">
        <f t="shared" si="82"/>
        <v>0</v>
      </c>
      <c r="O651" s="12">
        <f t="shared" si="83"/>
        <v>0</v>
      </c>
      <c r="P651" s="12">
        <f t="shared" si="84"/>
        <v>0</v>
      </c>
      <c r="Q651" s="12">
        <f t="shared" si="85"/>
        <v>0</v>
      </c>
      <c r="R651" s="12">
        <f t="shared" si="86"/>
        <v>0</v>
      </c>
      <c r="S651" s="12">
        <f t="shared" si="87"/>
        <v>0</v>
      </c>
      <c r="T651" s="31">
        <v>0</v>
      </c>
      <c r="U651" s="31">
        <v>0</v>
      </c>
      <c r="V651" s="31">
        <v>0</v>
      </c>
      <c r="W651" s="31">
        <v>0</v>
      </c>
      <c r="X651" s="31">
        <v>0</v>
      </c>
      <c r="Y651" s="31">
        <v>0</v>
      </c>
      <c r="Z651" s="31">
        <v>0</v>
      </c>
      <c r="AA651" s="31">
        <v>0</v>
      </c>
      <c r="AB651" s="31">
        <v>0</v>
      </c>
      <c r="AC651" s="31">
        <v>0</v>
      </c>
      <c r="AD651" s="31">
        <v>0</v>
      </c>
      <c r="AE651" s="31">
        <v>0</v>
      </c>
      <c r="AF651" s="31">
        <v>0</v>
      </c>
      <c r="AG651" s="31">
        <v>0</v>
      </c>
      <c r="AH651" s="31">
        <v>0</v>
      </c>
      <c r="AI651" s="31">
        <v>0</v>
      </c>
      <c r="AJ651" s="31">
        <v>0</v>
      </c>
      <c r="AK651" s="31">
        <v>0</v>
      </c>
      <c r="AL651" s="31">
        <v>0</v>
      </c>
      <c r="AM651" s="31">
        <v>0</v>
      </c>
      <c r="AN651" s="31">
        <v>0</v>
      </c>
      <c r="AO651" s="31">
        <v>0</v>
      </c>
      <c r="AP651" s="31">
        <v>0</v>
      </c>
    </row>
    <row r="652" spans="1:42" x14ac:dyDescent="0.25">
      <c r="A652" s="31">
        <v>32</v>
      </c>
      <c r="B652" s="31">
        <v>25201</v>
      </c>
      <c r="C652" s="31">
        <v>3</v>
      </c>
      <c r="D652" s="31" t="s">
        <v>1029</v>
      </c>
      <c r="E652" s="31"/>
      <c r="F652" s="31">
        <v>0</v>
      </c>
      <c r="G652" s="31">
        <v>0</v>
      </c>
      <c r="H652" s="31">
        <v>0</v>
      </c>
      <c r="I652" s="31">
        <v>0</v>
      </c>
      <c r="J652" s="31">
        <v>0</v>
      </c>
      <c r="K652" s="31" t="s">
        <v>882</v>
      </c>
      <c r="L652" s="19" t="str">
        <f t="shared" si="80"/>
        <v>Рихтовка</v>
      </c>
      <c r="M652" s="12">
        <f t="shared" si="81"/>
        <v>0</v>
      </c>
      <c r="N652" s="12">
        <f t="shared" si="82"/>
        <v>0</v>
      </c>
      <c r="O652" s="12">
        <f t="shared" si="83"/>
        <v>0</v>
      </c>
      <c r="P652" s="12">
        <f t="shared" si="84"/>
        <v>0</v>
      </c>
      <c r="Q652" s="12">
        <f t="shared" si="85"/>
        <v>0</v>
      </c>
      <c r="R652" s="12">
        <f t="shared" si="86"/>
        <v>0</v>
      </c>
      <c r="S652" s="12">
        <f t="shared" si="87"/>
        <v>0</v>
      </c>
      <c r="T652" s="31">
        <v>0</v>
      </c>
      <c r="U652" s="31">
        <v>0</v>
      </c>
      <c r="V652" s="31">
        <v>0</v>
      </c>
      <c r="W652" s="31">
        <v>0</v>
      </c>
      <c r="X652" s="31">
        <v>0</v>
      </c>
      <c r="Y652" s="31">
        <v>0</v>
      </c>
      <c r="Z652" s="31">
        <v>0</v>
      </c>
      <c r="AA652" s="31">
        <v>0</v>
      </c>
      <c r="AB652" s="31">
        <v>0</v>
      </c>
      <c r="AC652" s="31">
        <v>0</v>
      </c>
      <c r="AD652" s="31">
        <v>0</v>
      </c>
      <c r="AE652" s="31">
        <v>0</v>
      </c>
      <c r="AF652" s="31">
        <v>0</v>
      </c>
      <c r="AG652" s="31">
        <v>0</v>
      </c>
      <c r="AH652" s="31">
        <v>0</v>
      </c>
      <c r="AI652" s="31">
        <v>0</v>
      </c>
      <c r="AJ652" s="31">
        <v>0</v>
      </c>
      <c r="AK652" s="31">
        <v>0</v>
      </c>
      <c r="AL652" s="31">
        <v>0</v>
      </c>
      <c r="AM652" s="31">
        <v>0</v>
      </c>
      <c r="AN652" s="31">
        <v>0</v>
      </c>
      <c r="AO652" s="31">
        <v>0</v>
      </c>
      <c r="AP652" s="31">
        <v>0</v>
      </c>
    </row>
    <row r="653" spans="1:42" x14ac:dyDescent="0.25">
      <c r="A653" s="31">
        <v>32</v>
      </c>
      <c r="B653" s="31">
        <v>25201</v>
      </c>
      <c r="C653" s="31">
        <v>1</v>
      </c>
      <c r="D653" s="31" t="s">
        <v>1030</v>
      </c>
      <c r="E653" s="31"/>
      <c r="F653" s="31">
        <v>0</v>
      </c>
      <c r="G653" s="31">
        <v>0</v>
      </c>
      <c r="H653" s="31">
        <v>0</v>
      </c>
      <c r="I653" s="31">
        <v>0</v>
      </c>
      <c r="J653" s="31">
        <v>0</v>
      </c>
      <c r="K653" s="31" t="s">
        <v>882</v>
      </c>
      <c r="L653" s="19" t="str">
        <f t="shared" si="80"/>
        <v>Рихтовка</v>
      </c>
      <c r="M653" s="12">
        <f t="shared" si="81"/>
        <v>0</v>
      </c>
      <c r="N653" s="12">
        <f t="shared" si="82"/>
        <v>0</v>
      </c>
      <c r="O653" s="12">
        <f t="shared" si="83"/>
        <v>0</v>
      </c>
      <c r="P653" s="12">
        <f t="shared" si="84"/>
        <v>0</v>
      </c>
      <c r="Q653" s="12">
        <f t="shared" si="85"/>
        <v>0</v>
      </c>
      <c r="R653" s="12">
        <f t="shared" si="86"/>
        <v>0</v>
      </c>
      <c r="S653" s="12">
        <f t="shared" si="87"/>
        <v>0</v>
      </c>
      <c r="T653" s="31">
        <v>0</v>
      </c>
      <c r="U653" s="31">
        <v>0</v>
      </c>
      <c r="V653" s="31">
        <v>0</v>
      </c>
      <c r="W653" s="31">
        <v>0</v>
      </c>
      <c r="X653" s="31">
        <v>0</v>
      </c>
      <c r="Y653" s="31">
        <v>0</v>
      </c>
      <c r="Z653" s="31">
        <v>0</v>
      </c>
      <c r="AA653" s="31">
        <v>0</v>
      </c>
      <c r="AB653" s="31">
        <v>0</v>
      </c>
      <c r="AC653" s="31">
        <v>0</v>
      </c>
      <c r="AD653" s="31">
        <v>0</v>
      </c>
      <c r="AE653" s="31">
        <v>0</v>
      </c>
      <c r="AF653" s="31">
        <v>0</v>
      </c>
      <c r="AG653" s="31">
        <v>0</v>
      </c>
      <c r="AH653" s="31">
        <v>0</v>
      </c>
      <c r="AI653" s="31">
        <v>0</v>
      </c>
      <c r="AJ653" s="31">
        <v>0</v>
      </c>
      <c r="AK653" s="31">
        <v>0</v>
      </c>
      <c r="AL653" s="31">
        <v>0</v>
      </c>
      <c r="AM653" s="31">
        <v>0</v>
      </c>
      <c r="AN653" s="31">
        <v>0</v>
      </c>
      <c r="AO653" s="31">
        <v>0</v>
      </c>
      <c r="AP653" s="31">
        <v>0</v>
      </c>
    </row>
    <row r="654" spans="1:42" x14ac:dyDescent="0.25">
      <c r="A654" s="31">
        <v>32</v>
      </c>
      <c r="B654" s="31">
        <v>25201</v>
      </c>
      <c r="C654" s="31">
        <v>1</v>
      </c>
      <c r="D654" s="31" t="s">
        <v>1031</v>
      </c>
      <c r="E654" s="31"/>
      <c r="F654" s="31">
        <v>0</v>
      </c>
      <c r="G654" s="31">
        <v>0</v>
      </c>
      <c r="H654" s="31">
        <v>0</v>
      </c>
      <c r="I654" s="31">
        <v>0</v>
      </c>
      <c r="J654" s="31">
        <v>0</v>
      </c>
      <c r="K654" s="31" t="s">
        <v>882</v>
      </c>
      <c r="L654" s="19" t="str">
        <f t="shared" si="80"/>
        <v>Рихтовка</v>
      </c>
      <c r="M654" s="12">
        <f t="shared" si="81"/>
        <v>0</v>
      </c>
      <c r="N654" s="12">
        <f t="shared" si="82"/>
        <v>0</v>
      </c>
      <c r="O654" s="12">
        <f t="shared" si="83"/>
        <v>0</v>
      </c>
      <c r="P654" s="12">
        <f t="shared" si="84"/>
        <v>0</v>
      </c>
      <c r="Q654" s="12">
        <f t="shared" si="85"/>
        <v>0</v>
      </c>
      <c r="R654" s="12">
        <f t="shared" si="86"/>
        <v>0</v>
      </c>
      <c r="S654" s="12">
        <f t="shared" si="87"/>
        <v>0</v>
      </c>
      <c r="T654" s="31">
        <v>0</v>
      </c>
      <c r="U654" s="31">
        <v>0</v>
      </c>
      <c r="V654" s="31">
        <v>0</v>
      </c>
      <c r="W654" s="31">
        <v>0</v>
      </c>
      <c r="X654" s="31">
        <v>0</v>
      </c>
      <c r="Y654" s="31">
        <v>0</v>
      </c>
      <c r="Z654" s="31">
        <v>0</v>
      </c>
      <c r="AA654" s="31">
        <v>0</v>
      </c>
      <c r="AB654" s="31">
        <v>0</v>
      </c>
      <c r="AC654" s="31">
        <v>0</v>
      </c>
      <c r="AD654" s="31">
        <v>0</v>
      </c>
      <c r="AE654" s="31">
        <v>0</v>
      </c>
      <c r="AF654" s="31">
        <v>0</v>
      </c>
      <c r="AG654" s="31">
        <v>0</v>
      </c>
      <c r="AH654" s="31">
        <v>0</v>
      </c>
      <c r="AI654" s="31">
        <v>0</v>
      </c>
      <c r="AJ654" s="31">
        <v>0</v>
      </c>
      <c r="AK654" s="31">
        <v>0</v>
      </c>
      <c r="AL654" s="31">
        <v>0</v>
      </c>
      <c r="AM654" s="31">
        <v>0</v>
      </c>
      <c r="AN654" s="31">
        <v>0</v>
      </c>
      <c r="AO654" s="31">
        <v>0</v>
      </c>
      <c r="AP654" s="31">
        <v>0</v>
      </c>
    </row>
    <row r="655" spans="1:42" x14ac:dyDescent="0.25">
      <c r="A655" s="31">
        <v>32</v>
      </c>
      <c r="B655" s="31">
        <v>25201</v>
      </c>
      <c r="C655" s="31">
        <v>2</v>
      </c>
      <c r="D655" s="31" t="s">
        <v>1032</v>
      </c>
      <c r="E655" s="31"/>
      <c r="F655" s="31">
        <v>0</v>
      </c>
      <c r="G655" s="31">
        <v>0</v>
      </c>
      <c r="H655" s="31">
        <v>0</v>
      </c>
      <c r="I655" s="31">
        <v>0</v>
      </c>
      <c r="J655" s="31">
        <v>0</v>
      </c>
      <c r="K655" s="31" t="s">
        <v>882</v>
      </c>
      <c r="L655" s="19" t="str">
        <f t="shared" si="80"/>
        <v>Рихтовка</v>
      </c>
      <c r="M655" s="12">
        <f t="shared" si="81"/>
        <v>0</v>
      </c>
      <c r="N655" s="12">
        <f t="shared" si="82"/>
        <v>0</v>
      </c>
      <c r="O655" s="12">
        <f t="shared" si="83"/>
        <v>0</v>
      </c>
      <c r="P655" s="12">
        <f t="shared" si="84"/>
        <v>0</v>
      </c>
      <c r="Q655" s="12">
        <f t="shared" si="85"/>
        <v>0</v>
      </c>
      <c r="R655" s="12">
        <f t="shared" si="86"/>
        <v>0</v>
      </c>
      <c r="S655" s="12">
        <f t="shared" si="87"/>
        <v>0</v>
      </c>
      <c r="T655" s="31">
        <v>0</v>
      </c>
      <c r="U655" s="31">
        <v>0</v>
      </c>
      <c r="V655" s="31">
        <v>0</v>
      </c>
      <c r="W655" s="31">
        <v>0</v>
      </c>
      <c r="X655" s="31">
        <v>0</v>
      </c>
      <c r="Y655" s="31">
        <v>0</v>
      </c>
      <c r="Z655" s="31">
        <v>0</v>
      </c>
      <c r="AA655" s="31">
        <v>0</v>
      </c>
      <c r="AB655" s="31">
        <v>0</v>
      </c>
      <c r="AC655" s="31">
        <v>0</v>
      </c>
      <c r="AD655" s="31">
        <v>0</v>
      </c>
      <c r="AE655" s="31">
        <v>0</v>
      </c>
      <c r="AF655" s="31">
        <v>0</v>
      </c>
      <c r="AG655" s="31">
        <v>0</v>
      </c>
      <c r="AH655" s="31">
        <v>0</v>
      </c>
      <c r="AI655" s="31">
        <v>0</v>
      </c>
      <c r="AJ655" s="31">
        <v>0</v>
      </c>
      <c r="AK655" s="31">
        <v>0</v>
      </c>
      <c r="AL655" s="31">
        <v>0</v>
      </c>
      <c r="AM655" s="31">
        <v>0</v>
      </c>
      <c r="AN655" s="31">
        <v>0</v>
      </c>
      <c r="AO655" s="31">
        <v>0</v>
      </c>
      <c r="AP655" s="31">
        <v>0</v>
      </c>
    </row>
    <row r="656" spans="1:42" x14ac:dyDescent="0.25">
      <c r="A656" s="31">
        <v>32</v>
      </c>
      <c r="B656" s="31">
        <v>25201</v>
      </c>
      <c r="C656" s="31">
        <v>1</v>
      </c>
      <c r="D656" s="31" t="s">
        <v>1033</v>
      </c>
      <c r="E656" s="31"/>
      <c r="F656" s="31">
        <v>0</v>
      </c>
      <c r="G656" s="31">
        <v>0</v>
      </c>
      <c r="H656" s="31">
        <v>0</v>
      </c>
      <c r="I656" s="31">
        <v>0</v>
      </c>
      <c r="J656" s="31">
        <v>0</v>
      </c>
      <c r="K656" s="31" t="s">
        <v>882</v>
      </c>
      <c r="L656" s="19" t="str">
        <f t="shared" si="80"/>
        <v>Рихтовка</v>
      </c>
      <c r="M656" s="12">
        <f t="shared" si="81"/>
        <v>0</v>
      </c>
      <c r="N656" s="12">
        <f t="shared" si="82"/>
        <v>0</v>
      </c>
      <c r="O656" s="12">
        <f t="shared" si="83"/>
        <v>0</v>
      </c>
      <c r="P656" s="12">
        <f t="shared" si="84"/>
        <v>0</v>
      </c>
      <c r="Q656" s="12">
        <f t="shared" si="85"/>
        <v>0</v>
      </c>
      <c r="R656" s="12">
        <f t="shared" si="86"/>
        <v>0</v>
      </c>
      <c r="S656" s="12">
        <f t="shared" si="87"/>
        <v>0</v>
      </c>
      <c r="T656" s="31">
        <v>0</v>
      </c>
      <c r="U656" s="31">
        <v>0</v>
      </c>
      <c r="V656" s="31">
        <v>0</v>
      </c>
      <c r="W656" s="31">
        <v>0</v>
      </c>
      <c r="X656" s="31">
        <v>0</v>
      </c>
      <c r="Y656" s="31">
        <v>0</v>
      </c>
      <c r="Z656" s="31">
        <v>0</v>
      </c>
      <c r="AA656" s="31">
        <v>0</v>
      </c>
      <c r="AB656" s="31">
        <v>0</v>
      </c>
      <c r="AC656" s="31">
        <v>0</v>
      </c>
      <c r="AD656" s="31">
        <v>0</v>
      </c>
      <c r="AE656" s="31">
        <v>0</v>
      </c>
      <c r="AF656" s="31">
        <v>0</v>
      </c>
      <c r="AG656" s="31">
        <v>0</v>
      </c>
      <c r="AH656" s="31">
        <v>0</v>
      </c>
      <c r="AI656" s="31">
        <v>0</v>
      </c>
      <c r="AJ656" s="31">
        <v>0</v>
      </c>
      <c r="AK656" s="31">
        <v>0</v>
      </c>
      <c r="AL656" s="31">
        <v>0</v>
      </c>
      <c r="AM656" s="31">
        <v>0</v>
      </c>
      <c r="AN656" s="31">
        <v>0</v>
      </c>
      <c r="AO656" s="31">
        <v>0</v>
      </c>
      <c r="AP656" s="31">
        <v>0</v>
      </c>
    </row>
    <row r="657" spans="1:42" x14ac:dyDescent="0.25">
      <c r="A657" s="31">
        <v>32</v>
      </c>
      <c r="B657" s="31">
        <v>25201</v>
      </c>
      <c r="C657" s="31">
        <v>4</v>
      </c>
      <c r="D657" s="31" t="s">
        <v>1034</v>
      </c>
      <c r="E657" s="31"/>
      <c r="F657" s="31">
        <v>0</v>
      </c>
      <c r="G657" s="31">
        <v>0</v>
      </c>
      <c r="H657" s="31">
        <v>0</v>
      </c>
      <c r="I657" s="31">
        <v>0</v>
      </c>
      <c r="J657" s="31">
        <v>0</v>
      </c>
      <c r="K657" s="31" t="s">
        <v>882</v>
      </c>
      <c r="L657" s="19" t="str">
        <f t="shared" si="80"/>
        <v>Рихтовка</v>
      </c>
      <c r="M657" s="12">
        <f t="shared" si="81"/>
        <v>0</v>
      </c>
      <c r="N657" s="12">
        <f t="shared" si="82"/>
        <v>0</v>
      </c>
      <c r="O657" s="12">
        <f t="shared" si="83"/>
        <v>0</v>
      </c>
      <c r="P657" s="12">
        <f t="shared" si="84"/>
        <v>0</v>
      </c>
      <c r="Q657" s="12">
        <f t="shared" si="85"/>
        <v>0</v>
      </c>
      <c r="R657" s="12">
        <f t="shared" si="86"/>
        <v>0</v>
      </c>
      <c r="S657" s="12">
        <f t="shared" si="87"/>
        <v>0</v>
      </c>
      <c r="T657" s="31">
        <v>0</v>
      </c>
      <c r="U657" s="31">
        <v>0</v>
      </c>
      <c r="V657" s="31">
        <v>0</v>
      </c>
      <c r="W657" s="31">
        <v>0</v>
      </c>
      <c r="X657" s="31">
        <v>0</v>
      </c>
      <c r="Y657" s="31">
        <v>0</v>
      </c>
      <c r="Z657" s="31">
        <v>0</v>
      </c>
      <c r="AA657" s="31">
        <v>0</v>
      </c>
      <c r="AB657" s="31">
        <v>0</v>
      </c>
      <c r="AC657" s="31">
        <v>0</v>
      </c>
      <c r="AD657" s="31">
        <v>0</v>
      </c>
      <c r="AE657" s="31">
        <v>0</v>
      </c>
      <c r="AF657" s="31">
        <v>0</v>
      </c>
      <c r="AG657" s="31">
        <v>0</v>
      </c>
      <c r="AH657" s="31">
        <v>0</v>
      </c>
      <c r="AI657" s="31">
        <v>0</v>
      </c>
      <c r="AJ657" s="31">
        <v>0</v>
      </c>
      <c r="AK657" s="31">
        <v>0</v>
      </c>
      <c r="AL657" s="31">
        <v>0</v>
      </c>
      <c r="AM657" s="31">
        <v>0</v>
      </c>
      <c r="AN657" s="31">
        <v>0</v>
      </c>
      <c r="AO657" s="31">
        <v>0</v>
      </c>
      <c r="AP657" s="31">
        <v>0</v>
      </c>
    </row>
    <row r="658" spans="1:42" x14ac:dyDescent="0.25">
      <c r="A658" s="31">
        <v>32</v>
      </c>
      <c r="B658" s="31">
        <v>25201</v>
      </c>
      <c r="C658" s="31">
        <v>1</v>
      </c>
      <c r="D658" s="31" t="s">
        <v>1035</v>
      </c>
      <c r="E658" s="31"/>
      <c r="F658" s="31">
        <v>0</v>
      </c>
      <c r="G658" s="31">
        <v>0</v>
      </c>
      <c r="H658" s="31">
        <v>0</v>
      </c>
      <c r="I658" s="31">
        <v>0</v>
      </c>
      <c r="J658" s="31">
        <v>0</v>
      </c>
      <c r="K658" s="31" t="s">
        <v>882</v>
      </c>
      <c r="L658" s="19" t="str">
        <f t="shared" si="80"/>
        <v>Рихтовка</v>
      </c>
      <c r="M658" s="12">
        <f t="shared" si="81"/>
        <v>0</v>
      </c>
      <c r="N658" s="12">
        <f t="shared" si="82"/>
        <v>0</v>
      </c>
      <c r="O658" s="12">
        <f t="shared" si="83"/>
        <v>0</v>
      </c>
      <c r="P658" s="12">
        <f t="shared" si="84"/>
        <v>0</v>
      </c>
      <c r="Q658" s="12">
        <f t="shared" si="85"/>
        <v>0</v>
      </c>
      <c r="R658" s="12">
        <f t="shared" si="86"/>
        <v>0</v>
      </c>
      <c r="S658" s="12">
        <f t="shared" si="87"/>
        <v>0</v>
      </c>
      <c r="T658" s="31">
        <v>0</v>
      </c>
      <c r="U658" s="31">
        <v>0</v>
      </c>
      <c r="V658" s="31">
        <v>0</v>
      </c>
      <c r="W658" s="31">
        <v>0</v>
      </c>
      <c r="X658" s="31">
        <v>0</v>
      </c>
      <c r="Y658" s="31">
        <v>0</v>
      </c>
      <c r="Z658" s="31">
        <v>0</v>
      </c>
      <c r="AA658" s="31">
        <v>0</v>
      </c>
      <c r="AB658" s="31">
        <v>0</v>
      </c>
      <c r="AC658" s="31">
        <v>0</v>
      </c>
      <c r="AD658" s="31">
        <v>0</v>
      </c>
      <c r="AE658" s="31">
        <v>0</v>
      </c>
      <c r="AF658" s="31">
        <v>0</v>
      </c>
      <c r="AG658" s="31">
        <v>0</v>
      </c>
      <c r="AH658" s="31">
        <v>0</v>
      </c>
      <c r="AI658" s="31">
        <v>0</v>
      </c>
      <c r="AJ658" s="31">
        <v>0</v>
      </c>
      <c r="AK658" s="31">
        <v>0</v>
      </c>
      <c r="AL658" s="31">
        <v>0</v>
      </c>
      <c r="AM658" s="31">
        <v>0</v>
      </c>
      <c r="AN658" s="31">
        <v>0</v>
      </c>
      <c r="AO658" s="31">
        <v>0</v>
      </c>
      <c r="AP658" s="31">
        <v>0</v>
      </c>
    </row>
    <row r="659" spans="1:42" x14ac:dyDescent="0.25">
      <c r="A659" s="31">
        <v>32</v>
      </c>
      <c r="B659" s="31">
        <v>25201</v>
      </c>
      <c r="C659" s="31">
        <v>1</v>
      </c>
      <c r="D659" s="31" t="s">
        <v>1036</v>
      </c>
      <c r="E659" s="31"/>
      <c r="F659" s="31">
        <v>0</v>
      </c>
      <c r="G659" s="31">
        <v>0</v>
      </c>
      <c r="H659" s="31">
        <v>0</v>
      </c>
      <c r="I659" s="31">
        <v>0</v>
      </c>
      <c r="J659" s="31">
        <v>0</v>
      </c>
      <c r="K659" s="31" t="s">
        <v>882</v>
      </c>
      <c r="L659" s="19" t="str">
        <f t="shared" si="80"/>
        <v>Рихтовка</v>
      </c>
      <c r="M659" s="12">
        <f t="shared" si="81"/>
        <v>0</v>
      </c>
      <c r="N659" s="12">
        <f t="shared" si="82"/>
        <v>0</v>
      </c>
      <c r="O659" s="12">
        <f t="shared" si="83"/>
        <v>0</v>
      </c>
      <c r="P659" s="12">
        <f t="shared" si="84"/>
        <v>0</v>
      </c>
      <c r="Q659" s="12">
        <f t="shared" si="85"/>
        <v>0</v>
      </c>
      <c r="R659" s="12">
        <f t="shared" si="86"/>
        <v>0</v>
      </c>
      <c r="S659" s="12">
        <f t="shared" si="87"/>
        <v>0</v>
      </c>
      <c r="T659" s="31">
        <v>0</v>
      </c>
      <c r="U659" s="31">
        <v>0</v>
      </c>
      <c r="V659" s="31">
        <v>0</v>
      </c>
      <c r="W659" s="31">
        <v>0</v>
      </c>
      <c r="X659" s="31">
        <v>0</v>
      </c>
      <c r="Y659" s="31">
        <v>0</v>
      </c>
      <c r="Z659" s="31">
        <v>0</v>
      </c>
      <c r="AA659" s="31">
        <v>0</v>
      </c>
      <c r="AB659" s="31">
        <v>0</v>
      </c>
      <c r="AC659" s="31">
        <v>0</v>
      </c>
      <c r="AD659" s="31">
        <v>0</v>
      </c>
      <c r="AE659" s="31">
        <v>0</v>
      </c>
      <c r="AF659" s="31">
        <v>0</v>
      </c>
      <c r="AG659" s="31">
        <v>0</v>
      </c>
      <c r="AH659" s="31">
        <v>0</v>
      </c>
      <c r="AI659" s="31">
        <v>0</v>
      </c>
      <c r="AJ659" s="31">
        <v>0</v>
      </c>
      <c r="AK659" s="31">
        <v>0</v>
      </c>
      <c r="AL659" s="31">
        <v>0</v>
      </c>
      <c r="AM659" s="31">
        <v>0</v>
      </c>
      <c r="AN659" s="31">
        <v>0</v>
      </c>
      <c r="AO659" s="31">
        <v>0</v>
      </c>
      <c r="AP659" s="31">
        <v>0</v>
      </c>
    </row>
    <row r="660" spans="1:42" x14ac:dyDescent="0.25">
      <c r="A660" s="31">
        <v>32</v>
      </c>
      <c r="B660" s="31">
        <v>25201</v>
      </c>
      <c r="C660" s="31">
        <v>2</v>
      </c>
      <c r="D660" s="31" t="s">
        <v>1037</v>
      </c>
      <c r="E660" s="31"/>
      <c r="F660" s="31">
        <v>0</v>
      </c>
      <c r="G660" s="31">
        <v>0</v>
      </c>
      <c r="H660" s="31">
        <v>0</v>
      </c>
      <c r="I660" s="31">
        <v>0</v>
      </c>
      <c r="J660" s="31">
        <v>0</v>
      </c>
      <c r="K660" s="31" t="s">
        <v>882</v>
      </c>
      <c r="L660" s="19" t="str">
        <f t="shared" si="80"/>
        <v>Рихтовка</v>
      </c>
      <c r="M660" s="12">
        <f t="shared" si="81"/>
        <v>0</v>
      </c>
      <c r="N660" s="12">
        <f t="shared" si="82"/>
        <v>0</v>
      </c>
      <c r="O660" s="12">
        <f t="shared" si="83"/>
        <v>0</v>
      </c>
      <c r="P660" s="12">
        <f t="shared" si="84"/>
        <v>0</v>
      </c>
      <c r="Q660" s="12">
        <f t="shared" si="85"/>
        <v>0</v>
      </c>
      <c r="R660" s="12">
        <f t="shared" si="86"/>
        <v>0</v>
      </c>
      <c r="S660" s="12">
        <f t="shared" si="87"/>
        <v>0</v>
      </c>
      <c r="T660" s="31">
        <v>0</v>
      </c>
      <c r="U660" s="31">
        <v>0</v>
      </c>
      <c r="V660" s="31">
        <v>0</v>
      </c>
      <c r="W660" s="31">
        <v>0</v>
      </c>
      <c r="X660" s="31">
        <v>0</v>
      </c>
      <c r="Y660" s="31">
        <v>0</v>
      </c>
      <c r="Z660" s="31">
        <v>0</v>
      </c>
      <c r="AA660" s="31">
        <v>0</v>
      </c>
      <c r="AB660" s="31">
        <v>0</v>
      </c>
      <c r="AC660" s="31">
        <v>0</v>
      </c>
      <c r="AD660" s="31">
        <v>0</v>
      </c>
      <c r="AE660" s="31">
        <v>0</v>
      </c>
      <c r="AF660" s="31">
        <v>0</v>
      </c>
      <c r="AG660" s="31">
        <v>0</v>
      </c>
      <c r="AH660" s="31">
        <v>0</v>
      </c>
      <c r="AI660" s="31">
        <v>0</v>
      </c>
      <c r="AJ660" s="31">
        <v>0</v>
      </c>
      <c r="AK660" s="31">
        <v>0</v>
      </c>
      <c r="AL660" s="31">
        <v>0</v>
      </c>
      <c r="AM660" s="31">
        <v>0</v>
      </c>
      <c r="AN660" s="31">
        <v>0</v>
      </c>
      <c r="AO660" s="31">
        <v>0</v>
      </c>
      <c r="AP660" s="31">
        <v>0</v>
      </c>
    </row>
    <row r="661" spans="1:42" x14ac:dyDescent="0.25">
      <c r="A661" s="31">
        <v>32</v>
      </c>
      <c r="B661" s="31">
        <v>25201</v>
      </c>
      <c r="C661" s="31">
        <v>1</v>
      </c>
      <c r="D661" s="31" t="s">
        <v>1038</v>
      </c>
      <c r="E661" s="31"/>
      <c r="F661" s="31">
        <v>0</v>
      </c>
      <c r="G661" s="31">
        <v>0</v>
      </c>
      <c r="H661" s="31">
        <v>0</v>
      </c>
      <c r="I661" s="31">
        <v>0</v>
      </c>
      <c r="J661" s="31">
        <v>0</v>
      </c>
      <c r="K661" s="31" t="s">
        <v>882</v>
      </c>
      <c r="L661" s="19" t="str">
        <f t="shared" si="80"/>
        <v>Рихтовка</v>
      </c>
      <c r="M661" s="12">
        <f t="shared" si="81"/>
        <v>0</v>
      </c>
      <c r="N661" s="12">
        <f t="shared" si="82"/>
        <v>0</v>
      </c>
      <c r="O661" s="12">
        <f t="shared" si="83"/>
        <v>0</v>
      </c>
      <c r="P661" s="12">
        <f t="shared" si="84"/>
        <v>0</v>
      </c>
      <c r="Q661" s="12">
        <f t="shared" si="85"/>
        <v>0</v>
      </c>
      <c r="R661" s="12">
        <f t="shared" si="86"/>
        <v>0</v>
      </c>
      <c r="S661" s="12">
        <f t="shared" si="87"/>
        <v>0</v>
      </c>
      <c r="T661" s="31">
        <v>0</v>
      </c>
      <c r="U661" s="31">
        <v>0</v>
      </c>
      <c r="V661" s="31">
        <v>0</v>
      </c>
      <c r="W661" s="31">
        <v>0</v>
      </c>
      <c r="X661" s="31">
        <v>0</v>
      </c>
      <c r="Y661" s="31">
        <v>0</v>
      </c>
      <c r="Z661" s="31">
        <v>0</v>
      </c>
      <c r="AA661" s="31">
        <v>0</v>
      </c>
      <c r="AB661" s="31">
        <v>0</v>
      </c>
      <c r="AC661" s="31">
        <v>0</v>
      </c>
      <c r="AD661" s="31">
        <v>0</v>
      </c>
      <c r="AE661" s="31">
        <v>0</v>
      </c>
      <c r="AF661" s="31">
        <v>0</v>
      </c>
      <c r="AG661" s="31">
        <v>0</v>
      </c>
      <c r="AH661" s="31">
        <v>0</v>
      </c>
      <c r="AI661" s="31">
        <v>0</v>
      </c>
      <c r="AJ661" s="31">
        <v>0</v>
      </c>
      <c r="AK661" s="31">
        <v>0</v>
      </c>
      <c r="AL661" s="31">
        <v>0</v>
      </c>
      <c r="AM661" s="31">
        <v>0</v>
      </c>
      <c r="AN661" s="31">
        <v>0</v>
      </c>
      <c r="AO661" s="31">
        <v>0</v>
      </c>
      <c r="AP661" s="31">
        <v>0</v>
      </c>
    </row>
    <row r="662" spans="1:42" x14ac:dyDescent="0.25">
      <c r="A662" s="31">
        <v>32</v>
      </c>
      <c r="B662" s="31">
        <v>25201</v>
      </c>
      <c r="C662" s="31">
        <v>2</v>
      </c>
      <c r="D662" s="31" t="s">
        <v>1039</v>
      </c>
      <c r="E662" s="31"/>
      <c r="F662" s="31">
        <v>0</v>
      </c>
      <c r="G662" s="31">
        <v>0</v>
      </c>
      <c r="H662" s="31">
        <v>0</v>
      </c>
      <c r="I662" s="31">
        <v>0</v>
      </c>
      <c r="J662" s="31">
        <v>0</v>
      </c>
      <c r="K662" s="31" t="s">
        <v>882</v>
      </c>
      <c r="L662" s="19" t="str">
        <f t="shared" si="80"/>
        <v>Рихтовка</v>
      </c>
      <c r="M662" s="12">
        <f t="shared" si="81"/>
        <v>0</v>
      </c>
      <c r="N662" s="12">
        <f t="shared" si="82"/>
        <v>0</v>
      </c>
      <c r="O662" s="12">
        <f t="shared" si="83"/>
        <v>0</v>
      </c>
      <c r="P662" s="12">
        <f t="shared" si="84"/>
        <v>0</v>
      </c>
      <c r="Q662" s="12">
        <f t="shared" si="85"/>
        <v>0</v>
      </c>
      <c r="R662" s="12">
        <f t="shared" si="86"/>
        <v>0</v>
      </c>
      <c r="S662" s="12">
        <f t="shared" si="87"/>
        <v>0</v>
      </c>
      <c r="T662" s="31">
        <v>0</v>
      </c>
      <c r="U662" s="31">
        <v>0</v>
      </c>
      <c r="V662" s="31">
        <v>0</v>
      </c>
      <c r="W662" s="31">
        <v>0</v>
      </c>
      <c r="X662" s="31">
        <v>0</v>
      </c>
      <c r="Y662" s="31">
        <v>0</v>
      </c>
      <c r="Z662" s="31">
        <v>0</v>
      </c>
      <c r="AA662" s="31">
        <v>0</v>
      </c>
      <c r="AB662" s="31">
        <v>0</v>
      </c>
      <c r="AC662" s="31">
        <v>0</v>
      </c>
      <c r="AD662" s="31">
        <v>0</v>
      </c>
      <c r="AE662" s="31">
        <v>0</v>
      </c>
      <c r="AF662" s="31">
        <v>0</v>
      </c>
      <c r="AG662" s="31">
        <v>0</v>
      </c>
      <c r="AH662" s="31">
        <v>0</v>
      </c>
      <c r="AI662" s="31">
        <v>0</v>
      </c>
      <c r="AJ662" s="31">
        <v>0</v>
      </c>
      <c r="AK662" s="31">
        <v>0</v>
      </c>
      <c r="AL662" s="31">
        <v>0</v>
      </c>
      <c r="AM662" s="31">
        <v>0</v>
      </c>
      <c r="AN662" s="31">
        <v>0</v>
      </c>
      <c r="AO662" s="31">
        <v>0</v>
      </c>
      <c r="AP662" s="31">
        <v>0</v>
      </c>
    </row>
    <row r="663" spans="1:42" x14ac:dyDescent="0.25">
      <c r="A663" s="31">
        <v>32</v>
      </c>
      <c r="B663" s="31">
        <v>25201</v>
      </c>
      <c r="C663" s="31">
        <v>1</v>
      </c>
      <c r="D663" s="31" t="s">
        <v>1040</v>
      </c>
      <c r="E663" s="31"/>
      <c r="F663" s="31">
        <v>0</v>
      </c>
      <c r="G663" s="31">
        <v>0</v>
      </c>
      <c r="H663" s="31">
        <v>0</v>
      </c>
      <c r="I663" s="31">
        <v>0</v>
      </c>
      <c r="J663" s="31">
        <v>0</v>
      </c>
      <c r="K663" s="31" t="s">
        <v>882</v>
      </c>
      <c r="L663" s="19" t="str">
        <f t="shared" si="80"/>
        <v>Рихтовка</v>
      </c>
      <c r="M663" s="12">
        <f t="shared" si="81"/>
        <v>0</v>
      </c>
      <c r="N663" s="12">
        <f t="shared" si="82"/>
        <v>0</v>
      </c>
      <c r="O663" s="12">
        <f t="shared" si="83"/>
        <v>0</v>
      </c>
      <c r="P663" s="12">
        <f t="shared" si="84"/>
        <v>0</v>
      </c>
      <c r="Q663" s="12">
        <f t="shared" si="85"/>
        <v>0</v>
      </c>
      <c r="R663" s="12">
        <f t="shared" si="86"/>
        <v>0</v>
      </c>
      <c r="S663" s="12">
        <f t="shared" si="87"/>
        <v>0</v>
      </c>
      <c r="T663" s="31">
        <v>0</v>
      </c>
      <c r="U663" s="31">
        <v>0</v>
      </c>
      <c r="V663" s="31">
        <v>0</v>
      </c>
      <c r="W663" s="31">
        <v>0</v>
      </c>
      <c r="X663" s="31">
        <v>0</v>
      </c>
      <c r="Y663" s="31">
        <v>0</v>
      </c>
      <c r="Z663" s="31">
        <v>0</v>
      </c>
      <c r="AA663" s="31">
        <v>0</v>
      </c>
      <c r="AB663" s="31">
        <v>0</v>
      </c>
      <c r="AC663" s="31">
        <v>0</v>
      </c>
      <c r="AD663" s="31">
        <v>0</v>
      </c>
      <c r="AE663" s="31">
        <v>0</v>
      </c>
      <c r="AF663" s="31">
        <v>0</v>
      </c>
      <c r="AG663" s="31">
        <v>0</v>
      </c>
      <c r="AH663" s="31">
        <v>0</v>
      </c>
      <c r="AI663" s="31">
        <v>0</v>
      </c>
      <c r="AJ663" s="31">
        <v>0</v>
      </c>
      <c r="AK663" s="31">
        <v>0</v>
      </c>
      <c r="AL663" s="31">
        <v>0</v>
      </c>
      <c r="AM663" s="31">
        <v>0</v>
      </c>
      <c r="AN663" s="31">
        <v>0</v>
      </c>
      <c r="AO663" s="31">
        <v>0</v>
      </c>
      <c r="AP663" s="31">
        <v>0</v>
      </c>
    </row>
    <row r="664" spans="1:42" x14ac:dyDescent="0.25">
      <c r="A664" s="31">
        <v>32</v>
      </c>
      <c r="B664" s="31">
        <v>25201</v>
      </c>
      <c r="C664" s="31">
        <v>1</v>
      </c>
      <c r="D664" s="31" t="s">
        <v>1041</v>
      </c>
      <c r="E664" s="31"/>
      <c r="F664" s="31">
        <v>0</v>
      </c>
      <c r="G664" s="31">
        <v>0</v>
      </c>
      <c r="H664" s="31">
        <v>0</v>
      </c>
      <c r="I664" s="31">
        <v>0</v>
      </c>
      <c r="J664" s="31">
        <v>0</v>
      </c>
      <c r="K664" s="31" t="s">
        <v>882</v>
      </c>
      <c r="L664" s="19" t="str">
        <f t="shared" si="80"/>
        <v>Рихтовка</v>
      </c>
      <c r="M664" s="12">
        <f t="shared" si="81"/>
        <v>0</v>
      </c>
      <c r="N664" s="12">
        <f t="shared" si="82"/>
        <v>0</v>
      </c>
      <c r="O664" s="12">
        <f t="shared" si="83"/>
        <v>0</v>
      </c>
      <c r="P664" s="12">
        <f t="shared" si="84"/>
        <v>0</v>
      </c>
      <c r="Q664" s="12">
        <f t="shared" si="85"/>
        <v>0</v>
      </c>
      <c r="R664" s="12">
        <f t="shared" si="86"/>
        <v>0</v>
      </c>
      <c r="S664" s="12">
        <f t="shared" si="87"/>
        <v>0</v>
      </c>
      <c r="T664" s="31">
        <v>0</v>
      </c>
      <c r="U664" s="31">
        <v>0</v>
      </c>
      <c r="V664" s="31">
        <v>0</v>
      </c>
      <c r="W664" s="31">
        <v>0</v>
      </c>
      <c r="X664" s="31">
        <v>0</v>
      </c>
      <c r="Y664" s="31">
        <v>0</v>
      </c>
      <c r="Z664" s="31">
        <v>0</v>
      </c>
      <c r="AA664" s="31">
        <v>0</v>
      </c>
      <c r="AB664" s="31">
        <v>0</v>
      </c>
      <c r="AC664" s="31">
        <v>0</v>
      </c>
      <c r="AD664" s="31">
        <v>0</v>
      </c>
      <c r="AE664" s="31">
        <v>0</v>
      </c>
      <c r="AF664" s="31">
        <v>0</v>
      </c>
      <c r="AG664" s="31">
        <v>0</v>
      </c>
      <c r="AH664" s="31">
        <v>0</v>
      </c>
      <c r="AI664" s="31">
        <v>0</v>
      </c>
      <c r="AJ664" s="31">
        <v>0</v>
      </c>
      <c r="AK664" s="31">
        <v>0</v>
      </c>
      <c r="AL664" s="31">
        <v>0</v>
      </c>
      <c r="AM664" s="31">
        <v>0</v>
      </c>
      <c r="AN664" s="31">
        <v>0</v>
      </c>
      <c r="AO664" s="31">
        <v>0</v>
      </c>
      <c r="AP664" s="31">
        <v>0</v>
      </c>
    </row>
    <row r="665" spans="1:42" x14ac:dyDescent="0.25">
      <c r="A665" s="31">
        <v>32</v>
      </c>
      <c r="B665" s="31">
        <v>25201</v>
      </c>
      <c r="C665" s="31">
        <v>1</v>
      </c>
      <c r="D665" s="31" t="s">
        <v>1042</v>
      </c>
      <c r="E665" s="31"/>
      <c r="F665" s="31">
        <v>0</v>
      </c>
      <c r="G665" s="31">
        <v>0</v>
      </c>
      <c r="H665" s="31">
        <v>0</v>
      </c>
      <c r="I665" s="31">
        <v>0</v>
      </c>
      <c r="J665" s="31">
        <v>0</v>
      </c>
      <c r="K665" s="31" t="s">
        <v>882</v>
      </c>
      <c r="L665" s="19" t="str">
        <f t="shared" si="80"/>
        <v>Рихтовка</v>
      </c>
      <c r="M665" s="12">
        <f t="shared" si="81"/>
        <v>0</v>
      </c>
      <c r="N665" s="12">
        <f t="shared" si="82"/>
        <v>0</v>
      </c>
      <c r="O665" s="12">
        <f t="shared" si="83"/>
        <v>0</v>
      </c>
      <c r="P665" s="12">
        <f t="shared" si="84"/>
        <v>0</v>
      </c>
      <c r="Q665" s="12">
        <f t="shared" si="85"/>
        <v>0</v>
      </c>
      <c r="R665" s="12">
        <f t="shared" si="86"/>
        <v>0</v>
      </c>
      <c r="S665" s="12">
        <f t="shared" si="87"/>
        <v>0</v>
      </c>
      <c r="T665" s="31">
        <v>0</v>
      </c>
      <c r="U665" s="31">
        <v>0</v>
      </c>
      <c r="V665" s="31">
        <v>0</v>
      </c>
      <c r="W665" s="31">
        <v>0</v>
      </c>
      <c r="X665" s="31">
        <v>0</v>
      </c>
      <c r="Y665" s="31">
        <v>0</v>
      </c>
      <c r="Z665" s="31">
        <v>0</v>
      </c>
      <c r="AA665" s="31">
        <v>0</v>
      </c>
      <c r="AB665" s="31">
        <v>0</v>
      </c>
      <c r="AC665" s="31">
        <v>0</v>
      </c>
      <c r="AD665" s="31">
        <v>0</v>
      </c>
      <c r="AE665" s="31">
        <v>0</v>
      </c>
      <c r="AF665" s="31">
        <v>0</v>
      </c>
      <c r="AG665" s="31">
        <v>0</v>
      </c>
      <c r="AH665" s="31">
        <v>0</v>
      </c>
      <c r="AI665" s="31">
        <v>0</v>
      </c>
      <c r="AJ665" s="31">
        <v>0</v>
      </c>
      <c r="AK665" s="31">
        <v>0</v>
      </c>
      <c r="AL665" s="31">
        <v>0</v>
      </c>
      <c r="AM665" s="31">
        <v>0</v>
      </c>
      <c r="AN665" s="31">
        <v>0</v>
      </c>
      <c r="AO665" s="31">
        <v>0</v>
      </c>
      <c r="AP665" s="31">
        <v>0</v>
      </c>
    </row>
    <row r="666" spans="1:42" x14ac:dyDescent="0.25">
      <c r="A666" s="31">
        <v>32</v>
      </c>
      <c r="B666" s="31">
        <v>25201</v>
      </c>
      <c r="C666" s="31">
        <v>1</v>
      </c>
      <c r="D666" s="31" t="s">
        <v>1043</v>
      </c>
      <c r="E666" s="31"/>
      <c r="F666" s="31">
        <v>0</v>
      </c>
      <c r="G666" s="31">
        <v>0</v>
      </c>
      <c r="H666" s="31">
        <v>0</v>
      </c>
      <c r="I666" s="31">
        <v>0</v>
      </c>
      <c r="J666" s="31">
        <v>0</v>
      </c>
      <c r="K666" s="31" t="s">
        <v>882</v>
      </c>
      <c r="L666" s="19" t="str">
        <f t="shared" si="80"/>
        <v>Рихтовка</v>
      </c>
      <c r="M666" s="12">
        <f t="shared" si="81"/>
        <v>0</v>
      </c>
      <c r="N666" s="12">
        <f t="shared" si="82"/>
        <v>0</v>
      </c>
      <c r="O666" s="12">
        <f t="shared" si="83"/>
        <v>0</v>
      </c>
      <c r="P666" s="12">
        <f t="shared" si="84"/>
        <v>0</v>
      </c>
      <c r="Q666" s="12">
        <f t="shared" si="85"/>
        <v>0</v>
      </c>
      <c r="R666" s="12">
        <f t="shared" si="86"/>
        <v>0</v>
      </c>
      <c r="S666" s="12">
        <f t="shared" si="87"/>
        <v>0</v>
      </c>
      <c r="T666" s="31">
        <v>0</v>
      </c>
      <c r="U666" s="31">
        <v>0</v>
      </c>
      <c r="V666" s="31">
        <v>0</v>
      </c>
      <c r="W666" s="31">
        <v>0</v>
      </c>
      <c r="X666" s="31">
        <v>0</v>
      </c>
      <c r="Y666" s="31">
        <v>0</v>
      </c>
      <c r="Z666" s="31">
        <v>0</v>
      </c>
      <c r="AA666" s="31">
        <v>0</v>
      </c>
      <c r="AB666" s="31">
        <v>0</v>
      </c>
      <c r="AC666" s="31">
        <v>0</v>
      </c>
      <c r="AD666" s="31">
        <v>0</v>
      </c>
      <c r="AE666" s="31">
        <v>0</v>
      </c>
      <c r="AF666" s="31">
        <v>0</v>
      </c>
      <c r="AG666" s="31">
        <v>0</v>
      </c>
      <c r="AH666" s="31">
        <v>0</v>
      </c>
      <c r="AI666" s="31">
        <v>0</v>
      </c>
      <c r="AJ666" s="31">
        <v>0</v>
      </c>
      <c r="AK666" s="31">
        <v>0</v>
      </c>
      <c r="AL666" s="31">
        <v>0</v>
      </c>
      <c r="AM666" s="31">
        <v>0</v>
      </c>
      <c r="AN666" s="31">
        <v>0</v>
      </c>
      <c r="AO666" s="31">
        <v>0</v>
      </c>
      <c r="AP666" s="31">
        <v>0</v>
      </c>
    </row>
    <row r="667" spans="1:42" x14ac:dyDescent="0.25">
      <c r="A667" s="31">
        <v>32</v>
      </c>
      <c r="B667" s="31">
        <v>25201</v>
      </c>
      <c r="C667" s="31">
        <v>1</v>
      </c>
      <c r="D667" s="31" t="s">
        <v>1044</v>
      </c>
      <c r="E667" s="31"/>
      <c r="F667" s="31">
        <v>0</v>
      </c>
      <c r="G667" s="31">
        <v>0</v>
      </c>
      <c r="H667" s="31">
        <v>0</v>
      </c>
      <c r="I667" s="31">
        <v>0</v>
      </c>
      <c r="J667" s="31">
        <v>0</v>
      </c>
      <c r="K667" s="31" t="s">
        <v>882</v>
      </c>
      <c r="L667" s="19" t="str">
        <f t="shared" si="80"/>
        <v>Рихтовка</v>
      </c>
      <c r="M667" s="12">
        <f t="shared" si="81"/>
        <v>0</v>
      </c>
      <c r="N667" s="12">
        <f t="shared" si="82"/>
        <v>0</v>
      </c>
      <c r="O667" s="12">
        <f t="shared" si="83"/>
        <v>0</v>
      </c>
      <c r="P667" s="12">
        <f t="shared" si="84"/>
        <v>0</v>
      </c>
      <c r="Q667" s="12">
        <f t="shared" si="85"/>
        <v>0</v>
      </c>
      <c r="R667" s="12">
        <f t="shared" si="86"/>
        <v>0</v>
      </c>
      <c r="S667" s="12">
        <f t="shared" si="87"/>
        <v>0</v>
      </c>
      <c r="T667" s="31">
        <v>0</v>
      </c>
      <c r="U667" s="31">
        <v>0</v>
      </c>
      <c r="V667" s="31">
        <v>0</v>
      </c>
      <c r="W667" s="31">
        <v>0</v>
      </c>
      <c r="X667" s="31">
        <v>0</v>
      </c>
      <c r="Y667" s="31">
        <v>0</v>
      </c>
      <c r="Z667" s="31">
        <v>0</v>
      </c>
      <c r="AA667" s="31">
        <v>0</v>
      </c>
      <c r="AB667" s="31">
        <v>0</v>
      </c>
      <c r="AC667" s="31">
        <v>0</v>
      </c>
      <c r="AD667" s="31">
        <v>0</v>
      </c>
      <c r="AE667" s="31">
        <v>0</v>
      </c>
      <c r="AF667" s="31">
        <v>0</v>
      </c>
      <c r="AG667" s="31">
        <v>0</v>
      </c>
      <c r="AH667" s="31">
        <v>0</v>
      </c>
      <c r="AI667" s="31">
        <v>0</v>
      </c>
      <c r="AJ667" s="31">
        <v>0</v>
      </c>
      <c r="AK667" s="31">
        <v>0</v>
      </c>
      <c r="AL667" s="31">
        <v>0</v>
      </c>
      <c r="AM667" s="31">
        <v>0</v>
      </c>
      <c r="AN667" s="31">
        <v>0</v>
      </c>
      <c r="AO667" s="31">
        <v>0</v>
      </c>
      <c r="AP667" s="31">
        <v>0</v>
      </c>
    </row>
    <row r="668" spans="1:42" x14ac:dyDescent="0.25">
      <c r="A668" s="31">
        <v>32</v>
      </c>
      <c r="B668" s="31">
        <v>25201</v>
      </c>
      <c r="C668" s="31">
        <v>1</v>
      </c>
      <c r="D668" s="31" t="s">
        <v>1045</v>
      </c>
      <c r="E668" s="31"/>
      <c r="F668" s="31">
        <v>0</v>
      </c>
      <c r="G668" s="31">
        <v>0</v>
      </c>
      <c r="H668" s="31">
        <v>0</v>
      </c>
      <c r="I668" s="31">
        <v>0</v>
      </c>
      <c r="J668" s="31">
        <v>0</v>
      </c>
      <c r="K668" s="31" t="s">
        <v>882</v>
      </c>
      <c r="L668" s="19" t="str">
        <f t="shared" si="80"/>
        <v>Рихтовка</v>
      </c>
      <c r="M668" s="12">
        <f t="shared" si="81"/>
        <v>0</v>
      </c>
      <c r="N668" s="12">
        <f t="shared" si="82"/>
        <v>0</v>
      </c>
      <c r="O668" s="12">
        <f t="shared" si="83"/>
        <v>0</v>
      </c>
      <c r="P668" s="12">
        <f t="shared" si="84"/>
        <v>0</v>
      </c>
      <c r="Q668" s="12">
        <f t="shared" si="85"/>
        <v>0</v>
      </c>
      <c r="R668" s="12">
        <f t="shared" si="86"/>
        <v>0</v>
      </c>
      <c r="S668" s="12">
        <f t="shared" si="87"/>
        <v>0</v>
      </c>
      <c r="T668" s="31">
        <v>0</v>
      </c>
      <c r="U668" s="31">
        <v>0</v>
      </c>
      <c r="V668" s="31">
        <v>0</v>
      </c>
      <c r="W668" s="31">
        <v>0</v>
      </c>
      <c r="X668" s="31">
        <v>0</v>
      </c>
      <c r="Y668" s="31">
        <v>0</v>
      </c>
      <c r="Z668" s="31">
        <v>0</v>
      </c>
      <c r="AA668" s="31">
        <v>0</v>
      </c>
      <c r="AB668" s="31">
        <v>0</v>
      </c>
      <c r="AC668" s="31">
        <v>0</v>
      </c>
      <c r="AD668" s="31">
        <v>0</v>
      </c>
      <c r="AE668" s="31">
        <v>0</v>
      </c>
      <c r="AF668" s="31">
        <v>0</v>
      </c>
      <c r="AG668" s="31">
        <v>0</v>
      </c>
      <c r="AH668" s="31">
        <v>0</v>
      </c>
      <c r="AI668" s="31">
        <v>0</v>
      </c>
      <c r="AJ668" s="31">
        <v>0</v>
      </c>
      <c r="AK668" s="31">
        <v>0</v>
      </c>
      <c r="AL668" s="31">
        <v>0</v>
      </c>
      <c r="AM668" s="31">
        <v>0</v>
      </c>
      <c r="AN668" s="31">
        <v>0</v>
      </c>
      <c r="AO668" s="31">
        <v>0</v>
      </c>
      <c r="AP668" s="31">
        <v>0</v>
      </c>
    </row>
    <row r="669" spans="1:42" x14ac:dyDescent="0.25">
      <c r="A669" s="31">
        <v>32</v>
      </c>
      <c r="B669" s="31">
        <v>25201</v>
      </c>
      <c r="C669" s="31">
        <v>5</v>
      </c>
      <c r="D669" s="31" t="s">
        <v>1046</v>
      </c>
      <c r="E669" s="31"/>
      <c r="F669" s="31">
        <v>0</v>
      </c>
      <c r="G669" s="31">
        <v>0</v>
      </c>
      <c r="H669" s="31">
        <v>0</v>
      </c>
      <c r="I669" s="31">
        <v>0</v>
      </c>
      <c r="J669" s="31">
        <v>0</v>
      </c>
      <c r="K669" s="31" t="s">
        <v>882</v>
      </c>
      <c r="L669" s="19" t="str">
        <f t="shared" si="80"/>
        <v>Рихтовка</v>
      </c>
      <c r="M669" s="12">
        <f t="shared" si="81"/>
        <v>0</v>
      </c>
      <c r="N669" s="12">
        <f t="shared" si="82"/>
        <v>0</v>
      </c>
      <c r="O669" s="12">
        <f t="shared" si="83"/>
        <v>0</v>
      </c>
      <c r="P669" s="12">
        <f t="shared" si="84"/>
        <v>0</v>
      </c>
      <c r="Q669" s="12">
        <f t="shared" si="85"/>
        <v>0</v>
      </c>
      <c r="R669" s="12">
        <f t="shared" si="86"/>
        <v>0</v>
      </c>
      <c r="S669" s="12">
        <f t="shared" si="87"/>
        <v>0</v>
      </c>
      <c r="T669" s="31">
        <v>0</v>
      </c>
      <c r="U669" s="31">
        <v>0</v>
      </c>
      <c r="V669" s="31">
        <v>0</v>
      </c>
      <c r="W669" s="31">
        <v>0</v>
      </c>
      <c r="X669" s="31">
        <v>0</v>
      </c>
      <c r="Y669" s="31">
        <v>0</v>
      </c>
      <c r="Z669" s="31">
        <v>0</v>
      </c>
      <c r="AA669" s="31">
        <v>0</v>
      </c>
      <c r="AB669" s="31">
        <v>0</v>
      </c>
      <c r="AC669" s="31">
        <v>0</v>
      </c>
      <c r="AD669" s="31">
        <v>0</v>
      </c>
      <c r="AE669" s="31">
        <v>0</v>
      </c>
      <c r="AF669" s="31">
        <v>0</v>
      </c>
      <c r="AG669" s="31">
        <v>0</v>
      </c>
      <c r="AH669" s="31">
        <v>0</v>
      </c>
      <c r="AI669" s="31">
        <v>0</v>
      </c>
      <c r="AJ669" s="31">
        <v>0</v>
      </c>
      <c r="AK669" s="31">
        <v>0</v>
      </c>
      <c r="AL669" s="31">
        <v>0</v>
      </c>
      <c r="AM669" s="31">
        <v>0</v>
      </c>
      <c r="AN669" s="31">
        <v>0</v>
      </c>
      <c r="AO669" s="31">
        <v>0</v>
      </c>
      <c r="AP669" s="31">
        <v>0</v>
      </c>
    </row>
    <row r="670" spans="1:42" x14ac:dyDescent="0.25">
      <c r="A670" s="31">
        <v>32</v>
      </c>
      <c r="B670" s="31">
        <v>25201</v>
      </c>
      <c r="C670" s="31">
        <v>1</v>
      </c>
      <c r="D670" s="31" t="s">
        <v>1047</v>
      </c>
      <c r="E670" s="31"/>
      <c r="F670" s="31">
        <v>0</v>
      </c>
      <c r="G670" s="31">
        <v>0</v>
      </c>
      <c r="H670" s="31">
        <v>0</v>
      </c>
      <c r="I670" s="31">
        <v>0</v>
      </c>
      <c r="J670" s="31">
        <v>0</v>
      </c>
      <c r="K670" s="31" t="s">
        <v>882</v>
      </c>
      <c r="L670" s="19" t="str">
        <f t="shared" si="80"/>
        <v>Рихтовка</v>
      </c>
      <c r="M670" s="12">
        <f t="shared" si="81"/>
        <v>0</v>
      </c>
      <c r="N670" s="12">
        <f t="shared" si="82"/>
        <v>0</v>
      </c>
      <c r="O670" s="12">
        <f t="shared" si="83"/>
        <v>0</v>
      </c>
      <c r="P670" s="12">
        <f t="shared" si="84"/>
        <v>0</v>
      </c>
      <c r="Q670" s="12">
        <f t="shared" si="85"/>
        <v>0</v>
      </c>
      <c r="R670" s="12">
        <f t="shared" si="86"/>
        <v>0</v>
      </c>
      <c r="S670" s="12">
        <f t="shared" si="87"/>
        <v>0</v>
      </c>
      <c r="T670" s="31">
        <v>0</v>
      </c>
      <c r="U670" s="31">
        <v>0</v>
      </c>
      <c r="V670" s="31">
        <v>0</v>
      </c>
      <c r="W670" s="31">
        <v>0</v>
      </c>
      <c r="X670" s="31">
        <v>0</v>
      </c>
      <c r="Y670" s="31">
        <v>0</v>
      </c>
      <c r="Z670" s="31">
        <v>0</v>
      </c>
      <c r="AA670" s="31">
        <v>0</v>
      </c>
      <c r="AB670" s="31">
        <v>0</v>
      </c>
      <c r="AC670" s="31">
        <v>0</v>
      </c>
      <c r="AD670" s="31">
        <v>0</v>
      </c>
      <c r="AE670" s="31">
        <v>0</v>
      </c>
      <c r="AF670" s="31">
        <v>0</v>
      </c>
      <c r="AG670" s="31">
        <v>0</v>
      </c>
      <c r="AH670" s="31">
        <v>0</v>
      </c>
      <c r="AI670" s="31">
        <v>0</v>
      </c>
      <c r="AJ670" s="31">
        <v>0</v>
      </c>
      <c r="AK670" s="31">
        <v>0</v>
      </c>
      <c r="AL670" s="31">
        <v>0</v>
      </c>
      <c r="AM670" s="31">
        <v>0</v>
      </c>
      <c r="AN670" s="31">
        <v>0</v>
      </c>
      <c r="AO670" s="31">
        <v>0</v>
      </c>
      <c r="AP670" s="31">
        <v>0</v>
      </c>
    </row>
    <row r="671" spans="1:42" x14ac:dyDescent="0.25">
      <c r="A671" s="31">
        <v>32</v>
      </c>
      <c r="B671" s="31">
        <v>25201</v>
      </c>
      <c r="C671" s="31">
        <v>1</v>
      </c>
      <c r="D671" s="31" t="s">
        <v>1048</v>
      </c>
      <c r="E671" s="31"/>
      <c r="F671" s="31">
        <v>0</v>
      </c>
      <c r="G671" s="31">
        <v>0</v>
      </c>
      <c r="H671" s="31">
        <v>0</v>
      </c>
      <c r="I671" s="31">
        <v>0</v>
      </c>
      <c r="J671" s="31">
        <v>0</v>
      </c>
      <c r="K671" s="31" t="s">
        <v>882</v>
      </c>
      <c r="L671" s="19" t="str">
        <f t="shared" si="80"/>
        <v>Рихтовка</v>
      </c>
      <c r="M671" s="12">
        <f t="shared" si="81"/>
        <v>0</v>
      </c>
      <c r="N671" s="12">
        <f t="shared" si="82"/>
        <v>0</v>
      </c>
      <c r="O671" s="12">
        <f t="shared" si="83"/>
        <v>0</v>
      </c>
      <c r="P671" s="12">
        <f t="shared" si="84"/>
        <v>0</v>
      </c>
      <c r="Q671" s="12">
        <f t="shared" si="85"/>
        <v>0</v>
      </c>
      <c r="R671" s="12">
        <f t="shared" si="86"/>
        <v>0</v>
      </c>
      <c r="S671" s="12">
        <f t="shared" si="87"/>
        <v>0</v>
      </c>
      <c r="T671" s="31">
        <v>0</v>
      </c>
      <c r="U671" s="31">
        <v>0</v>
      </c>
      <c r="V671" s="31">
        <v>0</v>
      </c>
      <c r="W671" s="31">
        <v>0</v>
      </c>
      <c r="X671" s="31">
        <v>0</v>
      </c>
      <c r="Y671" s="31">
        <v>0</v>
      </c>
      <c r="Z671" s="31">
        <v>0</v>
      </c>
      <c r="AA671" s="31">
        <v>0</v>
      </c>
      <c r="AB671" s="31">
        <v>0</v>
      </c>
      <c r="AC671" s="31">
        <v>0</v>
      </c>
      <c r="AD671" s="31">
        <v>0</v>
      </c>
      <c r="AE671" s="31">
        <v>0</v>
      </c>
      <c r="AF671" s="31">
        <v>0</v>
      </c>
      <c r="AG671" s="31">
        <v>0</v>
      </c>
      <c r="AH671" s="31">
        <v>0</v>
      </c>
      <c r="AI671" s="31">
        <v>0</v>
      </c>
      <c r="AJ671" s="31">
        <v>0</v>
      </c>
      <c r="AK671" s="31">
        <v>0</v>
      </c>
      <c r="AL671" s="31">
        <v>0</v>
      </c>
      <c r="AM671" s="31">
        <v>0</v>
      </c>
      <c r="AN671" s="31">
        <v>0</v>
      </c>
      <c r="AO671" s="31">
        <v>0</v>
      </c>
      <c r="AP671" s="31">
        <v>0</v>
      </c>
    </row>
    <row r="672" spans="1:42" x14ac:dyDescent="0.25">
      <c r="A672" s="31">
        <v>32</v>
      </c>
      <c r="B672" s="31">
        <v>25201</v>
      </c>
      <c r="C672" s="31">
        <v>2</v>
      </c>
      <c r="D672" s="31" t="s">
        <v>1049</v>
      </c>
      <c r="E672" s="31"/>
      <c r="F672" s="31">
        <v>0</v>
      </c>
      <c r="G672" s="31">
        <v>0</v>
      </c>
      <c r="H672" s="31">
        <v>0</v>
      </c>
      <c r="I672" s="31">
        <v>0</v>
      </c>
      <c r="J672" s="31">
        <v>0</v>
      </c>
      <c r="K672" s="31" t="s">
        <v>882</v>
      </c>
      <c r="L672" s="19" t="str">
        <f t="shared" si="80"/>
        <v>Рихтовка</v>
      </c>
      <c r="M672" s="12">
        <f t="shared" si="81"/>
        <v>0</v>
      </c>
      <c r="N672" s="12">
        <f t="shared" si="82"/>
        <v>0</v>
      </c>
      <c r="O672" s="12">
        <f t="shared" si="83"/>
        <v>0</v>
      </c>
      <c r="P672" s="12">
        <f t="shared" si="84"/>
        <v>0</v>
      </c>
      <c r="Q672" s="12">
        <f t="shared" si="85"/>
        <v>0</v>
      </c>
      <c r="R672" s="12">
        <f t="shared" si="86"/>
        <v>0</v>
      </c>
      <c r="S672" s="12">
        <f t="shared" si="87"/>
        <v>0</v>
      </c>
      <c r="T672" s="31">
        <v>0</v>
      </c>
      <c r="U672" s="31">
        <v>0</v>
      </c>
      <c r="V672" s="31">
        <v>0</v>
      </c>
      <c r="W672" s="31">
        <v>0</v>
      </c>
      <c r="X672" s="31">
        <v>0</v>
      </c>
      <c r="Y672" s="31">
        <v>0</v>
      </c>
      <c r="Z672" s="31">
        <v>0</v>
      </c>
      <c r="AA672" s="31">
        <v>0</v>
      </c>
      <c r="AB672" s="31">
        <v>0</v>
      </c>
      <c r="AC672" s="31">
        <v>0</v>
      </c>
      <c r="AD672" s="31">
        <v>0</v>
      </c>
      <c r="AE672" s="31">
        <v>0</v>
      </c>
      <c r="AF672" s="31">
        <v>0</v>
      </c>
      <c r="AG672" s="31">
        <v>0</v>
      </c>
      <c r="AH672" s="31">
        <v>0</v>
      </c>
      <c r="AI672" s="31">
        <v>0</v>
      </c>
      <c r="AJ672" s="31">
        <v>0</v>
      </c>
      <c r="AK672" s="31">
        <v>0</v>
      </c>
      <c r="AL672" s="31">
        <v>0</v>
      </c>
      <c r="AM672" s="31">
        <v>0</v>
      </c>
      <c r="AN672" s="31">
        <v>0</v>
      </c>
      <c r="AO672" s="31">
        <v>0</v>
      </c>
      <c r="AP672" s="31">
        <v>0</v>
      </c>
    </row>
    <row r="673" spans="1:42" x14ac:dyDescent="0.25">
      <c r="A673" s="31">
        <v>32</v>
      </c>
      <c r="B673" s="31">
        <v>25201</v>
      </c>
      <c r="C673" s="31">
        <v>1</v>
      </c>
      <c r="D673" s="31" t="s">
        <v>1050</v>
      </c>
      <c r="E673" s="31"/>
      <c r="F673" s="31">
        <v>0</v>
      </c>
      <c r="G673" s="31">
        <v>0</v>
      </c>
      <c r="H673" s="31">
        <v>0</v>
      </c>
      <c r="I673" s="31">
        <v>0</v>
      </c>
      <c r="J673" s="31">
        <v>0</v>
      </c>
      <c r="K673" s="31" t="s">
        <v>882</v>
      </c>
      <c r="L673" s="19" t="str">
        <f t="shared" si="80"/>
        <v>Рихтовка</v>
      </c>
      <c r="M673" s="12">
        <f t="shared" si="81"/>
        <v>0</v>
      </c>
      <c r="N673" s="12">
        <f t="shared" si="82"/>
        <v>0</v>
      </c>
      <c r="O673" s="12">
        <f t="shared" si="83"/>
        <v>0</v>
      </c>
      <c r="P673" s="12">
        <f t="shared" si="84"/>
        <v>0</v>
      </c>
      <c r="Q673" s="12">
        <f t="shared" si="85"/>
        <v>0</v>
      </c>
      <c r="R673" s="12">
        <f t="shared" si="86"/>
        <v>0</v>
      </c>
      <c r="S673" s="12">
        <f t="shared" si="87"/>
        <v>0</v>
      </c>
      <c r="T673" s="31">
        <v>0</v>
      </c>
      <c r="U673" s="31">
        <v>0</v>
      </c>
      <c r="V673" s="31">
        <v>0</v>
      </c>
      <c r="W673" s="31">
        <v>0</v>
      </c>
      <c r="X673" s="31">
        <v>0</v>
      </c>
      <c r="Y673" s="31">
        <v>0</v>
      </c>
      <c r="Z673" s="31">
        <v>0</v>
      </c>
      <c r="AA673" s="31">
        <v>0</v>
      </c>
      <c r="AB673" s="31">
        <v>0</v>
      </c>
      <c r="AC673" s="31">
        <v>0</v>
      </c>
      <c r="AD673" s="31">
        <v>0</v>
      </c>
      <c r="AE673" s="31">
        <v>0</v>
      </c>
      <c r="AF673" s="31">
        <v>0</v>
      </c>
      <c r="AG673" s="31">
        <v>0</v>
      </c>
      <c r="AH673" s="31">
        <v>0</v>
      </c>
      <c r="AI673" s="31">
        <v>0</v>
      </c>
      <c r="AJ673" s="31">
        <v>0</v>
      </c>
      <c r="AK673" s="31">
        <v>0</v>
      </c>
      <c r="AL673" s="31">
        <v>0</v>
      </c>
      <c r="AM673" s="31">
        <v>0</v>
      </c>
      <c r="AN673" s="31">
        <v>0</v>
      </c>
      <c r="AO673" s="31">
        <v>0</v>
      </c>
      <c r="AP673" s="31">
        <v>0</v>
      </c>
    </row>
    <row r="674" spans="1:42" x14ac:dyDescent="0.25">
      <c r="A674" s="31">
        <v>32</v>
      </c>
      <c r="B674" s="31">
        <v>25201</v>
      </c>
      <c r="C674" s="31">
        <v>3</v>
      </c>
      <c r="D674" s="31" t="s">
        <v>1051</v>
      </c>
      <c r="E674" s="31"/>
      <c r="F674" s="31">
        <v>0</v>
      </c>
      <c r="G674" s="31">
        <v>0</v>
      </c>
      <c r="H674" s="31">
        <v>0</v>
      </c>
      <c r="I674" s="31">
        <v>0</v>
      </c>
      <c r="J674" s="31">
        <v>0</v>
      </c>
      <c r="K674" s="31" t="s">
        <v>882</v>
      </c>
      <c r="L674" s="19" t="str">
        <f t="shared" si="80"/>
        <v>Рихтовка</v>
      </c>
      <c r="M674" s="12">
        <f t="shared" si="81"/>
        <v>0</v>
      </c>
      <c r="N674" s="12">
        <f t="shared" si="82"/>
        <v>0</v>
      </c>
      <c r="O674" s="12">
        <f t="shared" si="83"/>
        <v>0</v>
      </c>
      <c r="P674" s="12">
        <f t="shared" si="84"/>
        <v>0</v>
      </c>
      <c r="Q674" s="12">
        <f t="shared" si="85"/>
        <v>0</v>
      </c>
      <c r="R674" s="12">
        <f t="shared" si="86"/>
        <v>0</v>
      </c>
      <c r="S674" s="12">
        <f t="shared" si="87"/>
        <v>0</v>
      </c>
      <c r="T674" s="31">
        <v>0</v>
      </c>
      <c r="U674" s="31">
        <v>0</v>
      </c>
      <c r="V674" s="31">
        <v>0</v>
      </c>
      <c r="W674" s="31">
        <v>0</v>
      </c>
      <c r="X674" s="31">
        <v>0</v>
      </c>
      <c r="Y674" s="31">
        <v>0</v>
      </c>
      <c r="Z674" s="31">
        <v>0</v>
      </c>
      <c r="AA674" s="31">
        <v>0</v>
      </c>
      <c r="AB674" s="31">
        <v>0</v>
      </c>
      <c r="AC674" s="31">
        <v>0</v>
      </c>
      <c r="AD674" s="31">
        <v>0</v>
      </c>
      <c r="AE674" s="31">
        <v>0</v>
      </c>
      <c r="AF674" s="31">
        <v>0</v>
      </c>
      <c r="AG674" s="31">
        <v>0</v>
      </c>
      <c r="AH674" s="31">
        <v>0</v>
      </c>
      <c r="AI674" s="31">
        <v>0</v>
      </c>
      <c r="AJ674" s="31">
        <v>0</v>
      </c>
      <c r="AK674" s="31">
        <v>0</v>
      </c>
      <c r="AL674" s="31">
        <v>0</v>
      </c>
      <c r="AM674" s="31">
        <v>0</v>
      </c>
      <c r="AN674" s="31">
        <v>0</v>
      </c>
      <c r="AO674" s="31">
        <v>0</v>
      </c>
      <c r="AP674" s="31">
        <v>0</v>
      </c>
    </row>
    <row r="675" spans="1:42" x14ac:dyDescent="0.25">
      <c r="A675" s="31">
        <v>32</v>
      </c>
      <c r="B675" s="31">
        <v>25201</v>
      </c>
      <c r="C675" s="31">
        <v>1</v>
      </c>
      <c r="D675" s="31" t="s">
        <v>1052</v>
      </c>
      <c r="E675" s="31"/>
      <c r="F675" s="31">
        <v>0</v>
      </c>
      <c r="G675" s="31">
        <v>0</v>
      </c>
      <c r="H675" s="31">
        <v>0</v>
      </c>
      <c r="I675" s="31">
        <v>0</v>
      </c>
      <c r="J675" s="31">
        <v>0</v>
      </c>
      <c r="K675" s="31" t="s">
        <v>882</v>
      </c>
      <c r="L675" s="19" t="str">
        <f t="shared" si="80"/>
        <v>Рихтовка</v>
      </c>
      <c r="M675" s="12">
        <f t="shared" si="81"/>
        <v>0</v>
      </c>
      <c r="N675" s="12">
        <f t="shared" si="82"/>
        <v>0</v>
      </c>
      <c r="O675" s="12">
        <f t="shared" si="83"/>
        <v>0</v>
      </c>
      <c r="P675" s="12">
        <f t="shared" si="84"/>
        <v>0</v>
      </c>
      <c r="Q675" s="12">
        <f t="shared" si="85"/>
        <v>0</v>
      </c>
      <c r="R675" s="12">
        <f t="shared" si="86"/>
        <v>0</v>
      </c>
      <c r="S675" s="12">
        <f t="shared" si="87"/>
        <v>0</v>
      </c>
      <c r="T675" s="31">
        <v>0</v>
      </c>
      <c r="U675" s="31">
        <v>0</v>
      </c>
      <c r="V675" s="31">
        <v>0</v>
      </c>
      <c r="W675" s="31">
        <v>0</v>
      </c>
      <c r="X675" s="31">
        <v>0</v>
      </c>
      <c r="Y675" s="31">
        <v>0</v>
      </c>
      <c r="Z675" s="31">
        <v>0</v>
      </c>
      <c r="AA675" s="31">
        <v>0</v>
      </c>
      <c r="AB675" s="31">
        <v>0</v>
      </c>
      <c r="AC675" s="31">
        <v>0</v>
      </c>
      <c r="AD675" s="31">
        <v>0</v>
      </c>
      <c r="AE675" s="31">
        <v>0</v>
      </c>
      <c r="AF675" s="31">
        <v>0</v>
      </c>
      <c r="AG675" s="31">
        <v>0</v>
      </c>
      <c r="AH675" s="31">
        <v>0</v>
      </c>
      <c r="AI675" s="31">
        <v>0</v>
      </c>
      <c r="AJ675" s="31">
        <v>0</v>
      </c>
      <c r="AK675" s="31">
        <v>0</v>
      </c>
      <c r="AL675" s="31">
        <v>0</v>
      </c>
      <c r="AM675" s="31">
        <v>0</v>
      </c>
      <c r="AN675" s="31">
        <v>0</v>
      </c>
      <c r="AO675" s="31">
        <v>0</v>
      </c>
      <c r="AP675" s="31">
        <v>0</v>
      </c>
    </row>
    <row r="676" spans="1:42" x14ac:dyDescent="0.25">
      <c r="A676" s="31">
        <v>32</v>
      </c>
      <c r="B676" s="31">
        <v>25201</v>
      </c>
      <c r="C676" s="31">
        <v>2</v>
      </c>
      <c r="D676" s="31" t="s">
        <v>1053</v>
      </c>
      <c r="E676" s="31"/>
      <c r="F676" s="31">
        <v>0</v>
      </c>
      <c r="G676" s="31">
        <v>0</v>
      </c>
      <c r="H676" s="31">
        <v>0</v>
      </c>
      <c r="I676" s="31">
        <v>0</v>
      </c>
      <c r="J676" s="31">
        <v>0</v>
      </c>
      <c r="K676" s="31" t="s">
        <v>882</v>
      </c>
      <c r="L676" s="19" t="str">
        <f t="shared" si="80"/>
        <v>Рихтовка</v>
      </c>
      <c r="M676" s="12">
        <f t="shared" si="81"/>
        <v>0</v>
      </c>
      <c r="N676" s="12">
        <f t="shared" si="82"/>
        <v>0</v>
      </c>
      <c r="O676" s="12">
        <f t="shared" si="83"/>
        <v>0</v>
      </c>
      <c r="P676" s="12">
        <f t="shared" si="84"/>
        <v>0</v>
      </c>
      <c r="Q676" s="12">
        <f t="shared" si="85"/>
        <v>0</v>
      </c>
      <c r="R676" s="12">
        <f t="shared" si="86"/>
        <v>0</v>
      </c>
      <c r="S676" s="12">
        <f t="shared" si="87"/>
        <v>0</v>
      </c>
      <c r="T676" s="31">
        <v>0</v>
      </c>
      <c r="U676" s="31">
        <v>0</v>
      </c>
      <c r="V676" s="31">
        <v>0</v>
      </c>
      <c r="W676" s="31">
        <v>0</v>
      </c>
      <c r="X676" s="31">
        <v>0</v>
      </c>
      <c r="Y676" s="31">
        <v>0</v>
      </c>
      <c r="Z676" s="31">
        <v>0</v>
      </c>
      <c r="AA676" s="31">
        <v>0</v>
      </c>
      <c r="AB676" s="31">
        <v>0</v>
      </c>
      <c r="AC676" s="31">
        <v>0</v>
      </c>
      <c r="AD676" s="31">
        <v>0</v>
      </c>
      <c r="AE676" s="31">
        <v>0</v>
      </c>
      <c r="AF676" s="31">
        <v>0</v>
      </c>
      <c r="AG676" s="31">
        <v>0</v>
      </c>
      <c r="AH676" s="31">
        <v>0</v>
      </c>
      <c r="AI676" s="31">
        <v>0</v>
      </c>
      <c r="AJ676" s="31">
        <v>0</v>
      </c>
      <c r="AK676" s="31">
        <v>0</v>
      </c>
      <c r="AL676" s="31">
        <v>0</v>
      </c>
      <c r="AM676" s="31">
        <v>0</v>
      </c>
      <c r="AN676" s="31">
        <v>0</v>
      </c>
      <c r="AO676" s="31">
        <v>0</v>
      </c>
      <c r="AP676" s="31">
        <v>0</v>
      </c>
    </row>
    <row r="677" spans="1:42" x14ac:dyDescent="0.25">
      <c r="A677" s="31">
        <v>32</v>
      </c>
      <c r="B677" s="31">
        <v>25201</v>
      </c>
      <c r="C677" s="31">
        <v>1</v>
      </c>
      <c r="D677" s="31" t="s">
        <v>1054</v>
      </c>
      <c r="E677" s="31"/>
      <c r="F677" s="31">
        <v>0</v>
      </c>
      <c r="G677" s="31">
        <v>0</v>
      </c>
      <c r="H677" s="31">
        <v>0</v>
      </c>
      <c r="I677" s="31">
        <v>0</v>
      </c>
      <c r="J677" s="31">
        <v>0</v>
      </c>
      <c r="K677" s="31" t="s">
        <v>882</v>
      </c>
      <c r="L677" s="19" t="str">
        <f t="shared" si="80"/>
        <v>Рихтовка</v>
      </c>
      <c r="M677" s="12">
        <f t="shared" si="81"/>
        <v>0</v>
      </c>
      <c r="N677" s="12">
        <f t="shared" si="82"/>
        <v>0</v>
      </c>
      <c r="O677" s="12">
        <f t="shared" si="83"/>
        <v>0</v>
      </c>
      <c r="P677" s="12">
        <f t="shared" si="84"/>
        <v>0</v>
      </c>
      <c r="Q677" s="12">
        <f t="shared" si="85"/>
        <v>0</v>
      </c>
      <c r="R677" s="12">
        <f t="shared" si="86"/>
        <v>0</v>
      </c>
      <c r="S677" s="12">
        <f t="shared" si="87"/>
        <v>0</v>
      </c>
      <c r="T677" s="31">
        <v>0</v>
      </c>
      <c r="U677" s="31">
        <v>0</v>
      </c>
      <c r="V677" s="31">
        <v>0</v>
      </c>
      <c r="W677" s="31">
        <v>0</v>
      </c>
      <c r="X677" s="31">
        <v>0</v>
      </c>
      <c r="Y677" s="31">
        <v>0</v>
      </c>
      <c r="Z677" s="31">
        <v>0</v>
      </c>
      <c r="AA677" s="31">
        <v>0</v>
      </c>
      <c r="AB677" s="31">
        <v>0</v>
      </c>
      <c r="AC677" s="31">
        <v>0</v>
      </c>
      <c r="AD677" s="31">
        <v>0</v>
      </c>
      <c r="AE677" s="31">
        <v>0</v>
      </c>
      <c r="AF677" s="31">
        <v>0</v>
      </c>
      <c r="AG677" s="31">
        <v>0</v>
      </c>
      <c r="AH677" s="31">
        <v>0</v>
      </c>
      <c r="AI677" s="31">
        <v>0</v>
      </c>
      <c r="AJ677" s="31">
        <v>0</v>
      </c>
      <c r="AK677" s="31">
        <v>0</v>
      </c>
      <c r="AL677" s="31">
        <v>0</v>
      </c>
      <c r="AM677" s="31">
        <v>0</v>
      </c>
      <c r="AN677" s="31">
        <v>0</v>
      </c>
      <c r="AO677" s="31">
        <v>0</v>
      </c>
      <c r="AP677" s="31">
        <v>0</v>
      </c>
    </row>
    <row r="678" spans="1:42" x14ac:dyDescent="0.25">
      <c r="A678" s="31">
        <v>32</v>
      </c>
      <c r="B678" s="31">
        <v>25201</v>
      </c>
      <c r="C678" s="31">
        <v>2</v>
      </c>
      <c r="D678" s="31" t="s">
        <v>1055</v>
      </c>
      <c r="E678" s="31"/>
      <c r="F678" s="31">
        <v>0</v>
      </c>
      <c r="G678" s="31">
        <v>0</v>
      </c>
      <c r="H678" s="31">
        <v>0</v>
      </c>
      <c r="I678" s="31">
        <v>0</v>
      </c>
      <c r="J678" s="31">
        <v>0</v>
      </c>
      <c r="K678" s="31" t="s">
        <v>882</v>
      </c>
      <c r="L678" s="19" t="str">
        <f t="shared" si="80"/>
        <v>Рихтовка</v>
      </c>
      <c r="M678" s="12">
        <f t="shared" si="81"/>
        <v>0</v>
      </c>
      <c r="N678" s="12">
        <f t="shared" si="82"/>
        <v>0</v>
      </c>
      <c r="O678" s="12">
        <f t="shared" si="83"/>
        <v>0</v>
      </c>
      <c r="P678" s="12">
        <f t="shared" si="84"/>
        <v>0</v>
      </c>
      <c r="Q678" s="12">
        <f t="shared" si="85"/>
        <v>0</v>
      </c>
      <c r="R678" s="12">
        <f t="shared" si="86"/>
        <v>0</v>
      </c>
      <c r="S678" s="12">
        <f t="shared" si="87"/>
        <v>0</v>
      </c>
      <c r="T678" s="31">
        <v>0</v>
      </c>
      <c r="U678" s="31">
        <v>0</v>
      </c>
      <c r="V678" s="31">
        <v>0</v>
      </c>
      <c r="W678" s="31">
        <v>0</v>
      </c>
      <c r="X678" s="31">
        <v>0</v>
      </c>
      <c r="Y678" s="31">
        <v>0</v>
      </c>
      <c r="Z678" s="31">
        <v>0</v>
      </c>
      <c r="AA678" s="31">
        <v>0</v>
      </c>
      <c r="AB678" s="31">
        <v>0</v>
      </c>
      <c r="AC678" s="31">
        <v>0</v>
      </c>
      <c r="AD678" s="31">
        <v>0</v>
      </c>
      <c r="AE678" s="31">
        <v>0</v>
      </c>
      <c r="AF678" s="31">
        <v>0</v>
      </c>
      <c r="AG678" s="31">
        <v>0</v>
      </c>
      <c r="AH678" s="31">
        <v>0</v>
      </c>
      <c r="AI678" s="31">
        <v>0</v>
      </c>
      <c r="AJ678" s="31">
        <v>0</v>
      </c>
      <c r="AK678" s="31">
        <v>0</v>
      </c>
      <c r="AL678" s="31">
        <v>0</v>
      </c>
      <c r="AM678" s="31">
        <v>0</v>
      </c>
      <c r="AN678" s="31">
        <v>0</v>
      </c>
      <c r="AO678" s="31">
        <v>0</v>
      </c>
      <c r="AP678" s="31">
        <v>0</v>
      </c>
    </row>
    <row r="679" spans="1:42" x14ac:dyDescent="0.25">
      <c r="A679" s="31">
        <v>32</v>
      </c>
      <c r="B679" s="31">
        <v>25201</v>
      </c>
      <c r="C679" s="31">
        <v>1</v>
      </c>
      <c r="D679" s="31" t="s">
        <v>1056</v>
      </c>
      <c r="E679" s="31"/>
      <c r="F679" s="31">
        <v>0</v>
      </c>
      <c r="G679" s="31">
        <v>0</v>
      </c>
      <c r="H679" s="31">
        <v>0</v>
      </c>
      <c r="I679" s="31">
        <v>0</v>
      </c>
      <c r="J679" s="31">
        <v>0</v>
      </c>
      <c r="K679" s="31" t="s">
        <v>882</v>
      </c>
      <c r="L679" s="19" t="str">
        <f t="shared" si="80"/>
        <v>Рихтовка</v>
      </c>
      <c r="M679" s="12">
        <f t="shared" si="81"/>
        <v>0</v>
      </c>
      <c r="N679" s="12">
        <f t="shared" si="82"/>
        <v>0</v>
      </c>
      <c r="O679" s="12">
        <f t="shared" si="83"/>
        <v>0</v>
      </c>
      <c r="P679" s="12">
        <f t="shared" si="84"/>
        <v>0</v>
      </c>
      <c r="Q679" s="12">
        <f t="shared" si="85"/>
        <v>0</v>
      </c>
      <c r="R679" s="12">
        <f t="shared" si="86"/>
        <v>0</v>
      </c>
      <c r="S679" s="12">
        <f t="shared" si="87"/>
        <v>0</v>
      </c>
      <c r="T679" s="31">
        <v>0</v>
      </c>
      <c r="U679" s="31">
        <v>0</v>
      </c>
      <c r="V679" s="31">
        <v>0</v>
      </c>
      <c r="W679" s="31">
        <v>0</v>
      </c>
      <c r="X679" s="31">
        <v>0</v>
      </c>
      <c r="Y679" s="31">
        <v>0</v>
      </c>
      <c r="Z679" s="31">
        <v>0</v>
      </c>
      <c r="AA679" s="31">
        <v>0</v>
      </c>
      <c r="AB679" s="31">
        <v>0</v>
      </c>
      <c r="AC679" s="31">
        <v>0</v>
      </c>
      <c r="AD679" s="31">
        <v>0</v>
      </c>
      <c r="AE679" s="31">
        <v>0</v>
      </c>
      <c r="AF679" s="31">
        <v>0</v>
      </c>
      <c r="AG679" s="31">
        <v>0</v>
      </c>
      <c r="AH679" s="31">
        <v>0</v>
      </c>
      <c r="AI679" s="31">
        <v>0</v>
      </c>
      <c r="AJ679" s="31">
        <v>0</v>
      </c>
      <c r="AK679" s="31">
        <v>0</v>
      </c>
      <c r="AL679" s="31">
        <v>0</v>
      </c>
      <c r="AM679" s="31">
        <v>0</v>
      </c>
      <c r="AN679" s="31">
        <v>0</v>
      </c>
      <c r="AO679" s="31">
        <v>0</v>
      </c>
      <c r="AP679" s="31">
        <v>0</v>
      </c>
    </row>
    <row r="680" spans="1:42" x14ac:dyDescent="0.25">
      <c r="A680" s="31">
        <v>32</v>
      </c>
      <c r="B680" s="31">
        <v>25201</v>
      </c>
      <c r="C680" s="31">
        <v>2</v>
      </c>
      <c r="D680" s="31" t="s">
        <v>1057</v>
      </c>
      <c r="E680" s="31"/>
      <c r="F680" s="31">
        <v>0</v>
      </c>
      <c r="G680" s="31">
        <v>0</v>
      </c>
      <c r="H680" s="31">
        <v>0</v>
      </c>
      <c r="I680" s="31">
        <v>0</v>
      </c>
      <c r="J680" s="31">
        <v>0</v>
      </c>
      <c r="K680" s="31" t="s">
        <v>882</v>
      </c>
      <c r="L680" s="19" t="str">
        <f t="shared" si="80"/>
        <v>Рихтовка</v>
      </c>
      <c r="M680" s="12">
        <f t="shared" si="81"/>
        <v>0</v>
      </c>
      <c r="N680" s="12">
        <f t="shared" si="82"/>
        <v>0</v>
      </c>
      <c r="O680" s="12">
        <f t="shared" si="83"/>
        <v>0</v>
      </c>
      <c r="P680" s="12">
        <f t="shared" si="84"/>
        <v>0</v>
      </c>
      <c r="Q680" s="12">
        <f t="shared" si="85"/>
        <v>0</v>
      </c>
      <c r="R680" s="12">
        <f t="shared" si="86"/>
        <v>0</v>
      </c>
      <c r="S680" s="12">
        <f t="shared" si="87"/>
        <v>0</v>
      </c>
      <c r="T680" s="31">
        <v>0</v>
      </c>
      <c r="U680" s="31">
        <v>0</v>
      </c>
      <c r="V680" s="31">
        <v>0</v>
      </c>
      <c r="W680" s="31">
        <v>0</v>
      </c>
      <c r="X680" s="31">
        <v>0</v>
      </c>
      <c r="Y680" s="31">
        <v>0</v>
      </c>
      <c r="Z680" s="31">
        <v>0</v>
      </c>
      <c r="AA680" s="31">
        <v>0</v>
      </c>
      <c r="AB680" s="31">
        <v>0</v>
      </c>
      <c r="AC680" s="31">
        <v>0</v>
      </c>
      <c r="AD680" s="31">
        <v>0</v>
      </c>
      <c r="AE680" s="31">
        <v>0</v>
      </c>
      <c r="AF680" s="31">
        <v>0</v>
      </c>
      <c r="AG680" s="31">
        <v>0</v>
      </c>
      <c r="AH680" s="31">
        <v>0</v>
      </c>
      <c r="AI680" s="31">
        <v>0</v>
      </c>
      <c r="AJ680" s="31">
        <v>0</v>
      </c>
      <c r="AK680" s="31">
        <v>0</v>
      </c>
      <c r="AL680" s="31">
        <v>0</v>
      </c>
      <c r="AM680" s="31">
        <v>0</v>
      </c>
      <c r="AN680" s="31">
        <v>0</v>
      </c>
      <c r="AO680" s="31">
        <v>0</v>
      </c>
      <c r="AP680" s="31">
        <v>0</v>
      </c>
    </row>
    <row r="681" spans="1:42" x14ac:dyDescent="0.25">
      <c r="A681" s="31">
        <v>32</v>
      </c>
      <c r="B681" s="31">
        <v>25201</v>
      </c>
      <c r="C681" s="31">
        <v>1</v>
      </c>
      <c r="D681" s="31" t="s">
        <v>1058</v>
      </c>
      <c r="E681" s="31"/>
      <c r="F681" s="31">
        <v>0</v>
      </c>
      <c r="G681" s="31">
        <v>0</v>
      </c>
      <c r="H681" s="31">
        <v>0</v>
      </c>
      <c r="I681" s="31">
        <v>0</v>
      </c>
      <c r="J681" s="31">
        <v>0</v>
      </c>
      <c r="K681" s="31" t="s">
        <v>882</v>
      </c>
      <c r="L681" s="19" t="str">
        <f t="shared" si="80"/>
        <v>Рихтовка</v>
      </c>
      <c r="M681" s="12">
        <f t="shared" si="81"/>
        <v>0</v>
      </c>
      <c r="N681" s="12">
        <f t="shared" si="82"/>
        <v>0</v>
      </c>
      <c r="O681" s="12">
        <f t="shared" si="83"/>
        <v>0</v>
      </c>
      <c r="P681" s="12">
        <f t="shared" si="84"/>
        <v>0</v>
      </c>
      <c r="Q681" s="12">
        <f t="shared" si="85"/>
        <v>0</v>
      </c>
      <c r="R681" s="12">
        <f t="shared" si="86"/>
        <v>0</v>
      </c>
      <c r="S681" s="12">
        <f t="shared" si="87"/>
        <v>0</v>
      </c>
      <c r="T681" s="31">
        <v>0</v>
      </c>
      <c r="U681" s="31">
        <v>0</v>
      </c>
      <c r="V681" s="31">
        <v>0</v>
      </c>
      <c r="W681" s="31">
        <v>0</v>
      </c>
      <c r="X681" s="31">
        <v>0</v>
      </c>
      <c r="Y681" s="31">
        <v>0</v>
      </c>
      <c r="Z681" s="31">
        <v>0</v>
      </c>
      <c r="AA681" s="31">
        <v>0</v>
      </c>
      <c r="AB681" s="31">
        <v>0</v>
      </c>
      <c r="AC681" s="31">
        <v>0</v>
      </c>
      <c r="AD681" s="31">
        <v>0</v>
      </c>
      <c r="AE681" s="31">
        <v>0</v>
      </c>
      <c r="AF681" s="31">
        <v>0</v>
      </c>
      <c r="AG681" s="31">
        <v>0</v>
      </c>
      <c r="AH681" s="31">
        <v>0</v>
      </c>
      <c r="AI681" s="31">
        <v>0</v>
      </c>
      <c r="AJ681" s="31">
        <v>0</v>
      </c>
      <c r="AK681" s="31">
        <v>0</v>
      </c>
      <c r="AL681" s="31">
        <v>0</v>
      </c>
      <c r="AM681" s="31">
        <v>0</v>
      </c>
      <c r="AN681" s="31">
        <v>0</v>
      </c>
      <c r="AO681" s="31">
        <v>0</v>
      </c>
      <c r="AP681" s="31">
        <v>0</v>
      </c>
    </row>
    <row r="682" spans="1:42" x14ac:dyDescent="0.25">
      <c r="A682" s="31">
        <v>32</v>
      </c>
      <c r="B682" s="31">
        <v>25201</v>
      </c>
      <c r="C682" s="31">
        <v>2</v>
      </c>
      <c r="D682" s="31" t="s">
        <v>1059</v>
      </c>
      <c r="E682" s="31"/>
      <c r="F682" s="31">
        <v>0</v>
      </c>
      <c r="G682" s="31">
        <v>0</v>
      </c>
      <c r="H682" s="31">
        <v>0</v>
      </c>
      <c r="I682" s="31">
        <v>0</v>
      </c>
      <c r="J682" s="31">
        <v>0</v>
      </c>
      <c r="K682" s="31" t="s">
        <v>882</v>
      </c>
      <c r="L682" s="19" t="str">
        <f t="shared" si="80"/>
        <v>Рихтовка</v>
      </c>
      <c r="M682" s="12">
        <f t="shared" si="81"/>
        <v>0</v>
      </c>
      <c r="N682" s="12">
        <f t="shared" si="82"/>
        <v>0</v>
      </c>
      <c r="O682" s="12">
        <f t="shared" si="83"/>
        <v>0</v>
      </c>
      <c r="P682" s="12">
        <f t="shared" si="84"/>
        <v>0</v>
      </c>
      <c r="Q682" s="12">
        <f t="shared" si="85"/>
        <v>0</v>
      </c>
      <c r="R682" s="12">
        <f t="shared" si="86"/>
        <v>0</v>
      </c>
      <c r="S682" s="12">
        <f t="shared" si="87"/>
        <v>0</v>
      </c>
      <c r="T682" s="31">
        <v>0</v>
      </c>
      <c r="U682" s="31">
        <v>0</v>
      </c>
      <c r="V682" s="31">
        <v>0</v>
      </c>
      <c r="W682" s="31">
        <v>0</v>
      </c>
      <c r="X682" s="31">
        <v>0</v>
      </c>
      <c r="Y682" s="31">
        <v>0</v>
      </c>
      <c r="Z682" s="31">
        <v>0</v>
      </c>
      <c r="AA682" s="31">
        <v>0</v>
      </c>
      <c r="AB682" s="31">
        <v>0</v>
      </c>
      <c r="AC682" s="31">
        <v>0</v>
      </c>
      <c r="AD682" s="31">
        <v>0</v>
      </c>
      <c r="AE682" s="31">
        <v>0</v>
      </c>
      <c r="AF682" s="31">
        <v>0</v>
      </c>
      <c r="AG682" s="31">
        <v>0</v>
      </c>
      <c r="AH682" s="31">
        <v>0</v>
      </c>
      <c r="AI682" s="31">
        <v>0</v>
      </c>
      <c r="AJ682" s="31">
        <v>0</v>
      </c>
      <c r="AK682" s="31">
        <v>0</v>
      </c>
      <c r="AL682" s="31">
        <v>0</v>
      </c>
      <c r="AM682" s="31">
        <v>0</v>
      </c>
      <c r="AN682" s="31">
        <v>0</v>
      </c>
      <c r="AO682" s="31">
        <v>0</v>
      </c>
      <c r="AP682" s="31">
        <v>0</v>
      </c>
    </row>
    <row r="683" spans="1:42" x14ac:dyDescent="0.25">
      <c r="A683" s="31">
        <v>32</v>
      </c>
      <c r="B683" s="31">
        <v>25201</v>
      </c>
      <c r="C683" s="31">
        <v>1</v>
      </c>
      <c r="D683" s="31" t="s">
        <v>1060</v>
      </c>
      <c r="E683" s="31"/>
      <c r="F683" s="31">
        <v>0</v>
      </c>
      <c r="G683" s="31">
        <v>0</v>
      </c>
      <c r="H683" s="31">
        <v>0</v>
      </c>
      <c r="I683" s="31">
        <v>0</v>
      </c>
      <c r="J683" s="31">
        <v>0</v>
      </c>
      <c r="K683" s="31" t="s">
        <v>882</v>
      </c>
      <c r="L683" s="19" t="str">
        <f t="shared" si="80"/>
        <v>Рихтовка</v>
      </c>
      <c r="M683" s="12">
        <f t="shared" si="81"/>
        <v>0</v>
      </c>
      <c r="N683" s="12">
        <f t="shared" si="82"/>
        <v>0</v>
      </c>
      <c r="O683" s="12">
        <f t="shared" si="83"/>
        <v>0</v>
      </c>
      <c r="P683" s="12">
        <f t="shared" si="84"/>
        <v>0</v>
      </c>
      <c r="Q683" s="12">
        <f t="shared" si="85"/>
        <v>0</v>
      </c>
      <c r="R683" s="12">
        <f t="shared" si="86"/>
        <v>0</v>
      </c>
      <c r="S683" s="12">
        <f t="shared" si="87"/>
        <v>0</v>
      </c>
      <c r="T683" s="31">
        <v>0</v>
      </c>
      <c r="U683" s="31">
        <v>0</v>
      </c>
      <c r="V683" s="31">
        <v>0</v>
      </c>
      <c r="W683" s="31">
        <v>0</v>
      </c>
      <c r="X683" s="31">
        <v>0</v>
      </c>
      <c r="Y683" s="31">
        <v>0</v>
      </c>
      <c r="Z683" s="31">
        <v>0</v>
      </c>
      <c r="AA683" s="31">
        <v>0</v>
      </c>
      <c r="AB683" s="31">
        <v>0</v>
      </c>
      <c r="AC683" s="31">
        <v>0</v>
      </c>
      <c r="AD683" s="31">
        <v>0</v>
      </c>
      <c r="AE683" s="31">
        <v>0</v>
      </c>
      <c r="AF683" s="31">
        <v>0</v>
      </c>
      <c r="AG683" s="31">
        <v>0</v>
      </c>
      <c r="AH683" s="31">
        <v>0</v>
      </c>
      <c r="AI683" s="31">
        <v>0</v>
      </c>
      <c r="AJ683" s="31">
        <v>0</v>
      </c>
      <c r="AK683" s="31">
        <v>0</v>
      </c>
      <c r="AL683" s="31">
        <v>0</v>
      </c>
      <c r="AM683" s="31">
        <v>0</v>
      </c>
      <c r="AN683" s="31">
        <v>0</v>
      </c>
      <c r="AO683" s="31">
        <v>0</v>
      </c>
      <c r="AP683" s="31">
        <v>0</v>
      </c>
    </row>
    <row r="684" spans="1:42" x14ac:dyDescent="0.25">
      <c r="A684" s="31">
        <v>32</v>
      </c>
      <c r="B684" s="31">
        <v>25201</v>
      </c>
      <c r="C684" s="31">
        <v>2</v>
      </c>
      <c r="D684" s="31" t="s">
        <v>1061</v>
      </c>
      <c r="E684" s="31"/>
      <c r="F684" s="31">
        <v>0</v>
      </c>
      <c r="G684" s="31">
        <v>0</v>
      </c>
      <c r="H684" s="31">
        <v>0</v>
      </c>
      <c r="I684" s="31">
        <v>0</v>
      </c>
      <c r="J684" s="31">
        <v>0</v>
      </c>
      <c r="K684" s="31" t="s">
        <v>882</v>
      </c>
      <c r="L684" s="19" t="str">
        <f t="shared" si="80"/>
        <v>Рихтовка</v>
      </c>
      <c r="M684" s="12">
        <f t="shared" si="81"/>
        <v>0</v>
      </c>
      <c r="N684" s="12">
        <f t="shared" si="82"/>
        <v>0</v>
      </c>
      <c r="O684" s="12">
        <f t="shared" si="83"/>
        <v>0</v>
      </c>
      <c r="P684" s="12">
        <f t="shared" si="84"/>
        <v>0</v>
      </c>
      <c r="Q684" s="12">
        <f t="shared" si="85"/>
        <v>0</v>
      </c>
      <c r="R684" s="12">
        <f t="shared" si="86"/>
        <v>0</v>
      </c>
      <c r="S684" s="12">
        <f t="shared" si="87"/>
        <v>0</v>
      </c>
      <c r="T684" s="31">
        <v>0</v>
      </c>
      <c r="U684" s="31">
        <v>0</v>
      </c>
      <c r="V684" s="31">
        <v>0</v>
      </c>
      <c r="W684" s="31">
        <v>0</v>
      </c>
      <c r="X684" s="31">
        <v>0</v>
      </c>
      <c r="Y684" s="31">
        <v>0</v>
      </c>
      <c r="Z684" s="31">
        <v>0</v>
      </c>
      <c r="AA684" s="31">
        <v>0</v>
      </c>
      <c r="AB684" s="31">
        <v>0</v>
      </c>
      <c r="AC684" s="31">
        <v>0</v>
      </c>
      <c r="AD684" s="31">
        <v>0</v>
      </c>
      <c r="AE684" s="31">
        <v>0</v>
      </c>
      <c r="AF684" s="31">
        <v>0</v>
      </c>
      <c r="AG684" s="31">
        <v>0</v>
      </c>
      <c r="AH684" s="31">
        <v>0</v>
      </c>
      <c r="AI684" s="31">
        <v>0</v>
      </c>
      <c r="AJ684" s="31">
        <v>0</v>
      </c>
      <c r="AK684" s="31">
        <v>0</v>
      </c>
      <c r="AL684" s="31">
        <v>0</v>
      </c>
      <c r="AM684" s="31">
        <v>0</v>
      </c>
      <c r="AN684" s="31">
        <v>0</v>
      </c>
      <c r="AO684" s="31">
        <v>0</v>
      </c>
      <c r="AP684" s="31">
        <v>0</v>
      </c>
    </row>
    <row r="685" spans="1:42" x14ac:dyDescent="0.25">
      <c r="A685" s="31">
        <v>32</v>
      </c>
      <c r="B685" s="31">
        <v>25201</v>
      </c>
      <c r="C685" s="31">
        <v>1</v>
      </c>
      <c r="D685" s="31" t="s">
        <v>1062</v>
      </c>
      <c r="E685" s="31"/>
      <c r="F685" s="31">
        <v>0</v>
      </c>
      <c r="G685" s="31">
        <v>0</v>
      </c>
      <c r="H685" s="31">
        <v>0</v>
      </c>
      <c r="I685" s="31">
        <v>0</v>
      </c>
      <c r="J685" s="31">
        <v>0</v>
      </c>
      <c r="K685" s="31" t="s">
        <v>882</v>
      </c>
      <c r="L685" s="19" t="str">
        <f t="shared" si="80"/>
        <v>Рихтовка</v>
      </c>
      <c r="M685" s="12">
        <f t="shared" si="81"/>
        <v>0</v>
      </c>
      <c r="N685" s="12">
        <f t="shared" si="82"/>
        <v>0</v>
      </c>
      <c r="O685" s="12">
        <f t="shared" si="83"/>
        <v>0</v>
      </c>
      <c r="P685" s="12">
        <f t="shared" si="84"/>
        <v>0</v>
      </c>
      <c r="Q685" s="12">
        <f t="shared" si="85"/>
        <v>0</v>
      </c>
      <c r="R685" s="12">
        <f t="shared" si="86"/>
        <v>0</v>
      </c>
      <c r="S685" s="12">
        <f t="shared" si="87"/>
        <v>0</v>
      </c>
      <c r="T685" s="31">
        <v>0</v>
      </c>
      <c r="U685" s="31">
        <v>0</v>
      </c>
      <c r="V685" s="31">
        <v>0</v>
      </c>
      <c r="W685" s="31">
        <v>0</v>
      </c>
      <c r="X685" s="31">
        <v>0</v>
      </c>
      <c r="Y685" s="31">
        <v>0</v>
      </c>
      <c r="Z685" s="31">
        <v>0</v>
      </c>
      <c r="AA685" s="31">
        <v>0</v>
      </c>
      <c r="AB685" s="31">
        <v>0</v>
      </c>
      <c r="AC685" s="31">
        <v>0</v>
      </c>
      <c r="AD685" s="31">
        <v>0</v>
      </c>
      <c r="AE685" s="31">
        <v>0</v>
      </c>
      <c r="AF685" s="31">
        <v>0</v>
      </c>
      <c r="AG685" s="31">
        <v>0</v>
      </c>
      <c r="AH685" s="31">
        <v>0</v>
      </c>
      <c r="AI685" s="31">
        <v>0</v>
      </c>
      <c r="AJ685" s="31">
        <v>0</v>
      </c>
      <c r="AK685" s="31">
        <v>0</v>
      </c>
      <c r="AL685" s="31">
        <v>0</v>
      </c>
      <c r="AM685" s="31">
        <v>0</v>
      </c>
      <c r="AN685" s="31">
        <v>0</v>
      </c>
      <c r="AO685" s="31">
        <v>0</v>
      </c>
      <c r="AP685" s="31">
        <v>0</v>
      </c>
    </row>
    <row r="686" spans="1:42" x14ac:dyDescent="0.25">
      <c r="A686" s="31">
        <v>32</v>
      </c>
      <c r="B686" s="31">
        <v>25201</v>
      </c>
      <c r="C686" s="31">
        <v>1</v>
      </c>
      <c r="D686" s="31" t="s">
        <v>1063</v>
      </c>
      <c r="E686" s="31"/>
      <c r="F686" s="31">
        <v>0</v>
      </c>
      <c r="G686" s="31">
        <v>0</v>
      </c>
      <c r="H686" s="31">
        <v>0</v>
      </c>
      <c r="I686" s="31">
        <v>0</v>
      </c>
      <c r="J686" s="31">
        <v>0</v>
      </c>
      <c r="K686" s="31" t="s">
        <v>882</v>
      </c>
      <c r="L686" s="19" t="str">
        <f t="shared" si="80"/>
        <v>Рихтовка</v>
      </c>
      <c r="M686" s="12">
        <f t="shared" si="81"/>
        <v>0</v>
      </c>
      <c r="N686" s="12">
        <f t="shared" si="82"/>
        <v>0</v>
      </c>
      <c r="O686" s="12">
        <f t="shared" si="83"/>
        <v>0</v>
      </c>
      <c r="P686" s="12">
        <f t="shared" si="84"/>
        <v>0</v>
      </c>
      <c r="Q686" s="12">
        <f t="shared" si="85"/>
        <v>0</v>
      </c>
      <c r="R686" s="12">
        <f t="shared" si="86"/>
        <v>0</v>
      </c>
      <c r="S686" s="12">
        <f t="shared" si="87"/>
        <v>0</v>
      </c>
      <c r="T686" s="31">
        <v>0</v>
      </c>
      <c r="U686" s="31">
        <v>0</v>
      </c>
      <c r="V686" s="31">
        <v>0</v>
      </c>
      <c r="W686" s="31">
        <v>0</v>
      </c>
      <c r="X686" s="31">
        <v>0</v>
      </c>
      <c r="Y686" s="31">
        <v>0</v>
      </c>
      <c r="Z686" s="31">
        <v>0</v>
      </c>
      <c r="AA686" s="31">
        <v>0</v>
      </c>
      <c r="AB686" s="31">
        <v>0</v>
      </c>
      <c r="AC686" s="31">
        <v>0</v>
      </c>
      <c r="AD686" s="31">
        <v>0</v>
      </c>
      <c r="AE686" s="31">
        <v>0</v>
      </c>
      <c r="AF686" s="31">
        <v>0</v>
      </c>
      <c r="AG686" s="31">
        <v>0</v>
      </c>
      <c r="AH686" s="31">
        <v>0</v>
      </c>
      <c r="AI686" s="31">
        <v>0</v>
      </c>
      <c r="AJ686" s="31">
        <v>0</v>
      </c>
      <c r="AK686" s="31">
        <v>0</v>
      </c>
      <c r="AL686" s="31">
        <v>0</v>
      </c>
      <c r="AM686" s="31">
        <v>0</v>
      </c>
      <c r="AN686" s="31">
        <v>0</v>
      </c>
      <c r="AO686" s="31">
        <v>0</v>
      </c>
      <c r="AP686" s="31">
        <v>0</v>
      </c>
    </row>
    <row r="687" spans="1:42" x14ac:dyDescent="0.25">
      <c r="A687" s="31">
        <v>32</v>
      </c>
      <c r="B687" s="31">
        <v>25201</v>
      </c>
      <c r="C687" s="31">
        <v>2</v>
      </c>
      <c r="D687" s="31" t="s">
        <v>1064</v>
      </c>
      <c r="E687" s="31"/>
      <c r="F687" s="31">
        <v>0</v>
      </c>
      <c r="G687" s="31">
        <v>0</v>
      </c>
      <c r="H687" s="31">
        <v>0</v>
      </c>
      <c r="I687" s="31">
        <v>0</v>
      </c>
      <c r="J687" s="31">
        <v>0</v>
      </c>
      <c r="K687" s="31" t="s">
        <v>882</v>
      </c>
      <c r="L687" s="19" t="str">
        <f t="shared" si="80"/>
        <v>Рихтовка</v>
      </c>
      <c r="M687" s="12">
        <f t="shared" si="81"/>
        <v>0</v>
      </c>
      <c r="N687" s="12">
        <f t="shared" si="82"/>
        <v>0</v>
      </c>
      <c r="O687" s="12">
        <f t="shared" si="83"/>
        <v>0</v>
      </c>
      <c r="P687" s="12">
        <f t="shared" si="84"/>
        <v>0</v>
      </c>
      <c r="Q687" s="12">
        <f t="shared" si="85"/>
        <v>0</v>
      </c>
      <c r="R687" s="12">
        <f t="shared" si="86"/>
        <v>0</v>
      </c>
      <c r="S687" s="12">
        <f t="shared" si="87"/>
        <v>0</v>
      </c>
      <c r="T687" s="31">
        <v>0</v>
      </c>
      <c r="U687" s="31">
        <v>0</v>
      </c>
      <c r="V687" s="31">
        <v>0</v>
      </c>
      <c r="W687" s="31">
        <v>0</v>
      </c>
      <c r="X687" s="31">
        <v>0</v>
      </c>
      <c r="Y687" s="31">
        <v>0</v>
      </c>
      <c r="Z687" s="31">
        <v>0</v>
      </c>
      <c r="AA687" s="31">
        <v>0</v>
      </c>
      <c r="AB687" s="31">
        <v>0</v>
      </c>
      <c r="AC687" s="31">
        <v>0</v>
      </c>
      <c r="AD687" s="31">
        <v>0</v>
      </c>
      <c r="AE687" s="31">
        <v>0</v>
      </c>
      <c r="AF687" s="31">
        <v>0</v>
      </c>
      <c r="AG687" s="31">
        <v>0</v>
      </c>
      <c r="AH687" s="31">
        <v>0</v>
      </c>
      <c r="AI687" s="31">
        <v>0</v>
      </c>
      <c r="AJ687" s="31">
        <v>0</v>
      </c>
      <c r="AK687" s="31">
        <v>0</v>
      </c>
      <c r="AL687" s="31">
        <v>0</v>
      </c>
      <c r="AM687" s="31">
        <v>0</v>
      </c>
      <c r="AN687" s="31">
        <v>0</v>
      </c>
      <c r="AO687" s="31">
        <v>0</v>
      </c>
      <c r="AP687" s="31">
        <v>0</v>
      </c>
    </row>
    <row r="688" spans="1:42" x14ac:dyDescent="0.25">
      <c r="A688" s="31">
        <v>32</v>
      </c>
      <c r="B688" s="31">
        <v>25201</v>
      </c>
      <c r="C688" s="31">
        <v>1</v>
      </c>
      <c r="D688" s="31" t="s">
        <v>1064</v>
      </c>
      <c r="E688" s="31"/>
      <c r="F688" s="31">
        <v>0</v>
      </c>
      <c r="G688" s="31">
        <v>0</v>
      </c>
      <c r="H688" s="31">
        <v>0</v>
      </c>
      <c r="I688" s="31">
        <v>0</v>
      </c>
      <c r="J688" s="31">
        <v>0</v>
      </c>
      <c r="K688" s="31" t="s">
        <v>882</v>
      </c>
      <c r="L688" s="19" t="str">
        <f t="shared" ref="L688" si="88">IF($M688=N688,$N$1,IF($M688=O688,$O$1,IF($M688=P688,$P$1,IF($M688=Q688,$Q$1,IF($M688=R688,$R$1,$S$1)))))</f>
        <v>Рихтовка</v>
      </c>
      <c r="M688" s="28">
        <f t="shared" ref="M688" si="89">MAX(N688,O688,P688,Q688,R688,S688)</f>
        <v>0</v>
      </c>
      <c r="N688" s="28">
        <f t="shared" ref="N688" si="90">T688+U688+V688</f>
        <v>0</v>
      </c>
      <c r="O688" s="28">
        <f t="shared" ref="O688" si="91">W688+X688+Y688</f>
        <v>0</v>
      </c>
      <c r="P688" s="28">
        <f t="shared" ref="P688" si="92">Z688+AA688+AB688</f>
        <v>0</v>
      </c>
      <c r="Q688" s="28">
        <f t="shared" ref="Q688" si="93">AC688+AD688+AE688</f>
        <v>0</v>
      </c>
      <c r="R688" s="28">
        <f t="shared" ref="R688" si="94">AF688+AG688+AH688</f>
        <v>0</v>
      </c>
      <c r="S688" s="28">
        <f t="shared" ref="S688" si="95">AI688+AJ688+AK688</f>
        <v>0</v>
      </c>
      <c r="T688" s="31">
        <v>0</v>
      </c>
      <c r="U688" s="31">
        <v>0</v>
      </c>
      <c r="V688" s="31">
        <v>0</v>
      </c>
      <c r="W688" s="31">
        <v>0</v>
      </c>
      <c r="X688" s="31">
        <v>0</v>
      </c>
      <c r="Y688" s="31">
        <v>0</v>
      </c>
      <c r="Z688" s="31">
        <v>0</v>
      </c>
      <c r="AA688" s="31">
        <v>0</v>
      </c>
      <c r="AB688" s="31">
        <v>0</v>
      </c>
      <c r="AC688" s="31">
        <v>0</v>
      </c>
      <c r="AD688" s="31">
        <v>0</v>
      </c>
      <c r="AE688" s="31">
        <v>0</v>
      </c>
      <c r="AF688" s="31">
        <v>0</v>
      </c>
      <c r="AG688" s="31">
        <v>0</v>
      </c>
      <c r="AH688" s="31">
        <v>0</v>
      </c>
      <c r="AI688" s="31">
        <v>0</v>
      </c>
      <c r="AJ688" s="31">
        <v>0</v>
      </c>
      <c r="AK688" s="31">
        <v>0</v>
      </c>
      <c r="AL688" s="31">
        <v>0</v>
      </c>
      <c r="AM688" s="31">
        <v>0</v>
      </c>
      <c r="AN688" s="31">
        <v>0</v>
      </c>
      <c r="AO688" s="31">
        <v>0</v>
      </c>
      <c r="AP688" s="31">
        <v>0</v>
      </c>
    </row>
  </sheetData>
  <autoFilter ref="A2:AP687"/>
  <mergeCells count="18">
    <mergeCell ref="AF1:AH1"/>
    <mergeCell ref="AI1:AK1"/>
    <mergeCell ref="AL1:AN1"/>
    <mergeCell ref="AO1:AO2"/>
    <mergeCell ref="AP1:AP2"/>
    <mergeCell ref="Z1:AB1"/>
    <mergeCell ref="AC1:AE1"/>
    <mergeCell ref="A1:A2"/>
    <mergeCell ref="B1:B2"/>
    <mergeCell ref="C1:C2"/>
    <mergeCell ref="D1:D2"/>
    <mergeCell ref="E1:E2"/>
    <mergeCell ref="F1:I1"/>
    <mergeCell ref="L1:L2"/>
    <mergeCell ref="J1:J2"/>
    <mergeCell ref="K1:K2"/>
    <mergeCell ref="T1:V1"/>
    <mergeCell ref="W1:Y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r:id="rId5">
            <anchor moveWithCells="1">
              <from>
                <xdr:col>42</xdr:col>
                <xdr:colOff>123825</xdr:colOff>
                <xdr:row>0</xdr:row>
                <xdr:rowOff>38100</xdr:rowOff>
              </from>
              <to>
                <xdr:col>44</xdr:col>
                <xdr:colOff>342900</xdr:colOff>
                <xdr:row>1</xdr:row>
                <xdr:rowOff>123825</xdr:rowOff>
              </to>
            </anchor>
          </controlPr>
        </control>
      </mc:Choice>
      <mc:Fallback>
        <control shapeId="2049" r:id="rId4" name="CommandButton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AP688"/>
  <sheetViews>
    <sheetView zoomScale="85" zoomScaleNormal="85" workbookViewId="0">
      <selection activeCell="T3" sqref="T3:AP688"/>
    </sheetView>
  </sheetViews>
  <sheetFormatPr defaultRowHeight="15" x14ac:dyDescent="0.25"/>
  <cols>
    <col min="1" max="1" width="6" customWidth="1"/>
    <col min="2" max="2" width="10.85546875" customWidth="1"/>
    <col min="4" max="4" width="47.85546875" customWidth="1"/>
    <col min="5" max="5" width="8.5703125" customWidth="1"/>
    <col min="11" max="11" width="6.7109375" customWidth="1"/>
    <col min="12" max="12" width="13.5703125" bestFit="1" customWidth="1"/>
    <col min="13" max="13" width="8.140625" customWidth="1"/>
    <col min="14" max="14" width="8.28515625" customWidth="1"/>
    <col min="15" max="45" width="6.7109375" customWidth="1"/>
  </cols>
  <sheetData>
    <row r="1" spans="1:42" x14ac:dyDescent="0.25">
      <c r="A1" s="40" t="s">
        <v>17</v>
      </c>
      <c r="B1" s="40" t="s">
        <v>473</v>
      </c>
      <c r="C1" s="41" t="s">
        <v>451</v>
      </c>
      <c r="D1" s="40" t="s">
        <v>454</v>
      </c>
      <c r="E1" s="42" t="s">
        <v>879</v>
      </c>
      <c r="F1" s="32" t="s">
        <v>455</v>
      </c>
      <c r="G1" s="32"/>
      <c r="H1" s="32"/>
      <c r="I1" s="32"/>
      <c r="J1" s="44" t="s">
        <v>880</v>
      </c>
      <c r="K1" s="32" t="s">
        <v>460</v>
      </c>
      <c r="L1" s="32" t="s">
        <v>960</v>
      </c>
      <c r="M1" s="13"/>
      <c r="N1" s="13" t="s">
        <v>461</v>
      </c>
      <c r="O1" s="13" t="s">
        <v>462</v>
      </c>
      <c r="P1" s="13" t="s">
        <v>463</v>
      </c>
      <c r="Q1" s="13" t="s">
        <v>464</v>
      </c>
      <c r="R1" s="13" t="s">
        <v>465</v>
      </c>
      <c r="S1" s="13" t="s">
        <v>469</v>
      </c>
      <c r="T1" s="32" t="s">
        <v>461</v>
      </c>
      <c r="U1" s="32"/>
      <c r="V1" s="32"/>
      <c r="W1" s="32" t="s">
        <v>462</v>
      </c>
      <c r="X1" s="32"/>
      <c r="Y1" s="32"/>
      <c r="Z1" s="32" t="s">
        <v>463</v>
      </c>
      <c r="AA1" s="32"/>
      <c r="AB1" s="32"/>
      <c r="AC1" s="32" t="s">
        <v>464</v>
      </c>
      <c r="AD1" s="32"/>
      <c r="AE1" s="32"/>
      <c r="AF1" s="32" t="s">
        <v>465</v>
      </c>
      <c r="AG1" s="32"/>
      <c r="AH1" s="32"/>
      <c r="AI1" s="32" t="s">
        <v>469</v>
      </c>
      <c r="AJ1" s="32"/>
      <c r="AK1" s="32"/>
      <c r="AL1" s="32" t="s">
        <v>470</v>
      </c>
      <c r="AM1" s="32"/>
      <c r="AN1" s="32"/>
      <c r="AO1" s="32" t="s">
        <v>471</v>
      </c>
      <c r="AP1" s="32" t="s">
        <v>472</v>
      </c>
    </row>
    <row r="2" spans="1:42" x14ac:dyDescent="0.25">
      <c r="A2" s="40"/>
      <c r="B2" s="40"/>
      <c r="C2" s="41"/>
      <c r="D2" s="40"/>
      <c r="E2" s="43"/>
      <c r="F2" s="13" t="s">
        <v>456</v>
      </c>
      <c r="G2" s="13" t="s">
        <v>457</v>
      </c>
      <c r="H2" s="13" t="s">
        <v>458</v>
      </c>
      <c r="I2" s="13" t="s">
        <v>459</v>
      </c>
      <c r="J2" s="45"/>
      <c r="K2" s="32"/>
      <c r="L2" s="32"/>
      <c r="M2" s="13"/>
      <c r="N2" s="13" t="s">
        <v>470</v>
      </c>
      <c r="O2" s="13" t="s">
        <v>470</v>
      </c>
      <c r="P2" s="13" t="s">
        <v>470</v>
      </c>
      <c r="Q2" s="13" t="s">
        <v>470</v>
      </c>
      <c r="R2" s="13" t="s">
        <v>470</v>
      </c>
      <c r="S2" s="13" t="s">
        <v>470</v>
      </c>
      <c r="T2" s="13" t="s">
        <v>466</v>
      </c>
      <c r="U2" s="13" t="s">
        <v>467</v>
      </c>
      <c r="V2" s="13" t="s">
        <v>468</v>
      </c>
      <c r="W2" s="13" t="s">
        <v>466</v>
      </c>
      <c r="X2" s="13" t="s">
        <v>467</v>
      </c>
      <c r="Y2" s="13" t="s">
        <v>468</v>
      </c>
      <c r="Z2" s="13" t="s">
        <v>466</v>
      </c>
      <c r="AA2" s="13" t="s">
        <v>467</v>
      </c>
      <c r="AB2" s="13" t="s">
        <v>468</v>
      </c>
      <c r="AC2" s="13" t="s">
        <v>466</v>
      </c>
      <c r="AD2" s="13" t="s">
        <v>467</v>
      </c>
      <c r="AE2" s="13" t="s">
        <v>468</v>
      </c>
      <c r="AF2" s="13" t="s">
        <v>466</v>
      </c>
      <c r="AG2" s="13" t="s">
        <v>467</v>
      </c>
      <c r="AH2" s="13" t="s">
        <v>468</v>
      </c>
      <c r="AI2" s="13" t="s">
        <v>466</v>
      </c>
      <c r="AJ2" s="13" t="s">
        <v>467</v>
      </c>
      <c r="AK2" s="13" t="s">
        <v>468</v>
      </c>
      <c r="AL2" s="13" t="s">
        <v>466</v>
      </c>
      <c r="AM2" s="13" t="s">
        <v>467</v>
      </c>
      <c r="AN2" s="13" t="s">
        <v>468</v>
      </c>
      <c r="AO2" s="32"/>
      <c r="AP2" s="32"/>
    </row>
    <row r="3" spans="1:42" x14ac:dyDescent="0.25">
      <c r="A3" s="29">
        <v>1</v>
      </c>
      <c r="B3" s="29">
        <v>13808</v>
      </c>
      <c r="C3" s="29" t="s">
        <v>453</v>
      </c>
      <c r="D3" s="29" t="s">
        <v>474</v>
      </c>
      <c r="E3" s="29"/>
      <c r="F3" s="29">
        <v>0</v>
      </c>
      <c r="G3" s="29">
        <v>0</v>
      </c>
      <c r="H3" s="29">
        <v>0</v>
      </c>
      <c r="I3" s="29">
        <v>0</v>
      </c>
      <c r="J3" s="29">
        <v>0</v>
      </c>
      <c r="K3" s="29" t="s">
        <v>882</v>
      </c>
      <c r="L3" s="19" t="str">
        <f t="shared" ref="L3:L65" si="0">IF($M3=N3,$N$1,IF($M3=O3,$O$1,IF($M3=P3,$P$1,IF($M3=Q3,$Q$1,IF($M3=R3,$R$1,$S$1)))))</f>
        <v>Рихтовка</v>
      </c>
      <c r="M3" s="12">
        <f>MAX(N3,O3,P3,Q3,R3,S3)</f>
        <v>0</v>
      </c>
      <c r="N3" s="12">
        <f>T3+U3+V3</f>
        <v>0</v>
      </c>
      <c r="O3" s="12">
        <f>W3+X3+Y3</f>
        <v>0</v>
      </c>
      <c r="P3" s="12">
        <f>Z3+AA3+AB3</f>
        <v>0</v>
      </c>
      <c r="Q3" s="12">
        <f>AC3+AD3+AE3</f>
        <v>0</v>
      </c>
      <c r="R3" s="12">
        <f>AF3+AG3+AH3</f>
        <v>0</v>
      </c>
      <c r="S3" s="12">
        <f>AI3+AJ3+AK3</f>
        <v>0</v>
      </c>
      <c r="T3" s="29">
        <v>0</v>
      </c>
      <c r="U3" s="29">
        <v>0</v>
      </c>
      <c r="V3" s="29">
        <v>0</v>
      </c>
      <c r="W3" s="29">
        <v>0</v>
      </c>
      <c r="X3" s="29">
        <v>0</v>
      </c>
      <c r="Y3" s="29">
        <v>0</v>
      </c>
      <c r="Z3" s="29">
        <v>0</v>
      </c>
      <c r="AA3" s="29">
        <v>0</v>
      </c>
      <c r="AB3" s="29">
        <v>0</v>
      </c>
      <c r="AC3" s="29">
        <v>0</v>
      </c>
      <c r="AD3" s="29">
        <v>0</v>
      </c>
      <c r="AE3" s="29">
        <v>0</v>
      </c>
      <c r="AF3" s="29">
        <v>0</v>
      </c>
      <c r="AG3" s="29">
        <v>0</v>
      </c>
      <c r="AH3" s="29">
        <v>0</v>
      </c>
      <c r="AI3" s="29">
        <v>0</v>
      </c>
      <c r="AJ3" s="29">
        <v>0</v>
      </c>
      <c r="AK3" s="29">
        <v>0</v>
      </c>
      <c r="AL3" s="29">
        <v>0</v>
      </c>
      <c r="AM3" s="29">
        <v>0</v>
      </c>
      <c r="AN3" s="29">
        <v>0</v>
      </c>
      <c r="AO3" s="29">
        <v>0</v>
      </c>
      <c r="AP3" s="29">
        <v>0</v>
      </c>
    </row>
    <row r="4" spans="1:42" x14ac:dyDescent="0.25">
      <c r="A4" s="29">
        <v>1</v>
      </c>
      <c r="B4" s="29">
        <v>13808</v>
      </c>
      <c r="C4" s="29">
        <v>1</v>
      </c>
      <c r="D4" s="29" t="s">
        <v>475</v>
      </c>
      <c r="E4" s="29"/>
      <c r="F4" s="29">
        <v>0</v>
      </c>
      <c r="G4" s="29">
        <v>0</v>
      </c>
      <c r="H4" s="29">
        <v>0</v>
      </c>
      <c r="I4" s="29">
        <v>0</v>
      </c>
      <c r="J4" s="29">
        <v>0</v>
      </c>
      <c r="K4" s="29" t="s">
        <v>882</v>
      </c>
      <c r="L4" s="19" t="str">
        <f t="shared" si="0"/>
        <v>Рихтовка</v>
      </c>
      <c r="M4" s="12">
        <f t="shared" ref="M4:M66" si="1">MAX(N4,O4,P4,Q4,R4,S4)</f>
        <v>0</v>
      </c>
      <c r="N4" s="12">
        <f t="shared" ref="N4:N66" si="2">T4+U4+V4</f>
        <v>0</v>
      </c>
      <c r="O4" s="12">
        <f t="shared" ref="O4:O66" si="3">W4+X4+Y4</f>
        <v>0</v>
      </c>
      <c r="P4" s="12">
        <f t="shared" ref="P4:P66" si="4">Z4+AA4+AB4</f>
        <v>0</v>
      </c>
      <c r="Q4" s="12">
        <f t="shared" ref="Q4:Q66" si="5">AC4+AD4+AE4</f>
        <v>0</v>
      </c>
      <c r="R4" s="12">
        <f t="shared" ref="R4:R66" si="6">AF4+AG4+AH4</f>
        <v>0</v>
      </c>
      <c r="S4" s="12">
        <f t="shared" ref="S4:S66" si="7">AI4+AJ4+AK4</f>
        <v>0</v>
      </c>
      <c r="T4" s="29">
        <v>0</v>
      </c>
      <c r="U4" s="29">
        <v>0</v>
      </c>
      <c r="V4" s="29">
        <v>0</v>
      </c>
      <c r="W4" s="29">
        <v>0</v>
      </c>
      <c r="X4" s="29">
        <v>0</v>
      </c>
      <c r="Y4" s="29">
        <v>0</v>
      </c>
      <c r="Z4" s="29">
        <v>0</v>
      </c>
      <c r="AA4" s="29">
        <v>0</v>
      </c>
      <c r="AB4" s="29">
        <v>0</v>
      </c>
      <c r="AC4" s="29">
        <v>0</v>
      </c>
      <c r="AD4" s="29">
        <v>0</v>
      </c>
      <c r="AE4" s="29">
        <v>0</v>
      </c>
      <c r="AF4" s="29">
        <v>0</v>
      </c>
      <c r="AG4" s="29">
        <v>0</v>
      </c>
      <c r="AH4" s="29">
        <v>0</v>
      </c>
      <c r="AI4" s="29">
        <v>0</v>
      </c>
      <c r="AJ4" s="29">
        <v>0</v>
      </c>
      <c r="AK4" s="29">
        <v>0</v>
      </c>
      <c r="AL4" s="29">
        <v>0</v>
      </c>
      <c r="AM4" s="29">
        <v>0</v>
      </c>
      <c r="AN4" s="29">
        <v>0</v>
      </c>
      <c r="AO4" s="29">
        <v>0</v>
      </c>
      <c r="AP4" s="29">
        <v>0</v>
      </c>
    </row>
    <row r="5" spans="1:42" x14ac:dyDescent="0.25">
      <c r="A5" s="29">
        <v>1</v>
      </c>
      <c r="B5" s="29">
        <v>13808</v>
      </c>
      <c r="C5" s="29">
        <v>1</v>
      </c>
      <c r="D5" s="29" t="s">
        <v>476</v>
      </c>
      <c r="E5" s="29"/>
      <c r="F5" s="29">
        <v>0</v>
      </c>
      <c r="G5" s="29">
        <v>0</v>
      </c>
      <c r="H5" s="29">
        <v>0</v>
      </c>
      <c r="I5" s="29">
        <v>0</v>
      </c>
      <c r="J5" s="29">
        <v>0</v>
      </c>
      <c r="K5" s="29" t="s">
        <v>882</v>
      </c>
      <c r="L5" s="19" t="str">
        <f t="shared" si="0"/>
        <v>Рихтовка</v>
      </c>
      <c r="M5" s="12">
        <f t="shared" si="1"/>
        <v>0</v>
      </c>
      <c r="N5" s="12">
        <f t="shared" si="2"/>
        <v>0</v>
      </c>
      <c r="O5" s="12">
        <f t="shared" si="3"/>
        <v>0</v>
      </c>
      <c r="P5" s="12">
        <f t="shared" si="4"/>
        <v>0</v>
      </c>
      <c r="Q5" s="12">
        <f t="shared" si="5"/>
        <v>0</v>
      </c>
      <c r="R5" s="12">
        <f t="shared" si="6"/>
        <v>0</v>
      </c>
      <c r="S5" s="12">
        <f t="shared" si="7"/>
        <v>0</v>
      </c>
      <c r="T5" s="29">
        <v>0</v>
      </c>
      <c r="U5" s="29">
        <v>0</v>
      </c>
      <c r="V5" s="29">
        <v>0</v>
      </c>
      <c r="W5" s="29">
        <v>0</v>
      </c>
      <c r="X5" s="29">
        <v>0</v>
      </c>
      <c r="Y5" s="29">
        <v>0</v>
      </c>
      <c r="Z5" s="29">
        <v>0</v>
      </c>
      <c r="AA5" s="29">
        <v>0</v>
      </c>
      <c r="AB5" s="29">
        <v>0</v>
      </c>
      <c r="AC5" s="29">
        <v>0</v>
      </c>
      <c r="AD5" s="29">
        <v>0</v>
      </c>
      <c r="AE5" s="29">
        <v>0</v>
      </c>
      <c r="AF5" s="29">
        <v>0</v>
      </c>
      <c r="AG5" s="29">
        <v>0</v>
      </c>
      <c r="AH5" s="29">
        <v>0</v>
      </c>
      <c r="AI5" s="29">
        <v>0</v>
      </c>
      <c r="AJ5" s="29">
        <v>0</v>
      </c>
      <c r="AK5" s="29">
        <v>0</v>
      </c>
      <c r="AL5" s="29">
        <v>0</v>
      </c>
      <c r="AM5" s="29">
        <v>0</v>
      </c>
      <c r="AN5" s="29">
        <v>0</v>
      </c>
      <c r="AO5" s="29">
        <v>0</v>
      </c>
      <c r="AP5" s="29">
        <v>0</v>
      </c>
    </row>
    <row r="6" spans="1:42" x14ac:dyDescent="0.25">
      <c r="A6" s="29">
        <v>1</v>
      </c>
      <c r="B6" s="29">
        <v>13808</v>
      </c>
      <c r="C6" s="29">
        <v>1</v>
      </c>
      <c r="D6" s="29" t="s">
        <v>477</v>
      </c>
      <c r="E6" s="29"/>
      <c r="F6" s="29">
        <v>0</v>
      </c>
      <c r="G6" s="29">
        <v>0</v>
      </c>
      <c r="H6" s="29">
        <v>0</v>
      </c>
      <c r="I6" s="29">
        <v>0</v>
      </c>
      <c r="J6" s="29">
        <v>0</v>
      </c>
      <c r="K6" s="29" t="s">
        <v>882</v>
      </c>
      <c r="L6" s="19" t="str">
        <f t="shared" si="0"/>
        <v>Рихтовка</v>
      </c>
      <c r="M6" s="12">
        <f t="shared" si="1"/>
        <v>0</v>
      </c>
      <c r="N6" s="12">
        <f t="shared" si="2"/>
        <v>0</v>
      </c>
      <c r="O6" s="12">
        <f t="shared" si="3"/>
        <v>0</v>
      </c>
      <c r="P6" s="12">
        <f t="shared" si="4"/>
        <v>0</v>
      </c>
      <c r="Q6" s="12">
        <f t="shared" si="5"/>
        <v>0</v>
      </c>
      <c r="R6" s="12">
        <f t="shared" si="6"/>
        <v>0</v>
      </c>
      <c r="S6" s="12">
        <f t="shared" si="7"/>
        <v>0</v>
      </c>
      <c r="T6" s="29">
        <v>0</v>
      </c>
      <c r="U6" s="29">
        <v>0</v>
      </c>
      <c r="V6" s="29">
        <v>0</v>
      </c>
      <c r="W6" s="29">
        <v>0</v>
      </c>
      <c r="X6" s="29">
        <v>0</v>
      </c>
      <c r="Y6" s="29">
        <v>0</v>
      </c>
      <c r="Z6" s="29">
        <v>0</v>
      </c>
      <c r="AA6" s="29">
        <v>0</v>
      </c>
      <c r="AB6" s="29">
        <v>0</v>
      </c>
      <c r="AC6" s="29">
        <v>0</v>
      </c>
      <c r="AD6" s="29">
        <v>0</v>
      </c>
      <c r="AE6" s="29">
        <v>0</v>
      </c>
      <c r="AF6" s="29">
        <v>0</v>
      </c>
      <c r="AG6" s="29">
        <v>0</v>
      </c>
      <c r="AH6" s="29">
        <v>0</v>
      </c>
      <c r="AI6" s="29">
        <v>0</v>
      </c>
      <c r="AJ6" s="29">
        <v>0</v>
      </c>
      <c r="AK6" s="29">
        <v>0</v>
      </c>
      <c r="AL6" s="29">
        <v>0</v>
      </c>
      <c r="AM6" s="29">
        <v>0</v>
      </c>
      <c r="AN6" s="29">
        <v>0</v>
      </c>
      <c r="AO6" s="29">
        <v>0</v>
      </c>
      <c r="AP6" s="29">
        <v>0</v>
      </c>
    </row>
    <row r="7" spans="1:42" x14ac:dyDescent="0.25">
      <c r="A7" s="29">
        <v>1</v>
      </c>
      <c r="B7" s="29">
        <v>13808</v>
      </c>
      <c r="C7" s="29">
        <v>1</v>
      </c>
      <c r="D7" s="29" t="s">
        <v>478</v>
      </c>
      <c r="E7" s="29"/>
      <c r="F7" s="29">
        <v>0</v>
      </c>
      <c r="G7" s="29">
        <v>0</v>
      </c>
      <c r="H7" s="29">
        <v>0</v>
      </c>
      <c r="I7" s="29">
        <v>0</v>
      </c>
      <c r="J7" s="29">
        <v>0</v>
      </c>
      <c r="K7" s="29" t="s">
        <v>882</v>
      </c>
      <c r="L7" s="19" t="str">
        <f t="shared" si="0"/>
        <v>Рихтовка</v>
      </c>
      <c r="M7" s="12">
        <f t="shared" si="1"/>
        <v>0</v>
      </c>
      <c r="N7" s="12">
        <f t="shared" si="2"/>
        <v>0</v>
      </c>
      <c r="O7" s="12">
        <f t="shared" si="3"/>
        <v>0</v>
      </c>
      <c r="P7" s="12">
        <f t="shared" si="4"/>
        <v>0</v>
      </c>
      <c r="Q7" s="12">
        <f t="shared" si="5"/>
        <v>0</v>
      </c>
      <c r="R7" s="12">
        <f t="shared" si="6"/>
        <v>0</v>
      </c>
      <c r="S7" s="12">
        <f t="shared" si="7"/>
        <v>0</v>
      </c>
      <c r="T7" s="29">
        <v>0</v>
      </c>
      <c r="U7" s="29">
        <v>0</v>
      </c>
      <c r="V7" s="29">
        <v>0</v>
      </c>
      <c r="W7" s="29">
        <v>0</v>
      </c>
      <c r="X7" s="29">
        <v>0</v>
      </c>
      <c r="Y7" s="29">
        <v>0</v>
      </c>
      <c r="Z7" s="29">
        <v>0</v>
      </c>
      <c r="AA7" s="29">
        <v>0</v>
      </c>
      <c r="AB7" s="29">
        <v>0</v>
      </c>
      <c r="AC7" s="29">
        <v>0</v>
      </c>
      <c r="AD7" s="29">
        <v>0</v>
      </c>
      <c r="AE7" s="29">
        <v>0</v>
      </c>
      <c r="AF7" s="29">
        <v>0</v>
      </c>
      <c r="AG7" s="29">
        <v>0</v>
      </c>
      <c r="AH7" s="29">
        <v>0</v>
      </c>
      <c r="AI7" s="29">
        <v>0</v>
      </c>
      <c r="AJ7" s="29">
        <v>0</v>
      </c>
      <c r="AK7" s="29">
        <v>0</v>
      </c>
      <c r="AL7" s="29">
        <v>0</v>
      </c>
      <c r="AM7" s="29">
        <v>0</v>
      </c>
      <c r="AN7" s="29">
        <v>0</v>
      </c>
      <c r="AO7" s="29">
        <v>0</v>
      </c>
      <c r="AP7" s="29">
        <v>0</v>
      </c>
    </row>
    <row r="8" spans="1:42" x14ac:dyDescent="0.25">
      <c r="A8" s="29">
        <v>1</v>
      </c>
      <c r="B8" s="29">
        <v>13808</v>
      </c>
      <c r="C8" s="29">
        <v>1</v>
      </c>
      <c r="D8" s="29" t="s">
        <v>479</v>
      </c>
      <c r="E8" s="29"/>
      <c r="F8" s="29">
        <v>0</v>
      </c>
      <c r="G8" s="29">
        <v>0</v>
      </c>
      <c r="H8" s="29">
        <v>0</v>
      </c>
      <c r="I8" s="29">
        <v>0</v>
      </c>
      <c r="J8" s="29">
        <v>0</v>
      </c>
      <c r="K8" s="29" t="s">
        <v>882</v>
      </c>
      <c r="L8" s="19" t="str">
        <f t="shared" si="0"/>
        <v>Рихтовка</v>
      </c>
      <c r="M8" s="12">
        <f t="shared" si="1"/>
        <v>0</v>
      </c>
      <c r="N8" s="12">
        <f t="shared" si="2"/>
        <v>0</v>
      </c>
      <c r="O8" s="12">
        <f t="shared" si="3"/>
        <v>0</v>
      </c>
      <c r="P8" s="12">
        <f t="shared" si="4"/>
        <v>0</v>
      </c>
      <c r="Q8" s="12">
        <f t="shared" si="5"/>
        <v>0</v>
      </c>
      <c r="R8" s="12">
        <f t="shared" si="6"/>
        <v>0</v>
      </c>
      <c r="S8" s="12">
        <f t="shared" si="7"/>
        <v>0</v>
      </c>
      <c r="T8" s="29">
        <v>0</v>
      </c>
      <c r="U8" s="29">
        <v>0</v>
      </c>
      <c r="V8" s="29">
        <v>0</v>
      </c>
      <c r="W8" s="29">
        <v>0</v>
      </c>
      <c r="X8" s="29">
        <v>0</v>
      </c>
      <c r="Y8" s="29">
        <v>0</v>
      </c>
      <c r="Z8" s="29">
        <v>0</v>
      </c>
      <c r="AA8" s="29">
        <v>0</v>
      </c>
      <c r="AB8" s="29">
        <v>0</v>
      </c>
      <c r="AC8" s="29">
        <v>0</v>
      </c>
      <c r="AD8" s="29">
        <v>0</v>
      </c>
      <c r="AE8" s="29">
        <v>0</v>
      </c>
      <c r="AF8" s="29">
        <v>0</v>
      </c>
      <c r="AG8" s="29">
        <v>0</v>
      </c>
      <c r="AH8" s="29">
        <v>0</v>
      </c>
      <c r="AI8" s="29">
        <v>0</v>
      </c>
      <c r="AJ8" s="29">
        <v>0</v>
      </c>
      <c r="AK8" s="29">
        <v>0</v>
      </c>
      <c r="AL8" s="29">
        <v>0</v>
      </c>
      <c r="AM8" s="29">
        <v>0</v>
      </c>
      <c r="AN8" s="29">
        <v>0</v>
      </c>
      <c r="AO8" s="29">
        <v>0</v>
      </c>
      <c r="AP8" s="29">
        <v>0</v>
      </c>
    </row>
    <row r="9" spans="1:42" x14ac:dyDescent="0.25">
      <c r="A9" s="29">
        <v>1</v>
      </c>
      <c r="B9" s="29">
        <v>13808</v>
      </c>
      <c r="C9" s="29">
        <v>1</v>
      </c>
      <c r="D9" s="29" t="s">
        <v>480</v>
      </c>
      <c r="E9" s="29"/>
      <c r="F9" s="29">
        <v>0</v>
      </c>
      <c r="G9" s="29">
        <v>0</v>
      </c>
      <c r="H9" s="29">
        <v>0</v>
      </c>
      <c r="I9" s="29">
        <v>0</v>
      </c>
      <c r="J9" s="29">
        <v>0</v>
      </c>
      <c r="K9" s="29" t="s">
        <v>882</v>
      </c>
      <c r="L9" s="19" t="str">
        <f t="shared" si="0"/>
        <v>Рихтовка</v>
      </c>
      <c r="M9" s="12">
        <f t="shared" si="1"/>
        <v>0</v>
      </c>
      <c r="N9" s="12">
        <f t="shared" si="2"/>
        <v>0</v>
      </c>
      <c r="O9" s="12">
        <f t="shared" si="3"/>
        <v>0</v>
      </c>
      <c r="P9" s="12">
        <f t="shared" si="4"/>
        <v>0</v>
      </c>
      <c r="Q9" s="12">
        <f t="shared" si="5"/>
        <v>0</v>
      </c>
      <c r="R9" s="12">
        <f t="shared" si="6"/>
        <v>0</v>
      </c>
      <c r="S9" s="12">
        <f t="shared" si="7"/>
        <v>0</v>
      </c>
      <c r="T9" s="29">
        <v>0</v>
      </c>
      <c r="U9" s="29">
        <v>0</v>
      </c>
      <c r="V9" s="29">
        <v>0</v>
      </c>
      <c r="W9" s="29">
        <v>0</v>
      </c>
      <c r="X9" s="29">
        <v>0</v>
      </c>
      <c r="Y9" s="29">
        <v>0</v>
      </c>
      <c r="Z9" s="29">
        <v>0</v>
      </c>
      <c r="AA9" s="29">
        <v>0</v>
      </c>
      <c r="AB9" s="29">
        <v>0</v>
      </c>
      <c r="AC9" s="29">
        <v>0</v>
      </c>
      <c r="AD9" s="29">
        <v>0</v>
      </c>
      <c r="AE9" s="29">
        <v>0</v>
      </c>
      <c r="AF9" s="29">
        <v>0</v>
      </c>
      <c r="AG9" s="29">
        <v>0</v>
      </c>
      <c r="AH9" s="29">
        <v>0</v>
      </c>
      <c r="AI9" s="29">
        <v>0</v>
      </c>
      <c r="AJ9" s="29">
        <v>0</v>
      </c>
      <c r="AK9" s="29">
        <v>0</v>
      </c>
      <c r="AL9" s="29">
        <v>0</v>
      </c>
      <c r="AM9" s="29">
        <v>0</v>
      </c>
      <c r="AN9" s="29">
        <v>0</v>
      </c>
      <c r="AO9" s="29">
        <v>0</v>
      </c>
      <c r="AP9" s="29">
        <v>0</v>
      </c>
    </row>
    <row r="10" spans="1:42" x14ac:dyDescent="0.25">
      <c r="A10" s="29">
        <v>1</v>
      </c>
      <c r="B10" s="29">
        <v>13808</v>
      </c>
      <c r="C10" s="29">
        <v>1</v>
      </c>
      <c r="D10" s="29" t="s">
        <v>481</v>
      </c>
      <c r="E10" s="29"/>
      <c r="F10" s="29">
        <v>0</v>
      </c>
      <c r="G10" s="29">
        <v>0</v>
      </c>
      <c r="H10" s="29">
        <v>0</v>
      </c>
      <c r="I10" s="29">
        <v>0</v>
      </c>
      <c r="J10" s="29">
        <v>0</v>
      </c>
      <c r="K10" s="29" t="s">
        <v>882</v>
      </c>
      <c r="L10" s="19" t="str">
        <f t="shared" si="0"/>
        <v>Рихтовка</v>
      </c>
      <c r="M10" s="12">
        <f t="shared" si="1"/>
        <v>0</v>
      </c>
      <c r="N10" s="12">
        <f t="shared" si="2"/>
        <v>0</v>
      </c>
      <c r="O10" s="12">
        <f t="shared" si="3"/>
        <v>0</v>
      </c>
      <c r="P10" s="12">
        <f t="shared" si="4"/>
        <v>0</v>
      </c>
      <c r="Q10" s="12">
        <f t="shared" si="5"/>
        <v>0</v>
      </c>
      <c r="R10" s="12">
        <f t="shared" si="6"/>
        <v>0</v>
      </c>
      <c r="S10" s="12">
        <f t="shared" si="7"/>
        <v>0</v>
      </c>
      <c r="T10" s="29">
        <v>0</v>
      </c>
      <c r="U10" s="29">
        <v>0</v>
      </c>
      <c r="V10" s="29">
        <v>0</v>
      </c>
      <c r="W10" s="29">
        <v>0</v>
      </c>
      <c r="X10" s="29">
        <v>0</v>
      </c>
      <c r="Y10" s="29">
        <v>0</v>
      </c>
      <c r="Z10" s="29">
        <v>0</v>
      </c>
      <c r="AA10" s="29">
        <v>0</v>
      </c>
      <c r="AB10" s="29">
        <v>0</v>
      </c>
      <c r="AC10" s="29">
        <v>0</v>
      </c>
      <c r="AD10" s="29">
        <v>0</v>
      </c>
      <c r="AE10" s="29">
        <v>0</v>
      </c>
      <c r="AF10" s="29">
        <v>0</v>
      </c>
      <c r="AG10" s="29">
        <v>0</v>
      </c>
      <c r="AH10" s="29">
        <v>0</v>
      </c>
      <c r="AI10" s="29">
        <v>0</v>
      </c>
      <c r="AJ10" s="29">
        <v>0</v>
      </c>
      <c r="AK10" s="29">
        <v>0</v>
      </c>
      <c r="AL10" s="29">
        <v>0</v>
      </c>
      <c r="AM10" s="29">
        <v>0</v>
      </c>
      <c r="AN10" s="29">
        <v>0</v>
      </c>
      <c r="AO10" s="29">
        <v>0</v>
      </c>
      <c r="AP10" s="29">
        <v>0</v>
      </c>
    </row>
    <row r="11" spans="1:42" x14ac:dyDescent="0.25">
      <c r="A11" s="29">
        <v>1</v>
      </c>
      <c r="B11" s="29">
        <v>13808</v>
      </c>
      <c r="C11" s="29">
        <v>1</v>
      </c>
      <c r="D11" s="29" t="s">
        <v>482</v>
      </c>
      <c r="E11" s="29"/>
      <c r="F11" s="29">
        <v>0</v>
      </c>
      <c r="G11" s="29">
        <v>0</v>
      </c>
      <c r="H11" s="29">
        <v>0</v>
      </c>
      <c r="I11" s="29">
        <v>0</v>
      </c>
      <c r="J11" s="29">
        <v>0</v>
      </c>
      <c r="K11" s="29" t="s">
        <v>882</v>
      </c>
      <c r="L11" s="19" t="str">
        <f t="shared" si="0"/>
        <v>Рихтовка</v>
      </c>
      <c r="M11" s="12">
        <f t="shared" si="1"/>
        <v>0</v>
      </c>
      <c r="N11" s="12">
        <f t="shared" si="2"/>
        <v>0</v>
      </c>
      <c r="O11" s="12">
        <f t="shared" si="3"/>
        <v>0</v>
      </c>
      <c r="P11" s="12">
        <f t="shared" si="4"/>
        <v>0</v>
      </c>
      <c r="Q11" s="12">
        <f t="shared" si="5"/>
        <v>0</v>
      </c>
      <c r="R11" s="12">
        <f t="shared" si="6"/>
        <v>0</v>
      </c>
      <c r="S11" s="12">
        <f t="shared" si="7"/>
        <v>0</v>
      </c>
      <c r="T11" s="29">
        <v>0</v>
      </c>
      <c r="U11" s="29">
        <v>0</v>
      </c>
      <c r="V11" s="29">
        <v>0</v>
      </c>
      <c r="W11" s="29">
        <v>0</v>
      </c>
      <c r="X11" s="29">
        <v>0</v>
      </c>
      <c r="Y11" s="29">
        <v>0</v>
      </c>
      <c r="Z11" s="29">
        <v>0</v>
      </c>
      <c r="AA11" s="29">
        <v>0</v>
      </c>
      <c r="AB11" s="29">
        <v>0</v>
      </c>
      <c r="AC11" s="29">
        <v>0</v>
      </c>
      <c r="AD11" s="29">
        <v>0</v>
      </c>
      <c r="AE11" s="29">
        <v>0</v>
      </c>
      <c r="AF11" s="29">
        <v>0</v>
      </c>
      <c r="AG11" s="29">
        <v>0</v>
      </c>
      <c r="AH11" s="29">
        <v>0</v>
      </c>
      <c r="AI11" s="29">
        <v>0</v>
      </c>
      <c r="AJ11" s="29">
        <v>0</v>
      </c>
      <c r="AK11" s="29">
        <v>0</v>
      </c>
      <c r="AL11" s="29">
        <v>0</v>
      </c>
      <c r="AM11" s="29">
        <v>0</v>
      </c>
      <c r="AN11" s="29">
        <v>0</v>
      </c>
      <c r="AO11" s="29">
        <v>0</v>
      </c>
      <c r="AP11" s="29">
        <v>0</v>
      </c>
    </row>
    <row r="12" spans="1:42" x14ac:dyDescent="0.25">
      <c r="A12" s="29">
        <v>1</v>
      </c>
      <c r="B12" s="29">
        <v>13808</v>
      </c>
      <c r="C12" s="29">
        <v>1</v>
      </c>
      <c r="D12" s="29" t="s">
        <v>483</v>
      </c>
      <c r="E12" s="29"/>
      <c r="F12" s="29">
        <v>0</v>
      </c>
      <c r="G12" s="29">
        <v>0</v>
      </c>
      <c r="H12" s="29">
        <v>0</v>
      </c>
      <c r="I12" s="29">
        <v>0</v>
      </c>
      <c r="J12" s="29">
        <v>0</v>
      </c>
      <c r="K12" s="29" t="s">
        <v>882</v>
      </c>
      <c r="L12" s="19" t="str">
        <f t="shared" si="0"/>
        <v>Рихтовка</v>
      </c>
      <c r="M12" s="12">
        <f t="shared" si="1"/>
        <v>0</v>
      </c>
      <c r="N12" s="12">
        <f t="shared" si="2"/>
        <v>0</v>
      </c>
      <c r="O12" s="12">
        <f t="shared" si="3"/>
        <v>0</v>
      </c>
      <c r="P12" s="12">
        <f t="shared" si="4"/>
        <v>0</v>
      </c>
      <c r="Q12" s="12">
        <f t="shared" si="5"/>
        <v>0</v>
      </c>
      <c r="R12" s="12">
        <f t="shared" si="6"/>
        <v>0</v>
      </c>
      <c r="S12" s="12">
        <f t="shared" si="7"/>
        <v>0</v>
      </c>
      <c r="T12" s="29">
        <v>0</v>
      </c>
      <c r="U12" s="29">
        <v>0</v>
      </c>
      <c r="V12" s="29">
        <v>0</v>
      </c>
      <c r="W12" s="29">
        <v>0</v>
      </c>
      <c r="X12" s="29">
        <v>0</v>
      </c>
      <c r="Y12" s="29">
        <v>0</v>
      </c>
      <c r="Z12" s="29">
        <v>0</v>
      </c>
      <c r="AA12" s="29">
        <v>0</v>
      </c>
      <c r="AB12" s="29">
        <v>0</v>
      </c>
      <c r="AC12" s="29">
        <v>0</v>
      </c>
      <c r="AD12" s="29">
        <v>0</v>
      </c>
      <c r="AE12" s="29">
        <v>0</v>
      </c>
      <c r="AF12" s="29">
        <v>0</v>
      </c>
      <c r="AG12" s="29">
        <v>0</v>
      </c>
      <c r="AH12" s="29">
        <v>0</v>
      </c>
      <c r="AI12" s="29">
        <v>0</v>
      </c>
      <c r="AJ12" s="29">
        <v>0</v>
      </c>
      <c r="AK12" s="29">
        <v>0</v>
      </c>
      <c r="AL12" s="29">
        <v>0</v>
      </c>
      <c r="AM12" s="29">
        <v>0</v>
      </c>
      <c r="AN12" s="29">
        <v>0</v>
      </c>
      <c r="AO12" s="29">
        <v>0</v>
      </c>
      <c r="AP12" s="29">
        <v>0</v>
      </c>
    </row>
    <row r="13" spans="1:42" x14ac:dyDescent="0.25">
      <c r="A13" s="29">
        <v>1</v>
      </c>
      <c r="B13" s="29">
        <v>13808</v>
      </c>
      <c r="C13" s="29">
        <v>1</v>
      </c>
      <c r="D13" s="29" t="s">
        <v>484</v>
      </c>
      <c r="E13" s="29"/>
      <c r="F13" s="29">
        <v>0</v>
      </c>
      <c r="G13" s="29">
        <v>0</v>
      </c>
      <c r="H13" s="29">
        <v>0</v>
      </c>
      <c r="I13" s="29">
        <v>0</v>
      </c>
      <c r="J13" s="29">
        <v>0</v>
      </c>
      <c r="K13" s="29" t="s">
        <v>882</v>
      </c>
      <c r="L13" s="19" t="str">
        <f t="shared" si="0"/>
        <v>Рихтовка</v>
      </c>
      <c r="M13" s="12">
        <f t="shared" si="1"/>
        <v>0</v>
      </c>
      <c r="N13" s="12">
        <f t="shared" si="2"/>
        <v>0</v>
      </c>
      <c r="O13" s="12">
        <f t="shared" si="3"/>
        <v>0</v>
      </c>
      <c r="P13" s="12">
        <f t="shared" si="4"/>
        <v>0</v>
      </c>
      <c r="Q13" s="12">
        <f t="shared" si="5"/>
        <v>0</v>
      </c>
      <c r="R13" s="12">
        <f t="shared" si="6"/>
        <v>0</v>
      </c>
      <c r="S13" s="12">
        <f t="shared" si="7"/>
        <v>0</v>
      </c>
      <c r="T13" s="29">
        <v>0</v>
      </c>
      <c r="U13" s="29">
        <v>0</v>
      </c>
      <c r="V13" s="29">
        <v>0</v>
      </c>
      <c r="W13" s="29">
        <v>0</v>
      </c>
      <c r="X13" s="29">
        <v>0</v>
      </c>
      <c r="Y13" s="29">
        <v>0</v>
      </c>
      <c r="Z13" s="29">
        <v>0</v>
      </c>
      <c r="AA13" s="29">
        <v>0</v>
      </c>
      <c r="AB13" s="29">
        <v>0</v>
      </c>
      <c r="AC13" s="29">
        <v>0</v>
      </c>
      <c r="AD13" s="29">
        <v>0</v>
      </c>
      <c r="AE13" s="29">
        <v>0</v>
      </c>
      <c r="AF13" s="29">
        <v>0</v>
      </c>
      <c r="AG13" s="29">
        <v>0</v>
      </c>
      <c r="AH13" s="29">
        <v>0</v>
      </c>
      <c r="AI13" s="29">
        <v>0</v>
      </c>
      <c r="AJ13" s="29">
        <v>0</v>
      </c>
      <c r="AK13" s="29">
        <v>0</v>
      </c>
      <c r="AL13" s="29">
        <v>0</v>
      </c>
      <c r="AM13" s="29">
        <v>0</v>
      </c>
      <c r="AN13" s="29">
        <v>0</v>
      </c>
      <c r="AO13" s="29">
        <v>0</v>
      </c>
      <c r="AP13" s="29">
        <v>0</v>
      </c>
    </row>
    <row r="14" spans="1:42" x14ac:dyDescent="0.25">
      <c r="A14" s="29">
        <v>1</v>
      </c>
      <c r="B14" s="29">
        <v>13810</v>
      </c>
      <c r="C14" s="29">
        <v>1</v>
      </c>
      <c r="D14" s="29" t="s">
        <v>485</v>
      </c>
      <c r="E14" s="29"/>
      <c r="F14" s="29">
        <v>0</v>
      </c>
      <c r="G14" s="29">
        <v>0</v>
      </c>
      <c r="H14" s="29">
        <v>0</v>
      </c>
      <c r="I14" s="29">
        <v>0</v>
      </c>
      <c r="J14" s="29">
        <v>0</v>
      </c>
      <c r="K14" s="29" t="s">
        <v>882</v>
      </c>
      <c r="L14" s="19" t="str">
        <f t="shared" si="0"/>
        <v>Рихтовка</v>
      </c>
      <c r="M14" s="12">
        <f t="shared" si="1"/>
        <v>0</v>
      </c>
      <c r="N14" s="12">
        <f t="shared" si="2"/>
        <v>0</v>
      </c>
      <c r="O14" s="12">
        <f t="shared" si="3"/>
        <v>0</v>
      </c>
      <c r="P14" s="12">
        <f t="shared" si="4"/>
        <v>0</v>
      </c>
      <c r="Q14" s="12">
        <f t="shared" si="5"/>
        <v>0</v>
      </c>
      <c r="R14" s="12">
        <f t="shared" si="6"/>
        <v>0</v>
      </c>
      <c r="S14" s="12">
        <f t="shared" si="7"/>
        <v>0</v>
      </c>
      <c r="T14" s="29">
        <v>0</v>
      </c>
      <c r="U14" s="29">
        <v>0</v>
      </c>
      <c r="V14" s="29">
        <v>0</v>
      </c>
      <c r="W14" s="29">
        <v>0</v>
      </c>
      <c r="X14" s="29">
        <v>0</v>
      </c>
      <c r="Y14" s="29">
        <v>0</v>
      </c>
      <c r="Z14" s="29">
        <v>0</v>
      </c>
      <c r="AA14" s="29">
        <v>0</v>
      </c>
      <c r="AB14" s="29">
        <v>0</v>
      </c>
      <c r="AC14" s="29">
        <v>0</v>
      </c>
      <c r="AD14" s="29">
        <v>0</v>
      </c>
      <c r="AE14" s="29">
        <v>0</v>
      </c>
      <c r="AF14" s="29">
        <v>0</v>
      </c>
      <c r="AG14" s="29">
        <v>0</v>
      </c>
      <c r="AH14" s="29">
        <v>0</v>
      </c>
      <c r="AI14" s="29">
        <v>0</v>
      </c>
      <c r="AJ14" s="29">
        <v>0</v>
      </c>
      <c r="AK14" s="29">
        <v>0</v>
      </c>
      <c r="AL14" s="29">
        <v>0</v>
      </c>
      <c r="AM14" s="29">
        <v>0</v>
      </c>
      <c r="AN14" s="29">
        <v>0</v>
      </c>
      <c r="AO14" s="29">
        <v>0</v>
      </c>
      <c r="AP14" s="29">
        <v>0</v>
      </c>
    </row>
    <row r="15" spans="1:42" x14ac:dyDescent="0.25">
      <c r="A15" s="29">
        <v>1</v>
      </c>
      <c r="B15" s="29">
        <v>13808</v>
      </c>
      <c r="C15" s="29">
        <v>1</v>
      </c>
      <c r="D15" s="29" t="s">
        <v>486</v>
      </c>
      <c r="E15" s="29"/>
      <c r="F15" s="29">
        <v>0</v>
      </c>
      <c r="G15" s="29">
        <v>0</v>
      </c>
      <c r="H15" s="29">
        <v>0</v>
      </c>
      <c r="I15" s="29">
        <v>0</v>
      </c>
      <c r="J15" s="29">
        <v>0</v>
      </c>
      <c r="K15" s="29" t="s">
        <v>882</v>
      </c>
      <c r="L15" s="19" t="str">
        <f t="shared" si="0"/>
        <v>Рихтовка</v>
      </c>
      <c r="M15" s="12">
        <f t="shared" si="1"/>
        <v>0</v>
      </c>
      <c r="N15" s="12">
        <f t="shared" si="2"/>
        <v>0</v>
      </c>
      <c r="O15" s="12">
        <f t="shared" si="3"/>
        <v>0</v>
      </c>
      <c r="P15" s="12">
        <f t="shared" si="4"/>
        <v>0</v>
      </c>
      <c r="Q15" s="12">
        <f t="shared" si="5"/>
        <v>0</v>
      </c>
      <c r="R15" s="12">
        <f t="shared" si="6"/>
        <v>0</v>
      </c>
      <c r="S15" s="12">
        <f t="shared" si="7"/>
        <v>0</v>
      </c>
      <c r="T15" s="29">
        <v>0</v>
      </c>
      <c r="U15" s="29">
        <v>0</v>
      </c>
      <c r="V15" s="29">
        <v>0</v>
      </c>
      <c r="W15" s="29">
        <v>0</v>
      </c>
      <c r="X15" s="29">
        <v>0</v>
      </c>
      <c r="Y15" s="29">
        <v>0</v>
      </c>
      <c r="Z15" s="29">
        <v>0</v>
      </c>
      <c r="AA15" s="29">
        <v>0</v>
      </c>
      <c r="AB15" s="29">
        <v>0</v>
      </c>
      <c r="AC15" s="29">
        <v>0</v>
      </c>
      <c r="AD15" s="29">
        <v>0</v>
      </c>
      <c r="AE15" s="29">
        <v>0</v>
      </c>
      <c r="AF15" s="29">
        <v>0</v>
      </c>
      <c r="AG15" s="29">
        <v>0</v>
      </c>
      <c r="AH15" s="29">
        <v>0</v>
      </c>
      <c r="AI15" s="29">
        <v>0</v>
      </c>
      <c r="AJ15" s="29">
        <v>0</v>
      </c>
      <c r="AK15" s="29">
        <v>0</v>
      </c>
      <c r="AL15" s="29">
        <v>0</v>
      </c>
      <c r="AM15" s="29">
        <v>0</v>
      </c>
      <c r="AN15" s="29">
        <v>0</v>
      </c>
      <c r="AO15" s="29">
        <v>0</v>
      </c>
      <c r="AP15" s="29">
        <v>0</v>
      </c>
    </row>
    <row r="16" spans="1:42" x14ac:dyDescent="0.25">
      <c r="A16" s="29">
        <v>1</v>
      </c>
      <c r="B16" s="29">
        <v>13808</v>
      </c>
      <c r="C16" s="29">
        <v>1</v>
      </c>
      <c r="D16" s="29" t="s">
        <v>487</v>
      </c>
      <c r="E16" s="29"/>
      <c r="F16" s="29">
        <v>0</v>
      </c>
      <c r="G16" s="29">
        <v>0</v>
      </c>
      <c r="H16" s="29">
        <v>0</v>
      </c>
      <c r="I16" s="29">
        <v>0</v>
      </c>
      <c r="J16" s="29">
        <v>0</v>
      </c>
      <c r="K16" s="29" t="s">
        <v>882</v>
      </c>
      <c r="L16" s="19" t="str">
        <f t="shared" si="0"/>
        <v>Рихтовка</v>
      </c>
      <c r="M16" s="12">
        <f t="shared" si="1"/>
        <v>0</v>
      </c>
      <c r="N16" s="12">
        <f t="shared" si="2"/>
        <v>0</v>
      </c>
      <c r="O16" s="12">
        <f t="shared" si="3"/>
        <v>0</v>
      </c>
      <c r="P16" s="12">
        <f t="shared" si="4"/>
        <v>0</v>
      </c>
      <c r="Q16" s="12">
        <f t="shared" si="5"/>
        <v>0</v>
      </c>
      <c r="R16" s="12">
        <f t="shared" si="6"/>
        <v>0</v>
      </c>
      <c r="S16" s="12">
        <f t="shared" si="7"/>
        <v>0</v>
      </c>
      <c r="T16" s="29">
        <v>0</v>
      </c>
      <c r="U16" s="29">
        <v>0</v>
      </c>
      <c r="V16" s="29">
        <v>0</v>
      </c>
      <c r="W16" s="29">
        <v>0</v>
      </c>
      <c r="X16" s="29">
        <v>0</v>
      </c>
      <c r="Y16" s="29">
        <v>0</v>
      </c>
      <c r="Z16" s="29">
        <v>0</v>
      </c>
      <c r="AA16" s="29">
        <v>0</v>
      </c>
      <c r="AB16" s="29">
        <v>0</v>
      </c>
      <c r="AC16" s="29">
        <v>0</v>
      </c>
      <c r="AD16" s="29">
        <v>0</v>
      </c>
      <c r="AE16" s="29">
        <v>0</v>
      </c>
      <c r="AF16" s="29">
        <v>0</v>
      </c>
      <c r="AG16" s="29">
        <v>0</v>
      </c>
      <c r="AH16" s="29">
        <v>0</v>
      </c>
      <c r="AI16" s="29">
        <v>0</v>
      </c>
      <c r="AJ16" s="29">
        <v>0</v>
      </c>
      <c r="AK16" s="29">
        <v>0</v>
      </c>
      <c r="AL16" s="29">
        <v>0</v>
      </c>
      <c r="AM16" s="29">
        <v>0</v>
      </c>
      <c r="AN16" s="29">
        <v>0</v>
      </c>
      <c r="AO16" s="29">
        <v>0</v>
      </c>
      <c r="AP16" s="29">
        <v>0</v>
      </c>
    </row>
    <row r="17" spans="1:42" x14ac:dyDescent="0.25">
      <c r="A17" s="29">
        <v>1</v>
      </c>
      <c r="B17" s="29">
        <v>13808</v>
      </c>
      <c r="C17" s="29">
        <v>1</v>
      </c>
      <c r="D17" s="29" t="s">
        <v>488</v>
      </c>
      <c r="E17" s="29"/>
      <c r="F17" s="29">
        <v>0</v>
      </c>
      <c r="G17" s="29">
        <v>0</v>
      </c>
      <c r="H17" s="29">
        <v>0</v>
      </c>
      <c r="I17" s="29">
        <v>0</v>
      </c>
      <c r="J17" s="29">
        <v>0</v>
      </c>
      <c r="K17" s="29" t="s">
        <v>882</v>
      </c>
      <c r="L17" s="19" t="str">
        <f t="shared" si="0"/>
        <v>Рихтовка</v>
      </c>
      <c r="M17" s="12">
        <f t="shared" si="1"/>
        <v>0</v>
      </c>
      <c r="N17" s="12">
        <f t="shared" si="2"/>
        <v>0</v>
      </c>
      <c r="O17" s="12">
        <f t="shared" si="3"/>
        <v>0</v>
      </c>
      <c r="P17" s="12">
        <f t="shared" si="4"/>
        <v>0</v>
      </c>
      <c r="Q17" s="12">
        <f t="shared" si="5"/>
        <v>0</v>
      </c>
      <c r="R17" s="12">
        <f t="shared" si="6"/>
        <v>0</v>
      </c>
      <c r="S17" s="12">
        <f t="shared" si="7"/>
        <v>0</v>
      </c>
      <c r="T17" s="29">
        <v>0</v>
      </c>
      <c r="U17" s="29">
        <v>0</v>
      </c>
      <c r="V17" s="29">
        <v>0</v>
      </c>
      <c r="W17" s="29">
        <v>0</v>
      </c>
      <c r="X17" s="29">
        <v>0</v>
      </c>
      <c r="Y17" s="29">
        <v>0</v>
      </c>
      <c r="Z17" s="29">
        <v>0</v>
      </c>
      <c r="AA17" s="29">
        <v>0</v>
      </c>
      <c r="AB17" s="29">
        <v>0</v>
      </c>
      <c r="AC17" s="29">
        <v>0</v>
      </c>
      <c r="AD17" s="29">
        <v>0</v>
      </c>
      <c r="AE17" s="29">
        <v>0</v>
      </c>
      <c r="AF17" s="29">
        <v>0</v>
      </c>
      <c r="AG17" s="29">
        <v>0</v>
      </c>
      <c r="AH17" s="29">
        <v>0</v>
      </c>
      <c r="AI17" s="29">
        <v>0</v>
      </c>
      <c r="AJ17" s="29">
        <v>0</v>
      </c>
      <c r="AK17" s="29">
        <v>0</v>
      </c>
      <c r="AL17" s="29">
        <v>0</v>
      </c>
      <c r="AM17" s="29">
        <v>0</v>
      </c>
      <c r="AN17" s="29">
        <v>0</v>
      </c>
      <c r="AO17" s="29">
        <v>0</v>
      </c>
      <c r="AP17" s="29">
        <v>0</v>
      </c>
    </row>
    <row r="18" spans="1:42" x14ac:dyDescent="0.25">
      <c r="A18" s="29">
        <v>1</v>
      </c>
      <c r="B18" s="29">
        <v>13808</v>
      </c>
      <c r="C18" s="29">
        <v>1</v>
      </c>
      <c r="D18" s="29" t="s">
        <v>489</v>
      </c>
      <c r="E18" s="29"/>
      <c r="F18" s="29">
        <v>0</v>
      </c>
      <c r="G18" s="29">
        <v>0</v>
      </c>
      <c r="H18" s="29">
        <v>0</v>
      </c>
      <c r="I18" s="29">
        <v>0</v>
      </c>
      <c r="J18" s="29">
        <v>0</v>
      </c>
      <c r="K18" s="29" t="s">
        <v>882</v>
      </c>
      <c r="L18" s="19" t="str">
        <f t="shared" si="0"/>
        <v>Рихтовка</v>
      </c>
      <c r="M18" s="12">
        <f t="shared" si="1"/>
        <v>0</v>
      </c>
      <c r="N18" s="12">
        <f t="shared" si="2"/>
        <v>0</v>
      </c>
      <c r="O18" s="12">
        <f t="shared" si="3"/>
        <v>0</v>
      </c>
      <c r="P18" s="12">
        <f t="shared" si="4"/>
        <v>0</v>
      </c>
      <c r="Q18" s="12">
        <f t="shared" si="5"/>
        <v>0</v>
      </c>
      <c r="R18" s="12">
        <f t="shared" si="6"/>
        <v>0</v>
      </c>
      <c r="S18" s="12">
        <f t="shared" si="7"/>
        <v>0</v>
      </c>
      <c r="T18" s="29">
        <v>0</v>
      </c>
      <c r="U18" s="29">
        <v>0</v>
      </c>
      <c r="V18" s="29">
        <v>0</v>
      </c>
      <c r="W18" s="29">
        <v>0</v>
      </c>
      <c r="X18" s="29">
        <v>0</v>
      </c>
      <c r="Y18" s="29">
        <v>0</v>
      </c>
      <c r="Z18" s="29">
        <v>0</v>
      </c>
      <c r="AA18" s="29">
        <v>0</v>
      </c>
      <c r="AB18" s="29">
        <v>0</v>
      </c>
      <c r="AC18" s="29">
        <v>0</v>
      </c>
      <c r="AD18" s="29">
        <v>0</v>
      </c>
      <c r="AE18" s="29">
        <v>0</v>
      </c>
      <c r="AF18" s="29">
        <v>0</v>
      </c>
      <c r="AG18" s="29">
        <v>0</v>
      </c>
      <c r="AH18" s="29">
        <v>0</v>
      </c>
      <c r="AI18" s="29">
        <v>0</v>
      </c>
      <c r="AJ18" s="29">
        <v>0</v>
      </c>
      <c r="AK18" s="29">
        <v>0</v>
      </c>
      <c r="AL18" s="29">
        <v>0</v>
      </c>
      <c r="AM18" s="29">
        <v>0</v>
      </c>
      <c r="AN18" s="29">
        <v>0</v>
      </c>
      <c r="AO18" s="29">
        <v>0</v>
      </c>
      <c r="AP18" s="29">
        <v>0</v>
      </c>
    </row>
    <row r="19" spans="1:42" x14ac:dyDescent="0.25">
      <c r="A19" s="29">
        <v>1</v>
      </c>
      <c r="B19" s="29">
        <v>13808</v>
      </c>
      <c r="C19" s="29">
        <v>2</v>
      </c>
      <c r="D19" s="29" t="s">
        <v>475</v>
      </c>
      <c r="E19" s="29"/>
      <c r="F19" s="29">
        <v>0</v>
      </c>
      <c r="G19" s="29">
        <v>0</v>
      </c>
      <c r="H19" s="29">
        <v>0</v>
      </c>
      <c r="I19" s="29">
        <v>0</v>
      </c>
      <c r="J19" s="29">
        <v>0</v>
      </c>
      <c r="K19" s="29" t="s">
        <v>882</v>
      </c>
      <c r="L19" s="19" t="str">
        <f t="shared" si="0"/>
        <v>Рихтовка</v>
      </c>
      <c r="M19" s="12">
        <f t="shared" si="1"/>
        <v>0</v>
      </c>
      <c r="N19" s="12">
        <f t="shared" si="2"/>
        <v>0</v>
      </c>
      <c r="O19" s="12">
        <f t="shared" si="3"/>
        <v>0</v>
      </c>
      <c r="P19" s="12">
        <f t="shared" si="4"/>
        <v>0</v>
      </c>
      <c r="Q19" s="12">
        <f t="shared" si="5"/>
        <v>0</v>
      </c>
      <c r="R19" s="12">
        <f t="shared" si="6"/>
        <v>0</v>
      </c>
      <c r="S19" s="12">
        <f t="shared" si="7"/>
        <v>0</v>
      </c>
      <c r="T19" s="29">
        <v>0</v>
      </c>
      <c r="U19" s="29">
        <v>0</v>
      </c>
      <c r="V19" s="29">
        <v>0</v>
      </c>
      <c r="W19" s="29">
        <v>0</v>
      </c>
      <c r="X19" s="29">
        <v>0</v>
      </c>
      <c r="Y19" s="29">
        <v>0</v>
      </c>
      <c r="Z19" s="29">
        <v>0</v>
      </c>
      <c r="AA19" s="29">
        <v>0</v>
      </c>
      <c r="AB19" s="29">
        <v>0</v>
      </c>
      <c r="AC19" s="29">
        <v>0</v>
      </c>
      <c r="AD19" s="29">
        <v>0</v>
      </c>
      <c r="AE19" s="29">
        <v>0</v>
      </c>
      <c r="AF19" s="29">
        <v>0</v>
      </c>
      <c r="AG19" s="29">
        <v>0</v>
      </c>
      <c r="AH19" s="29">
        <v>0</v>
      </c>
      <c r="AI19" s="29">
        <v>0</v>
      </c>
      <c r="AJ19" s="29">
        <v>0</v>
      </c>
      <c r="AK19" s="29">
        <v>0</v>
      </c>
      <c r="AL19" s="29">
        <v>0</v>
      </c>
      <c r="AM19" s="29">
        <v>0</v>
      </c>
      <c r="AN19" s="29">
        <v>0</v>
      </c>
      <c r="AO19" s="29">
        <v>0</v>
      </c>
      <c r="AP19" s="29">
        <v>0</v>
      </c>
    </row>
    <row r="20" spans="1:42" x14ac:dyDescent="0.25">
      <c r="A20" s="29">
        <v>1</v>
      </c>
      <c r="B20" s="29">
        <v>13808</v>
      </c>
      <c r="C20" s="29">
        <v>2</v>
      </c>
      <c r="D20" s="29" t="s">
        <v>476</v>
      </c>
      <c r="E20" s="29"/>
      <c r="F20" s="29">
        <v>0</v>
      </c>
      <c r="G20" s="29">
        <v>0</v>
      </c>
      <c r="H20" s="29">
        <v>0</v>
      </c>
      <c r="I20" s="29">
        <v>0</v>
      </c>
      <c r="J20" s="29">
        <v>0</v>
      </c>
      <c r="K20" s="29" t="s">
        <v>882</v>
      </c>
      <c r="L20" s="19" t="str">
        <f t="shared" si="0"/>
        <v>Рихтовка</v>
      </c>
      <c r="M20" s="12">
        <f t="shared" si="1"/>
        <v>0</v>
      </c>
      <c r="N20" s="12">
        <f t="shared" si="2"/>
        <v>0</v>
      </c>
      <c r="O20" s="12">
        <f t="shared" si="3"/>
        <v>0</v>
      </c>
      <c r="P20" s="12">
        <f t="shared" si="4"/>
        <v>0</v>
      </c>
      <c r="Q20" s="12">
        <f t="shared" si="5"/>
        <v>0</v>
      </c>
      <c r="R20" s="12">
        <f t="shared" si="6"/>
        <v>0</v>
      </c>
      <c r="S20" s="12">
        <f t="shared" si="7"/>
        <v>0</v>
      </c>
      <c r="T20" s="29">
        <v>0</v>
      </c>
      <c r="U20" s="29">
        <v>0</v>
      </c>
      <c r="V20" s="29">
        <v>0</v>
      </c>
      <c r="W20" s="29">
        <v>0</v>
      </c>
      <c r="X20" s="29">
        <v>0</v>
      </c>
      <c r="Y20" s="29">
        <v>0</v>
      </c>
      <c r="Z20" s="29">
        <v>0</v>
      </c>
      <c r="AA20" s="29">
        <v>0</v>
      </c>
      <c r="AB20" s="29">
        <v>0</v>
      </c>
      <c r="AC20" s="29">
        <v>0</v>
      </c>
      <c r="AD20" s="29">
        <v>0</v>
      </c>
      <c r="AE20" s="29">
        <v>0</v>
      </c>
      <c r="AF20" s="29">
        <v>0</v>
      </c>
      <c r="AG20" s="29">
        <v>0</v>
      </c>
      <c r="AH20" s="29">
        <v>0</v>
      </c>
      <c r="AI20" s="29">
        <v>0</v>
      </c>
      <c r="AJ20" s="29">
        <v>0</v>
      </c>
      <c r="AK20" s="29">
        <v>0</v>
      </c>
      <c r="AL20" s="29">
        <v>0</v>
      </c>
      <c r="AM20" s="29">
        <v>0</v>
      </c>
      <c r="AN20" s="29">
        <v>0</v>
      </c>
      <c r="AO20" s="29">
        <v>0</v>
      </c>
      <c r="AP20" s="29">
        <v>0</v>
      </c>
    </row>
    <row r="21" spans="1:42" x14ac:dyDescent="0.25">
      <c r="A21" s="29">
        <v>1</v>
      </c>
      <c r="B21" s="29">
        <v>13808</v>
      </c>
      <c r="C21" s="29">
        <v>2</v>
      </c>
      <c r="D21" s="29" t="s">
        <v>477</v>
      </c>
      <c r="E21" s="29"/>
      <c r="F21" s="29">
        <v>0</v>
      </c>
      <c r="G21" s="29">
        <v>0</v>
      </c>
      <c r="H21" s="29">
        <v>0</v>
      </c>
      <c r="I21" s="29">
        <v>0</v>
      </c>
      <c r="J21" s="29">
        <v>0</v>
      </c>
      <c r="K21" s="29" t="s">
        <v>882</v>
      </c>
      <c r="L21" s="19" t="str">
        <f t="shared" si="0"/>
        <v>Рихтовка</v>
      </c>
      <c r="M21" s="12">
        <f t="shared" si="1"/>
        <v>0</v>
      </c>
      <c r="N21" s="12">
        <f t="shared" si="2"/>
        <v>0</v>
      </c>
      <c r="O21" s="12">
        <f t="shared" si="3"/>
        <v>0</v>
      </c>
      <c r="P21" s="12">
        <f t="shared" si="4"/>
        <v>0</v>
      </c>
      <c r="Q21" s="12">
        <f t="shared" si="5"/>
        <v>0</v>
      </c>
      <c r="R21" s="12">
        <f t="shared" si="6"/>
        <v>0</v>
      </c>
      <c r="S21" s="12">
        <f t="shared" si="7"/>
        <v>0</v>
      </c>
      <c r="T21" s="29">
        <v>0</v>
      </c>
      <c r="U21" s="29">
        <v>0</v>
      </c>
      <c r="V21" s="29">
        <v>0</v>
      </c>
      <c r="W21" s="29">
        <v>0</v>
      </c>
      <c r="X21" s="29">
        <v>0</v>
      </c>
      <c r="Y21" s="29">
        <v>0</v>
      </c>
      <c r="Z21" s="29">
        <v>0</v>
      </c>
      <c r="AA21" s="29">
        <v>0</v>
      </c>
      <c r="AB21" s="29">
        <v>0</v>
      </c>
      <c r="AC21" s="29">
        <v>0</v>
      </c>
      <c r="AD21" s="29">
        <v>0</v>
      </c>
      <c r="AE21" s="29">
        <v>0</v>
      </c>
      <c r="AF21" s="29">
        <v>0</v>
      </c>
      <c r="AG21" s="29">
        <v>0</v>
      </c>
      <c r="AH21" s="29">
        <v>0</v>
      </c>
      <c r="AI21" s="29">
        <v>0</v>
      </c>
      <c r="AJ21" s="29">
        <v>0</v>
      </c>
      <c r="AK21" s="29">
        <v>0</v>
      </c>
      <c r="AL21" s="29">
        <v>0</v>
      </c>
      <c r="AM21" s="29">
        <v>0</v>
      </c>
      <c r="AN21" s="29">
        <v>0</v>
      </c>
      <c r="AO21" s="29">
        <v>0</v>
      </c>
      <c r="AP21" s="29">
        <v>0</v>
      </c>
    </row>
    <row r="22" spans="1:42" x14ac:dyDescent="0.25">
      <c r="A22" s="29">
        <v>1</v>
      </c>
      <c r="B22" s="29">
        <v>13808</v>
      </c>
      <c r="C22" s="29">
        <v>2</v>
      </c>
      <c r="D22" s="29" t="s">
        <v>478</v>
      </c>
      <c r="E22" s="29"/>
      <c r="F22" s="29">
        <v>0</v>
      </c>
      <c r="G22" s="29">
        <v>0</v>
      </c>
      <c r="H22" s="29">
        <v>0</v>
      </c>
      <c r="I22" s="29">
        <v>0</v>
      </c>
      <c r="J22" s="29">
        <v>0</v>
      </c>
      <c r="K22" s="29" t="s">
        <v>882</v>
      </c>
      <c r="L22" s="19" t="str">
        <f t="shared" si="0"/>
        <v>Рихтовка</v>
      </c>
      <c r="M22" s="12">
        <f t="shared" si="1"/>
        <v>0</v>
      </c>
      <c r="N22" s="12">
        <f t="shared" si="2"/>
        <v>0</v>
      </c>
      <c r="O22" s="12">
        <f t="shared" si="3"/>
        <v>0</v>
      </c>
      <c r="P22" s="12">
        <f t="shared" si="4"/>
        <v>0</v>
      </c>
      <c r="Q22" s="12">
        <f t="shared" si="5"/>
        <v>0</v>
      </c>
      <c r="R22" s="12">
        <f t="shared" si="6"/>
        <v>0</v>
      </c>
      <c r="S22" s="12">
        <f t="shared" si="7"/>
        <v>0</v>
      </c>
      <c r="T22" s="29">
        <v>0</v>
      </c>
      <c r="U22" s="29">
        <v>0</v>
      </c>
      <c r="V22" s="29">
        <v>0</v>
      </c>
      <c r="W22" s="29">
        <v>0</v>
      </c>
      <c r="X22" s="29">
        <v>0</v>
      </c>
      <c r="Y22" s="29">
        <v>0</v>
      </c>
      <c r="Z22" s="29">
        <v>0</v>
      </c>
      <c r="AA22" s="29">
        <v>0</v>
      </c>
      <c r="AB22" s="29">
        <v>0</v>
      </c>
      <c r="AC22" s="29">
        <v>0</v>
      </c>
      <c r="AD22" s="29">
        <v>0</v>
      </c>
      <c r="AE22" s="29">
        <v>0</v>
      </c>
      <c r="AF22" s="29">
        <v>0</v>
      </c>
      <c r="AG22" s="29">
        <v>0</v>
      </c>
      <c r="AH22" s="29">
        <v>0</v>
      </c>
      <c r="AI22" s="29">
        <v>0</v>
      </c>
      <c r="AJ22" s="29">
        <v>0</v>
      </c>
      <c r="AK22" s="29">
        <v>0</v>
      </c>
      <c r="AL22" s="29">
        <v>0</v>
      </c>
      <c r="AM22" s="29">
        <v>0</v>
      </c>
      <c r="AN22" s="29">
        <v>0</v>
      </c>
      <c r="AO22" s="29">
        <v>0</v>
      </c>
      <c r="AP22" s="29">
        <v>0</v>
      </c>
    </row>
    <row r="23" spans="1:42" x14ac:dyDescent="0.25">
      <c r="A23" s="29">
        <v>1</v>
      </c>
      <c r="B23" s="29">
        <v>13808</v>
      </c>
      <c r="C23" s="29">
        <v>2</v>
      </c>
      <c r="D23" s="29" t="s">
        <v>479</v>
      </c>
      <c r="E23" s="29"/>
      <c r="F23" s="29">
        <v>0</v>
      </c>
      <c r="G23" s="29">
        <v>0</v>
      </c>
      <c r="H23" s="29">
        <v>0</v>
      </c>
      <c r="I23" s="29">
        <v>0</v>
      </c>
      <c r="J23" s="29">
        <v>0</v>
      </c>
      <c r="K23" s="29" t="s">
        <v>882</v>
      </c>
      <c r="L23" s="19" t="str">
        <f t="shared" si="0"/>
        <v>Рихтовка</v>
      </c>
      <c r="M23" s="12">
        <f t="shared" si="1"/>
        <v>0</v>
      </c>
      <c r="N23" s="12">
        <f t="shared" si="2"/>
        <v>0</v>
      </c>
      <c r="O23" s="12">
        <f t="shared" si="3"/>
        <v>0</v>
      </c>
      <c r="P23" s="12">
        <f t="shared" si="4"/>
        <v>0</v>
      </c>
      <c r="Q23" s="12">
        <f t="shared" si="5"/>
        <v>0</v>
      </c>
      <c r="R23" s="12">
        <f t="shared" si="6"/>
        <v>0</v>
      </c>
      <c r="S23" s="12">
        <f t="shared" si="7"/>
        <v>0</v>
      </c>
      <c r="T23" s="29">
        <v>0</v>
      </c>
      <c r="U23" s="29">
        <v>0</v>
      </c>
      <c r="V23" s="29">
        <v>0</v>
      </c>
      <c r="W23" s="29">
        <v>0</v>
      </c>
      <c r="X23" s="29">
        <v>0</v>
      </c>
      <c r="Y23" s="29">
        <v>0</v>
      </c>
      <c r="Z23" s="29">
        <v>0</v>
      </c>
      <c r="AA23" s="29">
        <v>0</v>
      </c>
      <c r="AB23" s="29">
        <v>0</v>
      </c>
      <c r="AC23" s="29">
        <v>0</v>
      </c>
      <c r="AD23" s="29">
        <v>0</v>
      </c>
      <c r="AE23" s="29">
        <v>0</v>
      </c>
      <c r="AF23" s="29">
        <v>0</v>
      </c>
      <c r="AG23" s="29">
        <v>0</v>
      </c>
      <c r="AH23" s="29">
        <v>0</v>
      </c>
      <c r="AI23" s="29">
        <v>0</v>
      </c>
      <c r="AJ23" s="29">
        <v>0</v>
      </c>
      <c r="AK23" s="29">
        <v>0</v>
      </c>
      <c r="AL23" s="29">
        <v>0</v>
      </c>
      <c r="AM23" s="29">
        <v>0</v>
      </c>
      <c r="AN23" s="29">
        <v>0</v>
      </c>
      <c r="AO23" s="29">
        <v>0</v>
      </c>
      <c r="AP23" s="29">
        <v>0</v>
      </c>
    </row>
    <row r="24" spans="1:42" x14ac:dyDescent="0.25">
      <c r="A24" s="29">
        <v>1</v>
      </c>
      <c r="B24" s="29">
        <v>13808</v>
      </c>
      <c r="C24" s="29">
        <v>2</v>
      </c>
      <c r="D24" s="29" t="s">
        <v>480</v>
      </c>
      <c r="E24" s="29"/>
      <c r="F24" s="29">
        <v>0</v>
      </c>
      <c r="G24" s="29">
        <v>0</v>
      </c>
      <c r="H24" s="29">
        <v>0</v>
      </c>
      <c r="I24" s="29">
        <v>0</v>
      </c>
      <c r="J24" s="29">
        <v>0</v>
      </c>
      <c r="K24" s="29" t="s">
        <v>882</v>
      </c>
      <c r="L24" s="19" t="str">
        <f t="shared" si="0"/>
        <v>Рихтовка</v>
      </c>
      <c r="M24" s="12">
        <f t="shared" si="1"/>
        <v>0</v>
      </c>
      <c r="N24" s="12">
        <f t="shared" si="2"/>
        <v>0</v>
      </c>
      <c r="O24" s="12">
        <f t="shared" si="3"/>
        <v>0</v>
      </c>
      <c r="P24" s="12">
        <f t="shared" si="4"/>
        <v>0</v>
      </c>
      <c r="Q24" s="12">
        <f t="shared" si="5"/>
        <v>0</v>
      </c>
      <c r="R24" s="12">
        <f t="shared" si="6"/>
        <v>0</v>
      </c>
      <c r="S24" s="12">
        <f t="shared" si="7"/>
        <v>0</v>
      </c>
      <c r="T24" s="29">
        <v>0</v>
      </c>
      <c r="U24" s="29">
        <v>0</v>
      </c>
      <c r="V24" s="29">
        <v>0</v>
      </c>
      <c r="W24" s="29">
        <v>0</v>
      </c>
      <c r="X24" s="29">
        <v>0</v>
      </c>
      <c r="Y24" s="29">
        <v>0</v>
      </c>
      <c r="Z24" s="29">
        <v>0</v>
      </c>
      <c r="AA24" s="29">
        <v>0</v>
      </c>
      <c r="AB24" s="29">
        <v>0</v>
      </c>
      <c r="AC24" s="29">
        <v>0</v>
      </c>
      <c r="AD24" s="29">
        <v>0</v>
      </c>
      <c r="AE24" s="29">
        <v>0</v>
      </c>
      <c r="AF24" s="29">
        <v>0</v>
      </c>
      <c r="AG24" s="29">
        <v>0</v>
      </c>
      <c r="AH24" s="29">
        <v>0</v>
      </c>
      <c r="AI24" s="29">
        <v>0</v>
      </c>
      <c r="AJ24" s="29">
        <v>0</v>
      </c>
      <c r="AK24" s="29">
        <v>0</v>
      </c>
      <c r="AL24" s="29">
        <v>0</v>
      </c>
      <c r="AM24" s="29">
        <v>0</v>
      </c>
      <c r="AN24" s="29">
        <v>0</v>
      </c>
      <c r="AO24" s="29">
        <v>0</v>
      </c>
      <c r="AP24" s="29">
        <v>0</v>
      </c>
    </row>
    <row r="25" spans="1:42" x14ac:dyDescent="0.25">
      <c r="A25" s="29">
        <v>1</v>
      </c>
      <c r="B25" s="29">
        <v>13808</v>
      </c>
      <c r="C25" s="29">
        <v>2</v>
      </c>
      <c r="D25" s="29" t="s">
        <v>481</v>
      </c>
      <c r="E25" s="29"/>
      <c r="F25" s="29">
        <v>0</v>
      </c>
      <c r="G25" s="29">
        <v>0</v>
      </c>
      <c r="H25" s="29">
        <v>0</v>
      </c>
      <c r="I25" s="29">
        <v>0</v>
      </c>
      <c r="J25" s="29">
        <v>0</v>
      </c>
      <c r="K25" s="29" t="s">
        <v>882</v>
      </c>
      <c r="L25" s="19" t="str">
        <f t="shared" si="0"/>
        <v>Рихтовка</v>
      </c>
      <c r="M25" s="12">
        <f t="shared" si="1"/>
        <v>0</v>
      </c>
      <c r="N25" s="12">
        <f t="shared" si="2"/>
        <v>0</v>
      </c>
      <c r="O25" s="12">
        <f t="shared" si="3"/>
        <v>0</v>
      </c>
      <c r="P25" s="12">
        <f t="shared" si="4"/>
        <v>0</v>
      </c>
      <c r="Q25" s="12">
        <f t="shared" si="5"/>
        <v>0</v>
      </c>
      <c r="R25" s="12">
        <f t="shared" si="6"/>
        <v>0</v>
      </c>
      <c r="S25" s="12">
        <f t="shared" si="7"/>
        <v>0</v>
      </c>
      <c r="T25" s="29">
        <v>0</v>
      </c>
      <c r="U25" s="29">
        <v>0</v>
      </c>
      <c r="V25" s="29">
        <v>0</v>
      </c>
      <c r="W25" s="29">
        <v>0</v>
      </c>
      <c r="X25" s="29">
        <v>0</v>
      </c>
      <c r="Y25" s="29">
        <v>0</v>
      </c>
      <c r="Z25" s="29">
        <v>0</v>
      </c>
      <c r="AA25" s="29">
        <v>0</v>
      </c>
      <c r="AB25" s="29">
        <v>0</v>
      </c>
      <c r="AC25" s="29">
        <v>0</v>
      </c>
      <c r="AD25" s="29">
        <v>0</v>
      </c>
      <c r="AE25" s="29">
        <v>0</v>
      </c>
      <c r="AF25" s="29">
        <v>0</v>
      </c>
      <c r="AG25" s="29">
        <v>0</v>
      </c>
      <c r="AH25" s="29">
        <v>0</v>
      </c>
      <c r="AI25" s="29">
        <v>0</v>
      </c>
      <c r="AJ25" s="29">
        <v>0</v>
      </c>
      <c r="AK25" s="29">
        <v>0</v>
      </c>
      <c r="AL25" s="29">
        <v>0</v>
      </c>
      <c r="AM25" s="29">
        <v>0</v>
      </c>
      <c r="AN25" s="29">
        <v>0</v>
      </c>
      <c r="AO25" s="29">
        <v>0</v>
      </c>
      <c r="AP25" s="29">
        <v>0</v>
      </c>
    </row>
    <row r="26" spans="1:42" x14ac:dyDescent="0.25">
      <c r="A26" s="29">
        <v>1</v>
      </c>
      <c r="B26" s="29">
        <v>13808</v>
      </c>
      <c r="C26" s="29">
        <v>2</v>
      </c>
      <c r="D26" s="29" t="s">
        <v>482</v>
      </c>
      <c r="E26" s="29"/>
      <c r="F26" s="29">
        <v>0</v>
      </c>
      <c r="G26" s="29">
        <v>0</v>
      </c>
      <c r="H26" s="29">
        <v>0</v>
      </c>
      <c r="I26" s="29">
        <v>0</v>
      </c>
      <c r="J26" s="29">
        <v>0</v>
      </c>
      <c r="K26" s="29" t="s">
        <v>882</v>
      </c>
      <c r="L26" s="19" t="str">
        <f t="shared" si="0"/>
        <v>Рихтовка</v>
      </c>
      <c r="M26" s="12">
        <f t="shared" si="1"/>
        <v>0</v>
      </c>
      <c r="N26" s="12">
        <f t="shared" si="2"/>
        <v>0</v>
      </c>
      <c r="O26" s="12">
        <f t="shared" si="3"/>
        <v>0</v>
      </c>
      <c r="P26" s="12">
        <f t="shared" si="4"/>
        <v>0</v>
      </c>
      <c r="Q26" s="12">
        <f t="shared" si="5"/>
        <v>0</v>
      </c>
      <c r="R26" s="12">
        <f t="shared" si="6"/>
        <v>0</v>
      </c>
      <c r="S26" s="12">
        <f t="shared" si="7"/>
        <v>0</v>
      </c>
      <c r="T26" s="29">
        <v>0</v>
      </c>
      <c r="U26" s="29">
        <v>0</v>
      </c>
      <c r="V26" s="29">
        <v>0</v>
      </c>
      <c r="W26" s="29">
        <v>0</v>
      </c>
      <c r="X26" s="29">
        <v>0</v>
      </c>
      <c r="Y26" s="29">
        <v>0</v>
      </c>
      <c r="Z26" s="29">
        <v>0</v>
      </c>
      <c r="AA26" s="29">
        <v>0</v>
      </c>
      <c r="AB26" s="29">
        <v>0</v>
      </c>
      <c r="AC26" s="29">
        <v>0</v>
      </c>
      <c r="AD26" s="29">
        <v>0</v>
      </c>
      <c r="AE26" s="29">
        <v>0</v>
      </c>
      <c r="AF26" s="29">
        <v>0</v>
      </c>
      <c r="AG26" s="29">
        <v>0</v>
      </c>
      <c r="AH26" s="29">
        <v>0</v>
      </c>
      <c r="AI26" s="29">
        <v>0</v>
      </c>
      <c r="AJ26" s="29">
        <v>0</v>
      </c>
      <c r="AK26" s="29">
        <v>0</v>
      </c>
      <c r="AL26" s="29">
        <v>0</v>
      </c>
      <c r="AM26" s="29">
        <v>0</v>
      </c>
      <c r="AN26" s="29">
        <v>0</v>
      </c>
      <c r="AO26" s="29">
        <v>0</v>
      </c>
      <c r="AP26" s="29">
        <v>0</v>
      </c>
    </row>
    <row r="27" spans="1:42" x14ac:dyDescent="0.25">
      <c r="A27" s="29">
        <v>1</v>
      </c>
      <c r="B27" s="29">
        <v>13808</v>
      </c>
      <c r="C27" s="29">
        <v>2</v>
      </c>
      <c r="D27" s="29" t="s">
        <v>483</v>
      </c>
      <c r="E27" s="29"/>
      <c r="F27" s="29">
        <v>0</v>
      </c>
      <c r="G27" s="29">
        <v>0</v>
      </c>
      <c r="H27" s="29">
        <v>0</v>
      </c>
      <c r="I27" s="29">
        <v>0</v>
      </c>
      <c r="J27" s="29">
        <v>0</v>
      </c>
      <c r="K27" s="29" t="s">
        <v>882</v>
      </c>
      <c r="L27" s="19" t="str">
        <f t="shared" si="0"/>
        <v>Рихтовка</v>
      </c>
      <c r="M27" s="12">
        <f t="shared" si="1"/>
        <v>0</v>
      </c>
      <c r="N27" s="12">
        <f t="shared" si="2"/>
        <v>0</v>
      </c>
      <c r="O27" s="12">
        <f t="shared" si="3"/>
        <v>0</v>
      </c>
      <c r="P27" s="12">
        <f t="shared" si="4"/>
        <v>0</v>
      </c>
      <c r="Q27" s="12">
        <f t="shared" si="5"/>
        <v>0</v>
      </c>
      <c r="R27" s="12">
        <f t="shared" si="6"/>
        <v>0</v>
      </c>
      <c r="S27" s="12">
        <f t="shared" si="7"/>
        <v>0</v>
      </c>
      <c r="T27" s="29">
        <v>0</v>
      </c>
      <c r="U27" s="29">
        <v>0</v>
      </c>
      <c r="V27" s="29">
        <v>0</v>
      </c>
      <c r="W27" s="29">
        <v>0</v>
      </c>
      <c r="X27" s="29">
        <v>0</v>
      </c>
      <c r="Y27" s="29">
        <v>0</v>
      </c>
      <c r="Z27" s="29">
        <v>0</v>
      </c>
      <c r="AA27" s="29">
        <v>0</v>
      </c>
      <c r="AB27" s="29">
        <v>0</v>
      </c>
      <c r="AC27" s="29">
        <v>0</v>
      </c>
      <c r="AD27" s="29">
        <v>0</v>
      </c>
      <c r="AE27" s="29">
        <v>0</v>
      </c>
      <c r="AF27" s="29">
        <v>0</v>
      </c>
      <c r="AG27" s="29">
        <v>0</v>
      </c>
      <c r="AH27" s="29">
        <v>0</v>
      </c>
      <c r="AI27" s="29">
        <v>0</v>
      </c>
      <c r="AJ27" s="29">
        <v>0</v>
      </c>
      <c r="AK27" s="29">
        <v>0</v>
      </c>
      <c r="AL27" s="29">
        <v>0</v>
      </c>
      <c r="AM27" s="29">
        <v>0</v>
      </c>
      <c r="AN27" s="29">
        <v>0</v>
      </c>
      <c r="AO27" s="29">
        <v>0</v>
      </c>
      <c r="AP27" s="29">
        <v>0</v>
      </c>
    </row>
    <row r="28" spans="1:42" x14ac:dyDescent="0.25">
      <c r="A28" s="29">
        <v>1</v>
      </c>
      <c r="B28" s="29">
        <v>13808</v>
      </c>
      <c r="C28" s="29">
        <v>2</v>
      </c>
      <c r="D28" s="29" t="s">
        <v>484</v>
      </c>
      <c r="E28" s="29"/>
      <c r="F28" s="29">
        <v>0</v>
      </c>
      <c r="G28" s="29">
        <v>0</v>
      </c>
      <c r="H28" s="29">
        <v>0</v>
      </c>
      <c r="I28" s="29">
        <v>0</v>
      </c>
      <c r="J28" s="29">
        <v>0</v>
      </c>
      <c r="K28" s="29" t="s">
        <v>882</v>
      </c>
      <c r="L28" s="19" t="str">
        <f t="shared" si="0"/>
        <v>Рихтовка</v>
      </c>
      <c r="M28" s="12">
        <f t="shared" si="1"/>
        <v>0</v>
      </c>
      <c r="N28" s="12">
        <f t="shared" si="2"/>
        <v>0</v>
      </c>
      <c r="O28" s="12">
        <f t="shared" si="3"/>
        <v>0</v>
      </c>
      <c r="P28" s="12">
        <f t="shared" si="4"/>
        <v>0</v>
      </c>
      <c r="Q28" s="12">
        <f t="shared" si="5"/>
        <v>0</v>
      </c>
      <c r="R28" s="12">
        <f t="shared" si="6"/>
        <v>0</v>
      </c>
      <c r="S28" s="12">
        <f t="shared" si="7"/>
        <v>0</v>
      </c>
      <c r="T28" s="29">
        <v>0</v>
      </c>
      <c r="U28" s="29">
        <v>0</v>
      </c>
      <c r="V28" s="29">
        <v>0</v>
      </c>
      <c r="W28" s="29">
        <v>0</v>
      </c>
      <c r="X28" s="29">
        <v>0</v>
      </c>
      <c r="Y28" s="29">
        <v>0</v>
      </c>
      <c r="Z28" s="29">
        <v>0</v>
      </c>
      <c r="AA28" s="29">
        <v>0</v>
      </c>
      <c r="AB28" s="29">
        <v>0</v>
      </c>
      <c r="AC28" s="29">
        <v>0</v>
      </c>
      <c r="AD28" s="29">
        <v>0</v>
      </c>
      <c r="AE28" s="29">
        <v>0</v>
      </c>
      <c r="AF28" s="29">
        <v>0</v>
      </c>
      <c r="AG28" s="29">
        <v>0</v>
      </c>
      <c r="AH28" s="29">
        <v>0</v>
      </c>
      <c r="AI28" s="29">
        <v>0</v>
      </c>
      <c r="AJ28" s="29">
        <v>0</v>
      </c>
      <c r="AK28" s="29">
        <v>0</v>
      </c>
      <c r="AL28" s="29">
        <v>0</v>
      </c>
      <c r="AM28" s="29">
        <v>0</v>
      </c>
      <c r="AN28" s="29">
        <v>0</v>
      </c>
      <c r="AO28" s="29">
        <v>0</v>
      </c>
      <c r="AP28" s="29">
        <v>0</v>
      </c>
    </row>
    <row r="29" spans="1:42" x14ac:dyDescent="0.25">
      <c r="A29" s="29">
        <v>1</v>
      </c>
      <c r="B29" s="29">
        <v>13808</v>
      </c>
      <c r="C29" s="29">
        <v>2</v>
      </c>
      <c r="D29" s="29" t="s">
        <v>486</v>
      </c>
      <c r="E29" s="29"/>
      <c r="F29" s="29">
        <v>0</v>
      </c>
      <c r="G29" s="29">
        <v>0</v>
      </c>
      <c r="H29" s="29">
        <v>0</v>
      </c>
      <c r="I29" s="29">
        <v>0</v>
      </c>
      <c r="J29" s="29">
        <v>0</v>
      </c>
      <c r="K29" s="29" t="s">
        <v>882</v>
      </c>
      <c r="L29" s="19" t="str">
        <f t="shared" si="0"/>
        <v>Рихтовка</v>
      </c>
      <c r="M29" s="12">
        <f t="shared" si="1"/>
        <v>0</v>
      </c>
      <c r="N29" s="12">
        <f t="shared" si="2"/>
        <v>0</v>
      </c>
      <c r="O29" s="12">
        <f t="shared" si="3"/>
        <v>0</v>
      </c>
      <c r="P29" s="12">
        <f t="shared" si="4"/>
        <v>0</v>
      </c>
      <c r="Q29" s="12">
        <f t="shared" si="5"/>
        <v>0</v>
      </c>
      <c r="R29" s="12">
        <f t="shared" si="6"/>
        <v>0</v>
      </c>
      <c r="S29" s="12">
        <f t="shared" si="7"/>
        <v>0</v>
      </c>
      <c r="T29" s="29">
        <v>0</v>
      </c>
      <c r="U29" s="29">
        <v>0</v>
      </c>
      <c r="V29" s="29">
        <v>0</v>
      </c>
      <c r="W29" s="29">
        <v>0</v>
      </c>
      <c r="X29" s="29">
        <v>0</v>
      </c>
      <c r="Y29" s="29">
        <v>0</v>
      </c>
      <c r="Z29" s="29">
        <v>0</v>
      </c>
      <c r="AA29" s="29">
        <v>0</v>
      </c>
      <c r="AB29" s="29">
        <v>0</v>
      </c>
      <c r="AC29" s="29">
        <v>0</v>
      </c>
      <c r="AD29" s="29">
        <v>0</v>
      </c>
      <c r="AE29" s="29">
        <v>0</v>
      </c>
      <c r="AF29" s="29">
        <v>0</v>
      </c>
      <c r="AG29" s="29">
        <v>0</v>
      </c>
      <c r="AH29" s="29">
        <v>0</v>
      </c>
      <c r="AI29" s="29">
        <v>0</v>
      </c>
      <c r="AJ29" s="29">
        <v>0</v>
      </c>
      <c r="AK29" s="29">
        <v>0</v>
      </c>
      <c r="AL29" s="29">
        <v>0</v>
      </c>
      <c r="AM29" s="29">
        <v>0</v>
      </c>
      <c r="AN29" s="29">
        <v>0</v>
      </c>
      <c r="AO29" s="29">
        <v>0</v>
      </c>
      <c r="AP29" s="29">
        <v>0</v>
      </c>
    </row>
    <row r="30" spans="1:42" x14ac:dyDescent="0.25">
      <c r="A30" s="29">
        <v>1</v>
      </c>
      <c r="B30" s="29">
        <v>13808</v>
      </c>
      <c r="C30" s="29">
        <v>2</v>
      </c>
      <c r="D30" s="29" t="s">
        <v>487</v>
      </c>
      <c r="E30" s="29"/>
      <c r="F30" s="29">
        <v>0</v>
      </c>
      <c r="G30" s="29">
        <v>0</v>
      </c>
      <c r="H30" s="29">
        <v>0</v>
      </c>
      <c r="I30" s="29">
        <v>0</v>
      </c>
      <c r="J30" s="29">
        <v>0</v>
      </c>
      <c r="K30" s="29" t="s">
        <v>882</v>
      </c>
      <c r="L30" s="19" t="str">
        <f t="shared" si="0"/>
        <v>Рихтовка</v>
      </c>
      <c r="M30" s="12">
        <f t="shared" si="1"/>
        <v>0</v>
      </c>
      <c r="N30" s="12">
        <f t="shared" si="2"/>
        <v>0</v>
      </c>
      <c r="O30" s="12">
        <f t="shared" si="3"/>
        <v>0</v>
      </c>
      <c r="P30" s="12">
        <f t="shared" si="4"/>
        <v>0</v>
      </c>
      <c r="Q30" s="12">
        <f t="shared" si="5"/>
        <v>0</v>
      </c>
      <c r="R30" s="12">
        <f t="shared" si="6"/>
        <v>0</v>
      </c>
      <c r="S30" s="12">
        <f t="shared" si="7"/>
        <v>0</v>
      </c>
      <c r="T30" s="29">
        <v>0</v>
      </c>
      <c r="U30" s="29">
        <v>0</v>
      </c>
      <c r="V30" s="29">
        <v>0</v>
      </c>
      <c r="W30" s="29">
        <v>0</v>
      </c>
      <c r="X30" s="29">
        <v>0</v>
      </c>
      <c r="Y30" s="29">
        <v>0</v>
      </c>
      <c r="Z30" s="29">
        <v>0</v>
      </c>
      <c r="AA30" s="29">
        <v>0</v>
      </c>
      <c r="AB30" s="29">
        <v>0</v>
      </c>
      <c r="AC30" s="29">
        <v>0</v>
      </c>
      <c r="AD30" s="29">
        <v>0</v>
      </c>
      <c r="AE30" s="29">
        <v>0</v>
      </c>
      <c r="AF30" s="29">
        <v>0</v>
      </c>
      <c r="AG30" s="29">
        <v>0</v>
      </c>
      <c r="AH30" s="29">
        <v>0</v>
      </c>
      <c r="AI30" s="29">
        <v>0</v>
      </c>
      <c r="AJ30" s="29">
        <v>0</v>
      </c>
      <c r="AK30" s="29">
        <v>0</v>
      </c>
      <c r="AL30" s="29">
        <v>0</v>
      </c>
      <c r="AM30" s="29">
        <v>0</v>
      </c>
      <c r="AN30" s="29">
        <v>0</v>
      </c>
      <c r="AO30" s="29">
        <v>0</v>
      </c>
      <c r="AP30" s="29">
        <v>0</v>
      </c>
    </row>
    <row r="31" spans="1:42" x14ac:dyDescent="0.25">
      <c r="A31" s="29">
        <v>1</v>
      </c>
      <c r="B31" s="29">
        <v>13808</v>
      </c>
      <c r="C31" s="29">
        <v>2</v>
      </c>
      <c r="D31" s="29" t="s">
        <v>488</v>
      </c>
      <c r="E31" s="29"/>
      <c r="F31" s="29">
        <v>0</v>
      </c>
      <c r="G31" s="29">
        <v>0</v>
      </c>
      <c r="H31" s="29">
        <v>0</v>
      </c>
      <c r="I31" s="29">
        <v>0</v>
      </c>
      <c r="J31" s="29">
        <v>0</v>
      </c>
      <c r="K31" s="29" t="s">
        <v>882</v>
      </c>
      <c r="L31" s="19" t="str">
        <f t="shared" si="0"/>
        <v>Рихтовка</v>
      </c>
      <c r="M31" s="12">
        <f t="shared" si="1"/>
        <v>0</v>
      </c>
      <c r="N31" s="12">
        <f t="shared" si="2"/>
        <v>0</v>
      </c>
      <c r="O31" s="12">
        <f t="shared" si="3"/>
        <v>0</v>
      </c>
      <c r="P31" s="12">
        <f t="shared" si="4"/>
        <v>0</v>
      </c>
      <c r="Q31" s="12">
        <f t="shared" si="5"/>
        <v>0</v>
      </c>
      <c r="R31" s="12">
        <f t="shared" si="6"/>
        <v>0</v>
      </c>
      <c r="S31" s="12">
        <f t="shared" si="7"/>
        <v>0</v>
      </c>
      <c r="T31" s="29">
        <v>0</v>
      </c>
      <c r="U31" s="29">
        <v>0</v>
      </c>
      <c r="V31" s="29">
        <v>0</v>
      </c>
      <c r="W31" s="29">
        <v>0</v>
      </c>
      <c r="X31" s="29">
        <v>0</v>
      </c>
      <c r="Y31" s="29">
        <v>0</v>
      </c>
      <c r="Z31" s="29">
        <v>0</v>
      </c>
      <c r="AA31" s="29">
        <v>0</v>
      </c>
      <c r="AB31" s="29">
        <v>0</v>
      </c>
      <c r="AC31" s="29">
        <v>0</v>
      </c>
      <c r="AD31" s="29">
        <v>0</v>
      </c>
      <c r="AE31" s="29">
        <v>0</v>
      </c>
      <c r="AF31" s="29">
        <v>0</v>
      </c>
      <c r="AG31" s="29">
        <v>0</v>
      </c>
      <c r="AH31" s="29">
        <v>0</v>
      </c>
      <c r="AI31" s="29">
        <v>0</v>
      </c>
      <c r="AJ31" s="29">
        <v>0</v>
      </c>
      <c r="AK31" s="29">
        <v>0</v>
      </c>
      <c r="AL31" s="29">
        <v>0</v>
      </c>
      <c r="AM31" s="29">
        <v>0</v>
      </c>
      <c r="AN31" s="29">
        <v>0</v>
      </c>
      <c r="AO31" s="29">
        <v>0</v>
      </c>
      <c r="AP31" s="29">
        <v>0</v>
      </c>
    </row>
    <row r="32" spans="1:42" x14ac:dyDescent="0.25">
      <c r="A32" s="29">
        <v>1</v>
      </c>
      <c r="B32" s="29">
        <v>13808</v>
      </c>
      <c r="C32" s="29">
        <v>2</v>
      </c>
      <c r="D32" s="29" t="s">
        <v>489</v>
      </c>
      <c r="E32" s="29"/>
      <c r="F32" s="29">
        <v>0</v>
      </c>
      <c r="G32" s="29">
        <v>0</v>
      </c>
      <c r="H32" s="29">
        <v>0</v>
      </c>
      <c r="I32" s="29">
        <v>0</v>
      </c>
      <c r="J32" s="29">
        <v>0</v>
      </c>
      <c r="K32" s="29" t="s">
        <v>882</v>
      </c>
      <c r="L32" s="19" t="str">
        <f t="shared" si="0"/>
        <v>Рихтовка</v>
      </c>
      <c r="M32" s="12">
        <f t="shared" si="1"/>
        <v>0</v>
      </c>
      <c r="N32" s="12">
        <f t="shared" si="2"/>
        <v>0</v>
      </c>
      <c r="O32" s="12">
        <f t="shared" si="3"/>
        <v>0</v>
      </c>
      <c r="P32" s="12">
        <f t="shared" si="4"/>
        <v>0</v>
      </c>
      <c r="Q32" s="12">
        <f t="shared" si="5"/>
        <v>0</v>
      </c>
      <c r="R32" s="12">
        <f t="shared" si="6"/>
        <v>0</v>
      </c>
      <c r="S32" s="12">
        <f t="shared" si="7"/>
        <v>0</v>
      </c>
      <c r="T32" s="29">
        <v>0</v>
      </c>
      <c r="U32" s="29">
        <v>0</v>
      </c>
      <c r="V32" s="29">
        <v>0</v>
      </c>
      <c r="W32" s="29">
        <v>0</v>
      </c>
      <c r="X32" s="29">
        <v>0</v>
      </c>
      <c r="Y32" s="29">
        <v>0</v>
      </c>
      <c r="Z32" s="29">
        <v>0</v>
      </c>
      <c r="AA32" s="29">
        <v>0</v>
      </c>
      <c r="AB32" s="29">
        <v>0</v>
      </c>
      <c r="AC32" s="29">
        <v>0</v>
      </c>
      <c r="AD32" s="29">
        <v>0</v>
      </c>
      <c r="AE32" s="29">
        <v>0</v>
      </c>
      <c r="AF32" s="29">
        <v>0</v>
      </c>
      <c r="AG32" s="29">
        <v>0</v>
      </c>
      <c r="AH32" s="29">
        <v>0</v>
      </c>
      <c r="AI32" s="29">
        <v>0</v>
      </c>
      <c r="AJ32" s="29">
        <v>0</v>
      </c>
      <c r="AK32" s="29">
        <v>0</v>
      </c>
      <c r="AL32" s="29">
        <v>0</v>
      </c>
      <c r="AM32" s="29">
        <v>0</v>
      </c>
      <c r="AN32" s="29">
        <v>0</v>
      </c>
      <c r="AO32" s="29">
        <v>0</v>
      </c>
      <c r="AP32" s="29">
        <v>0</v>
      </c>
    </row>
    <row r="33" spans="1:42" x14ac:dyDescent="0.25">
      <c r="A33" s="29">
        <v>2</v>
      </c>
      <c r="B33" s="29">
        <v>13808</v>
      </c>
      <c r="C33" s="29">
        <v>1</v>
      </c>
      <c r="D33" s="29" t="s">
        <v>489</v>
      </c>
      <c r="E33" s="29"/>
      <c r="F33" s="29">
        <v>0</v>
      </c>
      <c r="G33" s="29">
        <v>0</v>
      </c>
      <c r="H33" s="29">
        <v>0</v>
      </c>
      <c r="I33" s="29">
        <v>0</v>
      </c>
      <c r="J33" s="29">
        <v>0</v>
      </c>
      <c r="K33" s="29" t="s">
        <v>882</v>
      </c>
      <c r="L33" s="19" t="str">
        <f t="shared" si="0"/>
        <v>Рихтовка</v>
      </c>
      <c r="M33" s="12">
        <f t="shared" si="1"/>
        <v>0</v>
      </c>
      <c r="N33" s="12">
        <f t="shared" si="2"/>
        <v>0</v>
      </c>
      <c r="O33" s="12">
        <f t="shared" si="3"/>
        <v>0</v>
      </c>
      <c r="P33" s="12">
        <f t="shared" si="4"/>
        <v>0</v>
      </c>
      <c r="Q33" s="12">
        <f t="shared" si="5"/>
        <v>0</v>
      </c>
      <c r="R33" s="12">
        <f t="shared" si="6"/>
        <v>0</v>
      </c>
      <c r="S33" s="12">
        <f t="shared" si="7"/>
        <v>0</v>
      </c>
      <c r="T33" s="29">
        <v>0</v>
      </c>
      <c r="U33" s="29">
        <v>0</v>
      </c>
      <c r="V33" s="29">
        <v>0</v>
      </c>
      <c r="W33" s="29">
        <v>0</v>
      </c>
      <c r="X33" s="29">
        <v>0</v>
      </c>
      <c r="Y33" s="29">
        <v>0</v>
      </c>
      <c r="Z33" s="29">
        <v>0</v>
      </c>
      <c r="AA33" s="29">
        <v>0</v>
      </c>
      <c r="AB33" s="29">
        <v>0</v>
      </c>
      <c r="AC33" s="29">
        <v>0</v>
      </c>
      <c r="AD33" s="29">
        <v>0</v>
      </c>
      <c r="AE33" s="29">
        <v>0</v>
      </c>
      <c r="AF33" s="29">
        <v>0</v>
      </c>
      <c r="AG33" s="29">
        <v>0</v>
      </c>
      <c r="AH33" s="29">
        <v>0</v>
      </c>
      <c r="AI33" s="29">
        <v>0</v>
      </c>
      <c r="AJ33" s="29">
        <v>0</v>
      </c>
      <c r="AK33" s="29">
        <v>0</v>
      </c>
      <c r="AL33" s="29">
        <v>0</v>
      </c>
      <c r="AM33" s="29">
        <v>0</v>
      </c>
      <c r="AN33" s="29">
        <v>0</v>
      </c>
      <c r="AO33" s="29">
        <v>0</v>
      </c>
      <c r="AP33" s="29">
        <v>0</v>
      </c>
    </row>
    <row r="34" spans="1:42" x14ac:dyDescent="0.25">
      <c r="A34" s="29">
        <v>2</v>
      </c>
      <c r="B34" s="29">
        <v>13808</v>
      </c>
      <c r="C34" s="29">
        <v>1</v>
      </c>
      <c r="D34" s="29" t="s">
        <v>490</v>
      </c>
      <c r="E34" s="29"/>
      <c r="F34" s="29">
        <v>0</v>
      </c>
      <c r="G34" s="29">
        <v>0</v>
      </c>
      <c r="H34" s="29">
        <v>0</v>
      </c>
      <c r="I34" s="29">
        <v>0</v>
      </c>
      <c r="J34" s="29">
        <v>0</v>
      </c>
      <c r="K34" s="29" t="s">
        <v>882</v>
      </c>
      <c r="L34" s="19" t="str">
        <f t="shared" si="0"/>
        <v>Рихтовка</v>
      </c>
      <c r="M34" s="12">
        <f t="shared" si="1"/>
        <v>0</v>
      </c>
      <c r="N34" s="12">
        <f t="shared" si="2"/>
        <v>0</v>
      </c>
      <c r="O34" s="12">
        <f t="shared" si="3"/>
        <v>0</v>
      </c>
      <c r="P34" s="12">
        <f t="shared" si="4"/>
        <v>0</v>
      </c>
      <c r="Q34" s="12">
        <f t="shared" si="5"/>
        <v>0</v>
      </c>
      <c r="R34" s="12">
        <f t="shared" si="6"/>
        <v>0</v>
      </c>
      <c r="S34" s="12">
        <f t="shared" si="7"/>
        <v>0</v>
      </c>
      <c r="T34" s="29">
        <v>0</v>
      </c>
      <c r="U34" s="29">
        <v>0</v>
      </c>
      <c r="V34" s="29">
        <v>0</v>
      </c>
      <c r="W34" s="29">
        <v>0</v>
      </c>
      <c r="X34" s="29">
        <v>0</v>
      </c>
      <c r="Y34" s="29">
        <v>0</v>
      </c>
      <c r="Z34" s="29">
        <v>0</v>
      </c>
      <c r="AA34" s="29">
        <v>0</v>
      </c>
      <c r="AB34" s="29">
        <v>0</v>
      </c>
      <c r="AC34" s="29">
        <v>0</v>
      </c>
      <c r="AD34" s="29">
        <v>0</v>
      </c>
      <c r="AE34" s="29">
        <v>0</v>
      </c>
      <c r="AF34" s="29">
        <v>0</v>
      </c>
      <c r="AG34" s="29">
        <v>0</v>
      </c>
      <c r="AH34" s="29">
        <v>0</v>
      </c>
      <c r="AI34" s="29">
        <v>0</v>
      </c>
      <c r="AJ34" s="29">
        <v>0</v>
      </c>
      <c r="AK34" s="29">
        <v>0</v>
      </c>
      <c r="AL34" s="29">
        <v>0</v>
      </c>
      <c r="AM34" s="29">
        <v>0</v>
      </c>
      <c r="AN34" s="29">
        <v>0</v>
      </c>
      <c r="AO34" s="29">
        <v>0</v>
      </c>
      <c r="AP34" s="29">
        <v>0</v>
      </c>
    </row>
    <row r="35" spans="1:42" x14ac:dyDescent="0.25">
      <c r="A35" s="29">
        <v>2</v>
      </c>
      <c r="B35" s="29">
        <v>13808</v>
      </c>
      <c r="C35" s="29">
        <v>1</v>
      </c>
      <c r="D35" s="29" t="s">
        <v>491</v>
      </c>
      <c r="E35" s="29"/>
      <c r="F35" s="29">
        <v>0</v>
      </c>
      <c r="G35" s="29">
        <v>0</v>
      </c>
      <c r="H35" s="29">
        <v>0</v>
      </c>
      <c r="I35" s="29">
        <v>0</v>
      </c>
      <c r="J35" s="29">
        <v>0</v>
      </c>
      <c r="K35" s="29" t="s">
        <v>882</v>
      </c>
      <c r="L35" s="19" t="str">
        <f t="shared" si="0"/>
        <v>Рихтовка</v>
      </c>
      <c r="M35" s="12">
        <f t="shared" si="1"/>
        <v>0</v>
      </c>
      <c r="N35" s="12">
        <f t="shared" si="2"/>
        <v>0</v>
      </c>
      <c r="O35" s="12">
        <f t="shared" si="3"/>
        <v>0</v>
      </c>
      <c r="P35" s="12">
        <f t="shared" si="4"/>
        <v>0</v>
      </c>
      <c r="Q35" s="12">
        <f t="shared" si="5"/>
        <v>0</v>
      </c>
      <c r="R35" s="12">
        <f t="shared" si="6"/>
        <v>0</v>
      </c>
      <c r="S35" s="12">
        <f t="shared" si="7"/>
        <v>0</v>
      </c>
      <c r="T35" s="29">
        <v>0</v>
      </c>
      <c r="U35" s="29">
        <v>0</v>
      </c>
      <c r="V35" s="29">
        <v>0</v>
      </c>
      <c r="W35" s="29">
        <v>0</v>
      </c>
      <c r="X35" s="29">
        <v>0</v>
      </c>
      <c r="Y35" s="29">
        <v>0</v>
      </c>
      <c r="Z35" s="29">
        <v>0</v>
      </c>
      <c r="AA35" s="29">
        <v>0</v>
      </c>
      <c r="AB35" s="29">
        <v>0</v>
      </c>
      <c r="AC35" s="29">
        <v>0</v>
      </c>
      <c r="AD35" s="29">
        <v>0</v>
      </c>
      <c r="AE35" s="29">
        <v>0</v>
      </c>
      <c r="AF35" s="29">
        <v>0</v>
      </c>
      <c r="AG35" s="29">
        <v>0</v>
      </c>
      <c r="AH35" s="29">
        <v>0</v>
      </c>
      <c r="AI35" s="29">
        <v>0</v>
      </c>
      <c r="AJ35" s="29">
        <v>0</v>
      </c>
      <c r="AK35" s="29">
        <v>0</v>
      </c>
      <c r="AL35" s="29">
        <v>0</v>
      </c>
      <c r="AM35" s="29">
        <v>0</v>
      </c>
      <c r="AN35" s="29">
        <v>0</v>
      </c>
      <c r="AO35" s="29">
        <v>0</v>
      </c>
      <c r="AP35" s="29">
        <v>0</v>
      </c>
    </row>
    <row r="36" spans="1:42" x14ac:dyDescent="0.25">
      <c r="A36" s="29">
        <v>2</v>
      </c>
      <c r="B36" s="29">
        <v>13808</v>
      </c>
      <c r="C36" s="29">
        <v>1</v>
      </c>
      <c r="D36" s="29" t="s">
        <v>492</v>
      </c>
      <c r="E36" s="29"/>
      <c r="F36" s="29">
        <v>0</v>
      </c>
      <c r="G36" s="29">
        <v>0</v>
      </c>
      <c r="H36" s="29">
        <v>0</v>
      </c>
      <c r="I36" s="29">
        <v>0</v>
      </c>
      <c r="J36" s="29">
        <v>0</v>
      </c>
      <c r="K36" s="29" t="s">
        <v>882</v>
      </c>
      <c r="L36" s="19" t="str">
        <f t="shared" si="0"/>
        <v>Рихтовка</v>
      </c>
      <c r="M36" s="12">
        <f t="shared" si="1"/>
        <v>0</v>
      </c>
      <c r="N36" s="12">
        <f t="shared" si="2"/>
        <v>0</v>
      </c>
      <c r="O36" s="12">
        <f t="shared" si="3"/>
        <v>0</v>
      </c>
      <c r="P36" s="12">
        <f t="shared" si="4"/>
        <v>0</v>
      </c>
      <c r="Q36" s="12">
        <f t="shared" si="5"/>
        <v>0</v>
      </c>
      <c r="R36" s="12">
        <f t="shared" si="6"/>
        <v>0</v>
      </c>
      <c r="S36" s="12">
        <f t="shared" si="7"/>
        <v>0</v>
      </c>
      <c r="T36" s="29">
        <v>0</v>
      </c>
      <c r="U36" s="29">
        <v>0</v>
      </c>
      <c r="V36" s="29">
        <v>0</v>
      </c>
      <c r="W36" s="29">
        <v>0</v>
      </c>
      <c r="X36" s="29">
        <v>0</v>
      </c>
      <c r="Y36" s="29">
        <v>0</v>
      </c>
      <c r="Z36" s="29">
        <v>0</v>
      </c>
      <c r="AA36" s="29">
        <v>0</v>
      </c>
      <c r="AB36" s="29">
        <v>0</v>
      </c>
      <c r="AC36" s="29">
        <v>0</v>
      </c>
      <c r="AD36" s="29">
        <v>0</v>
      </c>
      <c r="AE36" s="29">
        <v>0</v>
      </c>
      <c r="AF36" s="29">
        <v>0</v>
      </c>
      <c r="AG36" s="29">
        <v>0</v>
      </c>
      <c r="AH36" s="29">
        <v>0</v>
      </c>
      <c r="AI36" s="29">
        <v>0</v>
      </c>
      <c r="AJ36" s="29">
        <v>0</v>
      </c>
      <c r="AK36" s="29">
        <v>0</v>
      </c>
      <c r="AL36" s="29">
        <v>0</v>
      </c>
      <c r="AM36" s="29">
        <v>0</v>
      </c>
      <c r="AN36" s="29">
        <v>0</v>
      </c>
      <c r="AO36" s="29">
        <v>0</v>
      </c>
      <c r="AP36" s="29">
        <v>0</v>
      </c>
    </row>
    <row r="37" spans="1:42" x14ac:dyDescent="0.25">
      <c r="A37" s="29">
        <v>2</v>
      </c>
      <c r="B37" s="29">
        <v>13808</v>
      </c>
      <c r="C37" s="29">
        <v>1</v>
      </c>
      <c r="D37" s="29" t="s">
        <v>493</v>
      </c>
      <c r="E37" s="29"/>
      <c r="F37" s="29">
        <v>0</v>
      </c>
      <c r="G37" s="29">
        <v>0</v>
      </c>
      <c r="H37" s="29">
        <v>0</v>
      </c>
      <c r="I37" s="29">
        <v>0</v>
      </c>
      <c r="J37" s="29">
        <v>0</v>
      </c>
      <c r="K37" s="29" t="s">
        <v>882</v>
      </c>
      <c r="L37" s="19" t="str">
        <f t="shared" si="0"/>
        <v>Рихтовка</v>
      </c>
      <c r="M37" s="12">
        <f t="shared" si="1"/>
        <v>0</v>
      </c>
      <c r="N37" s="12">
        <f t="shared" si="2"/>
        <v>0</v>
      </c>
      <c r="O37" s="12">
        <f t="shared" si="3"/>
        <v>0</v>
      </c>
      <c r="P37" s="12">
        <f t="shared" si="4"/>
        <v>0</v>
      </c>
      <c r="Q37" s="12">
        <f t="shared" si="5"/>
        <v>0</v>
      </c>
      <c r="R37" s="12">
        <f t="shared" si="6"/>
        <v>0</v>
      </c>
      <c r="S37" s="12">
        <f t="shared" si="7"/>
        <v>0</v>
      </c>
      <c r="T37" s="29">
        <v>0</v>
      </c>
      <c r="U37" s="29">
        <v>0</v>
      </c>
      <c r="V37" s="29">
        <v>0</v>
      </c>
      <c r="W37" s="29">
        <v>0</v>
      </c>
      <c r="X37" s="29">
        <v>0</v>
      </c>
      <c r="Y37" s="29">
        <v>0</v>
      </c>
      <c r="Z37" s="29">
        <v>0</v>
      </c>
      <c r="AA37" s="29">
        <v>0</v>
      </c>
      <c r="AB37" s="29">
        <v>0</v>
      </c>
      <c r="AC37" s="29">
        <v>0</v>
      </c>
      <c r="AD37" s="29">
        <v>0</v>
      </c>
      <c r="AE37" s="29">
        <v>0</v>
      </c>
      <c r="AF37" s="29">
        <v>0</v>
      </c>
      <c r="AG37" s="29">
        <v>0</v>
      </c>
      <c r="AH37" s="29">
        <v>0</v>
      </c>
      <c r="AI37" s="29">
        <v>0</v>
      </c>
      <c r="AJ37" s="29">
        <v>0</v>
      </c>
      <c r="AK37" s="29">
        <v>0</v>
      </c>
      <c r="AL37" s="29">
        <v>0</v>
      </c>
      <c r="AM37" s="29">
        <v>0</v>
      </c>
      <c r="AN37" s="29">
        <v>0</v>
      </c>
      <c r="AO37" s="29">
        <v>0</v>
      </c>
      <c r="AP37" s="29">
        <v>0</v>
      </c>
    </row>
    <row r="38" spans="1:42" x14ac:dyDescent="0.25">
      <c r="A38" s="29">
        <v>2</v>
      </c>
      <c r="B38" s="29">
        <v>13808</v>
      </c>
      <c r="C38" s="29">
        <v>1</v>
      </c>
      <c r="D38" s="29" t="s">
        <v>494</v>
      </c>
      <c r="E38" s="29"/>
      <c r="F38" s="29">
        <v>0</v>
      </c>
      <c r="G38" s="29">
        <v>0</v>
      </c>
      <c r="H38" s="29">
        <v>0</v>
      </c>
      <c r="I38" s="29">
        <v>0</v>
      </c>
      <c r="J38" s="29">
        <v>0</v>
      </c>
      <c r="K38" s="29" t="s">
        <v>882</v>
      </c>
      <c r="L38" s="19" t="str">
        <f t="shared" si="0"/>
        <v>Рихтовка</v>
      </c>
      <c r="M38" s="12">
        <f t="shared" si="1"/>
        <v>0</v>
      </c>
      <c r="N38" s="12">
        <f t="shared" si="2"/>
        <v>0</v>
      </c>
      <c r="O38" s="12">
        <f t="shared" si="3"/>
        <v>0</v>
      </c>
      <c r="P38" s="12">
        <f t="shared" si="4"/>
        <v>0</v>
      </c>
      <c r="Q38" s="12">
        <f t="shared" si="5"/>
        <v>0</v>
      </c>
      <c r="R38" s="12">
        <f t="shared" si="6"/>
        <v>0</v>
      </c>
      <c r="S38" s="12">
        <f t="shared" si="7"/>
        <v>0</v>
      </c>
      <c r="T38" s="29">
        <v>0</v>
      </c>
      <c r="U38" s="29">
        <v>0</v>
      </c>
      <c r="V38" s="29">
        <v>0</v>
      </c>
      <c r="W38" s="29">
        <v>0</v>
      </c>
      <c r="X38" s="29">
        <v>0</v>
      </c>
      <c r="Y38" s="29">
        <v>0</v>
      </c>
      <c r="Z38" s="29">
        <v>0</v>
      </c>
      <c r="AA38" s="29">
        <v>0</v>
      </c>
      <c r="AB38" s="29">
        <v>0</v>
      </c>
      <c r="AC38" s="29">
        <v>0</v>
      </c>
      <c r="AD38" s="29">
        <v>0</v>
      </c>
      <c r="AE38" s="29">
        <v>0</v>
      </c>
      <c r="AF38" s="29">
        <v>0</v>
      </c>
      <c r="AG38" s="29">
        <v>0</v>
      </c>
      <c r="AH38" s="29">
        <v>0</v>
      </c>
      <c r="AI38" s="29">
        <v>0</v>
      </c>
      <c r="AJ38" s="29">
        <v>0</v>
      </c>
      <c r="AK38" s="29">
        <v>0</v>
      </c>
      <c r="AL38" s="29">
        <v>0</v>
      </c>
      <c r="AM38" s="29">
        <v>0</v>
      </c>
      <c r="AN38" s="29">
        <v>0</v>
      </c>
      <c r="AO38" s="29">
        <v>0</v>
      </c>
      <c r="AP38" s="29">
        <v>0</v>
      </c>
    </row>
    <row r="39" spans="1:42" x14ac:dyDescent="0.25">
      <c r="A39" s="29">
        <v>2</v>
      </c>
      <c r="B39" s="29">
        <v>13808</v>
      </c>
      <c r="C39" s="29">
        <v>1</v>
      </c>
      <c r="D39" s="29" t="s">
        <v>495</v>
      </c>
      <c r="E39" s="29"/>
      <c r="F39" s="29">
        <v>0</v>
      </c>
      <c r="G39" s="29">
        <v>0</v>
      </c>
      <c r="H39" s="29">
        <v>0</v>
      </c>
      <c r="I39" s="29">
        <v>0</v>
      </c>
      <c r="J39" s="29">
        <v>0</v>
      </c>
      <c r="K39" s="29" t="s">
        <v>882</v>
      </c>
      <c r="L39" s="19" t="str">
        <f t="shared" si="0"/>
        <v>Рихтовка</v>
      </c>
      <c r="M39" s="12">
        <f t="shared" si="1"/>
        <v>0</v>
      </c>
      <c r="N39" s="12">
        <f t="shared" si="2"/>
        <v>0</v>
      </c>
      <c r="O39" s="12">
        <f t="shared" si="3"/>
        <v>0</v>
      </c>
      <c r="P39" s="12">
        <f t="shared" si="4"/>
        <v>0</v>
      </c>
      <c r="Q39" s="12">
        <f t="shared" si="5"/>
        <v>0</v>
      </c>
      <c r="R39" s="12">
        <f t="shared" si="6"/>
        <v>0</v>
      </c>
      <c r="S39" s="12">
        <f t="shared" si="7"/>
        <v>0</v>
      </c>
      <c r="T39" s="29">
        <v>0</v>
      </c>
      <c r="U39" s="29">
        <v>0</v>
      </c>
      <c r="V39" s="29">
        <v>0</v>
      </c>
      <c r="W39" s="29">
        <v>0</v>
      </c>
      <c r="X39" s="29">
        <v>0</v>
      </c>
      <c r="Y39" s="29">
        <v>0</v>
      </c>
      <c r="Z39" s="29">
        <v>0</v>
      </c>
      <c r="AA39" s="29">
        <v>0</v>
      </c>
      <c r="AB39" s="29">
        <v>0</v>
      </c>
      <c r="AC39" s="29">
        <v>0</v>
      </c>
      <c r="AD39" s="29">
        <v>0</v>
      </c>
      <c r="AE39" s="29">
        <v>0</v>
      </c>
      <c r="AF39" s="29">
        <v>0</v>
      </c>
      <c r="AG39" s="29">
        <v>0</v>
      </c>
      <c r="AH39" s="29">
        <v>0</v>
      </c>
      <c r="AI39" s="29">
        <v>0</v>
      </c>
      <c r="AJ39" s="29">
        <v>0</v>
      </c>
      <c r="AK39" s="29">
        <v>0</v>
      </c>
      <c r="AL39" s="29">
        <v>0</v>
      </c>
      <c r="AM39" s="29">
        <v>0</v>
      </c>
      <c r="AN39" s="29">
        <v>0</v>
      </c>
      <c r="AO39" s="29">
        <v>0</v>
      </c>
      <c r="AP39" s="29">
        <v>0</v>
      </c>
    </row>
    <row r="40" spans="1:42" x14ac:dyDescent="0.25">
      <c r="A40" s="29">
        <v>2</v>
      </c>
      <c r="B40" s="29">
        <v>13808</v>
      </c>
      <c r="C40" s="29" t="s">
        <v>452</v>
      </c>
      <c r="D40" s="29" t="s">
        <v>496</v>
      </c>
      <c r="E40" s="29"/>
      <c r="F40" s="29">
        <v>0</v>
      </c>
      <c r="G40" s="29">
        <v>0</v>
      </c>
      <c r="H40" s="29">
        <v>0</v>
      </c>
      <c r="I40" s="29">
        <v>0</v>
      </c>
      <c r="J40" s="29">
        <v>0</v>
      </c>
      <c r="K40" s="29" t="s">
        <v>882</v>
      </c>
      <c r="L40" s="19" t="str">
        <f t="shared" si="0"/>
        <v>Рихтовка</v>
      </c>
      <c r="M40" s="12">
        <f t="shared" si="1"/>
        <v>0</v>
      </c>
      <c r="N40" s="12">
        <f t="shared" si="2"/>
        <v>0</v>
      </c>
      <c r="O40" s="12">
        <f t="shared" si="3"/>
        <v>0</v>
      </c>
      <c r="P40" s="12">
        <f t="shared" si="4"/>
        <v>0</v>
      </c>
      <c r="Q40" s="12">
        <f t="shared" si="5"/>
        <v>0</v>
      </c>
      <c r="R40" s="12">
        <f t="shared" si="6"/>
        <v>0</v>
      </c>
      <c r="S40" s="12">
        <f t="shared" si="7"/>
        <v>0</v>
      </c>
      <c r="T40" s="29">
        <v>0</v>
      </c>
      <c r="U40" s="29">
        <v>0</v>
      </c>
      <c r="V40" s="29">
        <v>0</v>
      </c>
      <c r="W40" s="29">
        <v>0</v>
      </c>
      <c r="X40" s="29">
        <v>0</v>
      </c>
      <c r="Y40" s="29">
        <v>0</v>
      </c>
      <c r="Z40" s="29">
        <v>0</v>
      </c>
      <c r="AA40" s="29">
        <v>0</v>
      </c>
      <c r="AB40" s="29">
        <v>0</v>
      </c>
      <c r="AC40" s="29">
        <v>0</v>
      </c>
      <c r="AD40" s="29">
        <v>0</v>
      </c>
      <c r="AE40" s="29">
        <v>0</v>
      </c>
      <c r="AF40" s="29">
        <v>0</v>
      </c>
      <c r="AG40" s="29">
        <v>0</v>
      </c>
      <c r="AH40" s="29">
        <v>0</v>
      </c>
      <c r="AI40" s="29">
        <v>0</v>
      </c>
      <c r="AJ40" s="29">
        <v>0</v>
      </c>
      <c r="AK40" s="29">
        <v>0</v>
      </c>
      <c r="AL40" s="29">
        <v>0</v>
      </c>
      <c r="AM40" s="29">
        <v>0</v>
      </c>
      <c r="AN40" s="29">
        <v>0</v>
      </c>
      <c r="AO40" s="29">
        <v>0</v>
      </c>
      <c r="AP40" s="29">
        <v>0</v>
      </c>
    </row>
    <row r="41" spans="1:42" x14ac:dyDescent="0.25">
      <c r="A41" s="29">
        <v>2</v>
      </c>
      <c r="B41" s="29">
        <v>13808</v>
      </c>
      <c r="C41" s="29">
        <v>1</v>
      </c>
      <c r="D41" s="29" t="s">
        <v>497</v>
      </c>
      <c r="E41" s="29"/>
      <c r="F41" s="29">
        <v>0</v>
      </c>
      <c r="G41" s="29">
        <v>0</v>
      </c>
      <c r="H41" s="29">
        <v>0</v>
      </c>
      <c r="I41" s="29">
        <v>0</v>
      </c>
      <c r="J41" s="29">
        <v>0</v>
      </c>
      <c r="K41" s="29" t="s">
        <v>882</v>
      </c>
      <c r="L41" s="19" t="str">
        <f t="shared" si="0"/>
        <v>Рихтовка</v>
      </c>
      <c r="M41" s="12">
        <f t="shared" si="1"/>
        <v>0</v>
      </c>
      <c r="N41" s="12">
        <f t="shared" si="2"/>
        <v>0</v>
      </c>
      <c r="O41" s="12">
        <f t="shared" si="3"/>
        <v>0</v>
      </c>
      <c r="P41" s="12">
        <f t="shared" si="4"/>
        <v>0</v>
      </c>
      <c r="Q41" s="12">
        <f t="shared" si="5"/>
        <v>0</v>
      </c>
      <c r="R41" s="12">
        <f t="shared" si="6"/>
        <v>0</v>
      </c>
      <c r="S41" s="12">
        <f t="shared" si="7"/>
        <v>0</v>
      </c>
      <c r="T41" s="29">
        <v>0</v>
      </c>
      <c r="U41" s="29">
        <v>0</v>
      </c>
      <c r="V41" s="29">
        <v>0</v>
      </c>
      <c r="W41" s="29">
        <v>0</v>
      </c>
      <c r="X41" s="29">
        <v>0</v>
      </c>
      <c r="Y41" s="29">
        <v>0</v>
      </c>
      <c r="Z41" s="29">
        <v>0</v>
      </c>
      <c r="AA41" s="29">
        <v>0</v>
      </c>
      <c r="AB41" s="29">
        <v>0</v>
      </c>
      <c r="AC41" s="29">
        <v>0</v>
      </c>
      <c r="AD41" s="29">
        <v>0</v>
      </c>
      <c r="AE41" s="29">
        <v>0</v>
      </c>
      <c r="AF41" s="29">
        <v>0</v>
      </c>
      <c r="AG41" s="29">
        <v>0</v>
      </c>
      <c r="AH41" s="29">
        <v>0</v>
      </c>
      <c r="AI41" s="29">
        <v>0</v>
      </c>
      <c r="AJ41" s="29">
        <v>0</v>
      </c>
      <c r="AK41" s="29">
        <v>0</v>
      </c>
      <c r="AL41" s="29">
        <v>0</v>
      </c>
      <c r="AM41" s="29">
        <v>0</v>
      </c>
      <c r="AN41" s="29">
        <v>0</v>
      </c>
      <c r="AO41" s="29">
        <v>0</v>
      </c>
      <c r="AP41" s="29">
        <v>0</v>
      </c>
    </row>
    <row r="42" spans="1:42" x14ac:dyDescent="0.25">
      <c r="A42" s="29">
        <v>2</v>
      </c>
      <c r="B42" s="29">
        <v>13808</v>
      </c>
      <c r="C42" s="29">
        <v>1</v>
      </c>
      <c r="D42" s="29" t="s">
        <v>498</v>
      </c>
      <c r="E42" s="29"/>
      <c r="F42" s="29">
        <v>0</v>
      </c>
      <c r="G42" s="29">
        <v>0</v>
      </c>
      <c r="H42" s="29">
        <v>0</v>
      </c>
      <c r="I42" s="29">
        <v>0</v>
      </c>
      <c r="J42" s="29">
        <v>0</v>
      </c>
      <c r="K42" s="29" t="s">
        <v>882</v>
      </c>
      <c r="L42" s="19" t="str">
        <f t="shared" si="0"/>
        <v>Рихтовка</v>
      </c>
      <c r="M42" s="12">
        <f t="shared" si="1"/>
        <v>0</v>
      </c>
      <c r="N42" s="12">
        <f t="shared" si="2"/>
        <v>0</v>
      </c>
      <c r="O42" s="12">
        <f t="shared" si="3"/>
        <v>0</v>
      </c>
      <c r="P42" s="12">
        <f t="shared" si="4"/>
        <v>0</v>
      </c>
      <c r="Q42" s="12">
        <f t="shared" si="5"/>
        <v>0</v>
      </c>
      <c r="R42" s="12">
        <f t="shared" si="6"/>
        <v>0</v>
      </c>
      <c r="S42" s="12">
        <f t="shared" si="7"/>
        <v>0</v>
      </c>
      <c r="T42" s="29">
        <v>0</v>
      </c>
      <c r="U42" s="29">
        <v>0</v>
      </c>
      <c r="V42" s="29">
        <v>0</v>
      </c>
      <c r="W42" s="29">
        <v>0</v>
      </c>
      <c r="X42" s="29">
        <v>0</v>
      </c>
      <c r="Y42" s="29">
        <v>0</v>
      </c>
      <c r="Z42" s="29">
        <v>0</v>
      </c>
      <c r="AA42" s="29">
        <v>0</v>
      </c>
      <c r="AB42" s="29">
        <v>0</v>
      </c>
      <c r="AC42" s="29">
        <v>0</v>
      </c>
      <c r="AD42" s="29">
        <v>0</v>
      </c>
      <c r="AE42" s="29">
        <v>0</v>
      </c>
      <c r="AF42" s="29">
        <v>0</v>
      </c>
      <c r="AG42" s="29">
        <v>0</v>
      </c>
      <c r="AH42" s="29">
        <v>0</v>
      </c>
      <c r="AI42" s="29">
        <v>0</v>
      </c>
      <c r="AJ42" s="29">
        <v>0</v>
      </c>
      <c r="AK42" s="29">
        <v>0</v>
      </c>
      <c r="AL42" s="29">
        <v>0</v>
      </c>
      <c r="AM42" s="29">
        <v>0</v>
      </c>
      <c r="AN42" s="29">
        <v>0</v>
      </c>
      <c r="AO42" s="29">
        <v>0</v>
      </c>
      <c r="AP42" s="29">
        <v>0</v>
      </c>
    </row>
    <row r="43" spans="1:42" x14ac:dyDescent="0.25">
      <c r="A43" s="29">
        <v>2</v>
      </c>
      <c r="B43" s="29">
        <v>13808</v>
      </c>
      <c r="C43" s="29">
        <v>1</v>
      </c>
      <c r="D43" s="29" t="s">
        <v>499</v>
      </c>
      <c r="E43" s="29"/>
      <c r="F43" s="29">
        <v>0</v>
      </c>
      <c r="G43" s="29">
        <v>0</v>
      </c>
      <c r="H43" s="29">
        <v>0</v>
      </c>
      <c r="I43" s="29">
        <v>0</v>
      </c>
      <c r="J43" s="29">
        <v>0</v>
      </c>
      <c r="K43" s="29" t="s">
        <v>882</v>
      </c>
      <c r="L43" s="19" t="str">
        <f t="shared" si="0"/>
        <v>Рихтовка</v>
      </c>
      <c r="M43" s="12">
        <f t="shared" si="1"/>
        <v>0</v>
      </c>
      <c r="N43" s="12">
        <f t="shared" si="2"/>
        <v>0</v>
      </c>
      <c r="O43" s="12">
        <f t="shared" si="3"/>
        <v>0</v>
      </c>
      <c r="P43" s="12">
        <f t="shared" si="4"/>
        <v>0</v>
      </c>
      <c r="Q43" s="12">
        <f t="shared" si="5"/>
        <v>0</v>
      </c>
      <c r="R43" s="12">
        <f t="shared" si="6"/>
        <v>0</v>
      </c>
      <c r="S43" s="12">
        <f t="shared" si="7"/>
        <v>0</v>
      </c>
      <c r="T43" s="29">
        <v>0</v>
      </c>
      <c r="U43" s="29">
        <v>0</v>
      </c>
      <c r="V43" s="29">
        <v>0</v>
      </c>
      <c r="W43" s="29">
        <v>0</v>
      </c>
      <c r="X43" s="29">
        <v>0</v>
      </c>
      <c r="Y43" s="29">
        <v>0</v>
      </c>
      <c r="Z43" s="29">
        <v>0</v>
      </c>
      <c r="AA43" s="29">
        <v>0</v>
      </c>
      <c r="AB43" s="29">
        <v>0</v>
      </c>
      <c r="AC43" s="29">
        <v>0</v>
      </c>
      <c r="AD43" s="29">
        <v>0</v>
      </c>
      <c r="AE43" s="29">
        <v>0</v>
      </c>
      <c r="AF43" s="29">
        <v>0</v>
      </c>
      <c r="AG43" s="29">
        <v>0</v>
      </c>
      <c r="AH43" s="29">
        <v>0</v>
      </c>
      <c r="AI43" s="29">
        <v>0</v>
      </c>
      <c r="AJ43" s="29">
        <v>0</v>
      </c>
      <c r="AK43" s="29">
        <v>0</v>
      </c>
      <c r="AL43" s="29">
        <v>0</v>
      </c>
      <c r="AM43" s="29">
        <v>0</v>
      </c>
      <c r="AN43" s="29">
        <v>0</v>
      </c>
      <c r="AO43" s="29">
        <v>0</v>
      </c>
      <c r="AP43" s="29">
        <v>0</v>
      </c>
    </row>
    <row r="44" spans="1:42" x14ac:dyDescent="0.25">
      <c r="A44" s="29">
        <v>2</v>
      </c>
      <c r="B44" s="29">
        <v>13808</v>
      </c>
      <c r="C44" s="29">
        <v>2</v>
      </c>
      <c r="D44" s="29" t="s">
        <v>489</v>
      </c>
      <c r="E44" s="29"/>
      <c r="F44" s="29">
        <v>0</v>
      </c>
      <c r="G44" s="29">
        <v>0</v>
      </c>
      <c r="H44" s="29">
        <v>0</v>
      </c>
      <c r="I44" s="29">
        <v>0</v>
      </c>
      <c r="J44" s="29">
        <v>0</v>
      </c>
      <c r="K44" s="29" t="s">
        <v>882</v>
      </c>
      <c r="L44" s="19" t="str">
        <f t="shared" si="0"/>
        <v>Рихтовка</v>
      </c>
      <c r="M44" s="12">
        <f t="shared" si="1"/>
        <v>0</v>
      </c>
      <c r="N44" s="12">
        <f t="shared" si="2"/>
        <v>0</v>
      </c>
      <c r="O44" s="12">
        <f t="shared" si="3"/>
        <v>0</v>
      </c>
      <c r="P44" s="12">
        <f t="shared" si="4"/>
        <v>0</v>
      </c>
      <c r="Q44" s="12">
        <f t="shared" si="5"/>
        <v>0</v>
      </c>
      <c r="R44" s="12">
        <f t="shared" si="6"/>
        <v>0</v>
      </c>
      <c r="S44" s="12">
        <f t="shared" si="7"/>
        <v>0</v>
      </c>
      <c r="T44" s="29">
        <v>0</v>
      </c>
      <c r="U44" s="29">
        <v>0</v>
      </c>
      <c r="V44" s="29">
        <v>0</v>
      </c>
      <c r="W44" s="29">
        <v>0</v>
      </c>
      <c r="X44" s="29">
        <v>0</v>
      </c>
      <c r="Y44" s="29">
        <v>0</v>
      </c>
      <c r="Z44" s="29">
        <v>0</v>
      </c>
      <c r="AA44" s="29">
        <v>0</v>
      </c>
      <c r="AB44" s="29">
        <v>0</v>
      </c>
      <c r="AC44" s="29">
        <v>0</v>
      </c>
      <c r="AD44" s="29">
        <v>0</v>
      </c>
      <c r="AE44" s="29">
        <v>0</v>
      </c>
      <c r="AF44" s="29">
        <v>0</v>
      </c>
      <c r="AG44" s="29">
        <v>0</v>
      </c>
      <c r="AH44" s="29">
        <v>0</v>
      </c>
      <c r="AI44" s="29">
        <v>0</v>
      </c>
      <c r="AJ44" s="29">
        <v>0</v>
      </c>
      <c r="AK44" s="29">
        <v>0</v>
      </c>
      <c r="AL44" s="29">
        <v>0</v>
      </c>
      <c r="AM44" s="29">
        <v>0</v>
      </c>
      <c r="AN44" s="29">
        <v>0</v>
      </c>
      <c r="AO44" s="29">
        <v>0</v>
      </c>
      <c r="AP44" s="29">
        <v>0</v>
      </c>
    </row>
    <row r="45" spans="1:42" x14ac:dyDescent="0.25">
      <c r="A45" s="29">
        <v>2</v>
      </c>
      <c r="B45" s="29">
        <v>13808</v>
      </c>
      <c r="C45" s="29">
        <v>2</v>
      </c>
      <c r="D45" s="29" t="s">
        <v>490</v>
      </c>
      <c r="E45" s="29"/>
      <c r="F45" s="29">
        <v>0</v>
      </c>
      <c r="G45" s="29">
        <v>0</v>
      </c>
      <c r="H45" s="29">
        <v>0</v>
      </c>
      <c r="I45" s="29">
        <v>0</v>
      </c>
      <c r="J45" s="29">
        <v>0</v>
      </c>
      <c r="K45" s="29" t="s">
        <v>882</v>
      </c>
      <c r="L45" s="19" t="str">
        <f t="shared" si="0"/>
        <v>Рихтовка</v>
      </c>
      <c r="M45" s="12">
        <f t="shared" si="1"/>
        <v>0</v>
      </c>
      <c r="N45" s="12">
        <f t="shared" si="2"/>
        <v>0</v>
      </c>
      <c r="O45" s="12">
        <f t="shared" si="3"/>
        <v>0</v>
      </c>
      <c r="P45" s="12">
        <f t="shared" si="4"/>
        <v>0</v>
      </c>
      <c r="Q45" s="12">
        <f t="shared" si="5"/>
        <v>0</v>
      </c>
      <c r="R45" s="12">
        <f t="shared" si="6"/>
        <v>0</v>
      </c>
      <c r="S45" s="12">
        <f t="shared" si="7"/>
        <v>0</v>
      </c>
      <c r="T45" s="29">
        <v>0</v>
      </c>
      <c r="U45" s="29">
        <v>0</v>
      </c>
      <c r="V45" s="29">
        <v>0</v>
      </c>
      <c r="W45" s="29">
        <v>0</v>
      </c>
      <c r="X45" s="29">
        <v>0</v>
      </c>
      <c r="Y45" s="29">
        <v>0</v>
      </c>
      <c r="Z45" s="29">
        <v>0</v>
      </c>
      <c r="AA45" s="29">
        <v>0</v>
      </c>
      <c r="AB45" s="29">
        <v>0</v>
      </c>
      <c r="AC45" s="29">
        <v>0</v>
      </c>
      <c r="AD45" s="29">
        <v>0</v>
      </c>
      <c r="AE45" s="29">
        <v>0</v>
      </c>
      <c r="AF45" s="29">
        <v>0</v>
      </c>
      <c r="AG45" s="29">
        <v>0</v>
      </c>
      <c r="AH45" s="29">
        <v>0</v>
      </c>
      <c r="AI45" s="29">
        <v>0</v>
      </c>
      <c r="AJ45" s="29">
        <v>0</v>
      </c>
      <c r="AK45" s="29">
        <v>0</v>
      </c>
      <c r="AL45" s="29">
        <v>0</v>
      </c>
      <c r="AM45" s="29">
        <v>0</v>
      </c>
      <c r="AN45" s="29">
        <v>0</v>
      </c>
      <c r="AO45" s="29">
        <v>0</v>
      </c>
      <c r="AP45" s="29">
        <v>0</v>
      </c>
    </row>
    <row r="46" spans="1:42" x14ac:dyDescent="0.25">
      <c r="A46" s="29">
        <v>2</v>
      </c>
      <c r="B46" s="29">
        <v>13808</v>
      </c>
      <c r="C46" s="29">
        <v>2</v>
      </c>
      <c r="D46" s="29" t="s">
        <v>491</v>
      </c>
      <c r="E46" s="29"/>
      <c r="F46" s="29">
        <v>0</v>
      </c>
      <c r="G46" s="29">
        <v>0</v>
      </c>
      <c r="H46" s="29">
        <v>0</v>
      </c>
      <c r="I46" s="29">
        <v>0</v>
      </c>
      <c r="J46" s="29">
        <v>0</v>
      </c>
      <c r="K46" s="29" t="s">
        <v>882</v>
      </c>
      <c r="L46" s="19" t="str">
        <f t="shared" si="0"/>
        <v>Рихтовка</v>
      </c>
      <c r="M46" s="12">
        <f t="shared" si="1"/>
        <v>0</v>
      </c>
      <c r="N46" s="12">
        <f t="shared" si="2"/>
        <v>0</v>
      </c>
      <c r="O46" s="12">
        <f t="shared" si="3"/>
        <v>0</v>
      </c>
      <c r="P46" s="12">
        <f t="shared" si="4"/>
        <v>0</v>
      </c>
      <c r="Q46" s="12">
        <f t="shared" si="5"/>
        <v>0</v>
      </c>
      <c r="R46" s="12">
        <f t="shared" si="6"/>
        <v>0</v>
      </c>
      <c r="S46" s="12">
        <f t="shared" si="7"/>
        <v>0</v>
      </c>
      <c r="T46" s="29">
        <v>0</v>
      </c>
      <c r="U46" s="29">
        <v>0</v>
      </c>
      <c r="V46" s="29">
        <v>0</v>
      </c>
      <c r="W46" s="29">
        <v>0</v>
      </c>
      <c r="X46" s="29">
        <v>0</v>
      </c>
      <c r="Y46" s="29">
        <v>0</v>
      </c>
      <c r="Z46" s="29">
        <v>0</v>
      </c>
      <c r="AA46" s="29">
        <v>0</v>
      </c>
      <c r="AB46" s="29">
        <v>0</v>
      </c>
      <c r="AC46" s="29">
        <v>0</v>
      </c>
      <c r="AD46" s="29">
        <v>0</v>
      </c>
      <c r="AE46" s="29">
        <v>0</v>
      </c>
      <c r="AF46" s="29">
        <v>0</v>
      </c>
      <c r="AG46" s="29">
        <v>0</v>
      </c>
      <c r="AH46" s="29">
        <v>0</v>
      </c>
      <c r="AI46" s="29">
        <v>0</v>
      </c>
      <c r="AJ46" s="29">
        <v>0</v>
      </c>
      <c r="AK46" s="29">
        <v>0</v>
      </c>
      <c r="AL46" s="29">
        <v>0</v>
      </c>
      <c r="AM46" s="29">
        <v>0</v>
      </c>
      <c r="AN46" s="29">
        <v>0</v>
      </c>
      <c r="AO46" s="29">
        <v>0</v>
      </c>
      <c r="AP46" s="29">
        <v>0</v>
      </c>
    </row>
    <row r="47" spans="1:42" x14ac:dyDescent="0.25">
      <c r="A47" s="29">
        <v>2</v>
      </c>
      <c r="B47" s="29">
        <v>13808</v>
      </c>
      <c r="C47" s="29">
        <v>2</v>
      </c>
      <c r="D47" s="29" t="s">
        <v>492</v>
      </c>
      <c r="E47" s="29"/>
      <c r="F47" s="29">
        <v>0</v>
      </c>
      <c r="G47" s="29">
        <v>0</v>
      </c>
      <c r="H47" s="29">
        <v>0</v>
      </c>
      <c r="I47" s="29">
        <v>0</v>
      </c>
      <c r="J47" s="29">
        <v>0</v>
      </c>
      <c r="K47" s="29" t="s">
        <v>882</v>
      </c>
      <c r="L47" s="19" t="str">
        <f t="shared" si="0"/>
        <v>Рихтовка</v>
      </c>
      <c r="M47" s="12">
        <f t="shared" si="1"/>
        <v>0</v>
      </c>
      <c r="N47" s="12">
        <f t="shared" si="2"/>
        <v>0</v>
      </c>
      <c r="O47" s="12">
        <f t="shared" si="3"/>
        <v>0</v>
      </c>
      <c r="P47" s="12">
        <f t="shared" si="4"/>
        <v>0</v>
      </c>
      <c r="Q47" s="12">
        <f t="shared" si="5"/>
        <v>0</v>
      </c>
      <c r="R47" s="12">
        <f t="shared" si="6"/>
        <v>0</v>
      </c>
      <c r="S47" s="12">
        <f t="shared" si="7"/>
        <v>0</v>
      </c>
      <c r="T47" s="29">
        <v>0</v>
      </c>
      <c r="U47" s="29">
        <v>0</v>
      </c>
      <c r="V47" s="29">
        <v>0</v>
      </c>
      <c r="W47" s="29">
        <v>0</v>
      </c>
      <c r="X47" s="29">
        <v>0</v>
      </c>
      <c r="Y47" s="29">
        <v>0</v>
      </c>
      <c r="Z47" s="29">
        <v>0</v>
      </c>
      <c r="AA47" s="29">
        <v>0</v>
      </c>
      <c r="AB47" s="29">
        <v>0</v>
      </c>
      <c r="AC47" s="29">
        <v>0</v>
      </c>
      <c r="AD47" s="29">
        <v>0</v>
      </c>
      <c r="AE47" s="29">
        <v>0</v>
      </c>
      <c r="AF47" s="29">
        <v>0</v>
      </c>
      <c r="AG47" s="29">
        <v>0</v>
      </c>
      <c r="AH47" s="29">
        <v>0</v>
      </c>
      <c r="AI47" s="29">
        <v>0</v>
      </c>
      <c r="AJ47" s="29">
        <v>0</v>
      </c>
      <c r="AK47" s="29">
        <v>0</v>
      </c>
      <c r="AL47" s="29">
        <v>0</v>
      </c>
      <c r="AM47" s="29">
        <v>0</v>
      </c>
      <c r="AN47" s="29">
        <v>0</v>
      </c>
      <c r="AO47" s="29">
        <v>0</v>
      </c>
      <c r="AP47" s="29">
        <v>0</v>
      </c>
    </row>
    <row r="48" spans="1:42" x14ac:dyDescent="0.25">
      <c r="A48" s="29">
        <v>2</v>
      </c>
      <c r="B48" s="29">
        <v>13808</v>
      </c>
      <c r="C48" s="29">
        <v>2</v>
      </c>
      <c r="D48" s="29" t="s">
        <v>493</v>
      </c>
      <c r="E48" s="29"/>
      <c r="F48" s="29">
        <v>0</v>
      </c>
      <c r="G48" s="29">
        <v>0</v>
      </c>
      <c r="H48" s="29">
        <v>0</v>
      </c>
      <c r="I48" s="29">
        <v>0</v>
      </c>
      <c r="J48" s="29">
        <v>0</v>
      </c>
      <c r="K48" s="29" t="s">
        <v>882</v>
      </c>
      <c r="L48" s="19" t="str">
        <f t="shared" si="0"/>
        <v>Рихтовка</v>
      </c>
      <c r="M48" s="12">
        <f t="shared" si="1"/>
        <v>0</v>
      </c>
      <c r="N48" s="12">
        <f t="shared" si="2"/>
        <v>0</v>
      </c>
      <c r="O48" s="12">
        <f t="shared" si="3"/>
        <v>0</v>
      </c>
      <c r="P48" s="12">
        <f t="shared" si="4"/>
        <v>0</v>
      </c>
      <c r="Q48" s="12">
        <f t="shared" si="5"/>
        <v>0</v>
      </c>
      <c r="R48" s="12">
        <f t="shared" si="6"/>
        <v>0</v>
      </c>
      <c r="S48" s="12">
        <f t="shared" si="7"/>
        <v>0</v>
      </c>
      <c r="T48" s="29">
        <v>0</v>
      </c>
      <c r="U48" s="29">
        <v>0</v>
      </c>
      <c r="V48" s="29">
        <v>0</v>
      </c>
      <c r="W48" s="29">
        <v>0</v>
      </c>
      <c r="X48" s="29">
        <v>0</v>
      </c>
      <c r="Y48" s="29">
        <v>0</v>
      </c>
      <c r="Z48" s="29">
        <v>0</v>
      </c>
      <c r="AA48" s="29">
        <v>0</v>
      </c>
      <c r="AB48" s="29">
        <v>0</v>
      </c>
      <c r="AC48" s="29">
        <v>0</v>
      </c>
      <c r="AD48" s="29">
        <v>0</v>
      </c>
      <c r="AE48" s="29">
        <v>0</v>
      </c>
      <c r="AF48" s="29">
        <v>0</v>
      </c>
      <c r="AG48" s="29">
        <v>0</v>
      </c>
      <c r="AH48" s="29">
        <v>0</v>
      </c>
      <c r="AI48" s="29">
        <v>0</v>
      </c>
      <c r="AJ48" s="29">
        <v>0</v>
      </c>
      <c r="AK48" s="29">
        <v>0</v>
      </c>
      <c r="AL48" s="29">
        <v>0</v>
      </c>
      <c r="AM48" s="29">
        <v>0</v>
      </c>
      <c r="AN48" s="29">
        <v>0</v>
      </c>
      <c r="AO48" s="29">
        <v>0</v>
      </c>
      <c r="AP48" s="29">
        <v>0</v>
      </c>
    </row>
    <row r="49" spans="1:42" x14ac:dyDescent="0.25">
      <c r="A49" s="29">
        <v>2</v>
      </c>
      <c r="B49" s="29">
        <v>13808</v>
      </c>
      <c r="C49" s="29">
        <v>2</v>
      </c>
      <c r="D49" s="29" t="s">
        <v>494</v>
      </c>
      <c r="E49" s="29"/>
      <c r="F49" s="29">
        <v>0</v>
      </c>
      <c r="G49" s="29">
        <v>0</v>
      </c>
      <c r="H49" s="29">
        <v>0</v>
      </c>
      <c r="I49" s="29">
        <v>0</v>
      </c>
      <c r="J49" s="29">
        <v>0</v>
      </c>
      <c r="K49" s="29" t="s">
        <v>882</v>
      </c>
      <c r="L49" s="19" t="str">
        <f t="shared" si="0"/>
        <v>Рихтовка</v>
      </c>
      <c r="M49" s="12">
        <f t="shared" si="1"/>
        <v>0</v>
      </c>
      <c r="N49" s="12">
        <f t="shared" si="2"/>
        <v>0</v>
      </c>
      <c r="O49" s="12">
        <f t="shared" si="3"/>
        <v>0</v>
      </c>
      <c r="P49" s="12">
        <f t="shared" si="4"/>
        <v>0</v>
      </c>
      <c r="Q49" s="12">
        <f t="shared" si="5"/>
        <v>0</v>
      </c>
      <c r="R49" s="12">
        <f t="shared" si="6"/>
        <v>0</v>
      </c>
      <c r="S49" s="12">
        <f t="shared" si="7"/>
        <v>0</v>
      </c>
      <c r="T49" s="29">
        <v>0</v>
      </c>
      <c r="U49" s="29">
        <v>0</v>
      </c>
      <c r="V49" s="29">
        <v>0</v>
      </c>
      <c r="W49" s="29">
        <v>0</v>
      </c>
      <c r="X49" s="29">
        <v>0</v>
      </c>
      <c r="Y49" s="29">
        <v>0</v>
      </c>
      <c r="Z49" s="29">
        <v>0</v>
      </c>
      <c r="AA49" s="29">
        <v>0</v>
      </c>
      <c r="AB49" s="29">
        <v>0</v>
      </c>
      <c r="AC49" s="29">
        <v>0</v>
      </c>
      <c r="AD49" s="29">
        <v>0</v>
      </c>
      <c r="AE49" s="29">
        <v>0</v>
      </c>
      <c r="AF49" s="29">
        <v>0</v>
      </c>
      <c r="AG49" s="29">
        <v>0</v>
      </c>
      <c r="AH49" s="29">
        <v>0</v>
      </c>
      <c r="AI49" s="29">
        <v>0</v>
      </c>
      <c r="AJ49" s="29">
        <v>0</v>
      </c>
      <c r="AK49" s="29">
        <v>0</v>
      </c>
      <c r="AL49" s="29">
        <v>0</v>
      </c>
      <c r="AM49" s="29">
        <v>0</v>
      </c>
      <c r="AN49" s="29">
        <v>0</v>
      </c>
      <c r="AO49" s="29">
        <v>0</v>
      </c>
      <c r="AP49" s="29">
        <v>0</v>
      </c>
    </row>
    <row r="50" spans="1:42" x14ac:dyDescent="0.25">
      <c r="A50" s="29">
        <v>2</v>
      </c>
      <c r="B50" s="29">
        <v>13808</v>
      </c>
      <c r="C50" s="29">
        <v>2</v>
      </c>
      <c r="D50" s="29" t="s">
        <v>495</v>
      </c>
      <c r="E50" s="29"/>
      <c r="F50" s="29">
        <v>0</v>
      </c>
      <c r="G50" s="29">
        <v>0</v>
      </c>
      <c r="H50" s="29">
        <v>0</v>
      </c>
      <c r="I50" s="29">
        <v>0</v>
      </c>
      <c r="J50" s="29">
        <v>0</v>
      </c>
      <c r="K50" s="29" t="s">
        <v>882</v>
      </c>
      <c r="L50" s="19" t="str">
        <f t="shared" si="0"/>
        <v>Рихтовка</v>
      </c>
      <c r="M50" s="12">
        <f t="shared" si="1"/>
        <v>0</v>
      </c>
      <c r="N50" s="12">
        <f t="shared" si="2"/>
        <v>0</v>
      </c>
      <c r="O50" s="12">
        <f t="shared" si="3"/>
        <v>0</v>
      </c>
      <c r="P50" s="12">
        <f t="shared" si="4"/>
        <v>0</v>
      </c>
      <c r="Q50" s="12">
        <f t="shared" si="5"/>
        <v>0</v>
      </c>
      <c r="R50" s="12">
        <f t="shared" si="6"/>
        <v>0</v>
      </c>
      <c r="S50" s="12">
        <f t="shared" si="7"/>
        <v>0</v>
      </c>
      <c r="T50" s="29">
        <v>0</v>
      </c>
      <c r="U50" s="29">
        <v>0</v>
      </c>
      <c r="V50" s="29">
        <v>0</v>
      </c>
      <c r="W50" s="29">
        <v>0</v>
      </c>
      <c r="X50" s="29">
        <v>0</v>
      </c>
      <c r="Y50" s="29">
        <v>0</v>
      </c>
      <c r="Z50" s="29">
        <v>0</v>
      </c>
      <c r="AA50" s="29">
        <v>0</v>
      </c>
      <c r="AB50" s="29">
        <v>0</v>
      </c>
      <c r="AC50" s="29">
        <v>0</v>
      </c>
      <c r="AD50" s="29">
        <v>0</v>
      </c>
      <c r="AE50" s="29">
        <v>0</v>
      </c>
      <c r="AF50" s="29">
        <v>0</v>
      </c>
      <c r="AG50" s="29">
        <v>0</v>
      </c>
      <c r="AH50" s="29">
        <v>0</v>
      </c>
      <c r="AI50" s="29">
        <v>0</v>
      </c>
      <c r="AJ50" s="29">
        <v>0</v>
      </c>
      <c r="AK50" s="29">
        <v>0</v>
      </c>
      <c r="AL50" s="29">
        <v>0</v>
      </c>
      <c r="AM50" s="29">
        <v>0</v>
      </c>
      <c r="AN50" s="29">
        <v>0</v>
      </c>
      <c r="AO50" s="29">
        <v>0</v>
      </c>
      <c r="AP50" s="29">
        <v>0</v>
      </c>
    </row>
    <row r="51" spans="1:42" x14ac:dyDescent="0.25">
      <c r="A51" s="29">
        <v>2</v>
      </c>
      <c r="B51" s="29">
        <v>13808</v>
      </c>
      <c r="C51" s="29">
        <v>2</v>
      </c>
      <c r="D51" s="29" t="s">
        <v>497</v>
      </c>
      <c r="E51" s="29"/>
      <c r="F51" s="29">
        <v>0</v>
      </c>
      <c r="G51" s="29">
        <v>0</v>
      </c>
      <c r="H51" s="29">
        <v>0</v>
      </c>
      <c r="I51" s="29">
        <v>0</v>
      </c>
      <c r="J51" s="29">
        <v>0</v>
      </c>
      <c r="K51" s="29" t="s">
        <v>882</v>
      </c>
      <c r="L51" s="19" t="str">
        <f t="shared" si="0"/>
        <v>Рихтовка</v>
      </c>
      <c r="M51" s="12">
        <f t="shared" si="1"/>
        <v>0</v>
      </c>
      <c r="N51" s="12">
        <f t="shared" si="2"/>
        <v>0</v>
      </c>
      <c r="O51" s="12">
        <f t="shared" si="3"/>
        <v>0</v>
      </c>
      <c r="P51" s="12">
        <f t="shared" si="4"/>
        <v>0</v>
      </c>
      <c r="Q51" s="12">
        <f t="shared" si="5"/>
        <v>0</v>
      </c>
      <c r="R51" s="12">
        <f t="shared" si="6"/>
        <v>0</v>
      </c>
      <c r="S51" s="12">
        <f t="shared" si="7"/>
        <v>0</v>
      </c>
      <c r="T51" s="29">
        <v>0</v>
      </c>
      <c r="U51" s="29">
        <v>0</v>
      </c>
      <c r="V51" s="29">
        <v>0</v>
      </c>
      <c r="W51" s="29">
        <v>0</v>
      </c>
      <c r="X51" s="29">
        <v>0</v>
      </c>
      <c r="Y51" s="29">
        <v>0</v>
      </c>
      <c r="Z51" s="29">
        <v>0</v>
      </c>
      <c r="AA51" s="29">
        <v>0</v>
      </c>
      <c r="AB51" s="29">
        <v>0</v>
      </c>
      <c r="AC51" s="29">
        <v>0</v>
      </c>
      <c r="AD51" s="29">
        <v>0</v>
      </c>
      <c r="AE51" s="29">
        <v>0</v>
      </c>
      <c r="AF51" s="29">
        <v>0</v>
      </c>
      <c r="AG51" s="29">
        <v>0</v>
      </c>
      <c r="AH51" s="29">
        <v>0</v>
      </c>
      <c r="AI51" s="29">
        <v>0</v>
      </c>
      <c r="AJ51" s="29">
        <v>0</v>
      </c>
      <c r="AK51" s="29">
        <v>0</v>
      </c>
      <c r="AL51" s="29">
        <v>0</v>
      </c>
      <c r="AM51" s="29">
        <v>0</v>
      </c>
      <c r="AN51" s="29">
        <v>0</v>
      </c>
      <c r="AO51" s="29">
        <v>0</v>
      </c>
      <c r="AP51" s="29">
        <v>0</v>
      </c>
    </row>
    <row r="52" spans="1:42" x14ac:dyDescent="0.25">
      <c r="A52" s="29">
        <v>2</v>
      </c>
      <c r="B52" s="29">
        <v>13808</v>
      </c>
      <c r="C52" s="29">
        <v>2</v>
      </c>
      <c r="D52" s="29" t="s">
        <v>498</v>
      </c>
      <c r="E52" s="29"/>
      <c r="F52" s="29">
        <v>0</v>
      </c>
      <c r="G52" s="29">
        <v>0</v>
      </c>
      <c r="H52" s="29">
        <v>0</v>
      </c>
      <c r="I52" s="29">
        <v>0</v>
      </c>
      <c r="J52" s="29">
        <v>0</v>
      </c>
      <c r="K52" s="29" t="s">
        <v>882</v>
      </c>
      <c r="L52" s="19" t="str">
        <f t="shared" si="0"/>
        <v>Рихтовка</v>
      </c>
      <c r="M52" s="12">
        <f t="shared" si="1"/>
        <v>0</v>
      </c>
      <c r="N52" s="12">
        <f t="shared" si="2"/>
        <v>0</v>
      </c>
      <c r="O52" s="12">
        <f t="shared" si="3"/>
        <v>0</v>
      </c>
      <c r="P52" s="12">
        <f t="shared" si="4"/>
        <v>0</v>
      </c>
      <c r="Q52" s="12">
        <f t="shared" si="5"/>
        <v>0</v>
      </c>
      <c r="R52" s="12">
        <f t="shared" si="6"/>
        <v>0</v>
      </c>
      <c r="S52" s="12">
        <f t="shared" si="7"/>
        <v>0</v>
      </c>
      <c r="T52" s="29">
        <v>0</v>
      </c>
      <c r="U52" s="29">
        <v>0</v>
      </c>
      <c r="V52" s="29">
        <v>0</v>
      </c>
      <c r="W52" s="29">
        <v>0</v>
      </c>
      <c r="X52" s="29">
        <v>0</v>
      </c>
      <c r="Y52" s="29">
        <v>0</v>
      </c>
      <c r="Z52" s="29">
        <v>0</v>
      </c>
      <c r="AA52" s="29">
        <v>0</v>
      </c>
      <c r="AB52" s="29">
        <v>0</v>
      </c>
      <c r="AC52" s="29">
        <v>0</v>
      </c>
      <c r="AD52" s="29">
        <v>0</v>
      </c>
      <c r="AE52" s="29">
        <v>0</v>
      </c>
      <c r="AF52" s="29">
        <v>0</v>
      </c>
      <c r="AG52" s="29">
        <v>0</v>
      </c>
      <c r="AH52" s="29">
        <v>0</v>
      </c>
      <c r="AI52" s="29">
        <v>0</v>
      </c>
      <c r="AJ52" s="29">
        <v>0</v>
      </c>
      <c r="AK52" s="29">
        <v>0</v>
      </c>
      <c r="AL52" s="29">
        <v>0</v>
      </c>
      <c r="AM52" s="29">
        <v>0</v>
      </c>
      <c r="AN52" s="29">
        <v>0</v>
      </c>
      <c r="AO52" s="29">
        <v>0</v>
      </c>
      <c r="AP52" s="29">
        <v>0</v>
      </c>
    </row>
    <row r="53" spans="1:42" x14ac:dyDescent="0.25">
      <c r="A53" s="29">
        <v>2</v>
      </c>
      <c r="B53" s="29">
        <v>13808</v>
      </c>
      <c r="C53" s="29">
        <v>2</v>
      </c>
      <c r="D53" s="29" t="s">
        <v>499</v>
      </c>
      <c r="E53" s="29"/>
      <c r="F53" s="29">
        <v>0</v>
      </c>
      <c r="G53" s="29">
        <v>0</v>
      </c>
      <c r="H53" s="29">
        <v>0</v>
      </c>
      <c r="I53" s="29">
        <v>0</v>
      </c>
      <c r="J53" s="29">
        <v>0</v>
      </c>
      <c r="K53" s="29" t="s">
        <v>882</v>
      </c>
      <c r="L53" s="19" t="str">
        <f t="shared" si="0"/>
        <v>Рихтовка</v>
      </c>
      <c r="M53" s="12">
        <f t="shared" si="1"/>
        <v>0</v>
      </c>
      <c r="N53" s="12">
        <f t="shared" si="2"/>
        <v>0</v>
      </c>
      <c r="O53" s="12">
        <f t="shared" si="3"/>
        <v>0</v>
      </c>
      <c r="P53" s="12">
        <f t="shared" si="4"/>
        <v>0</v>
      </c>
      <c r="Q53" s="12">
        <f t="shared" si="5"/>
        <v>0</v>
      </c>
      <c r="R53" s="12">
        <f t="shared" si="6"/>
        <v>0</v>
      </c>
      <c r="S53" s="12">
        <f t="shared" si="7"/>
        <v>0</v>
      </c>
      <c r="T53" s="29">
        <v>0</v>
      </c>
      <c r="U53" s="29">
        <v>0</v>
      </c>
      <c r="V53" s="29">
        <v>0</v>
      </c>
      <c r="W53" s="29">
        <v>0</v>
      </c>
      <c r="X53" s="29">
        <v>0</v>
      </c>
      <c r="Y53" s="29">
        <v>0</v>
      </c>
      <c r="Z53" s="29">
        <v>0</v>
      </c>
      <c r="AA53" s="29">
        <v>0</v>
      </c>
      <c r="AB53" s="29">
        <v>0</v>
      </c>
      <c r="AC53" s="29">
        <v>0</v>
      </c>
      <c r="AD53" s="29">
        <v>0</v>
      </c>
      <c r="AE53" s="29">
        <v>0</v>
      </c>
      <c r="AF53" s="29">
        <v>0</v>
      </c>
      <c r="AG53" s="29">
        <v>0</v>
      </c>
      <c r="AH53" s="29">
        <v>0</v>
      </c>
      <c r="AI53" s="29">
        <v>0</v>
      </c>
      <c r="AJ53" s="29">
        <v>0</v>
      </c>
      <c r="AK53" s="29">
        <v>0</v>
      </c>
      <c r="AL53" s="29">
        <v>0</v>
      </c>
      <c r="AM53" s="29">
        <v>0</v>
      </c>
      <c r="AN53" s="29">
        <v>0</v>
      </c>
      <c r="AO53" s="29">
        <v>0</v>
      </c>
      <c r="AP53" s="29">
        <v>0</v>
      </c>
    </row>
    <row r="54" spans="1:42" x14ac:dyDescent="0.25">
      <c r="A54" s="29">
        <v>2</v>
      </c>
      <c r="B54" s="29">
        <v>13873</v>
      </c>
      <c r="C54" s="29" t="s">
        <v>396</v>
      </c>
      <c r="D54" s="29" t="s">
        <v>892</v>
      </c>
      <c r="E54" s="29"/>
      <c r="F54" s="29">
        <v>0</v>
      </c>
      <c r="G54" s="29">
        <v>0</v>
      </c>
      <c r="H54" s="29">
        <v>0</v>
      </c>
      <c r="I54" s="29">
        <v>0</v>
      </c>
      <c r="J54" s="29">
        <v>0</v>
      </c>
      <c r="K54" s="29" t="s">
        <v>882</v>
      </c>
      <c r="L54" s="19" t="str">
        <f t="shared" si="0"/>
        <v>Рихтовка</v>
      </c>
      <c r="M54" s="12">
        <f t="shared" si="1"/>
        <v>0</v>
      </c>
      <c r="N54" s="12">
        <f t="shared" si="2"/>
        <v>0</v>
      </c>
      <c r="O54" s="12">
        <f t="shared" si="3"/>
        <v>0</v>
      </c>
      <c r="P54" s="12">
        <f t="shared" si="4"/>
        <v>0</v>
      </c>
      <c r="Q54" s="12">
        <f t="shared" si="5"/>
        <v>0</v>
      </c>
      <c r="R54" s="12">
        <f t="shared" si="6"/>
        <v>0</v>
      </c>
      <c r="S54" s="12">
        <f t="shared" si="7"/>
        <v>0</v>
      </c>
      <c r="T54" s="29">
        <v>0</v>
      </c>
      <c r="U54" s="29">
        <v>0</v>
      </c>
      <c r="V54" s="29">
        <v>0</v>
      </c>
      <c r="W54" s="29">
        <v>0</v>
      </c>
      <c r="X54" s="29">
        <v>0</v>
      </c>
      <c r="Y54" s="29">
        <v>0</v>
      </c>
      <c r="Z54" s="29">
        <v>0</v>
      </c>
      <c r="AA54" s="29">
        <v>0</v>
      </c>
      <c r="AB54" s="29">
        <v>0</v>
      </c>
      <c r="AC54" s="29">
        <v>0</v>
      </c>
      <c r="AD54" s="29">
        <v>0</v>
      </c>
      <c r="AE54" s="29">
        <v>0</v>
      </c>
      <c r="AF54" s="29">
        <v>0</v>
      </c>
      <c r="AG54" s="29">
        <v>0</v>
      </c>
      <c r="AH54" s="29">
        <v>0</v>
      </c>
      <c r="AI54" s="29">
        <v>0</v>
      </c>
      <c r="AJ54" s="29">
        <v>0</v>
      </c>
      <c r="AK54" s="29">
        <v>0</v>
      </c>
      <c r="AL54" s="29">
        <v>0</v>
      </c>
      <c r="AM54" s="29">
        <v>0</v>
      </c>
      <c r="AN54" s="29">
        <v>0</v>
      </c>
      <c r="AO54" s="29">
        <v>0</v>
      </c>
      <c r="AP54" s="29">
        <v>0</v>
      </c>
    </row>
    <row r="55" spans="1:42" x14ac:dyDescent="0.25">
      <c r="A55" s="29">
        <v>2</v>
      </c>
      <c r="B55" s="29">
        <v>13873</v>
      </c>
      <c r="C55" s="29" t="s">
        <v>396</v>
      </c>
      <c r="D55" s="29" t="s">
        <v>893</v>
      </c>
      <c r="E55" s="29"/>
      <c r="F55" s="29">
        <v>0</v>
      </c>
      <c r="G55" s="29">
        <v>0</v>
      </c>
      <c r="H55" s="29">
        <v>0</v>
      </c>
      <c r="I55" s="29">
        <v>0</v>
      </c>
      <c r="J55" s="29">
        <v>0</v>
      </c>
      <c r="K55" s="29" t="s">
        <v>882</v>
      </c>
      <c r="L55" s="19" t="str">
        <f t="shared" si="0"/>
        <v>Рихтовка</v>
      </c>
      <c r="M55" s="12">
        <f t="shared" si="1"/>
        <v>0</v>
      </c>
      <c r="N55" s="12">
        <f t="shared" si="2"/>
        <v>0</v>
      </c>
      <c r="O55" s="12">
        <f t="shared" si="3"/>
        <v>0</v>
      </c>
      <c r="P55" s="12">
        <f t="shared" si="4"/>
        <v>0</v>
      </c>
      <c r="Q55" s="12">
        <f t="shared" si="5"/>
        <v>0</v>
      </c>
      <c r="R55" s="12">
        <f t="shared" si="6"/>
        <v>0</v>
      </c>
      <c r="S55" s="12">
        <f t="shared" si="7"/>
        <v>0</v>
      </c>
      <c r="T55" s="29">
        <v>0</v>
      </c>
      <c r="U55" s="29">
        <v>0</v>
      </c>
      <c r="V55" s="29">
        <v>0</v>
      </c>
      <c r="W55" s="29">
        <v>0</v>
      </c>
      <c r="X55" s="29">
        <v>0</v>
      </c>
      <c r="Y55" s="29">
        <v>0</v>
      </c>
      <c r="Z55" s="29">
        <v>0</v>
      </c>
      <c r="AA55" s="29">
        <v>0</v>
      </c>
      <c r="AB55" s="29">
        <v>0</v>
      </c>
      <c r="AC55" s="29">
        <v>0</v>
      </c>
      <c r="AD55" s="29">
        <v>0</v>
      </c>
      <c r="AE55" s="29">
        <v>0</v>
      </c>
      <c r="AF55" s="29">
        <v>0</v>
      </c>
      <c r="AG55" s="29">
        <v>0</v>
      </c>
      <c r="AH55" s="29">
        <v>0</v>
      </c>
      <c r="AI55" s="29">
        <v>0</v>
      </c>
      <c r="AJ55" s="29">
        <v>0</v>
      </c>
      <c r="AK55" s="29">
        <v>0</v>
      </c>
      <c r="AL55" s="29">
        <v>0</v>
      </c>
      <c r="AM55" s="29">
        <v>0</v>
      </c>
      <c r="AN55" s="29">
        <v>0</v>
      </c>
      <c r="AO55" s="29">
        <v>0</v>
      </c>
      <c r="AP55" s="29">
        <v>0</v>
      </c>
    </row>
    <row r="56" spans="1:42" x14ac:dyDescent="0.25">
      <c r="A56" s="29">
        <v>2</v>
      </c>
      <c r="B56" s="29">
        <v>13873</v>
      </c>
      <c r="C56" s="29" t="s">
        <v>396</v>
      </c>
      <c r="D56" s="29" t="s">
        <v>894</v>
      </c>
      <c r="E56" s="29"/>
      <c r="F56" s="29">
        <v>0</v>
      </c>
      <c r="G56" s="29">
        <v>0</v>
      </c>
      <c r="H56" s="29">
        <v>0</v>
      </c>
      <c r="I56" s="29">
        <v>0</v>
      </c>
      <c r="J56" s="29">
        <v>0</v>
      </c>
      <c r="K56" s="29" t="s">
        <v>882</v>
      </c>
      <c r="L56" s="19" t="str">
        <f t="shared" si="0"/>
        <v>Рихтовка</v>
      </c>
      <c r="M56" s="12">
        <f t="shared" si="1"/>
        <v>0</v>
      </c>
      <c r="N56" s="12">
        <f t="shared" si="2"/>
        <v>0</v>
      </c>
      <c r="O56" s="12">
        <f t="shared" si="3"/>
        <v>0</v>
      </c>
      <c r="P56" s="12">
        <f t="shared" si="4"/>
        <v>0</v>
      </c>
      <c r="Q56" s="12">
        <f t="shared" si="5"/>
        <v>0</v>
      </c>
      <c r="R56" s="12">
        <f t="shared" si="6"/>
        <v>0</v>
      </c>
      <c r="S56" s="12">
        <f t="shared" si="7"/>
        <v>0</v>
      </c>
      <c r="T56" s="29">
        <v>0</v>
      </c>
      <c r="U56" s="29">
        <v>0</v>
      </c>
      <c r="V56" s="29">
        <v>0</v>
      </c>
      <c r="W56" s="29">
        <v>0</v>
      </c>
      <c r="X56" s="29">
        <v>0</v>
      </c>
      <c r="Y56" s="29">
        <v>0</v>
      </c>
      <c r="Z56" s="29">
        <v>0</v>
      </c>
      <c r="AA56" s="29">
        <v>0</v>
      </c>
      <c r="AB56" s="29">
        <v>0</v>
      </c>
      <c r="AC56" s="29">
        <v>0</v>
      </c>
      <c r="AD56" s="29">
        <v>0</v>
      </c>
      <c r="AE56" s="29">
        <v>0</v>
      </c>
      <c r="AF56" s="29">
        <v>0</v>
      </c>
      <c r="AG56" s="29">
        <v>0</v>
      </c>
      <c r="AH56" s="29">
        <v>0</v>
      </c>
      <c r="AI56" s="29">
        <v>0</v>
      </c>
      <c r="AJ56" s="29">
        <v>0</v>
      </c>
      <c r="AK56" s="29">
        <v>0</v>
      </c>
      <c r="AL56" s="29">
        <v>0</v>
      </c>
      <c r="AM56" s="29">
        <v>0</v>
      </c>
      <c r="AN56" s="29">
        <v>0</v>
      </c>
      <c r="AO56" s="29">
        <v>0</v>
      </c>
      <c r="AP56" s="29">
        <v>0</v>
      </c>
    </row>
    <row r="57" spans="1:42" x14ac:dyDescent="0.25">
      <c r="A57" s="29">
        <v>2</v>
      </c>
      <c r="B57" s="29">
        <v>13873</v>
      </c>
      <c r="C57" s="29" t="s">
        <v>396</v>
      </c>
      <c r="D57" s="29" t="s">
        <v>895</v>
      </c>
      <c r="E57" s="29"/>
      <c r="F57" s="29">
        <v>0</v>
      </c>
      <c r="G57" s="29">
        <v>0</v>
      </c>
      <c r="H57" s="29">
        <v>0</v>
      </c>
      <c r="I57" s="29">
        <v>0</v>
      </c>
      <c r="J57" s="29">
        <v>0</v>
      </c>
      <c r="K57" s="29" t="s">
        <v>882</v>
      </c>
      <c r="L57" s="19" t="str">
        <f t="shared" si="0"/>
        <v>Рихтовка</v>
      </c>
      <c r="M57" s="12">
        <f t="shared" si="1"/>
        <v>0</v>
      </c>
      <c r="N57" s="12">
        <f t="shared" si="2"/>
        <v>0</v>
      </c>
      <c r="O57" s="12">
        <f t="shared" si="3"/>
        <v>0</v>
      </c>
      <c r="P57" s="12">
        <f t="shared" si="4"/>
        <v>0</v>
      </c>
      <c r="Q57" s="12">
        <f t="shared" si="5"/>
        <v>0</v>
      </c>
      <c r="R57" s="12">
        <f t="shared" si="6"/>
        <v>0</v>
      </c>
      <c r="S57" s="12">
        <f t="shared" si="7"/>
        <v>0</v>
      </c>
      <c r="T57" s="29">
        <v>0</v>
      </c>
      <c r="U57" s="29">
        <v>0</v>
      </c>
      <c r="V57" s="29">
        <v>0</v>
      </c>
      <c r="W57" s="29">
        <v>0</v>
      </c>
      <c r="X57" s="29">
        <v>0</v>
      </c>
      <c r="Y57" s="29">
        <v>0</v>
      </c>
      <c r="Z57" s="29">
        <v>0</v>
      </c>
      <c r="AA57" s="29">
        <v>0</v>
      </c>
      <c r="AB57" s="29">
        <v>0</v>
      </c>
      <c r="AC57" s="29">
        <v>0</v>
      </c>
      <c r="AD57" s="29">
        <v>0</v>
      </c>
      <c r="AE57" s="29">
        <v>0</v>
      </c>
      <c r="AF57" s="29">
        <v>0</v>
      </c>
      <c r="AG57" s="29">
        <v>0</v>
      </c>
      <c r="AH57" s="29">
        <v>0</v>
      </c>
      <c r="AI57" s="29">
        <v>0</v>
      </c>
      <c r="AJ57" s="29">
        <v>0</v>
      </c>
      <c r="AK57" s="29">
        <v>0</v>
      </c>
      <c r="AL57" s="29">
        <v>0</v>
      </c>
      <c r="AM57" s="29">
        <v>0</v>
      </c>
      <c r="AN57" s="29">
        <v>0</v>
      </c>
      <c r="AO57" s="29">
        <v>0</v>
      </c>
      <c r="AP57" s="29">
        <v>0</v>
      </c>
    </row>
    <row r="58" spans="1:42" x14ac:dyDescent="0.25">
      <c r="A58" s="29">
        <v>2</v>
      </c>
      <c r="B58" s="29">
        <v>24901</v>
      </c>
      <c r="C58" s="29">
        <v>1</v>
      </c>
      <c r="D58" s="29" t="s">
        <v>500</v>
      </c>
      <c r="E58" s="29"/>
      <c r="F58" s="29">
        <v>0</v>
      </c>
      <c r="G58" s="29">
        <v>0</v>
      </c>
      <c r="H58" s="29">
        <v>0</v>
      </c>
      <c r="I58" s="29">
        <v>0</v>
      </c>
      <c r="J58" s="29">
        <v>0</v>
      </c>
      <c r="K58" s="29" t="s">
        <v>882</v>
      </c>
      <c r="L58" s="19" t="str">
        <f t="shared" si="0"/>
        <v>Рихтовка</v>
      </c>
      <c r="M58" s="12">
        <f t="shared" si="1"/>
        <v>0</v>
      </c>
      <c r="N58" s="12">
        <f t="shared" si="2"/>
        <v>0</v>
      </c>
      <c r="O58" s="12">
        <f t="shared" si="3"/>
        <v>0</v>
      </c>
      <c r="P58" s="12">
        <f t="shared" si="4"/>
        <v>0</v>
      </c>
      <c r="Q58" s="12">
        <f t="shared" si="5"/>
        <v>0</v>
      </c>
      <c r="R58" s="12">
        <f t="shared" si="6"/>
        <v>0</v>
      </c>
      <c r="S58" s="12">
        <f t="shared" si="7"/>
        <v>0</v>
      </c>
      <c r="T58" s="29">
        <v>0</v>
      </c>
      <c r="U58" s="29">
        <v>0</v>
      </c>
      <c r="V58" s="29">
        <v>0</v>
      </c>
      <c r="W58" s="29">
        <v>0</v>
      </c>
      <c r="X58" s="29">
        <v>0</v>
      </c>
      <c r="Y58" s="29">
        <v>0</v>
      </c>
      <c r="Z58" s="29">
        <v>0</v>
      </c>
      <c r="AA58" s="29">
        <v>0</v>
      </c>
      <c r="AB58" s="29">
        <v>0</v>
      </c>
      <c r="AC58" s="29">
        <v>0</v>
      </c>
      <c r="AD58" s="29">
        <v>0</v>
      </c>
      <c r="AE58" s="29">
        <v>0</v>
      </c>
      <c r="AF58" s="29">
        <v>0</v>
      </c>
      <c r="AG58" s="29">
        <v>0</v>
      </c>
      <c r="AH58" s="29">
        <v>0</v>
      </c>
      <c r="AI58" s="29">
        <v>0</v>
      </c>
      <c r="AJ58" s="29">
        <v>0</v>
      </c>
      <c r="AK58" s="29">
        <v>0</v>
      </c>
      <c r="AL58" s="29">
        <v>0</v>
      </c>
      <c r="AM58" s="29">
        <v>0</v>
      </c>
      <c r="AN58" s="29">
        <v>0</v>
      </c>
      <c r="AO58" s="29">
        <v>0</v>
      </c>
      <c r="AP58" s="29">
        <v>0</v>
      </c>
    </row>
    <row r="59" spans="1:42" x14ac:dyDescent="0.25">
      <c r="A59" s="29">
        <v>28</v>
      </c>
      <c r="B59" s="29">
        <v>24901</v>
      </c>
      <c r="C59" s="29">
        <v>1</v>
      </c>
      <c r="D59" s="29" t="s">
        <v>500</v>
      </c>
      <c r="E59" s="29"/>
      <c r="F59" s="29">
        <v>0</v>
      </c>
      <c r="G59" s="29">
        <v>0</v>
      </c>
      <c r="H59" s="29">
        <v>0</v>
      </c>
      <c r="I59" s="29">
        <v>0</v>
      </c>
      <c r="J59" s="29">
        <v>0</v>
      </c>
      <c r="K59" s="29" t="s">
        <v>882</v>
      </c>
      <c r="L59" s="19" t="str">
        <f t="shared" si="0"/>
        <v>Рихтовка</v>
      </c>
      <c r="M59" s="12">
        <f t="shared" si="1"/>
        <v>0</v>
      </c>
      <c r="N59" s="12">
        <f t="shared" si="2"/>
        <v>0</v>
      </c>
      <c r="O59" s="12">
        <f t="shared" si="3"/>
        <v>0</v>
      </c>
      <c r="P59" s="12">
        <f t="shared" si="4"/>
        <v>0</v>
      </c>
      <c r="Q59" s="12">
        <f t="shared" si="5"/>
        <v>0</v>
      </c>
      <c r="R59" s="12">
        <f t="shared" si="6"/>
        <v>0</v>
      </c>
      <c r="S59" s="12">
        <f t="shared" si="7"/>
        <v>0</v>
      </c>
      <c r="T59" s="29">
        <v>0</v>
      </c>
      <c r="U59" s="29">
        <v>0</v>
      </c>
      <c r="V59" s="29">
        <v>0</v>
      </c>
      <c r="W59" s="29">
        <v>0</v>
      </c>
      <c r="X59" s="29">
        <v>0</v>
      </c>
      <c r="Y59" s="29">
        <v>0</v>
      </c>
      <c r="Z59" s="29">
        <v>0</v>
      </c>
      <c r="AA59" s="29">
        <v>0</v>
      </c>
      <c r="AB59" s="29">
        <v>0</v>
      </c>
      <c r="AC59" s="29">
        <v>0</v>
      </c>
      <c r="AD59" s="29">
        <v>0</v>
      </c>
      <c r="AE59" s="29">
        <v>0</v>
      </c>
      <c r="AF59" s="29">
        <v>0</v>
      </c>
      <c r="AG59" s="29">
        <v>0</v>
      </c>
      <c r="AH59" s="29">
        <v>0</v>
      </c>
      <c r="AI59" s="29">
        <v>0</v>
      </c>
      <c r="AJ59" s="29">
        <v>0</v>
      </c>
      <c r="AK59" s="29">
        <v>0</v>
      </c>
      <c r="AL59" s="29">
        <v>0</v>
      </c>
      <c r="AM59" s="29">
        <v>0</v>
      </c>
      <c r="AN59" s="29">
        <v>0</v>
      </c>
      <c r="AO59" s="29">
        <v>0</v>
      </c>
      <c r="AP59" s="29">
        <v>0</v>
      </c>
    </row>
    <row r="60" spans="1:42" x14ac:dyDescent="0.25">
      <c r="A60" s="29">
        <v>28</v>
      </c>
      <c r="B60" s="29">
        <v>24901</v>
      </c>
      <c r="C60" s="29">
        <v>1</v>
      </c>
      <c r="D60" s="29" t="s">
        <v>501</v>
      </c>
      <c r="E60" s="29"/>
      <c r="F60" s="29">
        <v>0</v>
      </c>
      <c r="G60" s="29">
        <v>0</v>
      </c>
      <c r="H60" s="29">
        <v>0</v>
      </c>
      <c r="I60" s="29">
        <v>0</v>
      </c>
      <c r="J60" s="29">
        <v>0</v>
      </c>
      <c r="K60" s="29" t="s">
        <v>882</v>
      </c>
      <c r="L60" s="19" t="str">
        <f t="shared" si="0"/>
        <v>Рихтовка</v>
      </c>
      <c r="M60" s="12">
        <f t="shared" si="1"/>
        <v>0</v>
      </c>
      <c r="N60" s="12">
        <f t="shared" si="2"/>
        <v>0</v>
      </c>
      <c r="O60" s="12">
        <f t="shared" si="3"/>
        <v>0</v>
      </c>
      <c r="P60" s="12">
        <f t="shared" si="4"/>
        <v>0</v>
      </c>
      <c r="Q60" s="12">
        <f t="shared" si="5"/>
        <v>0</v>
      </c>
      <c r="R60" s="12">
        <f t="shared" si="6"/>
        <v>0</v>
      </c>
      <c r="S60" s="12">
        <f t="shared" si="7"/>
        <v>0</v>
      </c>
      <c r="T60" s="29">
        <v>0</v>
      </c>
      <c r="U60" s="29">
        <v>0</v>
      </c>
      <c r="V60" s="29">
        <v>0</v>
      </c>
      <c r="W60" s="29">
        <v>0</v>
      </c>
      <c r="X60" s="29">
        <v>0</v>
      </c>
      <c r="Y60" s="29">
        <v>0</v>
      </c>
      <c r="Z60" s="29">
        <v>0</v>
      </c>
      <c r="AA60" s="29">
        <v>0</v>
      </c>
      <c r="AB60" s="29">
        <v>0</v>
      </c>
      <c r="AC60" s="29">
        <v>0</v>
      </c>
      <c r="AD60" s="29">
        <v>0</v>
      </c>
      <c r="AE60" s="29">
        <v>0</v>
      </c>
      <c r="AF60" s="29">
        <v>0</v>
      </c>
      <c r="AG60" s="29">
        <v>0</v>
      </c>
      <c r="AH60" s="29">
        <v>0</v>
      </c>
      <c r="AI60" s="29">
        <v>0</v>
      </c>
      <c r="AJ60" s="29">
        <v>0</v>
      </c>
      <c r="AK60" s="29">
        <v>0</v>
      </c>
      <c r="AL60" s="29">
        <v>0</v>
      </c>
      <c r="AM60" s="29">
        <v>0</v>
      </c>
      <c r="AN60" s="29">
        <v>0</v>
      </c>
      <c r="AO60" s="29">
        <v>0</v>
      </c>
      <c r="AP60" s="29">
        <v>0</v>
      </c>
    </row>
    <row r="61" spans="1:42" x14ac:dyDescent="0.25">
      <c r="A61" s="29">
        <v>28</v>
      </c>
      <c r="B61" s="29">
        <v>24901</v>
      </c>
      <c r="C61" s="29">
        <v>1</v>
      </c>
      <c r="D61" s="29" t="s">
        <v>502</v>
      </c>
      <c r="E61" s="29"/>
      <c r="F61" s="29">
        <v>0</v>
      </c>
      <c r="G61" s="29">
        <v>0</v>
      </c>
      <c r="H61" s="29">
        <v>0</v>
      </c>
      <c r="I61" s="29">
        <v>0</v>
      </c>
      <c r="J61" s="29">
        <v>0</v>
      </c>
      <c r="K61" s="29" t="s">
        <v>882</v>
      </c>
      <c r="L61" s="19" t="str">
        <f t="shared" si="0"/>
        <v>Рихтовка</v>
      </c>
      <c r="M61" s="12">
        <f t="shared" si="1"/>
        <v>0</v>
      </c>
      <c r="N61" s="12">
        <f t="shared" si="2"/>
        <v>0</v>
      </c>
      <c r="O61" s="12">
        <f t="shared" si="3"/>
        <v>0</v>
      </c>
      <c r="P61" s="12">
        <f t="shared" si="4"/>
        <v>0</v>
      </c>
      <c r="Q61" s="12">
        <f t="shared" si="5"/>
        <v>0</v>
      </c>
      <c r="R61" s="12">
        <f t="shared" si="6"/>
        <v>0</v>
      </c>
      <c r="S61" s="12">
        <f t="shared" si="7"/>
        <v>0</v>
      </c>
      <c r="T61" s="29">
        <v>0</v>
      </c>
      <c r="U61" s="29">
        <v>0</v>
      </c>
      <c r="V61" s="29">
        <v>0</v>
      </c>
      <c r="W61" s="29">
        <v>0</v>
      </c>
      <c r="X61" s="29">
        <v>0</v>
      </c>
      <c r="Y61" s="29">
        <v>0</v>
      </c>
      <c r="Z61" s="29">
        <v>0</v>
      </c>
      <c r="AA61" s="29">
        <v>0</v>
      </c>
      <c r="AB61" s="29">
        <v>0</v>
      </c>
      <c r="AC61" s="29">
        <v>0</v>
      </c>
      <c r="AD61" s="29">
        <v>0</v>
      </c>
      <c r="AE61" s="29">
        <v>0</v>
      </c>
      <c r="AF61" s="29">
        <v>0</v>
      </c>
      <c r="AG61" s="29">
        <v>0</v>
      </c>
      <c r="AH61" s="29">
        <v>0</v>
      </c>
      <c r="AI61" s="29">
        <v>0</v>
      </c>
      <c r="AJ61" s="29">
        <v>0</v>
      </c>
      <c r="AK61" s="29">
        <v>0</v>
      </c>
      <c r="AL61" s="29">
        <v>0</v>
      </c>
      <c r="AM61" s="29">
        <v>0</v>
      </c>
      <c r="AN61" s="29">
        <v>0</v>
      </c>
      <c r="AO61" s="29">
        <v>0</v>
      </c>
      <c r="AP61" s="29">
        <v>0</v>
      </c>
    </row>
    <row r="62" spans="1:42" x14ac:dyDescent="0.25">
      <c r="A62" s="29">
        <v>28</v>
      </c>
      <c r="B62" s="29">
        <v>24901</v>
      </c>
      <c r="C62" s="29">
        <v>1</v>
      </c>
      <c r="D62" s="29" t="s">
        <v>503</v>
      </c>
      <c r="E62" s="29"/>
      <c r="F62" s="29">
        <v>0</v>
      </c>
      <c r="G62" s="29">
        <v>0</v>
      </c>
      <c r="H62" s="29">
        <v>0</v>
      </c>
      <c r="I62" s="29">
        <v>0</v>
      </c>
      <c r="J62" s="29">
        <v>0</v>
      </c>
      <c r="K62" s="29" t="s">
        <v>882</v>
      </c>
      <c r="L62" s="19" t="str">
        <f t="shared" si="0"/>
        <v>Рихтовка</v>
      </c>
      <c r="M62" s="12">
        <f t="shared" si="1"/>
        <v>0</v>
      </c>
      <c r="N62" s="12">
        <f t="shared" si="2"/>
        <v>0</v>
      </c>
      <c r="O62" s="12">
        <f t="shared" si="3"/>
        <v>0</v>
      </c>
      <c r="P62" s="12">
        <f t="shared" si="4"/>
        <v>0</v>
      </c>
      <c r="Q62" s="12">
        <f t="shared" si="5"/>
        <v>0</v>
      </c>
      <c r="R62" s="12">
        <f t="shared" si="6"/>
        <v>0</v>
      </c>
      <c r="S62" s="12">
        <f t="shared" si="7"/>
        <v>0</v>
      </c>
      <c r="T62" s="29">
        <v>0</v>
      </c>
      <c r="U62" s="29">
        <v>0</v>
      </c>
      <c r="V62" s="29">
        <v>0</v>
      </c>
      <c r="W62" s="29">
        <v>0</v>
      </c>
      <c r="X62" s="29">
        <v>0</v>
      </c>
      <c r="Y62" s="29">
        <v>0</v>
      </c>
      <c r="Z62" s="29">
        <v>0</v>
      </c>
      <c r="AA62" s="29">
        <v>0</v>
      </c>
      <c r="AB62" s="29">
        <v>0</v>
      </c>
      <c r="AC62" s="29">
        <v>0</v>
      </c>
      <c r="AD62" s="29">
        <v>0</v>
      </c>
      <c r="AE62" s="29">
        <v>0</v>
      </c>
      <c r="AF62" s="29">
        <v>0</v>
      </c>
      <c r="AG62" s="29">
        <v>0</v>
      </c>
      <c r="AH62" s="29">
        <v>0</v>
      </c>
      <c r="AI62" s="29">
        <v>0</v>
      </c>
      <c r="AJ62" s="29">
        <v>0</v>
      </c>
      <c r="AK62" s="29">
        <v>0</v>
      </c>
      <c r="AL62" s="29">
        <v>0</v>
      </c>
      <c r="AM62" s="29">
        <v>0</v>
      </c>
      <c r="AN62" s="29">
        <v>0</v>
      </c>
      <c r="AO62" s="29">
        <v>0</v>
      </c>
      <c r="AP62" s="29">
        <v>0</v>
      </c>
    </row>
    <row r="63" spans="1:42" x14ac:dyDescent="0.25">
      <c r="A63" s="29">
        <v>28</v>
      </c>
      <c r="B63" s="29">
        <v>24901</v>
      </c>
      <c r="C63" s="29">
        <v>1</v>
      </c>
      <c r="D63" s="29" t="s">
        <v>504</v>
      </c>
      <c r="E63" s="29"/>
      <c r="F63" s="29">
        <v>0</v>
      </c>
      <c r="G63" s="29">
        <v>0</v>
      </c>
      <c r="H63" s="29">
        <v>0</v>
      </c>
      <c r="I63" s="29">
        <v>0</v>
      </c>
      <c r="J63" s="29">
        <v>0</v>
      </c>
      <c r="K63" s="29" t="s">
        <v>882</v>
      </c>
      <c r="L63" s="19" t="str">
        <f t="shared" si="0"/>
        <v>Рихтовка</v>
      </c>
      <c r="M63" s="12">
        <f t="shared" si="1"/>
        <v>0</v>
      </c>
      <c r="N63" s="12">
        <f t="shared" si="2"/>
        <v>0</v>
      </c>
      <c r="O63" s="12">
        <f t="shared" si="3"/>
        <v>0</v>
      </c>
      <c r="P63" s="12">
        <f t="shared" si="4"/>
        <v>0</v>
      </c>
      <c r="Q63" s="12">
        <f t="shared" si="5"/>
        <v>0</v>
      </c>
      <c r="R63" s="12">
        <f t="shared" si="6"/>
        <v>0</v>
      </c>
      <c r="S63" s="12">
        <f t="shared" si="7"/>
        <v>0</v>
      </c>
      <c r="T63" s="29">
        <v>0</v>
      </c>
      <c r="U63" s="29">
        <v>0</v>
      </c>
      <c r="V63" s="29">
        <v>0</v>
      </c>
      <c r="W63" s="29">
        <v>0</v>
      </c>
      <c r="X63" s="29">
        <v>0</v>
      </c>
      <c r="Y63" s="29">
        <v>0</v>
      </c>
      <c r="Z63" s="29">
        <v>0</v>
      </c>
      <c r="AA63" s="29">
        <v>0</v>
      </c>
      <c r="AB63" s="29">
        <v>0</v>
      </c>
      <c r="AC63" s="29">
        <v>0</v>
      </c>
      <c r="AD63" s="29">
        <v>0</v>
      </c>
      <c r="AE63" s="29">
        <v>0</v>
      </c>
      <c r="AF63" s="29">
        <v>0</v>
      </c>
      <c r="AG63" s="29">
        <v>0</v>
      </c>
      <c r="AH63" s="29">
        <v>0</v>
      </c>
      <c r="AI63" s="29">
        <v>0</v>
      </c>
      <c r="AJ63" s="29">
        <v>0</v>
      </c>
      <c r="AK63" s="29">
        <v>0</v>
      </c>
      <c r="AL63" s="29">
        <v>0</v>
      </c>
      <c r="AM63" s="29">
        <v>0</v>
      </c>
      <c r="AN63" s="29">
        <v>0</v>
      </c>
      <c r="AO63" s="29">
        <v>0</v>
      </c>
      <c r="AP63" s="29">
        <v>0</v>
      </c>
    </row>
    <row r="64" spans="1:42" x14ac:dyDescent="0.25">
      <c r="A64" s="29">
        <v>28</v>
      </c>
      <c r="B64" s="29">
        <v>24901</v>
      </c>
      <c r="C64" s="29">
        <v>1</v>
      </c>
      <c r="D64" s="29" t="s">
        <v>505</v>
      </c>
      <c r="E64" s="29"/>
      <c r="F64" s="29">
        <v>0</v>
      </c>
      <c r="G64" s="29">
        <v>0</v>
      </c>
      <c r="H64" s="29">
        <v>0</v>
      </c>
      <c r="I64" s="29">
        <v>0</v>
      </c>
      <c r="J64" s="29">
        <v>0</v>
      </c>
      <c r="K64" s="29" t="s">
        <v>882</v>
      </c>
      <c r="L64" s="19" t="str">
        <f t="shared" si="0"/>
        <v>Рихтовка</v>
      </c>
      <c r="M64" s="12">
        <f t="shared" si="1"/>
        <v>0</v>
      </c>
      <c r="N64" s="12">
        <f t="shared" si="2"/>
        <v>0</v>
      </c>
      <c r="O64" s="12">
        <f t="shared" si="3"/>
        <v>0</v>
      </c>
      <c r="P64" s="12">
        <f t="shared" si="4"/>
        <v>0</v>
      </c>
      <c r="Q64" s="12">
        <f t="shared" si="5"/>
        <v>0</v>
      </c>
      <c r="R64" s="12">
        <f t="shared" si="6"/>
        <v>0</v>
      </c>
      <c r="S64" s="12">
        <f t="shared" si="7"/>
        <v>0</v>
      </c>
      <c r="T64" s="29">
        <v>0</v>
      </c>
      <c r="U64" s="29">
        <v>0</v>
      </c>
      <c r="V64" s="29">
        <v>0</v>
      </c>
      <c r="W64" s="29">
        <v>0</v>
      </c>
      <c r="X64" s="29">
        <v>0</v>
      </c>
      <c r="Y64" s="29">
        <v>0</v>
      </c>
      <c r="Z64" s="29">
        <v>0</v>
      </c>
      <c r="AA64" s="29">
        <v>0</v>
      </c>
      <c r="AB64" s="29">
        <v>0</v>
      </c>
      <c r="AC64" s="29">
        <v>0</v>
      </c>
      <c r="AD64" s="29">
        <v>0</v>
      </c>
      <c r="AE64" s="29">
        <v>0</v>
      </c>
      <c r="AF64" s="29">
        <v>0</v>
      </c>
      <c r="AG64" s="29">
        <v>0</v>
      </c>
      <c r="AH64" s="29">
        <v>0</v>
      </c>
      <c r="AI64" s="29">
        <v>0</v>
      </c>
      <c r="AJ64" s="29">
        <v>0</v>
      </c>
      <c r="AK64" s="29">
        <v>0</v>
      </c>
      <c r="AL64" s="29">
        <v>0</v>
      </c>
      <c r="AM64" s="29">
        <v>0</v>
      </c>
      <c r="AN64" s="29">
        <v>0</v>
      </c>
      <c r="AO64" s="29">
        <v>0</v>
      </c>
      <c r="AP64" s="29">
        <v>0</v>
      </c>
    </row>
    <row r="65" spans="1:42" x14ac:dyDescent="0.25">
      <c r="A65" s="29">
        <v>28</v>
      </c>
      <c r="B65" s="29">
        <v>24901</v>
      </c>
      <c r="C65" s="29">
        <v>1</v>
      </c>
      <c r="D65" s="29" t="s">
        <v>506</v>
      </c>
      <c r="E65" s="29"/>
      <c r="F65" s="29">
        <v>0</v>
      </c>
      <c r="G65" s="29">
        <v>0</v>
      </c>
      <c r="H65" s="29">
        <v>0</v>
      </c>
      <c r="I65" s="29">
        <v>0</v>
      </c>
      <c r="J65" s="29">
        <v>0</v>
      </c>
      <c r="K65" s="29" t="s">
        <v>882</v>
      </c>
      <c r="L65" s="19" t="str">
        <f t="shared" si="0"/>
        <v>Рихтовка</v>
      </c>
      <c r="M65" s="12">
        <f t="shared" si="1"/>
        <v>0</v>
      </c>
      <c r="N65" s="12">
        <f t="shared" si="2"/>
        <v>0</v>
      </c>
      <c r="O65" s="12">
        <f t="shared" si="3"/>
        <v>0</v>
      </c>
      <c r="P65" s="12">
        <f t="shared" si="4"/>
        <v>0</v>
      </c>
      <c r="Q65" s="12">
        <f t="shared" si="5"/>
        <v>0</v>
      </c>
      <c r="R65" s="12">
        <f t="shared" si="6"/>
        <v>0</v>
      </c>
      <c r="S65" s="12">
        <f t="shared" si="7"/>
        <v>0</v>
      </c>
      <c r="T65" s="29">
        <v>0</v>
      </c>
      <c r="U65" s="29">
        <v>0</v>
      </c>
      <c r="V65" s="29">
        <v>0</v>
      </c>
      <c r="W65" s="29">
        <v>0</v>
      </c>
      <c r="X65" s="29">
        <v>0</v>
      </c>
      <c r="Y65" s="29">
        <v>0</v>
      </c>
      <c r="Z65" s="29">
        <v>0</v>
      </c>
      <c r="AA65" s="29">
        <v>0</v>
      </c>
      <c r="AB65" s="29">
        <v>0</v>
      </c>
      <c r="AC65" s="29">
        <v>0</v>
      </c>
      <c r="AD65" s="29">
        <v>0</v>
      </c>
      <c r="AE65" s="29">
        <v>0</v>
      </c>
      <c r="AF65" s="29">
        <v>0</v>
      </c>
      <c r="AG65" s="29">
        <v>0</v>
      </c>
      <c r="AH65" s="29">
        <v>0</v>
      </c>
      <c r="AI65" s="29">
        <v>0</v>
      </c>
      <c r="AJ65" s="29">
        <v>0</v>
      </c>
      <c r="AK65" s="29">
        <v>0</v>
      </c>
      <c r="AL65" s="29">
        <v>0</v>
      </c>
      <c r="AM65" s="29">
        <v>0</v>
      </c>
      <c r="AN65" s="29">
        <v>0</v>
      </c>
      <c r="AO65" s="29">
        <v>0</v>
      </c>
      <c r="AP65" s="29">
        <v>0</v>
      </c>
    </row>
    <row r="66" spans="1:42" x14ac:dyDescent="0.25">
      <c r="A66" s="29">
        <v>28</v>
      </c>
      <c r="B66" s="29">
        <v>24901</v>
      </c>
      <c r="C66" s="29">
        <v>1</v>
      </c>
      <c r="D66" s="29" t="s">
        <v>507</v>
      </c>
      <c r="E66" s="29"/>
      <c r="F66" s="29">
        <v>0</v>
      </c>
      <c r="G66" s="29">
        <v>0</v>
      </c>
      <c r="H66" s="29">
        <v>0</v>
      </c>
      <c r="I66" s="29">
        <v>0</v>
      </c>
      <c r="J66" s="29">
        <v>0</v>
      </c>
      <c r="K66" s="29" t="s">
        <v>882</v>
      </c>
      <c r="L66" s="19" t="str">
        <f t="shared" ref="L66:L129" si="8">IF($M66=N66,$N$1,IF($M66=O66,$O$1,IF($M66=P66,$P$1,IF($M66=Q66,$Q$1,IF($M66=R66,$R$1,$S$1)))))</f>
        <v>Рихтовка</v>
      </c>
      <c r="M66" s="12">
        <f t="shared" si="1"/>
        <v>0</v>
      </c>
      <c r="N66" s="12">
        <f t="shared" si="2"/>
        <v>0</v>
      </c>
      <c r="O66" s="12">
        <f t="shared" si="3"/>
        <v>0</v>
      </c>
      <c r="P66" s="12">
        <f t="shared" si="4"/>
        <v>0</v>
      </c>
      <c r="Q66" s="12">
        <f t="shared" si="5"/>
        <v>0</v>
      </c>
      <c r="R66" s="12">
        <f t="shared" si="6"/>
        <v>0</v>
      </c>
      <c r="S66" s="12">
        <f t="shared" si="7"/>
        <v>0</v>
      </c>
      <c r="T66" s="29">
        <v>0</v>
      </c>
      <c r="U66" s="29">
        <v>0</v>
      </c>
      <c r="V66" s="29">
        <v>0</v>
      </c>
      <c r="W66" s="29">
        <v>0</v>
      </c>
      <c r="X66" s="29">
        <v>0</v>
      </c>
      <c r="Y66" s="29">
        <v>0</v>
      </c>
      <c r="Z66" s="29">
        <v>0</v>
      </c>
      <c r="AA66" s="29">
        <v>0</v>
      </c>
      <c r="AB66" s="29">
        <v>0</v>
      </c>
      <c r="AC66" s="29">
        <v>0</v>
      </c>
      <c r="AD66" s="29">
        <v>0</v>
      </c>
      <c r="AE66" s="29">
        <v>0</v>
      </c>
      <c r="AF66" s="29">
        <v>0</v>
      </c>
      <c r="AG66" s="29">
        <v>0</v>
      </c>
      <c r="AH66" s="29">
        <v>0</v>
      </c>
      <c r="AI66" s="29">
        <v>0</v>
      </c>
      <c r="AJ66" s="29">
        <v>0</v>
      </c>
      <c r="AK66" s="29">
        <v>0</v>
      </c>
      <c r="AL66" s="29">
        <v>0</v>
      </c>
      <c r="AM66" s="29">
        <v>0</v>
      </c>
      <c r="AN66" s="29">
        <v>0</v>
      </c>
      <c r="AO66" s="29">
        <v>0</v>
      </c>
      <c r="AP66" s="29">
        <v>0</v>
      </c>
    </row>
    <row r="67" spans="1:42" x14ac:dyDescent="0.25">
      <c r="A67" s="29">
        <v>28</v>
      </c>
      <c r="B67" s="29">
        <v>24901</v>
      </c>
      <c r="C67" s="29">
        <v>1</v>
      </c>
      <c r="D67" s="29" t="s">
        <v>508</v>
      </c>
      <c r="E67" s="29"/>
      <c r="F67" s="29">
        <v>0</v>
      </c>
      <c r="G67" s="29">
        <v>0</v>
      </c>
      <c r="H67" s="29">
        <v>0</v>
      </c>
      <c r="I67" s="29">
        <v>0</v>
      </c>
      <c r="J67" s="29">
        <v>0</v>
      </c>
      <c r="K67" s="29" t="s">
        <v>882</v>
      </c>
      <c r="L67" s="19" t="str">
        <f t="shared" si="8"/>
        <v>Рихтовка</v>
      </c>
      <c r="M67" s="12">
        <f t="shared" ref="M67:M130" si="9">MAX(N67,O67,P67,Q67,R67,S67)</f>
        <v>0</v>
      </c>
      <c r="N67" s="12">
        <f t="shared" ref="N67:N130" si="10">T67+U67+V67</f>
        <v>0</v>
      </c>
      <c r="O67" s="12">
        <f t="shared" ref="O67:O130" si="11">W67+X67+Y67</f>
        <v>0</v>
      </c>
      <c r="P67" s="12">
        <f t="shared" ref="P67:P130" si="12">Z67+AA67+AB67</f>
        <v>0</v>
      </c>
      <c r="Q67" s="12">
        <f t="shared" ref="Q67:Q130" si="13">AC67+AD67+AE67</f>
        <v>0</v>
      </c>
      <c r="R67" s="12">
        <f t="shared" ref="R67:R130" si="14">AF67+AG67+AH67</f>
        <v>0</v>
      </c>
      <c r="S67" s="12">
        <f t="shared" ref="S67:S130" si="15">AI67+AJ67+AK67</f>
        <v>0</v>
      </c>
      <c r="T67" s="29">
        <v>0</v>
      </c>
      <c r="U67" s="29">
        <v>0</v>
      </c>
      <c r="V67" s="29">
        <v>0</v>
      </c>
      <c r="W67" s="29">
        <v>0</v>
      </c>
      <c r="X67" s="29">
        <v>0</v>
      </c>
      <c r="Y67" s="29">
        <v>0</v>
      </c>
      <c r="Z67" s="29">
        <v>0</v>
      </c>
      <c r="AA67" s="29">
        <v>0</v>
      </c>
      <c r="AB67" s="29">
        <v>0</v>
      </c>
      <c r="AC67" s="29">
        <v>0</v>
      </c>
      <c r="AD67" s="29">
        <v>0</v>
      </c>
      <c r="AE67" s="29">
        <v>0</v>
      </c>
      <c r="AF67" s="29">
        <v>0</v>
      </c>
      <c r="AG67" s="29">
        <v>0</v>
      </c>
      <c r="AH67" s="29">
        <v>0</v>
      </c>
      <c r="AI67" s="29">
        <v>0</v>
      </c>
      <c r="AJ67" s="29">
        <v>0</v>
      </c>
      <c r="AK67" s="29">
        <v>0</v>
      </c>
      <c r="AL67" s="29">
        <v>0</v>
      </c>
      <c r="AM67" s="29">
        <v>0</v>
      </c>
      <c r="AN67" s="29">
        <v>0</v>
      </c>
      <c r="AO67" s="29">
        <v>0</v>
      </c>
      <c r="AP67" s="29">
        <v>0</v>
      </c>
    </row>
    <row r="68" spans="1:42" x14ac:dyDescent="0.25">
      <c r="A68" s="29">
        <v>28</v>
      </c>
      <c r="B68" s="29">
        <v>24901</v>
      </c>
      <c r="C68" s="29">
        <v>1</v>
      </c>
      <c r="D68" s="29" t="s">
        <v>509</v>
      </c>
      <c r="E68" s="29"/>
      <c r="F68" s="29">
        <v>0</v>
      </c>
      <c r="G68" s="29">
        <v>0</v>
      </c>
      <c r="H68" s="29">
        <v>0</v>
      </c>
      <c r="I68" s="29">
        <v>0</v>
      </c>
      <c r="J68" s="29">
        <v>0</v>
      </c>
      <c r="K68" s="29" t="s">
        <v>882</v>
      </c>
      <c r="L68" s="19" t="str">
        <f t="shared" si="8"/>
        <v>Рихтовка</v>
      </c>
      <c r="M68" s="12">
        <f t="shared" si="9"/>
        <v>0</v>
      </c>
      <c r="N68" s="12">
        <f t="shared" si="10"/>
        <v>0</v>
      </c>
      <c r="O68" s="12">
        <f t="shared" si="11"/>
        <v>0</v>
      </c>
      <c r="P68" s="12">
        <f t="shared" si="12"/>
        <v>0</v>
      </c>
      <c r="Q68" s="12">
        <f t="shared" si="13"/>
        <v>0</v>
      </c>
      <c r="R68" s="12">
        <f t="shared" si="14"/>
        <v>0</v>
      </c>
      <c r="S68" s="12">
        <f t="shared" si="15"/>
        <v>0</v>
      </c>
      <c r="T68" s="29">
        <v>0</v>
      </c>
      <c r="U68" s="29">
        <v>0</v>
      </c>
      <c r="V68" s="29">
        <v>0</v>
      </c>
      <c r="W68" s="29">
        <v>0</v>
      </c>
      <c r="X68" s="29">
        <v>0</v>
      </c>
      <c r="Y68" s="29">
        <v>0</v>
      </c>
      <c r="Z68" s="29">
        <v>0</v>
      </c>
      <c r="AA68" s="29">
        <v>0</v>
      </c>
      <c r="AB68" s="29">
        <v>0</v>
      </c>
      <c r="AC68" s="29">
        <v>0</v>
      </c>
      <c r="AD68" s="29">
        <v>0</v>
      </c>
      <c r="AE68" s="29">
        <v>0</v>
      </c>
      <c r="AF68" s="29">
        <v>0</v>
      </c>
      <c r="AG68" s="29">
        <v>0</v>
      </c>
      <c r="AH68" s="29">
        <v>0</v>
      </c>
      <c r="AI68" s="29">
        <v>0</v>
      </c>
      <c r="AJ68" s="29">
        <v>0</v>
      </c>
      <c r="AK68" s="29">
        <v>0</v>
      </c>
      <c r="AL68" s="29">
        <v>0</v>
      </c>
      <c r="AM68" s="29">
        <v>0</v>
      </c>
      <c r="AN68" s="29">
        <v>0</v>
      </c>
      <c r="AO68" s="29">
        <v>0</v>
      </c>
      <c r="AP68" s="29">
        <v>0</v>
      </c>
    </row>
    <row r="69" spans="1:42" x14ac:dyDescent="0.25">
      <c r="A69" s="29">
        <v>28</v>
      </c>
      <c r="B69" s="29">
        <v>24901</v>
      </c>
      <c r="C69" s="29">
        <v>1</v>
      </c>
      <c r="D69" s="29" t="s">
        <v>510</v>
      </c>
      <c r="E69" s="29"/>
      <c r="F69" s="29">
        <v>0</v>
      </c>
      <c r="G69" s="29">
        <v>0</v>
      </c>
      <c r="H69" s="29">
        <v>0</v>
      </c>
      <c r="I69" s="29">
        <v>0</v>
      </c>
      <c r="J69" s="29">
        <v>0</v>
      </c>
      <c r="K69" s="29" t="s">
        <v>882</v>
      </c>
      <c r="L69" s="19" t="str">
        <f t="shared" si="8"/>
        <v>Рихтовка</v>
      </c>
      <c r="M69" s="12">
        <f t="shared" si="9"/>
        <v>0</v>
      </c>
      <c r="N69" s="12">
        <f t="shared" si="10"/>
        <v>0</v>
      </c>
      <c r="O69" s="12">
        <f t="shared" si="11"/>
        <v>0</v>
      </c>
      <c r="P69" s="12">
        <f t="shared" si="12"/>
        <v>0</v>
      </c>
      <c r="Q69" s="12">
        <f t="shared" si="13"/>
        <v>0</v>
      </c>
      <c r="R69" s="12">
        <f t="shared" si="14"/>
        <v>0</v>
      </c>
      <c r="S69" s="12">
        <f t="shared" si="15"/>
        <v>0</v>
      </c>
      <c r="T69" s="29">
        <v>0</v>
      </c>
      <c r="U69" s="29">
        <v>0</v>
      </c>
      <c r="V69" s="29">
        <v>0</v>
      </c>
      <c r="W69" s="29">
        <v>0</v>
      </c>
      <c r="X69" s="29">
        <v>0</v>
      </c>
      <c r="Y69" s="29">
        <v>0</v>
      </c>
      <c r="Z69" s="29">
        <v>0</v>
      </c>
      <c r="AA69" s="29">
        <v>0</v>
      </c>
      <c r="AB69" s="29">
        <v>0</v>
      </c>
      <c r="AC69" s="29">
        <v>0</v>
      </c>
      <c r="AD69" s="29">
        <v>0</v>
      </c>
      <c r="AE69" s="29">
        <v>0</v>
      </c>
      <c r="AF69" s="29">
        <v>0</v>
      </c>
      <c r="AG69" s="29">
        <v>0</v>
      </c>
      <c r="AH69" s="29">
        <v>0</v>
      </c>
      <c r="AI69" s="29">
        <v>0</v>
      </c>
      <c r="AJ69" s="29">
        <v>0</v>
      </c>
      <c r="AK69" s="29">
        <v>0</v>
      </c>
      <c r="AL69" s="29">
        <v>0</v>
      </c>
      <c r="AM69" s="29">
        <v>0</v>
      </c>
      <c r="AN69" s="29">
        <v>0</v>
      </c>
      <c r="AO69" s="29">
        <v>0</v>
      </c>
      <c r="AP69" s="29">
        <v>0</v>
      </c>
    </row>
    <row r="70" spans="1:42" x14ac:dyDescent="0.25">
      <c r="A70" s="29">
        <v>28</v>
      </c>
      <c r="B70" s="29">
        <v>24901</v>
      </c>
      <c r="C70" s="29">
        <v>1</v>
      </c>
      <c r="D70" s="29" t="s">
        <v>511</v>
      </c>
      <c r="E70" s="29"/>
      <c r="F70" s="29">
        <v>0</v>
      </c>
      <c r="G70" s="29">
        <v>0</v>
      </c>
      <c r="H70" s="29">
        <v>0</v>
      </c>
      <c r="I70" s="29">
        <v>0</v>
      </c>
      <c r="J70" s="29">
        <v>0</v>
      </c>
      <c r="K70" s="29" t="s">
        <v>882</v>
      </c>
      <c r="L70" s="19" t="str">
        <f t="shared" si="8"/>
        <v>Рихтовка</v>
      </c>
      <c r="M70" s="12">
        <f t="shared" si="9"/>
        <v>0</v>
      </c>
      <c r="N70" s="12">
        <f t="shared" si="10"/>
        <v>0</v>
      </c>
      <c r="O70" s="12">
        <f t="shared" si="11"/>
        <v>0</v>
      </c>
      <c r="P70" s="12">
        <f t="shared" si="12"/>
        <v>0</v>
      </c>
      <c r="Q70" s="12">
        <f t="shared" si="13"/>
        <v>0</v>
      </c>
      <c r="R70" s="12">
        <f t="shared" si="14"/>
        <v>0</v>
      </c>
      <c r="S70" s="12">
        <f t="shared" si="15"/>
        <v>0</v>
      </c>
      <c r="T70" s="29">
        <v>0</v>
      </c>
      <c r="U70" s="29">
        <v>0</v>
      </c>
      <c r="V70" s="29">
        <v>0</v>
      </c>
      <c r="W70" s="29">
        <v>0</v>
      </c>
      <c r="X70" s="29">
        <v>0</v>
      </c>
      <c r="Y70" s="29">
        <v>0</v>
      </c>
      <c r="Z70" s="29">
        <v>0</v>
      </c>
      <c r="AA70" s="29">
        <v>0</v>
      </c>
      <c r="AB70" s="29">
        <v>0</v>
      </c>
      <c r="AC70" s="29">
        <v>0</v>
      </c>
      <c r="AD70" s="29">
        <v>0</v>
      </c>
      <c r="AE70" s="29">
        <v>0</v>
      </c>
      <c r="AF70" s="29">
        <v>0</v>
      </c>
      <c r="AG70" s="29">
        <v>0</v>
      </c>
      <c r="AH70" s="29">
        <v>0</v>
      </c>
      <c r="AI70" s="29">
        <v>0</v>
      </c>
      <c r="AJ70" s="29">
        <v>0</v>
      </c>
      <c r="AK70" s="29">
        <v>0</v>
      </c>
      <c r="AL70" s="29">
        <v>0</v>
      </c>
      <c r="AM70" s="29">
        <v>0</v>
      </c>
      <c r="AN70" s="29">
        <v>0</v>
      </c>
      <c r="AO70" s="29">
        <v>0</v>
      </c>
      <c r="AP70" s="29">
        <v>0</v>
      </c>
    </row>
    <row r="71" spans="1:42" x14ac:dyDescent="0.25">
      <c r="A71" s="29">
        <v>28</v>
      </c>
      <c r="B71" s="29">
        <v>24901</v>
      </c>
      <c r="C71" s="29">
        <v>1</v>
      </c>
      <c r="D71" s="29" t="s">
        <v>512</v>
      </c>
      <c r="E71" s="29"/>
      <c r="F71" s="29">
        <v>0</v>
      </c>
      <c r="G71" s="29">
        <v>0</v>
      </c>
      <c r="H71" s="29">
        <v>0</v>
      </c>
      <c r="I71" s="29">
        <v>0</v>
      </c>
      <c r="J71" s="29">
        <v>0</v>
      </c>
      <c r="K71" s="29" t="s">
        <v>882</v>
      </c>
      <c r="L71" s="19" t="str">
        <f t="shared" si="8"/>
        <v>Рихтовка</v>
      </c>
      <c r="M71" s="12">
        <f t="shared" si="9"/>
        <v>0</v>
      </c>
      <c r="N71" s="12">
        <f t="shared" si="10"/>
        <v>0</v>
      </c>
      <c r="O71" s="12">
        <f t="shared" si="11"/>
        <v>0</v>
      </c>
      <c r="P71" s="12">
        <f t="shared" si="12"/>
        <v>0</v>
      </c>
      <c r="Q71" s="12">
        <f t="shared" si="13"/>
        <v>0</v>
      </c>
      <c r="R71" s="12">
        <f t="shared" si="14"/>
        <v>0</v>
      </c>
      <c r="S71" s="12">
        <f t="shared" si="15"/>
        <v>0</v>
      </c>
      <c r="T71" s="29">
        <v>0</v>
      </c>
      <c r="U71" s="29">
        <v>0</v>
      </c>
      <c r="V71" s="29">
        <v>0</v>
      </c>
      <c r="W71" s="29">
        <v>0</v>
      </c>
      <c r="X71" s="29">
        <v>0</v>
      </c>
      <c r="Y71" s="29">
        <v>0</v>
      </c>
      <c r="Z71" s="29">
        <v>0</v>
      </c>
      <c r="AA71" s="29">
        <v>0</v>
      </c>
      <c r="AB71" s="29">
        <v>0</v>
      </c>
      <c r="AC71" s="29">
        <v>0</v>
      </c>
      <c r="AD71" s="29">
        <v>0</v>
      </c>
      <c r="AE71" s="29">
        <v>0</v>
      </c>
      <c r="AF71" s="29">
        <v>0</v>
      </c>
      <c r="AG71" s="29">
        <v>0</v>
      </c>
      <c r="AH71" s="29">
        <v>0</v>
      </c>
      <c r="AI71" s="29">
        <v>0</v>
      </c>
      <c r="AJ71" s="29">
        <v>0</v>
      </c>
      <c r="AK71" s="29">
        <v>0</v>
      </c>
      <c r="AL71" s="29">
        <v>0</v>
      </c>
      <c r="AM71" s="29">
        <v>0</v>
      </c>
      <c r="AN71" s="29">
        <v>0</v>
      </c>
      <c r="AO71" s="29">
        <v>0</v>
      </c>
      <c r="AP71" s="29">
        <v>0</v>
      </c>
    </row>
    <row r="72" spans="1:42" x14ac:dyDescent="0.25">
      <c r="A72" s="29">
        <v>28</v>
      </c>
      <c r="B72" s="29">
        <v>24901</v>
      </c>
      <c r="C72" s="29">
        <v>1</v>
      </c>
      <c r="D72" s="29" t="s">
        <v>513</v>
      </c>
      <c r="E72" s="29"/>
      <c r="F72" s="29">
        <v>0</v>
      </c>
      <c r="G72" s="29">
        <v>0</v>
      </c>
      <c r="H72" s="29">
        <v>0</v>
      </c>
      <c r="I72" s="29">
        <v>0</v>
      </c>
      <c r="J72" s="29">
        <v>0</v>
      </c>
      <c r="K72" s="29" t="s">
        <v>882</v>
      </c>
      <c r="L72" s="19" t="str">
        <f t="shared" si="8"/>
        <v>Рихтовка</v>
      </c>
      <c r="M72" s="12">
        <f t="shared" si="9"/>
        <v>0</v>
      </c>
      <c r="N72" s="12">
        <f t="shared" si="10"/>
        <v>0</v>
      </c>
      <c r="O72" s="12">
        <f t="shared" si="11"/>
        <v>0</v>
      </c>
      <c r="P72" s="12">
        <f t="shared" si="12"/>
        <v>0</v>
      </c>
      <c r="Q72" s="12">
        <f t="shared" si="13"/>
        <v>0</v>
      </c>
      <c r="R72" s="12">
        <f t="shared" si="14"/>
        <v>0</v>
      </c>
      <c r="S72" s="12">
        <f t="shared" si="15"/>
        <v>0</v>
      </c>
      <c r="T72" s="29">
        <v>0</v>
      </c>
      <c r="U72" s="29">
        <v>0</v>
      </c>
      <c r="V72" s="29">
        <v>0</v>
      </c>
      <c r="W72" s="29">
        <v>0</v>
      </c>
      <c r="X72" s="29">
        <v>0</v>
      </c>
      <c r="Y72" s="29">
        <v>0</v>
      </c>
      <c r="Z72" s="29">
        <v>0</v>
      </c>
      <c r="AA72" s="29">
        <v>0</v>
      </c>
      <c r="AB72" s="29">
        <v>0</v>
      </c>
      <c r="AC72" s="29">
        <v>0</v>
      </c>
      <c r="AD72" s="29">
        <v>0</v>
      </c>
      <c r="AE72" s="29">
        <v>0</v>
      </c>
      <c r="AF72" s="29">
        <v>0</v>
      </c>
      <c r="AG72" s="29">
        <v>0</v>
      </c>
      <c r="AH72" s="29">
        <v>0</v>
      </c>
      <c r="AI72" s="29">
        <v>0</v>
      </c>
      <c r="AJ72" s="29">
        <v>0</v>
      </c>
      <c r="AK72" s="29">
        <v>0</v>
      </c>
      <c r="AL72" s="29">
        <v>0</v>
      </c>
      <c r="AM72" s="29">
        <v>0</v>
      </c>
      <c r="AN72" s="29">
        <v>0</v>
      </c>
      <c r="AO72" s="29">
        <v>0</v>
      </c>
      <c r="AP72" s="29">
        <v>0</v>
      </c>
    </row>
    <row r="73" spans="1:42" x14ac:dyDescent="0.25">
      <c r="A73" s="29">
        <v>29</v>
      </c>
      <c r="B73" s="29">
        <v>24901</v>
      </c>
      <c r="C73" s="29">
        <v>1</v>
      </c>
      <c r="D73" s="29" t="s">
        <v>514</v>
      </c>
      <c r="E73" s="29"/>
      <c r="F73" s="29">
        <v>0</v>
      </c>
      <c r="G73" s="29">
        <v>0</v>
      </c>
      <c r="H73" s="29">
        <v>0</v>
      </c>
      <c r="I73" s="29">
        <v>0</v>
      </c>
      <c r="J73" s="29">
        <v>0</v>
      </c>
      <c r="K73" s="29" t="s">
        <v>882</v>
      </c>
      <c r="L73" s="19" t="str">
        <f t="shared" si="8"/>
        <v>Рихтовка</v>
      </c>
      <c r="M73" s="12">
        <f t="shared" si="9"/>
        <v>0</v>
      </c>
      <c r="N73" s="12">
        <f t="shared" si="10"/>
        <v>0</v>
      </c>
      <c r="O73" s="12">
        <f t="shared" si="11"/>
        <v>0</v>
      </c>
      <c r="P73" s="12">
        <f t="shared" si="12"/>
        <v>0</v>
      </c>
      <c r="Q73" s="12">
        <f t="shared" si="13"/>
        <v>0</v>
      </c>
      <c r="R73" s="12">
        <f t="shared" si="14"/>
        <v>0</v>
      </c>
      <c r="S73" s="12">
        <f t="shared" si="15"/>
        <v>0</v>
      </c>
      <c r="T73" s="29">
        <v>0</v>
      </c>
      <c r="U73" s="29">
        <v>0</v>
      </c>
      <c r="V73" s="29">
        <v>0</v>
      </c>
      <c r="W73" s="29">
        <v>0</v>
      </c>
      <c r="X73" s="29">
        <v>0</v>
      </c>
      <c r="Y73" s="29">
        <v>0</v>
      </c>
      <c r="Z73" s="29">
        <v>0</v>
      </c>
      <c r="AA73" s="29">
        <v>0</v>
      </c>
      <c r="AB73" s="29">
        <v>0</v>
      </c>
      <c r="AC73" s="29">
        <v>0</v>
      </c>
      <c r="AD73" s="29">
        <v>0</v>
      </c>
      <c r="AE73" s="29">
        <v>0</v>
      </c>
      <c r="AF73" s="29">
        <v>0</v>
      </c>
      <c r="AG73" s="29">
        <v>0</v>
      </c>
      <c r="AH73" s="29">
        <v>0</v>
      </c>
      <c r="AI73" s="29">
        <v>0</v>
      </c>
      <c r="AJ73" s="29">
        <v>0</v>
      </c>
      <c r="AK73" s="29">
        <v>0</v>
      </c>
      <c r="AL73" s="29">
        <v>0</v>
      </c>
      <c r="AM73" s="29">
        <v>0</v>
      </c>
      <c r="AN73" s="29">
        <v>0</v>
      </c>
      <c r="AO73" s="29">
        <v>0</v>
      </c>
      <c r="AP73" s="29">
        <v>0</v>
      </c>
    </row>
    <row r="74" spans="1:42" x14ac:dyDescent="0.25">
      <c r="A74" s="29">
        <v>29</v>
      </c>
      <c r="B74" s="29">
        <v>24901</v>
      </c>
      <c r="C74" s="29">
        <v>1</v>
      </c>
      <c r="D74" s="29" t="s">
        <v>515</v>
      </c>
      <c r="E74" s="29"/>
      <c r="F74" s="29">
        <v>0</v>
      </c>
      <c r="G74" s="29">
        <v>0</v>
      </c>
      <c r="H74" s="29">
        <v>0</v>
      </c>
      <c r="I74" s="29">
        <v>0</v>
      </c>
      <c r="J74" s="29">
        <v>0</v>
      </c>
      <c r="K74" s="29" t="s">
        <v>882</v>
      </c>
      <c r="L74" s="19" t="str">
        <f t="shared" si="8"/>
        <v>Рихтовка</v>
      </c>
      <c r="M74" s="12">
        <f t="shared" si="9"/>
        <v>0</v>
      </c>
      <c r="N74" s="12">
        <f t="shared" si="10"/>
        <v>0</v>
      </c>
      <c r="O74" s="12">
        <f t="shared" si="11"/>
        <v>0</v>
      </c>
      <c r="P74" s="12">
        <f t="shared" si="12"/>
        <v>0</v>
      </c>
      <c r="Q74" s="12">
        <f t="shared" si="13"/>
        <v>0</v>
      </c>
      <c r="R74" s="12">
        <f t="shared" si="14"/>
        <v>0</v>
      </c>
      <c r="S74" s="12">
        <f t="shared" si="15"/>
        <v>0</v>
      </c>
      <c r="T74" s="29">
        <v>0</v>
      </c>
      <c r="U74" s="29">
        <v>0</v>
      </c>
      <c r="V74" s="29">
        <v>0</v>
      </c>
      <c r="W74" s="29">
        <v>0</v>
      </c>
      <c r="X74" s="29">
        <v>0</v>
      </c>
      <c r="Y74" s="29">
        <v>0</v>
      </c>
      <c r="Z74" s="29">
        <v>0</v>
      </c>
      <c r="AA74" s="29">
        <v>0</v>
      </c>
      <c r="AB74" s="29">
        <v>0</v>
      </c>
      <c r="AC74" s="29">
        <v>0</v>
      </c>
      <c r="AD74" s="29">
        <v>0</v>
      </c>
      <c r="AE74" s="29">
        <v>0</v>
      </c>
      <c r="AF74" s="29">
        <v>0</v>
      </c>
      <c r="AG74" s="29">
        <v>0</v>
      </c>
      <c r="AH74" s="29">
        <v>0</v>
      </c>
      <c r="AI74" s="29">
        <v>0</v>
      </c>
      <c r="AJ74" s="29">
        <v>0</v>
      </c>
      <c r="AK74" s="29">
        <v>0</v>
      </c>
      <c r="AL74" s="29">
        <v>0</v>
      </c>
      <c r="AM74" s="29">
        <v>0</v>
      </c>
      <c r="AN74" s="29">
        <v>0</v>
      </c>
      <c r="AO74" s="29">
        <v>0</v>
      </c>
      <c r="AP74" s="29">
        <v>0</v>
      </c>
    </row>
    <row r="75" spans="1:42" x14ac:dyDescent="0.25">
      <c r="A75" s="29">
        <v>29</v>
      </c>
      <c r="B75" s="29">
        <v>24901</v>
      </c>
      <c r="C75" s="29">
        <v>1</v>
      </c>
      <c r="D75" s="29" t="s">
        <v>516</v>
      </c>
      <c r="E75" s="29"/>
      <c r="F75" s="29">
        <v>0</v>
      </c>
      <c r="G75" s="29">
        <v>0</v>
      </c>
      <c r="H75" s="29">
        <v>0</v>
      </c>
      <c r="I75" s="29">
        <v>0</v>
      </c>
      <c r="J75" s="29">
        <v>0</v>
      </c>
      <c r="K75" s="29" t="s">
        <v>882</v>
      </c>
      <c r="L75" s="19" t="str">
        <f t="shared" si="8"/>
        <v>Рихтовка</v>
      </c>
      <c r="M75" s="12">
        <f t="shared" si="9"/>
        <v>0</v>
      </c>
      <c r="N75" s="12">
        <f t="shared" si="10"/>
        <v>0</v>
      </c>
      <c r="O75" s="12">
        <f t="shared" si="11"/>
        <v>0</v>
      </c>
      <c r="P75" s="12">
        <f t="shared" si="12"/>
        <v>0</v>
      </c>
      <c r="Q75" s="12">
        <f t="shared" si="13"/>
        <v>0</v>
      </c>
      <c r="R75" s="12">
        <f t="shared" si="14"/>
        <v>0</v>
      </c>
      <c r="S75" s="12">
        <f t="shared" si="15"/>
        <v>0</v>
      </c>
      <c r="T75" s="29">
        <v>0</v>
      </c>
      <c r="U75" s="29">
        <v>0</v>
      </c>
      <c r="V75" s="29">
        <v>0</v>
      </c>
      <c r="W75" s="29">
        <v>0</v>
      </c>
      <c r="X75" s="29">
        <v>0</v>
      </c>
      <c r="Y75" s="29">
        <v>0</v>
      </c>
      <c r="Z75" s="29">
        <v>0</v>
      </c>
      <c r="AA75" s="29">
        <v>0</v>
      </c>
      <c r="AB75" s="29">
        <v>0</v>
      </c>
      <c r="AC75" s="29">
        <v>0</v>
      </c>
      <c r="AD75" s="29">
        <v>0</v>
      </c>
      <c r="AE75" s="29">
        <v>0</v>
      </c>
      <c r="AF75" s="29">
        <v>0</v>
      </c>
      <c r="AG75" s="29">
        <v>0</v>
      </c>
      <c r="AH75" s="29">
        <v>0</v>
      </c>
      <c r="AI75" s="29">
        <v>0</v>
      </c>
      <c r="AJ75" s="29">
        <v>0</v>
      </c>
      <c r="AK75" s="29">
        <v>0</v>
      </c>
      <c r="AL75" s="29">
        <v>0</v>
      </c>
      <c r="AM75" s="29">
        <v>0</v>
      </c>
      <c r="AN75" s="29">
        <v>0</v>
      </c>
      <c r="AO75" s="29">
        <v>0</v>
      </c>
      <c r="AP75" s="29">
        <v>0</v>
      </c>
    </row>
    <row r="76" spans="1:42" x14ac:dyDescent="0.25">
      <c r="A76" s="29">
        <v>29</v>
      </c>
      <c r="B76" s="29">
        <v>24901</v>
      </c>
      <c r="C76" s="29">
        <v>1</v>
      </c>
      <c r="D76" s="29" t="s">
        <v>517</v>
      </c>
      <c r="E76" s="29"/>
      <c r="F76" s="29">
        <v>0</v>
      </c>
      <c r="G76" s="29">
        <v>0</v>
      </c>
      <c r="H76" s="29">
        <v>0</v>
      </c>
      <c r="I76" s="29">
        <v>0</v>
      </c>
      <c r="J76" s="29">
        <v>0</v>
      </c>
      <c r="K76" s="29" t="s">
        <v>882</v>
      </c>
      <c r="L76" s="19" t="str">
        <f t="shared" si="8"/>
        <v>Рихтовка</v>
      </c>
      <c r="M76" s="12">
        <f t="shared" si="9"/>
        <v>0</v>
      </c>
      <c r="N76" s="12">
        <f t="shared" si="10"/>
        <v>0</v>
      </c>
      <c r="O76" s="12">
        <f t="shared" si="11"/>
        <v>0</v>
      </c>
      <c r="P76" s="12">
        <f t="shared" si="12"/>
        <v>0</v>
      </c>
      <c r="Q76" s="12">
        <f t="shared" si="13"/>
        <v>0</v>
      </c>
      <c r="R76" s="12">
        <f t="shared" si="14"/>
        <v>0</v>
      </c>
      <c r="S76" s="12">
        <f t="shared" si="15"/>
        <v>0</v>
      </c>
      <c r="T76" s="29">
        <v>0</v>
      </c>
      <c r="U76" s="29">
        <v>0</v>
      </c>
      <c r="V76" s="29">
        <v>0</v>
      </c>
      <c r="W76" s="29">
        <v>0</v>
      </c>
      <c r="X76" s="29">
        <v>0</v>
      </c>
      <c r="Y76" s="29">
        <v>0</v>
      </c>
      <c r="Z76" s="29">
        <v>0</v>
      </c>
      <c r="AA76" s="29">
        <v>0</v>
      </c>
      <c r="AB76" s="29">
        <v>0</v>
      </c>
      <c r="AC76" s="29">
        <v>0</v>
      </c>
      <c r="AD76" s="29">
        <v>0</v>
      </c>
      <c r="AE76" s="29">
        <v>0</v>
      </c>
      <c r="AF76" s="29">
        <v>0</v>
      </c>
      <c r="AG76" s="29">
        <v>0</v>
      </c>
      <c r="AH76" s="29">
        <v>0</v>
      </c>
      <c r="AI76" s="29">
        <v>0</v>
      </c>
      <c r="AJ76" s="29">
        <v>0</v>
      </c>
      <c r="AK76" s="29">
        <v>0</v>
      </c>
      <c r="AL76" s="29">
        <v>0</v>
      </c>
      <c r="AM76" s="29">
        <v>0</v>
      </c>
      <c r="AN76" s="29">
        <v>0</v>
      </c>
      <c r="AO76" s="29">
        <v>0</v>
      </c>
      <c r="AP76" s="29">
        <v>0</v>
      </c>
    </row>
    <row r="77" spans="1:42" x14ac:dyDescent="0.25">
      <c r="A77" s="29">
        <v>29</v>
      </c>
      <c r="B77" s="29">
        <v>24901</v>
      </c>
      <c r="C77" s="29">
        <v>1</v>
      </c>
      <c r="D77" s="29" t="s">
        <v>518</v>
      </c>
      <c r="E77" s="29"/>
      <c r="F77" s="29">
        <v>0</v>
      </c>
      <c r="G77" s="29">
        <v>0</v>
      </c>
      <c r="H77" s="29">
        <v>0</v>
      </c>
      <c r="I77" s="29">
        <v>0</v>
      </c>
      <c r="J77" s="29">
        <v>0</v>
      </c>
      <c r="K77" s="29" t="s">
        <v>882</v>
      </c>
      <c r="L77" s="19" t="str">
        <f t="shared" si="8"/>
        <v>Рихтовка</v>
      </c>
      <c r="M77" s="12">
        <f t="shared" si="9"/>
        <v>0</v>
      </c>
      <c r="N77" s="12">
        <f t="shared" si="10"/>
        <v>0</v>
      </c>
      <c r="O77" s="12">
        <f t="shared" si="11"/>
        <v>0</v>
      </c>
      <c r="P77" s="12">
        <f t="shared" si="12"/>
        <v>0</v>
      </c>
      <c r="Q77" s="12">
        <f t="shared" si="13"/>
        <v>0</v>
      </c>
      <c r="R77" s="12">
        <f t="shared" si="14"/>
        <v>0</v>
      </c>
      <c r="S77" s="12">
        <f t="shared" si="15"/>
        <v>0</v>
      </c>
      <c r="T77" s="29">
        <v>0</v>
      </c>
      <c r="U77" s="29">
        <v>0</v>
      </c>
      <c r="V77" s="29">
        <v>0</v>
      </c>
      <c r="W77" s="29">
        <v>0</v>
      </c>
      <c r="X77" s="29">
        <v>0</v>
      </c>
      <c r="Y77" s="29">
        <v>0</v>
      </c>
      <c r="Z77" s="29">
        <v>0</v>
      </c>
      <c r="AA77" s="29">
        <v>0</v>
      </c>
      <c r="AB77" s="29">
        <v>0</v>
      </c>
      <c r="AC77" s="29">
        <v>0</v>
      </c>
      <c r="AD77" s="29">
        <v>0</v>
      </c>
      <c r="AE77" s="29">
        <v>0</v>
      </c>
      <c r="AF77" s="29">
        <v>0</v>
      </c>
      <c r="AG77" s="29">
        <v>0</v>
      </c>
      <c r="AH77" s="29">
        <v>0</v>
      </c>
      <c r="AI77" s="29">
        <v>0</v>
      </c>
      <c r="AJ77" s="29">
        <v>0</v>
      </c>
      <c r="AK77" s="29">
        <v>0</v>
      </c>
      <c r="AL77" s="29">
        <v>0</v>
      </c>
      <c r="AM77" s="29">
        <v>0</v>
      </c>
      <c r="AN77" s="29">
        <v>0</v>
      </c>
      <c r="AO77" s="29">
        <v>0</v>
      </c>
      <c r="AP77" s="29">
        <v>0</v>
      </c>
    </row>
    <row r="78" spans="1:42" x14ac:dyDescent="0.25">
      <c r="A78" s="29">
        <v>29</v>
      </c>
      <c r="B78" s="29">
        <v>24901</v>
      </c>
      <c r="C78" s="29">
        <v>1</v>
      </c>
      <c r="D78" s="29" t="s">
        <v>519</v>
      </c>
      <c r="E78" s="29"/>
      <c r="F78" s="29">
        <v>0</v>
      </c>
      <c r="G78" s="29">
        <v>0</v>
      </c>
      <c r="H78" s="29">
        <v>0</v>
      </c>
      <c r="I78" s="29">
        <v>0</v>
      </c>
      <c r="J78" s="29">
        <v>0</v>
      </c>
      <c r="K78" s="29" t="s">
        <v>882</v>
      </c>
      <c r="L78" s="19" t="str">
        <f t="shared" si="8"/>
        <v>Рихтовка</v>
      </c>
      <c r="M78" s="12">
        <f t="shared" si="9"/>
        <v>0</v>
      </c>
      <c r="N78" s="12">
        <f t="shared" si="10"/>
        <v>0</v>
      </c>
      <c r="O78" s="12">
        <f t="shared" si="11"/>
        <v>0</v>
      </c>
      <c r="P78" s="12">
        <f t="shared" si="12"/>
        <v>0</v>
      </c>
      <c r="Q78" s="12">
        <f t="shared" si="13"/>
        <v>0</v>
      </c>
      <c r="R78" s="12">
        <f t="shared" si="14"/>
        <v>0</v>
      </c>
      <c r="S78" s="12">
        <f t="shared" si="15"/>
        <v>0</v>
      </c>
      <c r="T78" s="29">
        <v>0</v>
      </c>
      <c r="U78" s="29">
        <v>0</v>
      </c>
      <c r="V78" s="29">
        <v>0</v>
      </c>
      <c r="W78" s="29">
        <v>0</v>
      </c>
      <c r="X78" s="29">
        <v>0</v>
      </c>
      <c r="Y78" s="29">
        <v>0</v>
      </c>
      <c r="Z78" s="29">
        <v>0</v>
      </c>
      <c r="AA78" s="29">
        <v>0</v>
      </c>
      <c r="AB78" s="29">
        <v>0</v>
      </c>
      <c r="AC78" s="29">
        <v>0</v>
      </c>
      <c r="AD78" s="29">
        <v>0</v>
      </c>
      <c r="AE78" s="29">
        <v>0</v>
      </c>
      <c r="AF78" s="29">
        <v>0</v>
      </c>
      <c r="AG78" s="29">
        <v>0</v>
      </c>
      <c r="AH78" s="29">
        <v>0</v>
      </c>
      <c r="AI78" s="29">
        <v>0</v>
      </c>
      <c r="AJ78" s="29">
        <v>0</v>
      </c>
      <c r="AK78" s="29">
        <v>0</v>
      </c>
      <c r="AL78" s="29">
        <v>0</v>
      </c>
      <c r="AM78" s="29">
        <v>0</v>
      </c>
      <c r="AN78" s="29">
        <v>0</v>
      </c>
      <c r="AO78" s="29">
        <v>0</v>
      </c>
      <c r="AP78" s="29">
        <v>0</v>
      </c>
    </row>
    <row r="79" spans="1:42" x14ac:dyDescent="0.25">
      <c r="A79" s="29">
        <v>29</v>
      </c>
      <c r="B79" s="29">
        <v>24901</v>
      </c>
      <c r="C79" s="29">
        <v>1</v>
      </c>
      <c r="D79" s="29" t="s">
        <v>520</v>
      </c>
      <c r="E79" s="29"/>
      <c r="F79" s="29">
        <v>0</v>
      </c>
      <c r="G79" s="29">
        <v>0</v>
      </c>
      <c r="H79" s="29">
        <v>0</v>
      </c>
      <c r="I79" s="29">
        <v>0</v>
      </c>
      <c r="J79" s="29">
        <v>0</v>
      </c>
      <c r="K79" s="29" t="s">
        <v>882</v>
      </c>
      <c r="L79" s="19" t="str">
        <f t="shared" si="8"/>
        <v>Рихтовка</v>
      </c>
      <c r="M79" s="12">
        <f t="shared" si="9"/>
        <v>0</v>
      </c>
      <c r="N79" s="12">
        <f t="shared" si="10"/>
        <v>0</v>
      </c>
      <c r="O79" s="12">
        <f t="shared" si="11"/>
        <v>0</v>
      </c>
      <c r="P79" s="12">
        <f t="shared" si="12"/>
        <v>0</v>
      </c>
      <c r="Q79" s="12">
        <f t="shared" si="13"/>
        <v>0</v>
      </c>
      <c r="R79" s="12">
        <f t="shared" si="14"/>
        <v>0</v>
      </c>
      <c r="S79" s="12">
        <f t="shared" si="15"/>
        <v>0</v>
      </c>
      <c r="T79" s="29">
        <v>0</v>
      </c>
      <c r="U79" s="29">
        <v>0</v>
      </c>
      <c r="V79" s="29">
        <v>0</v>
      </c>
      <c r="W79" s="29">
        <v>0</v>
      </c>
      <c r="X79" s="29">
        <v>0</v>
      </c>
      <c r="Y79" s="29">
        <v>0</v>
      </c>
      <c r="Z79" s="29">
        <v>0</v>
      </c>
      <c r="AA79" s="29">
        <v>0</v>
      </c>
      <c r="AB79" s="29">
        <v>0</v>
      </c>
      <c r="AC79" s="29">
        <v>0</v>
      </c>
      <c r="AD79" s="29">
        <v>0</v>
      </c>
      <c r="AE79" s="29">
        <v>0</v>
      </c>
      <c r="AF79" s="29">
        <v>0</v>
      </c>
      <c r="AG79" s="29">
        <v>0</v>
      </c>
      <c r="AH79" s="29">
        <v>0</v>
      </c>
      <c r="AI79" s="29">
        <v>0</v>
      </c>
      <c r="AJ79" s="29">
        <v>0</v>
      </c>
      <c r="AK79" s="29">
        <v>0</v>
      </c>
      <c r="AL79" s="29">
        <v>0</v>
      </c>
      <c r="AM79" s="29">
        <v>0</v>
      </c>
      <c r="AN79" s="29">
        <v>0</v>
      </c>
      <c r="AO79" s="29">
        <v>0</v>
      </c>
      <c r="AP79" s="29">
        <v>0</v>
      </c>
    </row>
    <row r="80" spans="1:42" x14ac:dyDescent="0.25">
      <c r="A80" s="29">
        <v>29</v>
      </c>
      <c r="B80" s="29">
        <v>24901</v>
      </c>
      <c r="C80" s="29">
        <v>1</v>
      </c>
      <c r="D80" s="29" t="s">
        <v>521</v>
      </c>
      <c r="E80" s="29"/>
      <c r="F80" s="29">
        <v>0</v>
      </c>
      <c r="G80" s="29">
        <v>0</v>
      </c>
      <c r="H80" s="29">
        <v>0</v>
      </c>
      <c r="I80" s="29">
        <v>0</v>
      </c>
      <c r="J80" s="29">
        <v>0</v>
      </c>
      <c r="K80" s="29" t="s">
        <v>882</v>
      </c>
      <c r="L80" s="19" t="str">
        <f t="shared" si="8"/>
        <v>Рихтовка</v>
      </c>
      <c r="M80" s="12">
        <f t="shared" si="9"/>
        <v>0</v>
      </c>
      <c r="N80" s="12">
        <f t="shared" si="10"/>
        <v>0</v>
      </c>
      <c r="O80" s="12">
        <f t="shared" si="11"/>
        <v>0</v>
      </c>
      <c r="P80" s="12">
        <f t="shared" si="12"/>
        <v>0</v>
      </c>
      <c r="Q80" s="12">
        <f t="shared" si="13"/>
        <v>0</v>
      </c>
      <c r="R80" s="12">
        <f t="shared" si="14"/>
        <v>0</v>
      </c>
      <c r="S80" s="12">
        <f t="shared" si="15"/>
        <v>0</v>
      </c>
      <c r="T80" s="29">
        <v>0</v>
      </c>
      <c r="U80" s="29">
        <v>0</v>
      </c>
      <c r="V80" s="29">
        <v>0</v>
      </c>
      <c r="W80" s="29">
        <v>0</v>
      </c>
      <c r="X80" s="29">
        <v>0</v>
      </c>
      <c r="Y80" s="29">
        <v>0</v>
      </c>
      <c r="Z80" s="29">
        <v>0</v>
      </c>
      <c r="AA80" s="29">
        <v>0</v>
      </c>
      <c r="AB80" s="29">
        <v>0</v>
      </c>
      <c r="AC80" s="29">
        <v>0</v>
      </c>
      <c r="AD80" s="29">
        <v>0</v>
      </c>
      <c r="AE80" s="29">
        <v>0</v>
      </c>
      <c r="AF80" s="29">
        <v>0</v>
      </c>
      <c r="AG80" s="29">
        <v>0</v>
      </c>
      <c r="AH80" s="29">
        <v>0</v>
      </c>
      <c r="AI80" s="29">
        <v>0</v>
      </c>
      <c r="AJ80" s="29">
        <v>0</v>
      </c>
      <c r="AK80" s="29">
        <v>0</v>
      </c>
      <c r="AL80" s="29">
        <v>0</v>
      </c>
      <c r="AM80" s="29">
        <v>0</v>
      </c>
      <c r="AN80" s="29">
        <v>0</v>
      </c>
      <c r="AO80" s="29">
        <v>0</v>
      </c>
      <c r="AP80" s="29">
        <v>0</v>
      </c>
    </row>
    <row r="81" spans="1:42" x14ac:dyDescent="0.25">
      <c r="A81" s="29">
        <v>29</v>
      </c>
      <c r="B81" s="29">
        <v>24901</v>
      </c>
      <c r="C81" s="29">
        <v>1</v>
      </c>
      <c r="D81" s="29" t="s">
        <v>522</v>
      </c>
      <c r="E81" s="29"/>
      <c r="F81" s="29">
        <v>0</v>
      </c>
      <c r="G81" s="29">
        <v>0</v>
      </c>
      <c r="H81" s="29">
        <v>0</v>
      </c>
      <c r="I81" s="29">
        <v>0</v>
      </c>
      <c r="J81" s="29">
        <v>0</v>
      </c>
      <c r="K81" s="29" t="s">
        <v>882</v>
      </c>
      <c r="L81" s="19" t="str">
        <f t="shared" si="8"/>
        <v>Рихтовка</v>
      </c>
      <c r="M81" s="12">
        <f t="shared" si="9"/>
        <v>0</v>
      </c>
      <c r="N81" s="12">
        <f t="shared" si="10"/>
        <v>0</v>
      </c>
      <c r="O81" s="12">
        <f t="shared" si="11"/>
        <v>0</v>
      </c>
      <c r="P81" s="12">
        <f t="shared" si="12"/>
        <v>0</v>
      </c>
      <c r="Q81" s="12">
        <f t="shared" si="13"/>
        <v>0</v>
      </c>
      <c r="R81" s="12">
        <f t="shared" si="14"/>
        <v>0</v>
      </c>
      <c r="S81" s="12">
        <f t="shared" si="15"/>
        <v>0</v>
      </c>
      <c r="T81" s="29">
        <v>0</v>
      </c>
      <c r="U81" s="29">
        <v>0</v>
      </c>
      <c r="V81" s="29">
        <v>0</v>
      </c>
      <c r="W81" s="29">
        <v>0</v>
      </c>
      <c r="X81" s="29">
        <v>0</v>
      </c>
      <c r="Y81" s="29">
        <v>0</v>
      </c>
      <c r="Z81" s="29">
        <v>0</v>
      </c>
      <c r="AA81" s="29">
        <v>0</v>
      </c>
      <c r="AB81" s="29">
        <v>0</v>
      </c>
      <c r="AC81" s="29">
        <v>0</v>
      </c>
      <c r="AD81" s="29">
        <v>0</v>
      </c>
      <c r="AE81" s="29">
        <v>0</v>
      </c>
      <c r="AF81" s="29">
        <v>0</v>
      </c>
      <c r="AG81" s="29">
        <v>0</v>
      </c>
      <c r="AH81" s="29">
        <v>0</v>
      </c>
      <c r="AI81" s="29">
        <v>0</v>
      </c>
      <c r="AJ81" s="29">
        <v>0</v>
      </c>
      <c r="AK81" s="29">
        <v>0</v>
      </c>
      <c r="AL81" s="29">
        <v>0</v>
      </c>
      <c r="AM81" s="29">
        <v>0</v>
      </c>
      <c r="AN81" s="29">
        <v>0</v>
      </c>
      <c r="AO81" s="29">
        <v>0</v>
      </c>
      <c r="AP81" s="29">
        <v>0</v>
      </c>
    </row>
    <row r="82" spans="1:42" x14ac:dyDescent="0.25">
      <c r="A82" s="29">
        <v>20</v>
      </c>
      <c r="B82" s="29">
        <v>24602</v>
      </c>
      <c r="C82" s="29">
        <v>1</v>
      </c>
      <c r="D82" s="29" t="s">
        <v>523</v>
      </c>
      <c r="E82" s="29"/>
      <c r="F82" s="29">
        <v>0</v>
      </c>
      <c r="G82" s="29">
        <v>0</v>
      </c>
      <c r="H82" s="29">
        <v>0</v>
      </c>
      <c r="I82" s="29">
        <v>0</v>
      </c>
      <c r="J82" s="29">
        <v>0</v>
      </c>
      <c r="K82" s="29" t="s">
        <v>882</v>
      </c>
      <c r="L82" s="19" t="str">
        <f t="shared" si="8"/>
        <v>Рихтовка</v>
      </c>
      <c r="M82" s="12">
        <f t="shared" si="9"/>
        <v>0</v>
      </c>
      <c r="N82" s="12">
        <f t="shared" si="10"/>
        <v>0</v>
      </c>
      <c r="O82" s="12">
        <f t="shared" si="11"/>
        <v>0</v>
      </c>
      <c r="P82" s="12">
        <f t="shared" si="12"/>
        <v>0</v>
      </c>
      <c r="Q82" s="12">
        <f t="shared" si="13"/>
        <v>0</v>
      </c>
      <c r="R82" s="12">
        <f t="shared" si="14"/>
        <v>0</v>
      </c>
      <c r="S82" s="12">
        <f t="shared" si="15"/>
        <v>0</v>
      </c>
      <c r="T82" s="29">
        <v>0</v>
      </c>
      <c r="U82" s="29">
        <v>0</v>
      </c>
      <c r="V82" s="29">
        <v>0</v>
      </c>
      <c r="W82" s="29">
        <v>0</v>
      </c>
      <c r="X82" s="29">
        <v>0</v>
      </c>
      <c r="Y82" s="29">
        <v>0</v>
      </c>
      <c r="Z82" s="29">
        <v>0</v>
      </c>
      <c r="AA82" s="29">
        <v>0</v>
      </c>
      <c r="AB82" s="29">
        <v>0</v>
      </c>
      <c r="AC82" s="29">
        <v>0</v>
      </c>
      <c r="AD82" s="29">
        <v>0</v>
      </c>
      <c r="AE82" s="29">
        <v>0</v>
      </c>
      <c r="AF82" s="29">
        <v>0</v>
      </c>
      <c r="AG82" s="29">
        <v>0</v>
      </c>
      <c r="AH82" s="29">
        <v>0</v>
      </c>
      <c r="AI82" s="29">
        <v>0</v>
      </c>
      <c r="AJ82" s="29">
        <v>0</v>
      </c>
      <c r="AK82" s="29">
        <v>0</v>
      </c>
      <c r="AL82" s="29">
        <v>0</v>
      </c>
      <c r="AM82" s="29">
        <v>0</v>
      </c>
      <c r="AN82" s="29">
        <v>0</v>
      </c>
      <c r="AO82" s="29">
        <v>0</v>
      </c>
      <c r="AP82" s="29">
        <v>0</v>
      </c>
    </row>
    <row r="83" spans="1:42" x14ac:dyDescent="0.25">
      <c r="A83" s="29">
        <v>20</v>
      </c>
      <c r="B83" s="29">
        <v>24602</v>
      </c>
      <c r="C83" s="29">
        <v>2</v>
      </c>
      <c r="D83" s="29" t="s">
        <v>523</v>
      </c>
      <c r="E83" s="29"/>
      <c r="F83" s="29">
        <v>0</v>
      </c>
      <c r="G83" s="29">
        <v>0</v>
      </c>
      <c r="H83" s="29">
        <v>0</v>
      </c>
      <c r="I83" s="29">
        <v>0</v>
      </c>
      <c r="J83" s="29">
        <v>0</v>
      </c>
      <c r="K83" s="29" t="s">
        <v>882</v>
      </c>
      <c r="L83" s="19" t="str">
        <f t="shared" si="8"/>
        <v>Рихтовка</v>
      </c>
      <c r="M83" s="12">
        <f t="shared" si="9"/>
        <v>0</v>
      </c>
      <c r="N83" s="12">
        <f t="shared" si="10"/>
        <v>0</v>
      </c>
      <c r="O83" s="12">
        <f t="shared" si="11"/>
        <v>0</v>
      </c>
      <c r="P83" s="12">
        <f t="shared" si="12"/>
        <v>0</v>
      </c>
      <c r="Q83" s="12">
        <f t="shared" si="13"/>
        <v>0</v>
      </c>
      <c r="R83" s="12">
        <f t="shared" si="14"/>
        <v>0</v>
      </c>
      <c r="S83" s="12">
        <f t="shared" si="15"/>
        <v>0</v>
      </c>
      <c r="T83" s="29">
        <v>0</v>
      </c>
      <c r="U83" s="29">
        <v>0</v>
      </c>
      <c r="V83" s="29">
        <v>0</v>
      </c>
      <c r="W83" s="29">
        <v>0</v>
      </c>
      <c r="X83" s="29">
        <v>0</v>
      </c>
      <c r="Y83" s="29">
        <v>0</v>
      </c>
      <c r="Z83" s="29">
        <v>0</v>
      </c>
      <c r="AA83" s="29">
        <v>0</v>
      </c>
      <c r="AB83" s="29">
        <v>0</v>
      </c>
      <c r="AC83" s="29">
        <v>0</v>
      </c>
      <c r="AD83" s="29">
        <v>0</v>
      </c>
      <c r="AE83" s="29">
        <v>0</v>
      </c>
      <c r="AF83" s="29">
        <v>0</v>
      </c>
      <c r="AG83" s="29">
        <v>0</v>
      </c>
      <c r="AH83" s="29">
        <v>0</v>
      </c>
      <c r="AI83" s="29">
        <v>0</v>
      </c>
      <c r="AJ83" s="29">
        <v>0</v>
      </c>
      <c r="AK83" s="29">
        <v>0</v>
      </c>
      <c r="AL83" s="29">
        <v>0</v>
      </c>
      <c r="AM83" s="29">
        <v>0</v>
      </c>
      <c r="AN83" s="29">
        <v>0</v>
      </c>
      <c r="AO83" s="29">
        <v>0</v>
      </c>
      <c r="AP83" s="29">
        <v>0</v>
      </c>
    </row>
    <row r="84" spans="1:42" x14ac:dyDescent="0.25">
      <c r="A84" s="29">
        <v>20</v>
      </c>
      <c r="B84" s="29">
        <v>24602</v>
      </c>
      <c r="C84" s="29">
        <v>1</v>
      </c>
      <c r="D84" s="29" t="s">
        <v>524</v>
      </c>
      <c r="E84" s="29"/>
      <c r="F84" s="29">
        <v>0</v>
      </c>
      <c r="G84" s="29">
        <v>0</v>
      </c>
      <c r="H84" s="29">
        <v>0</v>
      </c>
      <c r="I84" s="29">
        <v>0</v>
      </c>
      <c r="J84" s="29">
        <v>0</v>
      </c>
      <c r="K84" s="29" t="s">
        <v>882</v>
      </c>
      <c r="L84" s="19" t="str">
        <f t="shared" si="8"/>
        <v>Рихтовка</v>
      </c>
      <c r="M84" s="12">
        <f t="shared" si="9"/>
        <v>0</v>
      </c>
      <c r="N84" s="12">
        <f t="shared" si="10"/>
        <v>0</v>
      </c>
      <c r="O84" s="12">
        <f t="shared" si="11"/>
        <v>0</v>
      </c>
      <c r="P84" s="12">
        <f t="shared" si="12"/>
        <v>0</v>
      </c>
      <c r="Q84" s="12">
        <f t="shared" si="13"/>
        <v>0</v>
      </c>
      <c r="R84" s="12">
        <f t="shared" si="14"/>
        <v>0</v>
      </c>
      <c r="S84" s="12">
        <f t="shared" si="15"/>
        <v>0</v>
      </c>
      <c r="T84" s="29">
        <v>0</v>
      </c>
      <c r="U84" s="29">
        <v>0</v>
      </c>
      <c r="V84" s="29">
        <v>0</v>
      </c>
      <c r="W84" s="29">
        <v>0</v>
      </c>
      <c r="X84" s="29">
        <v>0</v>
      </c>
      <c r="Y84" s="29">
        <v>0</v>
      </c>
      <c r="Z84" s="29">
        <v>0</v>
      </c>
      <c r="AA84" s="29">
        <v>0</v>
      </c>
      <c r="AB84" s="29">
        <v>0</v>
      </c>
      <c r="AC84" s="29">
        <v>0</v>
      </c>
      <c r="AD84" s="29">
        <v>0</v>
      </c>
      <c r="AE84" s="29">
        <v>0</v>
      </c>
      <c r="AF84" s="29">
        <v>0</v>
      </c>
      <c r="AG84" s="29">
        <v>0</v>
      </c>
      <c r="AH84" s="29">
        <v>0</v>
      </c>
      <c r="AI84" s="29">
        <v>0</v>
      </c>
      <c r="AJ84" s="29">
        <v>0</v>
      </c>
      <c r="AK84" s="29">
        <v>0</v>
      </c>
      <c r="AL84" s="29">
        <v>0</v>
      </c>
      <c r="AM84" s="29">
        <v>0</v>
      </c>
      <c r="AN84" s="29">
        <v>0</v>
      </c>
      <c r="AO84" s="29">
        <v>0</v>
      </c>
      <c r="AP84" s="29">
        <v>0</v>
      </c>
    </row>
    <row r="85" spans="1:42" x14ac:dyDescent="0.25">
      <c r="A85" s="29">
        <v>20</v>
      </c>
      <c r="B85" s="29">
        <v>24602</v>
      </c>
      <c r="C85" s="29">
        <v>1</v>
      </c>
      <c r="D85" s="29" t="s">
        <v>525</v>
      </c>
      <c r="E85" s="29"/>
      <c r="F85" s="29">
        <v>0</v>
      </c>
      <c r="G85" s="29">
        <v>0</v>
      </c>
      <c r="H85" s="29">
        <v>0</v>
      </c>
      <c r="I85" s="29">
        <v>0</v>
      </c>
      <c r="J85" s="29">
        <v>0</v>
      </c>
      <c r="K85" s="29" t="s">
        <v>882</v>
      </c>
      <c r="L85" s="19" t="str">
        <f t="shared" si="8"/>
        <v>Рихтовка</v>
      </c>
      <c r="M85" s="12">
        <f t="shared" si="9"/>
        <v>0</v>
      </c>
      <c r="N85" s="12">
        <f t="shared" si="10"/>
        <v>0</v>
      </c>
      <c r="O85" s="12">
        <f t="shared" si="11"/>
        <v>0</v>
      </c>
      <c r="P85" s="12">
        <f t="shared" si="12"/>
        <v>0</v>
      </c>
      <c r="Q85" s="12">
        <f t="shared" si="13"/>
        <v>0</v>
      </c>
      <c r="R85" s="12">
        <f t="shared" si="14"/>
        <v>0</v>
      </c>
      <c r="S85" s="12">
        <f t="shared" si="15"/>
        <v>0</v>
      </c>
      <c r="T85" s="29">
        <v>0</v>
      </c>
      <c r="U85" s="29">
        <v>0</v>
      </c>
      <c r="V85" s="29">
        <v>0</v>
      </c>
      <c r="W85" s="29">
        <v>0</v>
      </c>
      <c r="X85" s="29">
        <v>0</v>
      </c>
      <c r="Y85" s="29">
        <v>0</v>
      </c>
      <c r="Z85" s="29">
        <v>0</v>
      </c>
      <c r="AA85" s="29">
        <v>0</v>
      </c>
      <c r="AB85" s="29">
        <v>0</v>
      </c>
      <c r="AC85" s="29">
        <v>0</v>
      </c>
      <c r="AD85" s="29">
        <v>0</v>
      </c>
      <c r="AE85" s="29">
        <v>0</v>
      </c>
      <c r="AF85" s="29">
        <v>0</v>
      </c>
      <c r="AG85" s="29">
        <v>0</v>
      </c>
      <c r="AH85" s="29">
        <v>0</v>
      </c>
      <c r="AI85" s="29">
        <v>0</v>
      </c>
      <c r="AJ85" s="29">
        <v>0</v>
      </c>
      <c r="AK85" s="29">
        <v>0</v>
      </c>
      <c r="AL85" s="29">
        <v>0</v>
      </c>
      <c r="AM85" s="29">
        <v>0</v>
      </c>
      <c r="AN85" s="29">
        <v>0</v>
      </c>
      <c r="AO85" s="29">
        <v>0</v>
      </c>
      <c r="AP85" s="29">
        <v>0</v>
      </c>
    </row>
    <row r="86" spans="1:42" x14ac:dyDescent="0.25">
      <c r="A86" s="29">
        <v>20</v>
      </c>
      <c r="B86" s="29">
        <v>24602</v>
      </c>
      <c r="C86" s="29">
        <v>1</v>
      </c>
      <c r="D86" s="29" t="s">
        <v>526</v>
      </c>
      <c r="E86" s="29"/>
      <c r="F86" s="29">
        <v>0</v>
      </c>
      <c r="G86" s="29">
        <v>0</v>
      </c>
      <c r="H86" s="29">
        <v>0</v>
      </c>
      <c r="I86" s="29">
        <v>0</v>
      </c>
      <c r="J86" s="29">
        <v>0</v>
      </c>
      <c r="K86" s="29" t="s">
        <v>882</v>
      </c>
      <c r="L86" s="19" t="str">
        <f t="shared" si="8"/>
        <v>Рихтовка</v>
      </c>
      <c r="M86" s="12">
        <f t="shared" si="9"/>
        <v>0</v>
      </c>
      <c r="N86" s="12">
        <f t="shared" si="10"/>
        <v>0</v>
      </c>
      <c r="O86" s="12">
        <f t="shared" si="11"/>
        <v>0</v>
      </c>
      <c r="P86" s="12">
        <f t="shared" si="12"/>
        <v>0</v>
      </c>
      <c r="Q86" s="12">
        <f t="shared" si="13"/>
        <v>0</v>
      </c>
      <c r="R86" s="12">
        <f t="shared" si="14"/>
        <v>0</v>
      </c>
      <c r="S86" s="12">
        <f t="shared" si="15"/>
        <v>0</v>
      </c>
      <c r="T86" s="29">
        <v>0</v>
      </c>
      <c r="U86" s="29">
        <v>0</v>
      </c>
      <c r="V86" s="29">
        <v>0</v>
      </c>
      <c r="W86" s="29">
        <v>0</v>
      </c>
      <c r="X86" s="29">
        <v>0</v>
      </c>
      <c r="Y86" s="29">
        <v>0</v>
      </c>
      <c r="Z86" s="29">
        <v>0</v>
      </c>
      <c r="AA86" s="29">
        <v>0</v>
      </c>
      <c r="AB86" s="29">
        <v>0</v>
      </c>
      <c r="AC86" s="29">
        <v>0</v>
      </c>
      <c r="AD86" s="29">
        <v>0</v>
      </c>
      <c r="AE86" s="29">
        <v>0</v>
      </c>
      <c r="AF86" s="29">
        <v>0</v>
      </c>
      <c r="AG86" s="29">
        <v>0</v>
      </c>
      <c r="AH86" s="29">
        <v>0</v>
      </c>
      <c r="AI86" s="29">
        <v>0</v>
      </c>
      <c r="AJ86" s="29">
        <v>0</v>
      </c>
      <c r="AK86" s="29">
        <v>0</v>
      </c>
      <c r="AL86" s="29">
        <v>0</v>
      </c>
      <c r="AM86" s="29">
        <v>0</v>
      </c>
      <c r="AN86" s="29">
        <v>0</v>
      </c>
      <c r="AO86" s="29">
        <v>0</v>
      </c>
      <c r="AP86" s="29">
        <v>0</v>
      </c>
    </row>
    <row r="87" spans="1:42" x14ac:dyDescent="0.25">
      <c r="A87" s="29">
        <v>20</v>
      </c>
      <c r="B87" s="29">
        <v>24602</v>
      </c>
      <c r="C87" s="29">
        <v>1</v>
      </c>
      <c r="D87" s="29" t="s">
        <v>527</v>
      </c>
      <c r="E87" s="29"/>
      <c r="F87" s="29">
        <v>0</v>
      </c>
      <c r="G87" s="29">
        <v>0</v>
      </c>
      <c r="H87" s="29">
        <v>0</v>
      </c>
      <c r="I87" s="29">
        <v>0</v>
      </c>
      <c r="J87" s="29">
        <v>0</v>
      </c>
      <c r="K87" s="29" t="s">
        <v>882</v>
      </c>
      <c r="L87" s="19" t="str">
        <f t="shared" si="8"/>
        <v>Рихтовка</v>
      </c>
      <c r="M87" s="12">
        <f t="shared" si="9"/>
        <v>0</v>
      </c>
      <c r="N87" s="12">
        <f t="shared" si="10"/>
        <v>0</v>
      </c>
      <c r="O87" s="12">
        <f t="shared" si="11"/>
        <v>0</v>
      </c>
      <c r="P87" s="12">
        <f t="shared" si="12"/>
        <v>0</v>
      </c>
      <c r="Q87" s="12">
        <f t="shared" si="13"/>
        <v>0</v>
      </c>
      <c r="R87" s="12">
        <f t="shared" si="14"/>
        <v>0</v>
      </c>
      <c r="S87" s="12">
        <f t="shared" si="15"/>
        <v>0</v>
      </c>
      <c r="T87" s="29">
        <v>0</v>
      </c>
      <c r="U87" s="29">
        <v>0</v>
      </c>
      <c r="V87" s="29">
        <v>0</v>
      </c>
      <c r="W87" s="29">
        <v>0</v>
      </c>
      <c r="X87" s="29">
        <v>0</v>
      </c>
      <c r="Y87" s="29">
        <v>0</v>
      </c>
      <c r="Z87" s="29">
        <v>0</v>
      </c>
      <c r="AA87" s="29">
        <v>0</v>
      </c>
      <c r="AB87" s="29">
        <v>0</v>
      </c>
      <c r="AC87" s="29">
        <v>0</v>
      </c>
      <c r="AD87" s="29">
        <v>0</v>
      </c>
      <c r="AE87" s="29">
        <v>0</v>
      </c>
      <c r="AF87" s="29">
        <v>0</v>
      </c>
      <c r="AG87" s="29">
        <v>0</v>
      </c>
      <c r="AH87" s="29">
        <v>0</v>
      </c>
      <c r="AI87" s="29">
        <v>0</v>
      </c>
      <c r="AJ87" s="29">
        <v>0</v>
      </c>
      <c r="AK87" s="29">
        <v>0</v>
      </c>
      <c r="AL87" s="29">
        <v>0</v>
      </c>
      <c r="AM87" s="29">
        <v>0</v>
      </c>
      <c r="AN87" s="29">
        <v>0</v>
      </c>
      <c r="AO87" s="29">
        <v>0</v>
      </c>
      <c r="AP87" s="29">
        <v>0</v>
      </c>
    </row>
    <row r="88" spans="1:42" x14ac:dyDescent="0.25">
      <c r="A88" s="29">
        <v>20</v>
      </c>
      <c r="B88" s="29">
        <v>24602</v>
      </c>
      <c r="C88" s="29">
        <v>1</v>
      </c>
      <c r="D88" s="29" t="s">
        <v>528</v>
      </c>
      <c r="E88" s="29"/>
      <c r="F88" s="29">
        <v>0</v>
      </c>
      <c r="G88" s="29">
        <v>0</v>
      </c>
      <c r="H88" s="29">
        <v>0</v>
      </c>
      <c r="I88" s="29">
        <v>0</v>
      </c>
      <c r="J88" s="29">
        <v>0</v>
      </c>
      <c r="K88" s="29" t="s">
        <v>882</v>
      </c>
      <c r="L88" s="19" t="str">
        <f t="shared" si="8"/>
        <v>Рихтовка</v>
      </c>
      <c r="M88" s="12">
        <f t="shared" si="9"/>
        <v>0</v>
      </c>
      <c r="N88" s="12">
        <f t="shared" si="10"/>
        <v>0</v>
      </c>
      <c r="O88" s="12">
        <f t="shared" si="11"/>
        <v>0</v>
      </c>
      <c r="P88" s="12">
        <f t="shared" si="12"/>
        <v>0</v>
      </c>
      <c r="Q88" s="12">
        <f t="shared" si="13"/>
        <v>0</v>
      </c>
      <c r="R88" s="12">
        <f t="shared" si="14"/>
        <v>0</v>
      </c>
      <c r="S88" s="12">
        <f t="shared" si="15"/>
        <v>0</v>
      </c>
      <c r="T88" s="29">
        <v>0</v>
      </c>
      <c r="U88" s="29">
        <v>0</v>
      </c>
      <c r="V88" s="29">
        <v>0</v>
      </c>
      <c r="W88" s="29">
        <v>0</v>
      </c>
      <c r="X88" s="29">
        <v>0</v>
      </c>
      <c r="Y88" s="29">
        <v>0</v>
      </c>
      <c r="Z88" s="29">
        <v>0</v>
      </c>
      <c r="AA88" s="29">
        <v>0</v>
      </c>
      <c r="AB88" s="29">
        <v>0</v>
      </c>
      <c r="AC88" s="29">
        <v>0</v>
      </c>
      <c r="AD88" s="29">
        <v>0</v>
      </c>
      <c r="AE88" s="29">
        <v>0</v>
      </c>
      <c r="AF88" s="29">
        <v>0</v>
      </c>
      <c r="AG88" s="29">
        <v>0</v>
      </c>
      <c r="AH88" s="29">
        <v>0</v>
      </c>
      <c r="AI88" s="29">
        <v>0</v>
      </c>
      <c r="AJ88" s="29">
        <v>0</v>
      </c>
      <c r="AK88" s="29">
        <v>0</v>
      </c>
      <c r="AL88" s="29">
        <v>0</v>
      </c>
      <c r="AM88" s="29">
        <v>0</v>
      </c>
      <c r="AN88" s="29">
        <v>0</v>
      </c>
      <c r="AO88" s="29">
        <v>0</v>
      </c>
      <c r="AP88" s="29">
        <v>0</v>
      </c>
    </row>
    <row r="89" spans="1:42" x14ac:dyDescent="0.25">
      <c r="A89" s="29">
        <v>20</v>
      </c>
      <c r="B89" s="29">
        <v>24602</v>
      </c>
      <c r="C89" s="29">
        <v>1</v>
      </c>
      <c r="D89" s="29" t="s">
        <v>529</v>
      </c>
      <c r="E89" s="29"/>
      <c r="F89" s="29">
        <v>0</v>
      </c>
      <c r="G89" s="29">
        <v>0</v>
      </c>
      <c r="H89" s="29">
        <v>0</v>
      </c>
      <c r="I89" s="29">
        <v>0</v>
      </c>
      <c r="J89" s="29">
        <v>0</v>
      </c>
      <c r="K89" s="29" t="s">
        <v>882</v>
      </c>
      <c r="L89" s="19" t="str">
        <f t="shared" si="8"/>
        <v>Рихтовка</v>
      </c>
      <c r="M89" s="12">
        <f t="shared" si="9"/>
        <v>0</v>
      </c>
      <c r="N89" s="12">
        <f t="shared" si="10"/>
        <v>0</v>
      </c>
      <c r="O89" s="12">
        <f t="shared" si="11"/>
        <v>0</v>
      </c>
      <c r="P89" s="12">
        <f t="shared" si="12"/>
        <v>0</v>
      </c>
      <c r="Q89" s="12">
        <f t="shared" si="13"/>
        <v>0</v>
      </c>
      <c r="R89" s="12">
        <f t="shared" si="14"/>
        <v>0</v>
      </c>
      <c r="S89" s="12">
        <f t="shared" si="15"/>
        <v>0</v>
      </c>
      <c r="T89" s="29">
        <v>0</v>
      </c>
      <c r="U89" s="29">
        <v>0</v>
      </c>
      <c r="V89" s="29">
        <v>0</v>
      </c>
      <c r="W89" s="29">
        <v>0</v>
      </c>
      <c r="X89" s="29">
        <v>0</v>
      </c>
      <c r="Y89" s="29">
        <v>0</v>
      </c>
      <c r="Z89" s="29">
        <v>0</v>
      </c>
      <c r="AA89" s="29">
        <v>0</v>
      </c>
      <c r="AB89" s="29">
        <v>0</v>
      </c>
      <c r="AC89" s="29">
        <v>0</v>
      </c>
      <c r="AD89" s="29">
        <v>0</v>
      </c>
      <c r="AE89" s="29">
        <v>0</v>
      </c>
      <c r="AF89" s="29">
        <v>0</v>
      </c>
      <c r="AG89" s="29">
        <v>0</v>
      </c>
      <c r="AH89" s="29">
        <v>0</v>
      </c>
      <c r="AI89" s="29">
        <v>0</v>
      </c>
      <c r="AJ89" s="29">
        <v>0</v>
      </c>
      <c r="AK89" s="29">
        <v>0</v>
      </c>
      <c r="AL89" s="29">
        <v>0</v>
      </c>
      <c r="AM89" s="29">
        <v>0</v>
      </c>
      <c r="AN89" s="29">
        <v>0</v>
      </c>
      <c r="AO89" s="29">
        <v>0</v>
      </c>
      <c r="AP89" s="29">
        <v>0</v>
      </c>
    </row>
    <row r="90" spans="1:42" x14ac:dyDescent="0.25">
      <c r="A90" s="29">
        <v>20</v>
      </c>
      <c r="B90" s="29">
        <v>24602</v>
      </c>
      <c r="C90" s="29">
        <v>1</v>
      </c>
      <c r="D90" s="29" t="s">
        <v>530</v>
      </c>
      <c r="E90" s="29"/>
      <c r="F90" s="29">
        <v>0</v>
      </c>
      <c r="G90" s="29">
        <v>0</v>
      </c>
      <c r="H90" s="29">
        <v>0</v>
      </c>
      <c r="I90" s="29">
        <v>0</v>
      </c>
      <c r="J90" s="29">
        <v>0</v>
      </c>
      <c r="K90" s="29" t="s">
        <v>882</v>
      </c>
      <c r="L90" s="19" t="str">
        <f t="shared" si="8"/>
        <v>Рихтовка</v>
      </c>
      <c r="M90" s="12">
        <f t="shared" si="9"/>
        <v>0</v>
      </c>
      <c r="N90" s="12">
        <f t="shared" si="10"/>
        <v>0</v>
      </c>
      <c r="O90" s="12">
        <f t="shared" si="11"/>
        <v>0</v>
      </c>
      <c r="P90" s="12">
        <f t="shared" si="12"/>
        <v>0</v>
      </c>
      <c r="Q90" s="12">
        <f t="shared" si="13"/>
        <v>0</v>
      </c>
      <c r="R90" s="12">
        <f t="shared" si="14"/>
        <v>0</v>
      </c>
      <c r="S90" s="12">
        <f t="shared" si="15"/>
        <v>0</v>
      </c>
      <c r="T90" s="29">
        <v>0</v>
      </c>
      <c r="U90" s="29">
        <v>0</v>
      </c>
      <c r="V90" s="29">
        <v>0</v>
      </c>
      <c r="W90" s="29">
        <v>0</v>
      </c>
      <c r="X90" s="29">
        <v>0</v>
      </c>
      <c r="Y90" s="29">
        <v>0</v>
      </c>
      <c r="Z90" s="29">
        <v>0</v>
      </c>
      <c r="AA90" s="29">
        <v>0</v>
      </c>
      <c r="AB90" s="29">
        <v>0</v>
      </c>
      <c r="AC90" s="29">
        <v>0</v>
      </c>
      <c r="AD90" s="29">
        <v>0</v>
      </c>
      <c r="AE90" s="29">
        <v>0</v>
      </c>
      <c r="AF90" s="29">
        <v>0</v>
      </c>
      <c r="AG90" s="29">
        <v>0</v>
      </c>
      <c r="AH90" s="29">
        <v>0</v>
      </c>
      <c r="AI90" s="29">
        <v>0</v>
      </c>
      <c r="AJ90" s="29">
        <v>0</v>
      </c>
      <c r="AK90" s="29">
        <v>0</v>
      </c>
      <c r="AL90" s="29">
        <v>0</v>
      </c>
      <c r="AM90" s="29">
        <v>0</v>
      </c>
      <c r="AN90" s="29">
        <v>0</v>
      </c>
      <c r="AO90" s="29">
        <v>0</v>
      </c>
      <c r="AP90" s="29">
        <v>0</v>
      </c>
    </row>
    <row r="91" spans="1:42" x14ac:dyDescent="0.25">
      <c r="A91" s="29">
        <v>20</v>
      </c>
      <c r="B91" s="29">
        <v>24602</v>
      </c>
      <c r="C91" s="29">
        <v>1</v>
      </c>
      <c r="D91" s="29" t="s">
        <v>531</v>
      </c>
      <c r="E91" s="29"/>
      <c r="F91" s="29">
        <v>0</v>
      </c>
      <c r="G91" s="29">
        <v>0</v>
      </c>
      <c r="H91" s="29">
        <v>0</v>
      </c>
      <c r="I91" s="29">
        <v>0</v>
      </c>
      <c r="J91" s="29">
        <v>0</v>
      </c>
      <c r="K91" s="29" t="s">
        <v>882</v>
      </c>
      <c r="L91" s="19" t="str">
        <f t="shared" si="8"/>
        <v>Рихтовка</v>
      </c>
      <c r="M91" s="12">
        <f t="shared" si="9"/>
        <v>0</v>
      </c>
      <c r="N91" s="12">
        <f t="shared" si="10"/>
        <v>0</v>
      </c>
      <c r="O91" s="12">
        <f t="shared" si="11"/>
        <v>0</v>
      </c>
      <c r="P91" s="12">
        <f t="shared" si="12"/>
        <v>0</v>
      </c>
      <c r="Q91" s="12">
        <f t="shared" si="13"/>
        <v>0</v>
      </c>
      <c r="R91" s="12">
        <f t="shared" si="14"/>
        <v>0</v>
      </c>
      <c r="S91" s="12">
        <f t="shared" si="15"/>
        <v>0</v>
      </c>
      <c r="T91" s="29">
        <v>0</v>
      </c>
      <c r="U91" s="29">
        <v>0</v>
      </c>
      <c r="V91" s="29">
        <v>0</v>
      </c>
      <c r="W91" s="29">
        <v>0</v>
      </c>
      <c r="X91" s="29">
        <v>0</v>
      </c>
      <c r="Y91" s="29">
        <v>0</v>
      </c>
      <c r="Z91" s="29">
        <v>0</v>
      </c>
      <c r="AA91" s="29">
        <v>0</v>
      </c>
      <c r="AB91" s="29">
        <v>0</v>
      </c>
      <c r="AC91" s="29">
        <v>0</v>
      </c>
      <c r="AD91" s="29">
        <v>0</v>
      </c>
      <c r="AE91" s="29">
        <v>0</v>
      </c>
      <c r="AF91" s="29">
        <v>0</v>
      </c>
      <c r="AG91" s="29">
        <v>0</v>
      </c>
      <c r="AH91" s="29">
        <v>0</v>
      </c>
      <c r="AI91" s="29">
        <v>0</v>
      </c>
      <c r="AJ91" s="29">
        <v>0</v>
      </c>
      <c r="AK91" s="29">
        <v>0</v>
      </c>
      <c r="AL91" s="29">
        <v>0</v>
      </c>
      <c r="AM91" s="29">
        <v>0</v>
      </c>
      <c r="AN91" s="29">
        <v>0</v>
      </c>
      <c r="AO91" s="29">
        <v>0</v>
      </c>
      <c r="AP91" s="29">
        <v>0</v>
      </c>
    </row>
    <row r="92" spans="1:42" x14ac:dyDescent="0.25">
      <c r="A92" s="29">
        <v>20</v>
      </c>
      <c r="B92" s="29">
        <v>24602</v>
      </c>
      <c r="C92" s="29">
        <v>1</v>
      </c>
      <c r="D92" s="29" t="s">
        <v>532</v>
      </c>
      <c r="E92" s="29"/>
      <c r="F92" s="29">
        <v>0</v>
      </c>
      <c r="G92" s="29">
        <v>0</v>
      </c>
      <c r="H92" s="29">
        <v>0</v>
      </c>
      <c r="I92" s="29">
        <v>0</v>
      </c>
      <c r="J92" s="29">
        <v>0</v>
      </c>
      <c r="K92" s="29" t="s">
        <v>882</v>
      </c>
      <c r="L92" s="19" t="str">
        <f t="shared" si="8"/>
        <v>Рихтовка</v>
      </c>
      <c r="M92" s="12">
        <f t="shared" si="9"/>
        <v>0</v>
      </c>
      <c r="N92" s="12">
        <f t="shared" si="10"/>
        <v>0</v>
      </c>
      <c r="O92" s="12">
        <f t="shared" si="11"/>
        <v>0</v>
      </c>
      <c r="P92" s="12">
        <f t="shared" si="12"/>
        <v>0</v>
      </c>
      <c r="Q92" s="12">
        <f t="shared" si="13"/>
        <v>0</v>
      </c>
      <c r="R92" s="12">
        <f t="shared" si="14"/>
        <v>0</v>
      </c>
      <c r="S92" s="12">
        <f t="shared" si="15"/>
        <v>0</v>
      </c>
      <c r="T92" s="29">
        <v>0</v>
      </c>
      <c r="U92" s="29">
        <v>0</v>
      </c>
      <c r="V92" s="29">
        <v>0</v>
      </c>
      <c r="W92" s="29">
        <v>0</v>
      </c>
      <c r="X92" s="29">
        <v>0</v>
      </c>
      <c r="Y92" s="29">
        <v>0</v>
      </c>
      <c r="Z92" s="29">
        <v>0</v>
      </c>
      <c r="AA92" s="29">
        <v>0</v>
      </c>
      <c r="AB92" s="29">
        <v>0</v>
      </c>
      <c r="AC92" s="29">
        <v>0</v>
      </c>
      <c r="AD92" s="29">
        <v>0</v>
      </c>
      <c r="AE92" s="29">
        <v>0</v>
      </c>
      <c r="AF92" s="29">
        <v>0</v>
      </c>
      <c r="AG92" s="29">
        <v>0</v>
      </c>
      <c r="AH92" s="29">
        <v>0</v>
      </c>
      <c r="AI92" s="29">
        <v>0</v>
      </c>
      <c r="AJ92" s="29">
        <v>0</v>
      </c>
      <c r="AK92" s="29">
        <v>0</v>
      </c>
      <c r="AL92" s="29">
        <v>0</v>
      </c>
      <c r="AM92" s="29">
        <v>0</v>
      </c>
      <c r="AN92" s="29">
        <v>0</v>
      </c>
      <c r="AO92" s="29">
        <v>0</v>
      </c>
      <c r="AP92" s="29">
        <v>0</v>
      </c>
    </row>
    <row r="93" spans="1:42" x14ac:dyDescent="0.25">
      <c r="A93" s="29">
        <v>20</v>
      </c>
      <c r="B93" s="29">
        <v>24602</v>
      </c>
      <c r="C93" s="29">
        <v>1</v>
      </c>
      <c r="D93" s="29" t="s">
        <v>533</v>
      </c>
      <c r="E93" s="29"/>
      <c r="F93" s="29">
        <v>0</v>
      </c>
      <c r="G93" s="29">
        <v>0</v>
      </c>
      <c r="H93" s="29">
        <v>0</v>
      </c>
      <c r="I93" s="29">
        <v>0</v>
      </c>
      <c r="J93" s="29">
        <v>0</v>
      </c>
      <c r="K93" s="29" t="s">
        <v>882</v>
      </c>
      <c r="L93" s="19" t="str">
        <f t="shared" si="8"/>
        <v>Рихтовка</v>
      </c>
      <c r="M93" s="12">
        <f t="shared" si="9"/>
        <v>0</v>
      </c>
      <c r="N93" s="12">
        <f t="shared" si="10"/>
        <v>0</v>
      </c>
      <c r="O93" s="12">
        <f t="shared" si="11"/>
        <v>0</v>
      </c>
      <c r="P93" s="12">
        <f t="shared" si="12"/>
        <v>0</v>
      </c>
      <c r="Q93" s="12">
        <f t="shared" si="13"/>
        <v>0</v>
      </c>
      <c r="R93" s="12">
        <f t="shared" si="14"/>
        <v>0</v>
      </c>
      <c r="S93" s="12">
        <f t="shared" si="15"/>
        <v>0</v>
      </c>
      <c r="T93" s="29">
        <v>0</v>
      </c>
      <c r="U93" s="29">
        <v>0</v>
      </c>
      <c r="V93" s="29">
        <v>0</v>
      </c>
      <c r="W93" s="29">
        <v>0</v>
      </c>
      <c r="X93" s="29">
        <v>0</v>
      </c>
      <c r="Y93" s="29">
        <v>0</v>
      </c>
      <c r="Z93" s="29">
        <v>0</v>
      </c>
      <c r="AA93" s="29">
        <v>0</v>
      </c>
      <c r="AB93" s="29">
        <v>0</v>
      </c>
      <c r="AC93" s="29">
        <v>0</v>
      </c>
      <c r="AD93" s="29">
        <v>0</v>
      </c>
      <c r="AE93" s="29">
        <v>0</v>
      </c>
      <c r="AF93" s="29">
        <v>0</v>
      </c>
      <c r="AG93" s="29">
        <v>0</v>
      </c>
      <c r="AH93" s="29">
        <v>0</v>
      </c>
      <c r="AI93" s="29">
        <v>0</v>
      </c>
      <c r="AJ93" s="29">
        <v>0</v>
      </c>
      <c r="AK93" s="29">
        <v>0</v>
      </c>
      <c r="AL93" s="29">
        <v>0</v>
      </c>
      <c r="AM93" s="29">
        <v>0</v>
      </c>
      <c r="AN93" s="29">
        <v>0</v>
      </c>
      <c r="AO93" s="29">
        <v>0</v>
      </c>
      <c r="AP93" s="29">
        <v>0</v>
      </c>
    </row>
    <row r="94" spans="1:42" x14ac:dyDescent="0.25">
      <c r="A94" s="29">
        <v>20</v>
      </c>
      <c r="B94" s="29">
        <v>24602</v>
      </c>
      <c r="C94" s="29">
        <v>1</v>
      </c>
      <c r="D94" s="29" t="s">
        <v>534</v>
      </c>
      <c r="E94" s="29"/>
      <c r="F94" s="29">
        <v>0</v>
      </c>
      <c r="G94" s="29">
        <v>0</v>
      </c>
      <c r="H94" s="29">
        <v>0</v>
      </c>
      <c r="I94" s="29">
        <v>0</v>
      </c>
      <c r="J94" s="29">
        <v>0</v>
      </c>
      <c r="K94" s="29" t="s">
        <v>882</v>
      </c>
      <c r="L94" s="19" t="str">
        <f t="shared" si="8"/>
        <v>Рихтовка</v>
      </c>
      <c r="M94" s="12">
        <f t="shared" si="9"/>
        <v>0</v>
      </c>
      <c r="N94" s="12">
        <f t="shared" si="10"/>
        <v>0</v>
      </c>
      <c r="O94" s="12">
        <f t="shared" si="11"/>
        <v>0</v>
      </c>
      <c r="P94" s="12">
        <f t="shared" si="12"/>
        <v>0</v>
      </c>
      <c r="Q94" s="12">
        <f t="shared" si="13"/>
        <v>0</v>
      </c>
      <c r="R94" s="12">
        <f t="shared" si="14"/>
        <v>0</v>
      </c>
      <c r="S94" s="12">
        <f t="shared" si="15"/>
        <v>0</v>
      </c>
      <c r="T94" s="29">
        <v>0</v>
      </c>
      <c r="U94" s="29">
        <v>0</v>
      </c>
      <c r="V94" s="29">
        <v>0</v>
      </c>
      <c r="W94" s="29">
        <v>0</v>
      </c>
      <c r="X94" s="29">
        <v>0</v>
      </c>
      <c r="Y94" s="29">
        <v>0</v>
      </c>
      <c r="Z94" s="29">
        <v>0</v>
      </c>
      <c r="AA94" s="29">
        <v>0</v>
      </c>
      <c r="AB94" s="29">
        <v>0</v>
      </c>
      <c r="AC94" s="29">
        <v>0</v>
      </c>
      <c r="AD94" s="29">
        <v>0</v>
      </c>
      <c r="AE94" s="29">
        <v>0</v>
      </c>
      <c r="AF94" s="29">
        <v>0</v>
      </c>
      <c r="AG94" s="29">
        <v>0</v>
      </c>
      <c r="AH94" s="29">
        <v>0</v>
      </c>
      <c r="AI94" s="29">
        <v>0</v>
      </c>
      <c r="AJ94" s="29">
        <v>0</v>
      </c>
      <c r="AK94" s="29">
        <v>0</v>
      </c>
      <c r="AL94" s="29">
        <v>0</v>
      </c>
      <c r="AM94" s="29">
        <v>0</v>
      </c>
      <c r="AN94" s="29">
        <v>0</v>
      </c>
      <c r="AO94" s="29">
        <v>0</v>
      </c>
      <c r="AP94" s="29">
        <v>0</v>
      </c>
    </row>
    <row r="95" spans="1:42" x14ac:dyDescent="0.25">
      <c r="A95" s="29">
        <v>20</v>
      </c>
      <c r="B95" s="29">
        <v>24602</v>
      </c>
      <c r="C95" s="29">
        <v>1</v>
      </c>
      <c r="D95" s="29" t="s">
        <v>535</v>
      </c>
      <c r="E95" s="29"/>
      <c r="F95" s="29">
        <v>0</v>
      </c>
      <c r="G95" s="29">
        <v>0</v>
      </c>
      <c r="H95" s="29">
        <v>0</v>
      </c>
      <c r="I95" s="29">
        <v>0</v>
      </c>
      <c r="J95" s="29">
        <v>0</v>
      </c>
      <c r="K95" s="29" t="s">
        <v>882</v>
      </c>
      <c r="L95" s="19" t="str">
        <f t="shared" si="8"/>
        <v>Рихтовка</v>
      </c>
      <c r="M95" s="12">
        <f t="shared" si="9"/>
        <v>0</v>
      </c>
      <c r="N95" s="12">
        <f t="shared" si="10"/>
        <v>0</v>
      </c>
      <c r="O95" s="12">
        <f t="shared" si="11"/>
        <v>0</v>
      </c>
      <c r="P95" s="12">
        <f t="shared" si="12"/>
        <v>0</v>
      </c>
      <c r="Q95" s="12">
        <f t="shared" si="13"/>
        <v>0</v>
      </c>
      <c r="R95" s="12">
        <f t="shared" si="14"/>
        <v>0</v>
      </c>
      <c r="S95" s="12">
        <f t="shared" si="15"/>
        <v>0</v>
      </c>
      <c r="T95" s="29">
        <v>0</v>
      </c>
      <c r="U95" s="29">
        <v>0</v>
      </c>
      <c r="V95" s="29">
        <v>0</v>
      </c>
      <c r="W95" s="29">
        <v>0</v>
      </c>
      <c r="X95" s="29">
        <v>0</v>
      </c>
      <c r="Y95" s="29">
        <v>0</v>
      </c>
      <c r="Z95" s="29">
        <v>0</v>
      </c>
      <c r="AA95" s="29">
        <v>0</v>
      </c>
      <c r="AB95" s="29">
        <v>0</v>
      </c>
      <c r="AC95" s="29">
        <v>0</v>
      </c>
      <c r="AD95" s="29">
        <v>0</v>
      </c>
      <c r="AE95" s="29">
        <v>0</v>
      </c>
      <c r="AF95" s="29">
        <v>0</v>
      </c>
      <c r="AG95" s="29">
        <v>0</v>
      </c>
      <c r="AH95" s="29">
        <v>0</v>
      </c>
      <c r="AI95" s="29">
        <v>0</v>
      </c>
      <c r="AJ95" s="29">
        <v>0</v>
      </c>
      <c r="AK95" s="29">
        <v>0</v>
      </c>
      <c r="AL95" s="29">
        <v>0</v>
      </c>
      <c r="AM95" s="29">
        <v>0</v>
      </c>
      <c r="AN95" s="29">
        <v>0</v>
      </c>
      <c r="AO95" s="29">
        <v>0</v>
      </c>
      <c r="AP95" s="29">
        <v>0</v>
      </c>
    </row>
    <row r="96" spans="1:42" x14ac:dyDescent="0.25">
      <c r="A96" s="29">
        <v>20</v>
      </c>
      <c r="B96" s="29">
        <v>24602</v>
      </c>
      <c r="C96" s="29">
        <v>1</v>
      </c>
      <c r="D96" s="29" t="s">
        <v>536</v>
      </c>
      <c r="E96" s="29"/>
      <c r="F96" s="29">
        <v>0</v>
      </c>
      <c r="G96" s="29">
        <v>0</v>
      </c>
      <c r="H96" s="29">
        <v>0</v>
      </c>
      <c r="I96" s="29">
        <v>0</v>
      </c>
      <c r="J96" s="29">
        <v>0</v>
      </c>
      <c r="K96" s="29" t="s">
        <v>882</v>
      </c>
      <c r="L96" s="19" t="str">
        <f t="shared" si="8"/>
        <v>Рихтовка</v>
      </c>
      <c r="M96" s="12">
        <f t="shared" si="9"/>
        <v>0</v>
      </c>
      <c r="N96" s="12">
        <f t="shared" si="10"/>
        <v>0</v>
      </c>
      <c r="O96" s="12">
        <f t="shared" si="11"/>
        <v>0</v>
      </c>
      <c r="P96" s="12">
        <f t="shared" si="12"/>
        <v>0</v>
      </c>
      <c r="Q96" s="12">
        <f t="shared" si="13"/>
        <v>0</v>
      </c>
      <c r="R96" s="12">
        <f t="shared" si="14"/>
        <v>0</v>
      </c>
      <c r="S96" s="12">
        <f t="shared" si="15"/>
        <v>0</v>
      </c>
      <c r="T96" s="29">
        <v>0</v>
      </c>
      <c r="U96" s="29">
        <v>0</v>
      </c>
      <c r="V96" s="29">
        <v>0</v>
      </c>
      <c r="W96" s="29">
        <v>0</v>
      </c>
      <c r="X96" s="29">
        <v>0</v>
      </c>
      <c r="Y96" s="29">
        <v>0</v>
      </c>
      <c r="Z96" s="29">
        <v>0</v>
      </c>
      <c r="AA96" s="29">
        <v>0</v>
      </c>
      <c r="AB96" s="29">
        <v>0</v>
      </c>
      <c r="AC96" s="29">
        <v>0</v>
      </c>
      <c r="AD96" s="29">
        <v>0</v>
      </c>
      <c r="AE96" s="29">
        <v>0</v>
      </c>
      <c r="AF96" s="29">
        <v>0</v>
      </c>
      <c r="AG96" s="29">
        <v>0</v>
      </c>
      <c r="AH96" s="29">
        <v>0</v>
      </c>
      <c r="AI96" s="29">
        <v>0</v>
      </c>
      <c r="AJ96" s="29">
        <v>0</v>
      </c>
      <c r="AK96" s="29">
        <v>0</v>
      </c>
      <c r="AL96" s="29">
        <v>0</v>
      </c>
      <c r="AM96" s="29">
        <v>0</v>
      </c>
      <c r="AN96" s="29">
        <v>0</v>
      </c>
      <c r="AO96" s="29">
        <v>0</v>
      </c>
      <c r="AP96" s="29">
        <v>0</v>
      </c>
    </row>
    <row r="97" spans="1:42" x14ac:dyDescent="0.25">
      <c r="A97" s="29">
        <v>20</v>
      </c>
      <c r="B97" s="29">
        <v>24602</v>
      </c>
      <c r="C97" s="29">
        <v>1</v>
      </c>
      <c r="D97" s="29" t="s">
        <v>537</v>
      </c>
      <c r="E97" s="29"/>
      <c r="F97" s="29">
        <v>0</v>
      </c>
      <c r="G97" s="29">
        <v>0</v>
      </c>
      <c r="H97" s="29">
        <v>0</v>
      </c>
      <c r="I97" s="29">
        <v>0</v>
      </c>
      <c r="J97" s="29">
        <v>0</v>
      </c>
      <c r="K97" s="29" t="s">
        <v>882</v>
      </c>
      <c r="L97" s="19" t="str">
        <f t="shared" si="8"/>
        <v>Рихтовка</v>
      </c>
      <c r="M97" s="12">
        <f t="shared" si="9"/>
        <v>0</v>
      </c>
      <c r="N97" s="12">
        <f t="shared" si="10"/>
        <v>0</v>
      </c>
      <c r="O97" s="12">
        <f t="shared" si="11"/>
        <v>0</v>
      </c>
      <c r="P97" s="12">
        <f t="shared" si="12"/>
        <v>0</v>
      </c>
      <c r="Q97" s="12">
        <f t="shared" si="13"/>
        <v>0</v>
      </c>
      <c r="R97" s="12">
        <f t="shared" si="14"/>
        <v>0</v>
      </c>
      <c r="S97" s="12">
        <f t="shared" si="15"/>
        <v>0</v>
      </c>
      <c r="T97" s="29">
        <v>0</v>
      </c>
      <c r="U97" s="29">
        <v>0</v>
      </c>
      <c r="V97" s="29">
        <v>0</v>
      </c>
      <c r="W97" s="29">
        <v>0</v>
      </c>
      <c r="X97" s="29">
        <v>0</v>
      </c>
      <c r="Y97" s="29">
        <v>0</v>
      </c>
      <c r="Z97" s="29">
        <v>0</v>
      </c>
      <c r="AA97" s="29">
        <v>0</v>
      </c>
      <c r="AB97" s="29">
        <v>0</v>
      </c>
      <c r="AC97" s="29">
        <v>0</v>
      </c>
      <c r="AD97" s="29">
        <v>0</v>
      </c>
      <c r="AE97" s="29">
        <v>0</v>
      </c>
      <c r="AF97" s="29">
        <v>0</v>
      </c>
      <c r="AG97" s="29">
        <v>0</v>
      </c>
      <c r="AH97" s="29">
        <v>0</v>
      </c>
      <c r="AI97" s="29">
        <v>0</v>
      </c>
      <c r="AJ97" s="29">
        <v>0</v>
      </c>
      <c r="AK97" s="29">
        <v>0</v>
      </c>
      <c r="AL97" s="29">
        <v>0</v>
      </c>
      <c r="AM97" s="29">
        <v>0</v>
      </c>
      <c r="AN97" s="29">
        <v>0</v>
      </c>
      <c r="AO97" s="29">
        <v>0</v>
      </c>
      <c r="AP97" s="29">
        <v>0</v>
      </c>
    </row>
    <row r="98" spans="1:42" x14ac:dyDescent="0.25">
      <c r="A98" s="29">
        <v>20</v>
      </c>
      <c r="B98" s="29">
        <v>24602</v>
      </c>
      <c r="C98" s="29">
        <v>1</v>
      </c>
      <c r="D98" s="29" t="s">
        <v>945</v>
      </c>
      <c r="E98" s="29"/>
      <c r="F98" s="29">
        <v>0</v>
      </c>
      <c r="G98" s="29">
        <v>0</v>
      </c>
      <c r="H98" s="29">
        <v>0</v>
      </c>
      <c r="I98" s="29">
        <v>0</v>
      </c>
      <c r="J98" s="29">
        <v>0</v>
      </c>
      <c r="K98" s="29" t="s">
        <v>882</v>
      </c>
      <c r="L98" s="19" t="str">
        <f t="shared" si="8"/>
        <v>Рихтовка</v>
      </c>
      <c r="M98" s="12">
        <f t="shared" si="9"/>
        <v>0</v>
      </c>
      <c r="N98" s="12">
        <f t="shared" si="10"/>
        <v>0</v>
      </c>
      <c r="O98" s="12">
        <f t="shared" si="11"/>
        <v>0</v>
      </c>
      <c r="P98" s="12">
        <f t="shared" si="12"/>
        <v>0</v>
      </c>
      <c r="Q98" s="12">
        <f t="shared" si="13"/>
        <v>0</v>
      </c>
      <c r="R98" s="12">
        <f t="shared" si="14"/>
        <v>0</v>
      </c>
      <c r="S98" s="12">
        <f t="shared" si="15"/>
        <v>0</v>
      </c>
      <c r="T98" s="29">
        <v>0</v>
      </c>
      <c r="U98" s="29">
        <v>0</v>
      </c>
      <c r="V98" s="29">
        <v>0</v>
      </c>
      <c r="W98" s="29">
        <v>0</v>
      </c>
      <c r="X98" s="29">
        <v>0</v>
      </c>
      <c r="Y98" s="29">
        <v>0</v>
      </c>
      <c r="Z98" s="29">
        <v>0</v>
      </c>
      <c r="AA98" s="29">
        <v>0</v>
      </c>
      <c r="AB98" s="29">
        <v>0</v>
      </c>
      <c r="AC98" s="29">
        <v>0</v>
      </c>
      <c r="AD98" s="29">
        <v>0</v>
      </c>
      <c r="AE98" s="29">
        <v>0</v>
      </c>
      <c r="AF98" s="29">
        <v>0</v>
      </c>
      <c r="AG98" s="29">
        <v>0</v>
      </c>
      <c r="AH98" s="29">
        <v>0</v>
      </c>
      <c r="AI98" s="29">
        <v>0</v>
      </c>
      <c r="AJ98" s="29">
        <v>0</v>
      </c>
      <c r="AK98" s="29">
        <v>0</v>
      </c>
      <c r="AL98" s="29">
        <v>0</v>
      </c>
      <c r="AM98" s="29">
        <v>0</v>
      </c>
      <c r="AN98" s="29">
        <v>0</v>
      </c>
      <c r="AO98" s="29">
        <v>0</v>
      </c>
      <c r="AP98" s="29">
        <v>0</v>
      </c>
    </row>
    <row r="99" spans="1:42" x14ac:dyDescent="0.25">
      <c r="A99" s="29">
        <v>20</v>
      </c>
      <c r="B99" s="29">
        <v>24602</v>
      </c>
      <c r="C99" s="29">
        <v>1</v>
      </c>
      <c r="D99" s="29" t="s">
        <v>946</v>
      </c>
      <c r="E99" s="29"/>
      <c r="F99" s="29">
        <v>0</v>
      </c>
      <c r="G99" s="29">
        <v>0</v>
      </c>
      <c r="H99" s="29">
        <v>0</v>
      </c>
      <c r="I99" s="29">
        <v>0</v>
      </c>
      <c r="J99" s="29">
        <v>0</v>
      </c>
      <c r="K99" s="29" t="s">
        <v>882</v>
      </c>
      <c r="L99" s="19" t="str">
        <f t="shared" si="8"/>
        <v>Рихтовка</v>
      </c>
      <c r="M99" s="12">
        <f t="shared" si="9"/>
        <v>0</v>
      </c>
      <c r="N99" s="12">
        <f t="shared" si="10"/>
        <v>0</v>
      </c>
      <c r="O99" s="12">
        <f t="shared" si="11"/>
        <v>0</v>
      </c>
      <c r="P99" s="12">
        <f t="shared" si="12"/>
        <v>0</v>
      </c>
      <c r="Q99" s="12">
        <f t="shared" si="13"/>
        <v>0</v>
      </c>
      <c r="R99" s="12">
        <f t="shared" si="14"/>
        <v>0</v>
      </c>
      <c r="S99" s="12">
        <f t="shared" si="15"/>
        <v>0</v>
      </c>
      <c r="T99" s="29">
        <v>0</v>
      </c>
      <c r="U99" s="29">
        <v>0</v>
      </c>
      <c r="V99" s="29">
        <v>0</v>
      </c>
      <c r="W99" s="29">
        <v>0</v>
      </c>
      <c r="X99" s="29">
        <v>0</v>
      </c>
      <c r="Y99" s="29">
        <v>0</v>
      </c>
      <c r="Z99" s="29">
        <v>0</v>
      </c>
      <c r="AA99" s="29">
        <v>0</v>
      </c>
      <c r="AB99" s="29">
        <v>0</v>
      </c>
      <c r="AC99" s="29">
        <v>0</v>
      </c>
      <c r="AD99" s="29">
        <v>0</v>
      </c>
      <c r="AE99" s="29">
        <v>0</v>
      </c>
      <c r="AF99" s="29">
        <v>0</v>
      </c>
      <c r="AG99" s="29">
        <v>0</v>
      </c>
      <c r="AH99" s="29">
        <v>0</v>
      </c>
      <c r="AI99" s="29">
        <v>0</v>
      </c>
      <c r="AJ99" s="29">
        <v>0</v>
      </c>
      <c r="AK99" s="29">
        <v>0</v>
      </c>
      <c r="AL99" s="29">
        <v>0</v>
      </c>
      <c r="AM99" s="29">
        <v>0</v>
      </c>
      <c r="AN99" s="29">
        <v>0</v>
      </c>
      <c r="AO99" s="29">
        <v>0</v>
      </c>
      <c r="AP99" s="29">
        <v>0</v>
      </c>
    </row>
    <row r="100" spans="1:42" x14ac:dyDescent="0.25">
      <c r="A100" s="29">
        <v>20</v>
      </c>
      <c r="B100" s="29">
        <v>24602</v>
      </c>
      <c r="C100" s="29">
        <v>1</v>
      </c>
      <c r="D100" s="29" t="s">
        <v>538</v>
      </c>
      <c r="E100" s="29"/>
      <c r="F100" s="29">
        <v>0</v>
      </c>
      <c r="G100" s="29">
        <v>0</v>
      </c>
      <c r="H100" s="29">
        <v>0</v>
      </c>
      <c r="I100" s="29">
        <v>0</v>
      </c>
      <c r="J100" s="29">
        <v>0</v>
      </c>
      <c r="K100" s="29" t="s">
        <v>882</v>
      </c>
      <c r="L100" s="19" t="str">
        <f t="shared" si="8"/>
        <v>Рихтовка</v>
      </c>
      <c r="M100" s="12">
        <f t="shared" si="9"/>
        <v>0</v>
      </c>
      <c r="N100" s="12">
        <f t="shared" si="10"/>
        <v>0</v>
      </c>
      <c r="O100" s="12">
        <f t="shared" si="11"/>
        <v>0</v>
      </c>
      <c r="P100" s="12">
        <f t="shared" si="12"/>
        <v>0</v>
      </c>
      <c r="Q100" s="12">
        <f t="shared" si="13"/>
        <v>0</v>
      </c>
      <c r="R100" s="12">
        <f t="shared" si="14"/>
        <v>0</v>
      </c>
      <c r="S100" s="12">
        <f t="shared" si="15"/>
        <v>0</v>
      </c>
      <c r="T100" s="29">
        <v>0</v>
      </c>
      <c r="U100" s="29">
        <v>0</v>
      </c>
      <c r="V100" s="29">
        <v>0</v>
      </c>
      <c r="W100" s="29">
        <v>0</v>
      </c>
      <c r="X100" s="29">
        <v>0</v>
      </c>
      <c r="Y100" s="29">
        <v>0</v>
      </c>
      <c r="Z100" s="29">
        <v>0</v>
      </c>
      <c r="AA100" s="29">
        <v>0</v>
      </c>
      <c r="AB100" s="29">
        <v>0</v>
      </c>
      <c r="AC100" s="29">
        <v>0</v>
      </c>
      <c r="AD100" s="29">
        <v>0</v>
      </c>
      <c r="AE100" s="29">
        <v>0</v>
      </c>
      <c r="AF100" s="29">
        <v>0</v>
      </c>
      <c r="AG100" s="29">
        <v>0</v>
      </c>
      <c r="AH100" s="29">
        <v>0</v>
      </c>
      <c r="AI100" s="29">
        <v>0</v>
      </c>
      <c r="AJ100" s="29">
        <v>0</v>
      </c>
      <c r="AK100" s="29">
        <v>0</v>
      </c>
      <c r="AL100" s="29">
        <v>0</v>
      </c>
      <c r="AM100" s="29">
        <v>0</v>
      </c>
      <c r="AN100" s="29">
        <v>0</v>
      </c>
      <c r="AO100" s="29">
        <v>0</v>
      </c>
      <c r="AP100" s="29">
        <v>0</v>
      </c>
    </row>
    <row r="101" spans="1:42" x14ac:dyDescent="0.25">
      <c r="A101" s="29">
        <v>22</v>
      </c>
      <c r="B101" s="29">
        <v>24602</v>
      </c>
      <c r="C101" s="29">
        <v>1</v>
      </c>
      <c r="D101" s="29" t="s">
        <v>538</v>
      </c>
      <c r="E101" s="29"/>
      <c r="F101" s="29">
        <v>0</v>
      </c>
      <c r="G101" s="29">
        <v>0</v>
      </c>
      <c r="H101" s="29">
        <v>0</v>
      </c>
      <c r="I101" s="29">
        <v>0</v>
      </c>
      <c r="J101" s="29">
        <v>0</v>
      </c>
      <c r="K101" s="29" t="s">
        <v>882</v>
      </c>
      <c r="L101" s="19" t="str">
        <f t="shared" si="8"/>
        <v>Рихтовка</v>
      </c>
      <c r="M101" s="12">
        <f t="shared" si="9"/>
        <v>0</v>
      </c>
      <c r="N101" s="12">
        <f t="shared" si="10"/>
        <v>0</v>
      </c>
      <c r="O101" s="12">
        <f t="shared" si="11"/>
        <v>0</v>
      </c>
      <c r="P101" s="12">
        <f t="shared" si="12"/>
        <v>0</v>
      </c>
      <c r="Q101" s="12">
        <f t="shared" si="13"/>
        <v>0</v>
      </c>
      <c r="R101" s="12">
        <f t="shared" si="14"/>
        <v>0</v>
      </c>
      <c r="S101" s="12">
        <f t="shared" si="15"/>
        <v>0</v>
      </c>
      <c r="T101" s="29">
        <v>0</v>
      </c>
      <c r="U101" s="29">
        <v>0</v>
      </c>
      <c r="V101" s="29">
        <v>0</v>
      </c>
      <c r="W101" s="29">
        <v>0</v>
      </c>
      <c r="X101" s="29">
        <v>0</v>
      </c>
      <c r="Y101" s="29">
        <v>0</v>
      </c>
      <c r="Z101" s="29">
        <v>0</v>
      </c>
      <c r="AA101" s="29">
        <v>0</v>
      </c>
      <c r="AB101" s="29">
        <v>0</v>
      </c>
      <c r="AC101" s="29">
        <v>0</v>
      </c>
      <c r="AD101" s="29">
        <v>0</v>
      </c>
      <c r="AE101" s="29">
        <v>0</v>
      </c>
      <c r="AF101" s="29">
        <v>0</v>
      </c>
      <c r="AG101" s="29">
        <v>0</v>
      </c>
      <c r="AH101" s="29">
        <v>0</v>
      </c>
      <c r="AI101" s="29">
        <v>0</v>
      </c>
      <c r="AJ101" s="29">
        <v>0</v>
      </c>
      <c r="AK101" s="29">
        <v>0</v>
      </c>
      <c r="AL101" s="29">
        <v>0</v>
      </c>
      <c r="AM101" s="29">
        <v>0</v>
      </c>
      <c r="AN101" s="29">
        <v>0</v>
      </c>
      <c r="AO101" s="29">
        <v>0</v>
      </c>
      <c r="AP101" s="29">
        <v>0</v>
      </c>
    </row>
    <row r="102" spans="1:42" x14ac:dyDescent="0.25">
      <c r="A102" s="29">
        <v>22</v>
      </c>
      <c r="B102" s="29">
        <v>24602</v>
      </c>
      <c r="C102" s="29">
        <v>1</v>
      </c>
      <c r="D102" s="29" t="s">
        <v>539</v>
      </c>
      <c r="E102" s="29"/>
      <c r="F102" s="29">
        <v>0</v>
      </c>
      <c r="G102" s="29">
        <v>0</v>
      </c>
      <c r="H102" s="29">
        <v>0</v>
      </c>
      <c r="I102" s="29">
        <v>0</v>
      </c>
      <c r="J102" s="29">
        <v>0</v>
      </c>
      <c r="K102" s="29" t="s">
        <v>882</v>
      </c>
      <c r="L102" s="19" t="str">
        <f t="shared" si="8"/>
        <v>Рихтовка</v>
      </c>
      <c r="M102" s="12">
        <f t="shared" si="9"/>
        <v>0</v>
      </c>
      <c r="N102" s="12">
        <f t="shared" si="10"/>
        <v>0</v>
      </c>
      <c r="O102" s="12">
        <f t="shared" si="11"/>
        <v>0</v>
      </c>
      <c r="P102" s="12">
        <f t="shared" si="12"/>
        <v>0</v>
      </c>
      <c r="Q102" s="12">
        <f t="shared" si="13"/>
        <v>0</v>
      </c>
      <c r="R102" s="12">
        <f t="shared" si="14"/>
        <v>0</v>
      </c>
      <c r="S102" s="12">
        <f t="shared" si="15"/>
        <v>0</v>
      </c>
      <c r="T102" s="29">
        <v>0</v>
      </c>
      <c r="U102" s="29">
        <v>0</v>
      </c>
      <c r="V102" s="29">
        <v>0</v>
      </c>
      <c r="W102" s="29">
        <v>0</v>
      </c>
      <c r="X102" s="29">
        <v>0</v>
      </c>
      <c r="Y102" s="29">
        <v>0</v>
      </c>
      <c r="Z102" s="29">
        <v>0</v>
      </c>
      <c r="AA102" s="29">
        <v>0</v>
      </c>
      <c r="AB102" s="29">
        <v>0</v>
      </c>
      <c r="AC102" s="29">
        <v>0</v>
      </c>
      <c r="AD102" s="29">
        <v>0</v>
      </c>
      <c r="AE102" s="29">
        <v>0</v>
      </c>
      <c r="AF102" s="29">
        <v>0</v>
      </c>
      <c r="AG102" s="29">
        <v>0</v>
      </c>
      <c r="AH102" s="29">
        <v>0</v>
      </c>
      <c r="AI102" s="29">
        <v>0</v>
      </c>
      <c r="AJ102" s="29">
        <v>0</v>
      </c>
      <c r="AK102" s="29">
        <v>0</v>
      </c>
      <c r="AL102" s="29">
        <v>0</v>
      </c>
      <c r="AM102" s="29">
        <v>0</v>
      </c>
      <c r="AN102" s="29">
        <v>0</v>
      </c>
      <c r="AO102" s="29">
        <v>0</v>
      </c>
      <c r="AP102" s="29">
        <v>0</v>
      </c>
    </row>
    <row r="103" spans="1:42" x14ac:dyDescent="0.25">
      <c r="A103" s="29">
        <v>22</v>
      </c>
      <c r="B103" s="29">
        <v>24602</v>
      </c>
      <c r="C103" s="29">
        <v>1</v>
      </c>
      <c r="D103" s="29" t="s">
        <v>540</v>
      </c>
      <c r="E103" s="29"/>
      <c r="F103" s="29">
        <v>0</v>
      </c>
      <c r="G103" s="29">
        <v>0</v>
      </c>
      <c r="H103" s="29">
        <v>0</v>
      </c>
      <c r="I103" s="29">
        <v>0</v>
      </c>
      <c r="J103" s="29">
        <v>0</v>
      </c>
      <c r="K103" s="29" t="s">
        <v>882</v>
      </c>
      <c r="L103" s="19" t="str">
        <f t="shared" si="8"/>
        <v>Рихтовка</v>
      </c>
      <c r="M103" s="12">
        <f t="shared" si="9"/>
        <v>0</v>
      </c>
      <c r="N103" s="12">
        <f t="shared" si="10"/>
        <v>0</v>
      </c>
      <c r="O103" s="12">
        <f t="shared" si="11"/>
        <v>0</v>
      </c>
      <c r="P103" s="12">
        <f t="shared" si="12"/>
        <v>0</v>
      </c>
      <c r="Q103" s="12">
        <f t="shared" si="13"/>
        <v>0</v>
      </c>
      <c r="R103" s="12">
        <f t="shared" si="14"/>
        <v>0</v>
      </c>
      <c r="S103" s="12">
        <f t="shared" si="15"/>
        <v>0</v>
      </c>
      <c r="T103" s="29">
        <v>0</v>
      </c>
      <c r="U103" s="29">
        <v>0</v>
      </c>
      <c r="V103" s="29">
        <v>0</v>
      </c>
      <c r="W103" s="29">
        <v>0</v>
      </c>
      <c r="X103" s="29">
        <v>0</v>
      </c>
      <c r="Y103" s="29">
        <v>0</v>
      </c>
      <c r="Z103" s="29">
        <v>0</v>
      </c>
      <c r="AA103" s="29">
        <v>0</v>
      </c>
      <c r="AB103" s="29">
        <v>0</v>
      </c>
      <c r="AC103" s="29">
        <v>0</v>
      </c>
      <c r="AD103" s="29">
        <v>0</v>
      </c>
      <c r="AE103" s="29">
        <v>0</v>
      </c>
      <c r="AF103" s="29">
        <v>0</v>
      </c>
      <c r="AG103" s="29">
        <v>0</v>
      </c>
      <c r="AH103" s="29">
        <v>0</v>
      </c>
      <c r="AI103" s="29">
        <v>0</v>
      </c>
      <c r="AJ103" s="29">
        <v>0</v>
      </c>
      <c r="AK103" s="29">
        <v>0</v>
      </c>
      <c r="AL103" s="29">
        <v>0</v>
      </c>
      <c r="AM103" s="29">
        <v>0</v>
      </c>
      <c r="AN103" s="29">
        <v>0</v>
      </c>
      <c r="AO103" s="29">
        <v>0</v>
      </c>
      <c r="AP103" s="29">
        <v>0</v>
      </c>
    </row>
    <row r="104" spans="1:42" x14ac:dyDescent="0.25">
      <c r="A104" s="29">
        <v>22</v>
      </c>
      <c r="B104" s="29">
        <v>24602</v>
      </c>
      <c r="C104" s="29">
        <v>1</v>
      </c>
      <c r="D104" s="29" t="s">
        <v>541</v>
      </c>
      <c r="E104" s="29"/>
      <c r="F104" s="29">
        <v>0</v>
      </c>
      <c r="G104" s="29">
        <v>0</v>
      </c>
      <c r="H104" s="29">
        <v>0</v>
      </c>
      <c r="I104" s="29">
        <v>0</v>
      </c>
      <c r="J104" s="29">
        <v>0</v>
      </c>
      <c r="K104" s="29" t="s">
        <v>882</v>
      </c>
      <c r="L104" s="19" t="str">
        <f t="shared" si="8"/>
        <v>Рихтовка</v>
      </c>
      <c r="M104" s="12">
        <f t="shared" si="9"/>
        <v>0</v>
      </c>
      <c r="N104" s="12">
        <f t="shared" si="10"/>
        <v>0</v>
      </c>
      <c r="O104" s="12">
        <f t="shared" si="11"/>
        <v>0</v>
      </c>
      <c r="P104" s="12">
        <f t="shared" si="12"/>
        <v>0</v>
      </c>
      <c r="Q104" s="12">
        <f t="shared" si="13"/>
        <v>0</v>
      </c>
      <c r="R104" s="12">
        <f t="shared" si="14"/>
        <v>0</v>
      </c>
      <c r="S104" s="12">
        <f t="shared" si="15"/>
        <v>0</v>
      </c>
      <c r="T104" s="29">
        <v>0</v>
      </c>
      <c r="U104" s="29">
        <v>0</v>
      </c>
      <c r="V104" s="29">
        <v>0</v>
      </c>
      <c r="W104" s="29">
        <v>0</v>
      </c>
      <c r="X104" s="29">
        <v>0</v>
      </c>
      <c r="Y104" s="29">
        <v>0</v>
      </c>
      <c r="Z104" s="29">
        <v>0</v>
      </c>
      <c r="AA104" s="29">
        <v>0</v>
      </c>
      <c r="AB104" s="29">
        <v>0</v>
      </c>
      <c r="AC104" s="29">
        <v>0</v>
      </c>
      <c r="AD104" s="29">
        <v>0</v>
      </c>
      <c r="AE104" s="29">
        <v>0</v>
      </c>
      <c r="AF104" s="29">
        <v>0</v>
      </c>
      <c r="AG104" s="29">
        <v>0</v>
      </c>
      <c r="AH104" s="29">
        <v>0</v>
      </c>
      <c r="AI104" s="29">
        <v>0</v>
      </c>
      <c r="AJ104" s="29">
        <v>0</v>
      </c>
      <c r="AK104" s="29">
        <v>0</v>
      </c>
      <c r="AL104" s="29">
        <v>0</v>
      </c>
      <c r="AM104" s="29">
        <v>0</v>
      </c>
      <c r="AN104" s="29">
        <v>0</v>
      </c>
      <c r="AO104" s="29">
        <v>0</v>
      </c>
      <c r="AP104" s="29">
        <v>0</v>
      </c>
    </row>
    <row r="105" spans="1:42" x14ac:dyDescent="0.25">
      <c r="A105" s="29">
        <v>22</v>
      </c>
      <c r="B105" s="29">
        <v>24602</v>
      </c>
      <c r="C105" s="29">
        <v>1</v>
      </c>
      <c r="D105" s="29" t="s">
        <v>542</v>
      </c>
      <c r="E105" s="29"/>
      <c r="F105" s="29">
        <v>0</v>
      </c>
      <c r="G105" s="29">
        <v>0</v>
      </c>
      <c r="H105" s="29">
        <v>0</v>
      </c>
      <c r="I105" s="29">
        <v>0</v>
      </c>
      <c r="J105" s="29">
        <v>0</v>
      </c>
      <c r="K105" s="29" t="s">
        <v>882</v>
      </c>
      <c r="L105" s="19" t="str">
        <f t="shared" si="8"/>
        <v>Рихтовка</v>
      </c>
      <c r="M105" s="12">
        <f t="shared" si="9"/>
        <v>0</v>
      </c>
      <c r="N105" s="12">
        <f t="shared" si="10"/>
        <v>0</v>
      </c>
      <c r="O105" s="12">
        <f t="shared" si="11"/>
        <v>0</v>
      </c>
      <c r="P105" s="12">
        <f t="shared" si="12"/>
        <v>0</v>
      </c>
      <c r="Q105" s="12">
        <f t="shared" si="13"/>
        <v>0</v>
      </c>
      <c r="R105" s="12">
        <f t="shared" si="14"/>
        <v>0</v>
      </c>
      <c r="S105" s="12">
        <f t="shared" si="15"/>
        <v>0</v>
      </c>
      <c r="T105" s="29">
        <v>0</v>
      </c>
      <c r="U105" s="29">
        <v>0</v>
      </c>
      <c r="V105" s="29">
        <v>0</v>
      </c>
      <c r="W105" s="29">
        <v>0</v>
      </c>
      <c r="X105" s="29">
        <v>0</v>
      </c>
      <c r="Y105" s="29">
        <v>0</v>
      </c>
      <c r="Z105" s="29">
        <v>0</v>
      </c>
      <c r="AA105" s="29">
        <v>0</v>
      </c>
      <c r="AB105" s="29">
        <v>0</v>
      </c>
      <c r="AC105" s="29">
        <v>0</v>
      </c>
      <c r="AD105" s="29">
        <v>0</v>
      </c>
      <c r="AE105" s="29">
        <v>0</v>
      </c>
      <c r="AF105" s="29">
        <v>0</v>
      </c>
      <c r="AG105" s="29">
        <v>0</v>
      </c>
      <c r="AH105" s="29">
        <v>0</v>
      </c>
      <c r="AI105" s="29">
        <v>0</v>
      </c>
      <c r="AJ105" s="29">
        <v>0</v>
      </c>
      <c r="AK105" s="29">
        <v>0</v>
      </c>
      <c r="AL105" s="29">
        <v>0</v>
      </c>
      <c r="AM105" s="29">
        <v>0</v>
      </c>
      <c r="AN105" s="29">
        <v>0</v>
      </c>
      <c r="AO105" s="29">
        <v>0</v>
      </c>
      <c r="AP105" s="29">
        <v>0</v>
      </c>
    </row>
    <row r="106" spans="1:42" x14ac:dyDescent="0.25">
      <c r="A106" s="29">
        <v>22</v>
      </c>
      <c r="B106" s="29">
        <v>24602</v>
      </c>
      <c r="C106" s="29">
        <v>1</v>
      </c>
      <c r="D106" s="29" t="s">
        <v>543</v>
      </c>
      <c r="E106" s="29"/>
      <c r="F106" s="29">
        <v>0</v>
      </c>
      <c r="G106" s="29">
        <v>0</v>
      </c>
      <c r="H106" s="29">
        <v>0</v>
      </c>
      <c r="I106" s="29">
        <v>0</v>
      </c>
      <c r="J106" s="29">
        <v>0</v>
      </c>
      <c r="K106" s="29" t="s">
        <v>882</v>
      </c>
      <c r="L106" s="19" t="str">
        <f t="shared" si="8"/>
        <v>Рихтовка</v>
      </c>
      <c r="M106" s="12">
        <f t="shared" si="9"/>
        <v>0</v>
      </c>
      <c r="N106" s="12">
        <f t="shared" si="10"/>
        <v>0</v>
      </c>
      <c r="O106" s="12">
        <f t="shared" si="11"/>
        <v>0</v>
      </c>
      <c r="P106" s="12">
        <f t="shared" si="12"/>
        <v>0</v>
      </c>
      <c r="Q106" s="12">
        <f t="shared" si="13"/>
        <v>0</v>
      </c>
      <c r="R106" s="12">
        <f t="shared" si="14"/>
        <v>0</v>
      </c>
      <c r="S106" s="12">
        <f t="shared" si="15"/>
        <v>0</v>
      </c>
      <c r="T106" s="29">
        <v>0</v>
      </c>
      <c r="U106" s="29">
        <v>0</v>
      </c>
      <c r="V106" s="29">
        <v>0</v>
      </c>
      <c r="W106" s="29">
        <v>0</v>
      </c>
      <c r="X106" s="29">
        <v>0</v>
      </c>
      <c r="Y106" s="29">
        <v>0</v>
      </c>
      <c r="Z106" s="29">
        <v>0</v>
      </c>
      <c r="AA106" s="29">
        <v>0</v>
      </c>
      <c r="AB106" s="29">
        <v>0</v>
      </c>
      <c r="AC106" s="29">
        <v>0</v>
      </c>
      <c r="AD106" s="29">
        <v>0</v>
      </c>
      <c r="AE106" s="29">
        <v>0</v>
      </c>
      <c r="AF106" s="29">
        <v>0</v>
      </c>
      <c r="AG106" s="29">
        <v>0</v>
      </c>
      <c r="AH106" s="29">
        <v>0</v>
      </c>
      <c r="AI106" s="29">
        <v>0</v>
      </c>
      <c r="AJ106" s="29">
        <v>0</v>
      </c>
      <c r="AK106" s="29">
        <v>0</v>
      </c>
      <c r="AL106" s="29">
        <v>0</v>
      </c>
      <c r="AM106" s="29">
        <v>0</v>
      </c>
      <c r="AN106" s="29">
        <v>0</v>
      </c>
      <c r="AO106" s="29">
        <v>0</v>
      </c>
      <c r="AP106" s="29">
        <v>0</v>
      </c>
    </row>
    <row r="107" spans="1:42" x14ac:dyDescent="0.25">
      <c r="A107" s="29">
        <v>22</v>
      </c>
      <c r="B107" s="29">
        <v>24602</v>
      </c>
      <c r="C107" s="29">
        <v>1</v>
      </c>
      <c r="D107" s="29" t="s">
        <v>544</v>
      </c>
      <c r="E107" s="29"/>
      <c r="F107" s="29">
        <v>0</v>
      </c>
      <c r="G107" s="29">
        <v>0</v>
      </c>
      <c r="H107" s="29">
        <v>0</v>
      </c>
      <c r="I107" s="29">
        <v>0</v>
      </c>
      <c r="J107" s="29">
        <v>0</v>
      </c>
      <c r="K107" s="29" t="s">
        <v>882</v>
      </c>
      <c r="L107" s="19" t="str">
        <f t="shared" si="8"/>
        <v>Рихтовка</v>
      </c>
      <c r="M107" s="12">
        <f t="shared" si="9"/>
        <v>0</v>
      </c>
      <c r="N107" s="12">
        <f t="shared" si="10"/>
        <v>0</v>
      </c>
      <c r="O107" s="12">
        <f t="shared" si="11"/>
        <v>0</v>
      </c>
      <c r="P107" s="12">
        <f t="shared" si="12"/>
        <v>0</v>
      </c>
      <c r="Q107" s="12">
        <f t="shared" si="13"/>
        <v>0</v>
      </c>
      <c r="R107" s="12">
        <f t="shared" si="14"/>
        <v>0</v>
      </c>
      <c r="S107" s="12">
        <f t="shared" si="15"/>
        <v>0</v>
      </c>
      <c r="T107" s="29">
        <v>0</v>
      </c>
      <c r="U107" s="29">
        <v>0</v>
      </c>
      <c r="V107" s="29">
        <v>0</v>
      </c>
      <c r="W107" s="29">
        <v>0</v>
      </c>
      <c r="X107" s="29">
        <v>0</v>
      </c>
      <c r="Y107" s="29">
        <v>0</v>
      </c>
      <c r="Z107" s="29">
        <v>0</v>
      </c>
      <c r="AA107" s="29">
        <v>0</v>
      </c>
      <c r="AB107" s="29">
        <v>0</v>
      </c>
      <c r="AC107" s="29">
        <v>0</v>
      </c>
      <c r="AD107" s="29">
        <v>0</v>
      </c>
      <c r="AE107" s="29">
        <v>0</v>
      </c>
      <c r="AF107" s="29">
        <v>0</v>
      </c>
      <c r="AG107" s="29">
        <v>0</v>
      </c>
      <c r="AH107" s="29">
        <v>0</v>
      </c>
      <c r="AI107" s="29">
        <v>0</v>
      </c>
      <c r="AJ107" s="29">
        <v>0</v>
      </c>
      <c r="AK107" s="29">
        <v>0</v>
      </c>
      <c r="AL107" s="29">
        <v>0</v>
      </c>
      <c r="AM107" s="29">
        <v>0</v>
      </c>
      <c r="AN107" s="29">
        <v>0</v>
      </c>
      <c r="AO107" s="29">
        <v>0</v>
      </c>
      <c r="AP107" s="29">
        <v>0</v>
      </c>
    </row>
    <row r="108" spans="1:42" x14ac:dyDescent="0.25">
      <c r="A108" s="29">
        <v>22</v>
      </c>
      <c r="B108" s="29">
        <v>24602</v>
      </c>
      <c r="C108" s="29">
        <v>1</v>
      </c>
      <c r="D108" s="29" t="s">
        <v>545</v>
      </c>
      <c r="E108" s="29"/>
      <c r="F108" s="29">
        <v>0</v>
      </c>
      <c r="G108" s="29">
        <v>0</v>
      </c>
      <c r="H108" s="29">
        <v>0</v>
      </c>
      <c r="I108" s="29">
        <v>0</v>
      </c>
      <c r="J108" s="29">
        <v>0</v>
      </c>
      <c r="K108" s="29" t="s">
        <v>882</v>
      </c>
      <c r="L108" s="19" t="str">
        <f t="shared" si="8"/>
        <v>Рихтовка</v>
      </c>
      <c r="M108" s="12">
        <f t="shared" si="9"/>
        <v>0</v>
      </c>
      <c r="N108" s="12">
        <f t="shared" si="10"/>
        <v>0</v>
      </c>
      <c r="O108" s="12">
        <f t="shared" si="11"/>
        <v>0</v>
      </c>
      <c r="P108" s="12">
        <f t="shared" si="12"/>
        <v>0</v>
      </c>
      <c r="Q108" s="12">
        <f t="shared" si="13"/>
        <v>0</v>
      </c>
      <c r="R108" s="12">
        <f t="shared" si="14"/>
        <v>0</v>
      </c>
      <c r="S108" s="12">
        <f t="shared" si="15"/>
        <v>0</v>
      </c>
      <c r="T108" s="29">
        <v>0</v>
      </c>
      <c r="U108" s="29">
        <v>0</v>
      </c>
      <c r="V108" s="29">
        <v>0</v>
      </c>
      <c r="W108" s="29">
        <v>0</v>
      </c>
      <c r="X108" s="29">
        <v>0</v>
      </c>
      <c r="Y108" s="29">
        <v>0</v>
      </c>
      <c r="Z108" s="29">
        <v>0</v>
      </c>
      <c r="AA108" s="29">
        <v>0</v>
      </c>
      <c r="AB108" s="29">
        <v>0</v>
      </c>
      <c r="AC108" s="29">
        <v>0</v>
      </c>
      <c r="AD108" s="29">
        <v>0</v>
      </c>
      <c r="AE108" s="29">
        <v>0</v>
      </c>
      <c r="AF108" s="29">
        <v>0</v>
      </c>
      <c r="AG108" s="29">
        <v>0</v>
      </c>
      <c r="AH108" s="29">
        <v>0</v>
      </c>
      <c r="AI108" s="29">
        <v>0</v>
      </c>
      <c r="AJ108" s="29">
        <v>0</v>
      </c>
      <c r="AK108" s="29">
        <v>0</v>
      </c>
      <c r="AL108" s="29">
        <v>0</v>
      </c>
      <c r="AM108" s="29">
        <v>0</v>
      </c>
      <c r="AN108" s="29">
        <v>0</v>
      </c>
      <c r="AO108" s="29">
        <v>0</v>
      </c>
      <c r="AP108" s="29">
        <v>0</v>
      </c>
    </row>
    <row r="109" spans="1:42" x14ac:dyDescent="0.25">
      <c r="A109" s="29">
        <v>22</v>
      </c>
      <c r="B109" s="29">
        <v>24602</v>
      </c>
      <c r="C109" s="29">
        <v>1</v>
      </c>
      <c r="D109" s="29" t="s">
        <v>546</v>
      </c>
      <c r="E109" s="29"/>
      <c r="F109" s="29">
        <v>0</v>
      </c>
      <c r="G109" s="29">
        <v>0</v>
      </c>
      <c r="H109" s="29">
        <v>0</v>
      </c>
      <c r="I109" s="29">
        <v>0</v>
      </c>
      <c r="J109" s="29">
        <v>0</v>
      </c>
      <c r="K109" s="29" t="s">
        <v>882</v>
      </c>
      <c r="L109" s="19" t="str">
        <f t="shared" si="8"/>
        <v>Рихтовка</v>
      </c>
      <c r="M109" s="12">
        <f t="shared" si="9"/>
        <v>0</v>
      </c>
      <c r="N109" s="12">
        <f t="shared" si="10"/>
        <v>0</v>
      </c>
      <c r="O109" s="12">
        <f t="shared" si="11"/>
        <v>0</v>
      </c>
      <c r="P109" s="12">
        <f t="shared" si="12"/>
        <v>0</v>
      </c>
      <c r="Q109" s="12">
        <f t="shared" si="13"/>
        <v>0</v>
      </c>
      <c r="R109" s="12">
        <f t="shared" si="14"/>
        <v>0</v>
      </c>
      <c r="S109" s="12">
        <f t="shared" si="15"/>
        <v>0</v>
      </c>
      <c r="T109" s="29">
        <v>0</v>
      </c>
      <c r="U109" s="29">
        <v>0</v>
      </c>
      <c r="V109" s="29">
        <v>0</v>
      </c>
      <c r="W109" s="29">
        <v>0</v>
      </c>
      <c r="X109" s="29">
        <v>0</v>
      </c>
      <c r="Y109" s="29">
        <v>0</v>
      </c>
      <c r="Z109" s="29">
        <v>0</v>
      </c>
      <c r="AA109" s="29">
        <v>0</v>
      </c>
      <c r="AB109" s="29">
        <v>0</v>
      </c>
      <c r="AC109" s="29">
        <v>0</v>
      </c>
      <c r="AD109" s="29">
        <v>0</v>
      </c>
      <c r="AE109" s="29">
        <v>0</v>
      </c>
      <c r="AF109" s="29">
        <v>0</v>
      </c>
      <c r="AG109" s="29">
        <v>0</v>
      </c>
      <c r="AH109" s="29">
        <v>0</v>
      </c>
      <c r="AI109" s="29">
        <v>0</v>
      </c>
      <c r="AJ109" s="29">
        <v>0</v>
      </c>
      <c r="AK109" s="29">
        <v>0</v>
      </c>
      <c r="AL109" s="29">
        <v>0</v>
      </c>
      <c r="AM109" s="29">
        <v>0</v>
      </c>
      <c r="AN109" s="29">
        <v>0</v>
      </c>
      <c r="AO109" s="29">
        <v>0</v>
      </c>
      <c r="AP109" s="29">
        <v>0</v>
      </c>
    </row>
    <row r="110" spans="1:42" x14ac:dyDescent="0.25">
      <c r="A110" s="29">
        <v>22</v>
      </c>
      <c r="B110" s="29">
        <v>24602</v>
      </c>
      <c r="C110" s="29">
        <v>1</v>
      </c>
      <c r="D110" s="29" t="s">
        <v>947</v>
      </c>
      <c r="E110" s="29"/>
      <c r="F110" s="29">
        <v>0</v>
      </c>
      <c r="G110" s="29">
        <v>0</v>
      </c>
      <c r="H110" s="29">
        <v>0</v>
      </c>
      <c r="I110" s="29">
        <v>0</v>
      </c>
      <c r="J110" s="29">
        <v>0</v>
      </c>
      <c r="K110" s="29" t="s">
        <v>882</v>
      </c>
      <c r="L110" s="19" t="str">
        <f t="shared" si="8"/>
        <v>Рихтовка</v>
      </c>
      <c r="M110" s="12">
        <f t="shared" si="9"/>
        <v>0</v>
      </c>
      <c r="N110" s="12">
        <f t="shared" si="10"/>
        <v>0</v>
      </c>
      <c r="O110" s="12">
        <f t="shared" si="11"/>
        <v>0</v>
      </c>
      <c r="P110" s="12">
        <f t="shared" si="12"/>
        <v>0</v>
      </c>
      <c r="Q110" s="12">
        <f t="shared" si="13"/>
        <v>0</v>
      </c>
      <c r="R110" s="12">
        <f t="shared" si="14"/>
        <v>0</v>
      </c>
      <c r="S110" s="12">
        <f t="shared" si="15"/>
        <v>0</v>
      </c>
      <c r="T110" s="29">
        <v>0</v>
      </c>
      <c r="U110" s="29">
        <v>0</v>
      </c>
      <c r="V110" s="29">
        <v>0</v>
      </c>
      <c r="W110" s="29">
        <v>0</v>
      </c>
      <c r="X110" s="29">
        <v>0</v>
      </c>
      <c r="Y110" s="29">
        <v>0</v>
      </c>
      <c r="Z110" s="29">
        <v>0</v>
      </c>
      <c r="AA110" s="29">
        <v>0</v>
      </c>
      <c r="AB110" s="29">
        <v>0</v>
      </c>
      <c r="AC110" s="29">
        <v>0</v>
      </c>
      <c r="AD110" s="29">
        <v>0</v>
      </c>
      <c r="AE110" s="29">
        <v>0</v>
      </c>
      <c r="AF110" s="29">
        <v>0</v>
      </c>
      <c r="AG110" s="29">
        <v>0</v>
      </c>
      <c r="AH110" s="29">
        <v>0</v>
      </c>
      <c r="AI110" s="29">
        <v>0</v>
      </c>
      <c r="AJ110" s="29">
        <v>0</v>
      </c>
      <c r="AK110" s="29">
        <v>0</v>
      </c>
      <c r="AL110" s="29">
        <v>0</v>
      </c>
      <c r="AM110" s="29">
        <v>0</v>
      </c>
      <c r="AN110" s="29">
        <v>0</v>
      </c>
      <c r="AO110" s="29">
        <v>0</v>
      </c>
      <c r="AP110" s="29">
        <v>0</v>
      </c>
    </row>
    <row r="111" spans="1:42" x14ac:dyDescent="0.25">
      <c r="A111" s="29">
        <v>22</v>
      </c>
      <c r="B111" s="29">
        <v>24602</v>
      </c>
      <c r="C111" s="29">
        <v>1</v>
      </c>
      <c r="D111" s="29" t="s">
        <v>948</v>
      </c>
      <c r="E111" s="29"/>
      <c r="F111" s="29">
        <v>0</v>
      </c>
      <c r="G111" s="29">
        <v>0</v>
      </c>
      <c r="H111" s="29">
        <v>0</v>
      </c>
      <c r="I111" s="29">
        <v>0</v>
      </c>
      <c r="J111" s="29">
        <v>0</v>
      </c>
      <c r="K111" s="29" t="s">
        <v>882</v>
      </c>
      <c r="L111" s="19" t="str">
        <f t="shared" si="8"/>
        <v>Рихтовка</v>
      </c>
      <c r="M111" s="12">
        <f t="shared" si="9"/>
        <v>0</v>
      </c>
      <c r="N111" s="12">
        <f t="shared" si="10"/>
        <v>0</v>
      </c>
      <c r="O111" s="12">
        <f t="shared" si="11"/>
        <v>0</v>
      </c>
      <c r="P111" s="12">
        <f t="shared" si="12"/>
        <v>0</v>
      </c>
      <c r="Q111" s="12">
        <f t="shared" si="13"/>
        <v>0</v>
      </c>
      <c r="R111" s="12">
        <f t="shared" si="14"/>
        <v>0</v>
      </c>
      <c r="S111" s="12">
        <f t="shared" si="15"/>
        <v>0</v>
      </c>
      <c r="T111" s="29">
        <v>0</v>
      </c>
      <c r="U111" s="29">
        <v>0</v>
      </c>
      <c r="V111" s="29">
        <v>0</v>
      </c>
      <c r="W111" s="29">
        <v>0</v>
      </c>
      <c r="X111" s="29">
        <v>0</v>
      </c>
      <c r="Y111" s="29">
        <v>0</v>
      </c>
      <c r="Z111" s="29">
        <v>0</v>
      </c>
      <c r="AA111" s="29">
        <v>0</v>
      </c>
      <c r="AB111" s="29">
        <v>0</v>
      </c>
      <c r="AC111" s="29">
        <v>0</v>
      </c>
      <c r="AD111" s="29">
        <v>0</v>
      </c>
      <c r="AE111" s="29">
        <v>0</v>
      </c>
      <c r="AF111" s="29">
        <v>0</v>
      </c>
      <c r="AG111" s="29">
        <v>0</v>
      </c>
      <c r="AH111" s="29">
        <v>0</v>
      </c>
      <c r="AI111" s="29">
        <v>0</v>
      </c>
      <c r="AJ111" s="29">
        <v>0</v>
      </c>
      <c r="AK111" s="29">
        <v>0</v>
      </c>
      <c r="AL111" s="29">
        <v>0</v>
      </c>
      <c r="AM111" s="29">
        <v>0</v>
      </c>
      <c r="AN111" s="29">
        <v>0</v>
      </c>
      <c r="AO111" s="29">
        <v>0</v>
      </c>
      <c r="AP111" s="29">
        <v>0</v>
      </c>
    </row>
    <row r="112" spans="1:42" x14ac:dyDescent="0.25">
      <c r="A112" s="29">
        <v>22</v>
      </c>
      <c r="B112" s="29">
        <v>24602</v>
      </c>
      <c r="C112" s="29">
        <v>1</v>
      </c>
      <c r="D112" s="29" t="s">
        <v>547</v>
      </c>
      <c r="E112" s="29"/>
      <c r="F112" s="29">
        <v>0</v>
      </c>
      <c r="G112" s="29">
        <v>0</v>
      </c>
      <c r="H112" s="29">
        <v>0</v>
      </c>
      <c r="I112" s="29">
        <v>0</v>
      </c>
      <c r="J112" s="29">
        <v>0</v>
      </c>
      <c r="K112" s="29" t="s">
        <v>882</v>
      </c>
      <c r="L112" s="19" t="str">
        <f t="shared" si="8"/>
        <v>Рихтовка</v>
      </c>
      <c r="M112" s="12">
        <f t="shared" si="9"/>
        <v>0</v>
      </c>
      <c r="N112" s="12">
        <f t="shared" si="10"/>
        <v>0</v>
      </c>
      <c r="O112" s="12">
        <f t="shared" si="11"/>
        <v>0</v>
      </c>
      <c r="P112" s="12">
        <f t="shared" si="12"/>
        <v>0</v>
      </c>
      <c r="Q112" s="12">
        <f t="shared" si="13"/>
        <v>0</v>
      </c>
      <c r="R112" s="12">
        <f t="shared" si="14"/>
        <v>0</v>
      </c>
      <c r="S112" s="12">
        <f t="shared" si="15"/>
        <v>0</v>
      </c>
      <c r="T112" s="29">
        <v>0</v>
      </c>
      <c r="U112" s="29">
        <v>0</v>
      </c>
      <c r="V112" s="29">
        <v>0</v>
      </c>
      <c r="W112" s="29">
        <v>0</v>
      </c>
      <c r="X112" s="29">
        <v>0</v>
      </c>
      <c r="Y112" s="29">
        <v>0</v>
      </c>
      <c r="Z112" s="29">
        <v>0</v>
      </c>
      <c r="AA112" s="29">
        <v>0</v>
      </c>
      <c r="AB112" s="29">
        <v>0</v>
      </c>
      <c r="AC112" s="29">
        <v>0</v>
      </c>
      <c r="AD112" s="29">
        <v>0</v>
      </c>
      <c r="AE112" s="29">
        <v>0</v>
      </c>
      <c r="AF112" s="29">
        <v>0</v>
      </c>
      <c r="AG112" s="29">
        <v>0</v>
      </c>
      <c r="AH112" s="29">
        <v>0</v>
      </c>
      <c r="AI112" s="29">
        <v>0</v>
      </c>
      <c r="AJ112" s="29">
        <v>0</v>
      </c>
      <c r="AK112" s="29">
        <v>0</v>
      </c>
      <c r="AL112" s="29">
        <v>0</v>
      </c>
      <c r="AM112" s="29">
        <v>0</v>
      </c>
      <c r="AN112" s="29">
        <v>0</v>
      </c>
      <c r="AO112" s="29">
        <v>0</v>
      </c>
      <c r="AP112" s="29">
        <v>0</v>
      </c>
    </row>
    <row r="113" spans="1:42" x14ac:dyDescent="0.25">
      <c r="A113" s="29">
        <v>22</v>
      </c>
      <c r="B113" s="29">
        <v>24603</v>
      </c>
      <c r="C113" s="29">
        <v>1</v>
      </c>
      <c r="D113" s="29" t="s">
        <v>548</v>
      </c>
      <c r="E113" s="29"/>
      <c r="F113" s="29">
        <v>0</v>
      </c>
      <c r="G113" s="29">
        <v>0</v>
      </c>
      <c r="H113" s="29">
        <v>0</v>
      </c>
      <c r="I113" s="29">
        <v>0</v>
      </c>
      <c r="J113" s="29">
        <v>0</v>
      </c>
      <c r="K113" s="29" t="s">
        <v>882</v>
      </c>
      <c r="L113" s="19" t="str">
        <f t="shared" si="8"/>
        <v>Рихтовка</v>
      </c>
      <c r="M113" s="12">
        <f t="shared" si="9"/>
        <v>0</v>
      </c>
      <c r="N113" s="12">
        <f t="shared" si="10"/>
        <v>0</v>
      </c>
      <c r="O113" s="12">
        <f t="shared" si="11"/>
        <v>0</v>
      </c>
      <c r="P113" s="12">
        <f t="shared" si="12"/>
        <v>0</v>
      </c>
      <c r="Q113" s="12">
        <f t="shared" si="13"/>
        <v>0</v>
      </c>
      <c r="R113" s="12">
        <f t="shared" si="14"/>
        <v>0</v>
      </c>
      <c r="S113" s="12">
        <f t="shared" si="15"/>
        <v>0</v>
      </c>
      <c r="T113" s="29">
        <v>0</v>
      </c>
      <c r="U113" s="29">
        <v>0</v>
      </c>
      <c r="V113" s="29">
        <v>0</v>
      </c>
      <c r="W113" s="29">
        <v>0</v>
      </c>
      <c r="X113" s="29">
        <v>0</v>
      </c>
      <c r="Y113" s="29">
        <v>0</v>
      </c>
      <c r="Z113" s="29">
        <v>0</v>
      </c>
      <c r="AA113" s="29">
        <v>0</v>
      </c>
      <c r="AB113" s="29">
        <v>0</v>
      </c>
      <c r="AC113" s="29">
        <v>0</v>
      </c>
      <c r="AD113" s="29">
        <v>0</v>
      </c>
      <c r="AE113" s="29">
        <v>0</v>
      </c>
      <c r="AF113" s="29">
        <v>0</v>
      </c>
      <c r="AG113" s="29">
        <v>0</v>
      </c>
      <c r="AH113" s="29">
        <v>0</v>
      </c>
      <c r="AI113" s="29">
        <v>0</v>
      </c>
      <c r="AJ113" s="29">
        <v>0</v>
      </c>
      <c r="AK113" s="29">
        <v>0</v>
      </c>
      <c r="AL113" s="29">
        <v>0</v>
      </c>
      <c r="AM113" s="29">
        <v>0</v>
      </c>
      <c r="AN113" s="29">
        <v>0</v>
      </c>
      <c r="AO113" s="29">
        <v>0</v>
      </c>
      <c r="AP113" s="29">
        <v>0</v>
      </c>
    </row>
    <row r="114" spans="1:42" x14ac:dyDescent="0.25">
      <c r="A114" s="29">
        <v>22</v>
      </c>
      <c r="B114" s="29">
        <v>24603</v>
      </c>
      <c r="C114" s="29">
        <v>1</v>
      </c>
      <c r="D114" s="29" t="s">
        <v>549</v>
      </c>
      <c r="E114" s="29"/>
      <c r="F114" s="29">
        <v>0</v>
      </c>
      <c r="G114" s="29">
        <v>0</v>
      </c>
      <c r="H114" s="29">
        <v>0</v>
      </c>
      <c r="I114" s="29">
        <v>0</v>
      </c>
      <c r="J114" s="29">
        <v>0</v>
      </c>
      <c r="K114" s="29" t="s">
        <v>882</v>
      </c>
      <c r="L114" s="19" t="str">
        <f t="shared" si="8"/>
        <v>Рихтовка</v>
      </c>
      <c r="M114" s="12">
        <f t="shared" si="9"/>
        <v>0</v>
      </c>
      <c r="N114" s="12">
        <f t="shared" si="10"/>
        <v>0</v>
      </c>
      <c r="O114" s="12">
        <f t="shared" si="11"/>
        <v>0</v>
      </c>
      <c r="P114" s="12">
        <f t="shared" si="12"/>
        <v>0</v>
      </c>
      <c r="Q114" s="12">
        <f t="shared" si="13"/>
        <v>0</v>
      </c>
      <c r="R114" s="12">
        <f t="shared" si="14"/>
        <v>0</v>
      </c>
      <c r="S114" s="12">
        <f t="shared" si="15"/>
        <v>0</v>
      </c>
      <c r="T114" s="29">
        <v>0</v>
      </c>
      <c r="U114" s="29">
        <v>0</v>
      </c>
      <c r="V114" s="29">
        <v>0</v>
      </c>
      <c r="W114" s="29">
        <v>0</v>
      </c>
      <c r="X114" s="29">
        <v>0</v>
      </c>
      <c r="Y114" s="29">
        <v>0</v>
      </c>
      <c r="Z114" s="29">
        <v>0</v>
      </c>
      <c r="AA114" s="29">
        <v>0</v>
      </c>
      <c r="AB114" s="29">
        <v>0</v>
      </c>
      <c r="AC114" s="29">
        <v>0</v>
      </c>
      <c r="AD114" s="29">
        <v>0</v>
      </c>
      <c r="AE114" s="29">
        <v>0</v>
      </c>
      <c r="AF114" s="29">
        <v>0</v>
      </c>
      <c r="AG114" s="29">
        <v>0</v>
      </c>
      <c r="AH114" s="29">
        <v>0</v>
      </c>
      <c r="AI114" s="29">
        <v>0</v>
      </c>
      <c r="AJ114" s="29">
        <v>0</v>
      </c>
      <c r="AK114" s="29">
        <v>0</v>
      </c>
      <c r="AL114" s="29">
        <v>0</v>
      </c>
      <c r="AM114" s="29">
        <v>0</v>
      </c>
      <c r="AN114" s="29">
        <v>0</v>
      </c>
      <c r="AO114" s="29">
        <v>0</v>
      </c>
      <c r="AP114" s="29">
        <v>0</v>
      </c>
    </row>
    <row r="115" spans="1:42" x14ac:dyDescent="0.25">
      <c r="A115" s="29">
        <v>22</v>
      </c>
      <c r="B115" s="29">
        <v>24701</v>
      </c>
      <c r="C115" s="29">
        <v>1</v>
      </c>
      <c r="D115" s="29" t="s">
        <v>550</v>
      </c>
      <c r="E115" s="29"/>
      <c r="F115" s="29">
        <v>0</v>
      </c>
      <c r="G115" s="29">
        <v>0</v>
      </c>
      <c r="H115" s="29">
        <v>0</v>
      </c>
      <c r="I115" s="29">
        <v>0</v>
      </c>
      <c r="J115" s="29">
        <v>0</v>
      </c>
      <c r="K115" s="29" t="s">
        <v>882</v>
      </c>
      <c r="L115" s="19" t="str">
        <f t="shared" si="8"/>
        <v>Рихтовка</v>
      </c>
      <c r="M115" s="12">
        <f t="shared" si="9"/>
        <v>0</v>
      </c>
      <c r="N115" s="12">
        <f t="shared" si="10"/>
        <v>0</v>
      </c>
      <c r="O115" s="12">
        <f t="shared" si="11"/>
        <v>0</v>
      </c>
      <c r="P115" s="12">
        <f t="shared" si="12"/>
        <v>0</v>
      </c>
      <c r="Q115" s="12">
        <f t="shared" si="13"/>
        <v>0</v>
      </c>
      <c r="R115" s="12">
        <f t="shared" si="14"/>
        <v>0</v>
      </c>
      <c r="S115" s="12">
        <f t="shared" si="15"/>
        <v>0</v>
      </c>
      <c r="T115" s="29">
        <v>0</v>
      </c>
      <c r="U115" s="29">
        <v>0</v>
      </c>
      <c r="V115" s="29">
        <v>0</v>
      </c>
      <c r="W115" s="29">
        <v>0</v>
      </c>
      <c r="X115" s="29">
        <v>0</v>
      </c>
      <c r="Y115" s="29">
        <v>0</v>
      </c>
      <c r="Z115" s="29">
        <v>0</v>
      </c>
      <c r="AA115" s="29">
        <v>0</v>
      </c>
      <c r="AB115" s="29">
        <v>0</v>
      </c>
      <c r="AC115" s="29">
        <v>0</v>
      </c>
      <c r="AD115" s="29">
        <v>0</v>
      </c>
      <c r="AE115" s="29">
        <v>0</v>
      </c>
      <c r="AF115" s="29">
        <v>0</v>
      </c>
      <c r="AG115" s="29">
        <v>0</v>
      </c>
      <c r="AH115" s="29">
        <v>0</v>
      </c>
      <c r="AI115" s="29">
        <v>0</v>
      </c>
      <c r="AJ115" s="29">
        <v>0</v>
      </c>
      <c r="AK115" s="29">
        <v>0</v>
      </c>
      <c r="AL115" s="29">
        <v>0</v>
      </c>
      <c r="AM115" s="29">
        <v>0</v>
      </c>
      <c r="AN115" s="29">
        <v>0</v>
      </c>
      <c r="AO115" s="29">
        <v>0</v>
      </c>
      <c r="AP115" s="29">
        <v>0</v>
      </c>
    </row>
    <row r="116" spans="1:42" x14ac:dyDescent="0.25">
      <c r="A116" s="29">
        <v>22</v>
      </c>
      <c r="B116" s="29">
        <v>24701</v>
      </c>
      <c r="C116" s="29">
        <v>1</v>
      </c>
      <c r="D116" s="29" t="s">
        <v>551</v>
      </c>
      <c r="E116" s="29"/>
      <c r="F116" s="29">
        <v>0</v>
      </c>
      <c r="G116" s="29">
        <v>0</v>
      </c>
      <c r="H116" s="29">
        <v>0</v>
      </c>
      <c r="I116" s="29">
        <v>0</v>
      </c>
      <c r="J116" s="29">
        <v>0</v>
      </c>
      <c r="K116" s="29" t="s">
        <v>882</v>
      </c>
      <c r="L116" s="19" t="str">
        <f t="shared" si="8"/>
        <v>Рихтовка</v>
      </c>
      <c r="M116" s="12">
        <f t="shared" si="9"/>
        <v>0</v>
      </c>
      <c r="N116" s="12">
        <f t="shared" si="10"/>
        <v>0</v>
      </c>
      <c r="O116" s="12">
        <f t="shared" si="11"/>
        <v>0</v>
      </c>
      <c r="P116" s="12">
        <f t="shared" si="12"/>
        <v>0</v>
      </c>
      <c r="Q116" s="12">
        <f t="shared" si="13"/>
        <v>0</v>
      </c>
      <c r="R116" s="12">
        <f t="shared" si="14"/>
        <v>0</v>
      </c>
      <c r="S116" s="12">
        <f t="shared" si="15"/>
        <v>0</v>
      </c>
      <c r="T116" s="29">
        <v>0</v>
      </c>
      <c r="U116" s="29">
        <v>0</v>
      </c>
      <c r="V116" s="29">
        <v>0</v>
      </c>
      <c r="W116" s="29">
        <v>0</v>
      </c>
      <c r="X116" s="29">
        <v>0</v>
      </c>
      <c r="Y116" s="29">
        <v>0</v>
      </c>
      <c r="Z116" s="29">
        <v>0</v>
      </c>
      <c r="AA116" s="29">
        <v>0</v>
      </c>
      <c r="AB116" s="29">
        <v>0</v>
      </c>
      <c r="AC116" s="29">
        <v>0</v>
      </c>
      <c r="AD116" s="29">
        <v>0</v>
      </c>
      <c r="AE116" s="29">
        <v>0</v>
      </c>
      <c r="AF116" s="29">
        <v>0</v>
      </c>
      <c r="AG116" s="29">
        <v>0</v>
      </c>
      <c r="AH116" s="29">
        <v>0</v>
      </c>
      <c r="AI116" s="29">
        <v>0</v>
      </c>
      <c r="AJ116" s="29">
        <v>0</v>
      </c>
      <c r="AK116" s="29">
        <v>0</v>
      </c>
      <c r="AL116" s="29">
        <v>0</v>
      </c>
      <c r="AM116" s="29">
        <v>0</v>
      </c>
      <c r="AN116" s="29">
        <v>0</v>
      </c>
      <c r="AO116" s="29">
        <v>0</v>
      </c>
      <c r="AP116" s="29">
        <v>0</v>
      </c>
    </row>
    <row r="117" spans="1:42" x14ac:dyDescent="0.25">
      <c r="A117" s="29">
        <v>22</v>
      </c>
      <c r="B117" s="29">
        <v>24701</v>
      </c>
      <c r="C117" s="29">
        <v>1</v>
      </c>
      <c r="D117" s="29" t="s">
        <v>552</v>
      </c>
      <c r="E117" s="29"/>
      <c r="F117" s="29">
        <v>0</v>
      </c>
      <c r="G117" s="29">
        <v>0</v>
      </c>
      <c r="H117" s="29">
        <v>0</v>
      </c>
      <c r="I117" s="29">
        <v>0</v>
      </c>
      <c r="J117" s="29">
        <v>0</v>
      </c>
      <c r="K117" s="29" t="s">
        <v>882</v>
      </c>
      <c r="L117" s="19" t="str">
        <f t="shared" si="8"/>
        <v>Рихтовка</v>
      </c>
      <c r="M117" s="12">
        <f t="shared" si="9"/>
        <v>0</v>
      </c>
      <c r="N117" s="12">
        <f t="shared" si="10"/>
        <v>0</v>
      </c>
      <c r="O117" s="12">
        <f t="shared" si="11"/>
        <v>0</v>
      </c>
      <c r="P117" s="12">
        <f t="shared" si="12"/>
        <v>0</v>
      </c>
      <c r="Q117" s="12">
        <f t="shared" si="13"/>
        <v>0</v>
      </c>
      <c r="R117" s="12">
        <f t="shared" si="14"/>
        <v>0</v>
      </c>
      <c r="S117" s="12">
        <f t="shared" si="15"/>
        <v>0</v>
      </c>
      <c r="T117" s="29">
        <v>0</v>
      </c>
      <c r="U117" s="29">
        <v>0</v>
      </c>
      <c r="V117" s="29">
        <v>0</v>
      </c>
      <c r="W117" s="29">
        <v>0</v>
      </c>
      <c r="X117" s="29">
        <v>0</v>
      </c>
      <c r="Y117" s="29">
        <v>0</v>
      </c>
      <c r="Z117" s="29">
        <v>0</v>
      </c>
      <c r="AA117" s="29">
        <v>0</v>
      </c>
      <c r="AB117" s="29">
        <v>0</v>
      </c>
      <c r="AC117" s="29">
        <v>0</v>
      </c>
      <c r="AD117" s="29">
        <v>0</v>
      </c>
      <c r="AE117" s="29">
        <v>0</v>
      </c>
      <c r="AF117" s="29">
        <v>0</v>
      </c>
      <c r="AG117" s="29">
        <v>0</v>
      </c>
      <c r="AH117" s="29">
        <v>0</v>
      </c>
      <c r="AI117" s="29">
        <v>0</v>
      </c>
      <c r="AJ117" s="29">
        <v>0</v>
      </c>
      <c r="AK117" s="29">
        <v>0</v>
      </c>
      <c r="AL117" s="29">
        <v>0</v>
      </c>
      <c r="AM117" s="29">
        <v>0</v>
      </c>
      <c r="AN117" s="29">
        <v>0</v>
      </c>
      <c r="AO117" s="29">
        <v>0</v>
      </c>
      <c r="AP117" s="29">
        <v>0</v>
      </c>
    </row>
    <row r="118" spans="1:42" x14ac:dyDescent="0.25">
      <c r="A118" s="29">
        <v>22</v>
      </c>
      <c r="B118" s="29">
        <v>24701</v>
      </c>
      <c r="C118" s="29">
        <v>1</v>
      </c>
      <c r="D118" s="29" t="s">
        <v>553</v>
      </c>
      <c r="E118" s="29"/>
      <c r="F118" s="29">
        <v>0</v>
      </c>
      <c r="G118" s="29">
        <v>0</v>
      </c>
      <c r="H118" s="29">
        <v>0</v>
      </c>
      <c r="I118" s="29">
        <v>0</v>
      </c>
      <c r="J118" s="29">
        <v>0</v>
      </c>
      <c r="K118" s="29" t="s">
        <v>882</v>
      </c>
      <c r="L118" s="19" t="str">
        <f t="shared" si="8"/>
        <v>Рихтовка</v>
      </c>
      <c r="M118" s="12">
        <f t="shared" si="9"/>
        <v>0</v>
      </c>
      <c r="N118" s="12">
        <f t="shared" si="10"/>
        <v>0</v>
      </c>
      <c r="O118" s="12">
        <f t="shared" si="11"/>
        <v>0</v>
      </c>
      <c r="P118" s="12">
        <f t="shared" si="12"/>
        <v>0</v>
      </c>
      <c r="Q118" s="12">
        <f t="shared" si="13"/>
        <v>0</v>
      </c>
      <c r="R118" s="12">
        <f t="shared" si="14"/>
        <v>0</v>
      </c>
      <c r="S118" s="12">
        <f t="shared" si="15"/>
        <v>0</v>
      </c>
      <c r="T118" s="29">
        <v>0</v>
      </c>
      <c r="U118" s="29">
        <v>0</v>
      </c>
      <c r="V118" s="29">
        <v>0</v>
      </c>
      <c r="W118" s="29">
        <v>0</v>
      </c>
      <c r="X118" s="29">
        <v>0</v>
      </c>
      <c r="Y118" s="29">
        <v>0</v>
      </c>
      <c r="Z118" s="29">
        <v>0</v>
      </c>
      <c r="AA118" s="29">
        <v>0</v>
      </c>
      <c r="AB118" s="29">
        <v>0</v>
      </c>
      <c r="AC118" s="29">
        <v>0</v>
      </c>
      <c r="AD118" s="29">
        <v>0</v>
      </c>
      <c r="AE118" s="29">
        <v>0</v>
      </c>
      <c r="AF118" s="29">
        <v>0</v>
      </c>
      <c r="AG118" s="29">
        <v>0</v>
      </c>
      <c r="AH118" s="29">
        <v>0</v>
      </c>
      <c r="AI118" s="29">
        <v>0</v>
      </c>
      <c r="AJ118" s="29">
        <v>0</v>
      </c>
      <c r="AK118" s="29">
        <v>0</v>
      </c>
      <c r="AL118" s="29">
        <v>0</v>
      </c>
      <c r="AM118" s="29">
        <v>0</v>
      </c>
      <c r="AN118" s="29">
        <v>0</v>
      </c>
      <c r="AO118" s="29">
        <v>0</v>
      </c>
      <c r="AP118" s="29">
        <v>0</v>
      </c>
    </row>
    <row r="119" spans="1:42" x14ac:dyDescent="0.25">
      <c r="A119" s="29">
        <v>22</v>
      </c>
      <c r="B119" s="29">
        <v>24701</v>
      </c>
      <c r="C119" s="29">
        <v>1</v>
      </c>
      <c r="D119" s="29" t="s">
        <v>554</v>
      </c>
      <c r="E119" s="29"/>
      <c r="F119" s="29">
        <v>0</v>
      </c>
      <c r="G119" s="29">
        <v>0</v>
      </c>
      <c r="H119" s="29">
        <v>0</v>
      </c>
      <c r="I119" s="29">
        <v>0</v>
      </c>
      <c r="J119" s="29">
        <v>0</v>
      </c>
      <c r="K119" s="29" t="s">
        <v>882</v>
      </c>
      <c r="L119" s="19" t="str">
        <f t="shared" si="8"/>
        <v>Рихтовка</v>
      </c>
      <c r="M119" s="12">
        <f t="shared" si="9"/>
        <v>0</v>
      </c>
      <c r="N119" s="12">
        <f t="shared" si="10"/>
        <v>0</v>
      </c>
      <c r="O119" s="12">
        <f t="shared" si="11"/>
        <v>0</v>
      </c>
      <c r="P119" s="12">
        <f t="shared" si="12"/>
        <v>0</v>
      </c>
      <c r="Q119" s="12">
        <f t="shared" si="13"/>
        <v>0</v>
      </c>
      <c r="R119" s="12">
        <f t="shared" si="14"/>
        <v>0</v>
      </c>
      <c r="S119" s="12">
        <f t="shared" si="15"/>
        <v>0</v>
      </c>
      <c r="T119" s="29">
        <v>0</v>
      </c>
      <c r="U119" s="29">
        <v>0</v>
      </c>
      <c r="V119" s="29">
        <v>0</v>
      </c>
      <c r="W119" s="29">
        <v>0</v>
      </c>
      <c r="X119" s="29">
        <v>0</v>
      </c>
      <c r="Y119" s="29">
        <v>0</v>
      </c>
      <c r="Z119" s="29">
        <v>0</v>
      </c>
      <c r="AA119" s="29">
        <v>0</v>
      </c>
      <c r="AB119" s="29">
        <v>0</v>
      </c>
      <c r="AC119" s="29">
        <v>0</v>
      </c>
      <c r="AD119" s="29">
        <v>0</v>
      </c>
      <c r="AE119" s="29">
        <v>0</v>
      </c>
      <c r="AF119" s="29">
        <v>0</v>
      </c>
      <c r="AG119" s="29">
        <v>0</v>
      </c>
      <c r="AH119" s="29">
        <v>0</v>
      </c>
      <c r="AI119" s="29">
        <v>0</v>
      </c>
      <c r="AJ119" s="29">
        <v>0</v>
      </c>
      <c r="AK119" s="29">
        <v>0</v>
      </c>
      <c r="AL119" s="29">
        <v>0</v>
      </c>
      <c r="AM119" s="29">
        <v>0</v>
      </c>
      <c r="AN119" s="29">
        <v>0</v>
      </c>
      <c r="AO119" s="29">
        <v>0</v>
      </c>
      <c r="AP119" s="29">
        <v>0</v>
      </c>
    </row>
    <row r="120" spans="1:42" x14ac:dyDescent="0.25">
      <c r="A120" s="29">
        <v>22</v>
      </c>
      <c r="B120" s="29">
        <v>24701</v>
      </c>
      <c r="C120" s="29">
        <v>1</v>
      </c>
      <c r="D120" s="29" t="s">
        <v>555</v>
      </c>
      <c r="E120" s="29"/>
      <c r="F120" s="29">
        <v>0</v>
      </c>
      <c r="G120" s="29">
        <v>0</v>
      </c>
      <c r="H120" s="29">
        <v>0</v>
      </c>
      <c r="I120" s="29">
        <v>0</v>
      </c>
      <c r="J120" s="29">
        <v>0</v>
      </c>
      <c r="K120" s="29" t="s">
        <v>882</v>
      </c>
      <c r="L120" s="19" t="str">
        <f t="shared" si="8"/>
        <v>Рихтовка</v>
      </c>
      <c r="M120" s="12">
        <f t="shared" si="9"/>
        <v>0</v>
      </c>
      <c r="N120" s="12">
        <f t="shared" si="10"/>
        <v>0</v>
      </c>
      <c r="O120" s="12">
        <f t="shared" si="11"/>
        <v>0</v>
      </c>
      <c r="P120" s="12">
        <f t="shared" si="12"/>
        <v>0</v>
      </c>
      <c r="Q120" s="12">
        <f t="shared" si="13"/>
        <v>0</v>
      </c>
      <c r="R120" s="12">
        <f t="shared" si="14"/>
        <v>0</v>
      </c>
      <c r="S120" s="12">
        <f t="shared" si="15"/>
        <v>0</v>
      </c>
      <c r="T120" s="29">
        <v>0</v>
      </c>
      <c r="U120" s="29">
        <v>0</v>
      </c>
      <c r="V120" s="29">
        <v>0</v>
      </c>
      <c r="W120" s="29">
        <v>0</v>
      </c>
      <c r="X120" s="29">
        <v>0</v>
      </c>
      <c r="Y120" s="29">
        <v>0</v>
      </c>
      <c r="Z120" s="29">
        <v>0</v>
      </c>
      <c r="AA120" s="29">
        <v>0</v>
      </c>
      <c r="AB120" s="29">
        <v>0</v>
      </c>
      <c r="AC120" s="29">
        <v>0</v>
      </c>
      <c r="AD120" s="29">
        <v>0</v>
      </c>
      <c r="AE120" s="29">
        <v>0</v>
      </c>
      <c r="AF120" s="29">
        <v>0</v>
      </c>
      <c r="AG120" s="29">
        <v>0</v>
      </c>
      <c r="AH120" s="29">
        <v>0</v>
      </c>
      <c r="AI120" s="29">
        <v>0</v>
      </c>
      <c r="AJ120" s="29">
        <v>0</v>
      </c>
      <c r="AK120" s="29">
        <v>0</v>
      </c>
      <c r="AL120" s="29">
        <v>0</v>
      </c>
      <c r="AM120" s="29">
        <v>0</v>
      </c>
      <c r="AN120" s="29">
        <v>0</v>
      </c>
      <c r="AO120" s="29">
        <v>0</v>
      </c>
      <c r="AP120" s="29">
        <v>0</v>
      </c>
    </row>
    <row r="121" spans="1:42" x14ac:dyDescent="0.25">
      <c r="A121" s="29">
        <v>22</v>
      </c>
      <c r="B121" s="29">
        <v>24701</v>
      </c>
      <c r="C121" s="29">
        <v>1</v>
      </c>
      <c r="D121" s="29" t="s">
        <v>556</v>
      </c>
      <c r="E121" s="29"/>
      <c r="F121" s="29">
        <v>0</v>
      </c>
      <c r="G121" s="29">
        <v>0</v>
      </c>
      <c r="H121" s="29">
        <v>0</v>
      </c>
      <c r="I121" s="29">
        <v>0</v>
      </c>
      <c r="J121" s="29">
        <v>0</v>
      </c>
      <c r="K121" s="29" t="s">
        <v>882</v>
      </c>
      <c r="L121" s="19" t="str">
        <f t="shared" si="8"/>
        <v>Рихтовка</v>
      </c>
      <c r="M121" s="12">
        <f t="shared" si="9"/>
        <v>0</v>
      </c>
      <c r="N121" s="12">
        <f t="shared" si="10"/>
        <v>0</v>
      </c>
      <c r="O121" s="12">
        <f t="shared" si="11"/>
        <v>0</v>
      </c>
      <c r="P121" s="12">
        <f t="shared" si="12"/>
        <v>0</v>
      </c>
      <c r="Q121" s="12">
        <f t="shared" si="13"/>
        <v>0</v>
      </c>
      <c r="R121" s="12">
        <f t="shared" si="14"/>
        <v>0</v>
      </c>
      <c r="S121" s="12">
        <f t="shared" si="15"/>
        <v>0</v>
      </c>
      <c r="T121" s="29">
        <v>0</v>
      </c>
      <c r="U121" s="29">
        <v>0</v>
      </c>
      <c r="V121" s="29">
        <v>0</v>
      </c>
      <c r="W121" s="29">
        <v>0</v>
      </c>
      <c r="X121" s="29">
        <v>0</v>
      </c>
      <c r="Y121" s="29">
        <v>0</v>
      </c>
      <c r="Z121" s="29">
        <v>0</v>
      </c>
      <c r="AA121" s="29">
        <v>0</v>
      </c>
      <c r="AB121" s="29">
        <v>0</v>
      </c>
      <c r="AC121" s="29">
        <v>0</v>
      </c>
      <c r="AD121" s="29">
        <v>0</v>
      </c>
      <c r="AE121" s="29">
        <v>0</v>
      </c>
      <c r="AF121" s="29">
        <v>0</v>
      </c>
      <c r="AG121" s="29">
        <v>0</v>
      </c>
      <c r="AH121" s="29">
        <v>0</v>
      </c>
      <c r="AI121" s="29">
        <v>0</v>
      </c>
      <c r="AJ121" s="29">
        <v>0</v>
      </c>
      <c r="AK121" s="29">
        <v>0</v>
      </c>
      <c r="AL121" s="29">
        <v>0</v>
      </c>
      <c r="AM121" s="29">
        <v>0</v>
      </c>
      <c r="AN121" s="29">
        <v>0</v>
      </c>
      <c r="AO121" s="29">
        <v>0</v>
      </c>
      <c r="AP121" s="29">
        <v>0</v>
      </c>
    </row>
    <row r="122" spans="1:42" x14ac:dyDescent="0.25">
      <c r="A122" s="29">
        <v>22</v>
      </c>
      <c r="B122" s="29">
        <v>24701</v>
      </c>
      <c r="C122" s="29">
        <v>1</v>
      </c>
      <c r="D122" s="29" t="s">
        <v>557</v>
      </c>
      <c r="E122" s="29"/>
      <c r="F122" s="29">
        <v>0</v>
      </c>
      <c r="G122" s="29">
        <v>0</v>
      </c>
      <c r="H122" s="29">
        <v>0</v>
      </c>
      <c r="I122" s="29">
        <v>0</v>
      </c>
      <c r="J122" s="29">
        <v>0</v>
      </c>
      <c r="K122" s="29" t="s">
        <v>882</v>
      </c>
      <c r="L122" s="19" t="str">
        <f t="shared" si="8"/>
        <v>Рихтовка</v>
      </c>
      <c r="M122" s="12">
        <f t="shared" si="9"/>
        <v>0</v>
      </c>
      <c r="N122" s="12">
        <f t="shared" si="10"/>
        <v>0</v>
      </c>
      <c r="O122" s="12">
        <f t="shared" si="11"/>
        <v>0</v>
      </c>
      <c r="P122" s="12">
        <f t="shared" si="12"/>
        <v>0</v>
      </c>
      <c r="Q122" s="12">
        <f t="shared" si="13"/>
        <v>0</v>
      </c>
      <c r="R122" s="12">
        <f t="shared" si="14"/>
        <v>0</v>
      </c>
      <c r="S122" s="12">
        <f t="shared" si="15"/>
        <v>0</v>
      </c>
      <c r="T122" s="29">
        <v>0</v>
      </c>
      <c r="U122" s="29">
        <v>0</v>
      </c>
      <c r="V122" s="29">
        <v>0</v>
      </c>
      <c r="W122" s="29">
        <v>0</v>
      </c>
      <c r="X122" s="29">
        <v>0</v>
      </c>
      <c r="Y122" s="29">
        <v>0</v>
      </c>
      <c r="Z122" s="29">
        <v>0</v>
      </c>
      <c r="AA122" s="29">
        <v>0</v>
      </c>
      <c r="AB122" s="29">
        <v>0</v>
      </c>
      <c r="AC122" s="29">
        <v>0</v>
      </c>
      <c r="AD122" s="29">
        <v>0</v>
      </c>
      <c r="AE122" s="29">
        <v>0</v>
      </c>
      <c r="AF122" s="29">
        <v>0</v>
      </c>
      <c r="AG122" s="29">
        <v>0</v>
      </c>
      <c r="AH122" s="29">
        <v>0</v>
      </c>
      <c r="AI122" s="29">
        <v>0</v>
      </c>
      <c r="AJ122" s="29">
        <v>0</v>
      </c>
      <c r="AK122" s="29">
        <v>0</v>
      </c>
      <c r="AL122" s="29">
        <v>0</v>
      </c>
      <c r="AM122" s="29">
        <v>0</v>
      </c>
      <c r="AN122" s="29">
        <v>0</v>
      </c>
      <c r="AO122" s="29">
        <v>0</v>
      </c>
      <c r="AP122" s="29">
        <v>0</v>
      </c>
    </row>
    <row r="123" spans="1:42" x14ac:dyDescent="0.25">
      <c r="A123" s="29">
        <v>22</v>
      </c>
      <c r="B123" s="29">
        <v>24701</v>
      </c>
      <c r="C123" s="29">
        <v>1</v>
      </c>
      <c r="D123" s="29" t="s">
        <v>558</v>
      </c>
      <c r="E123" s="29"/>
      <c r="F123" s="29">
        <v>0</v>
      </c>
      <c r="G123" s="29">
        <v>0</v>
      </c>
      <c r="H123" s="29">
        <v>0</v>
      </c>
      <c r="I123" s="29">
        <v>0</v>
      </c>
      <c r="J123" s="29">
        <v>0</v>
      </c>
      <c r="K123" s="29" t="s">
        <v>882</v>
      </c>
      <c r="L123" s="19" t="str">
        <f t="shared" si="8"/>
        <v>Рихтовка</v>
      </c>
      <c r="M123" s="12">
        <f t="shared" si="9"/>
        <v>0</v>
      </c>
      <c r="N123" s="12">
        <f t="shared" si="10"/>
        <v>0</v>
      </c>
      <c r="O123" s="12">
        <f t="shared" si="11"/>
        <v>0</v>
      </c>
      <c r="P123" s="12">
        <f t="shared" si="12"/>
        <v>0</v>
      </c>
      <c r="Q123" s="12">
        <f t="shared" si="13"/>
        <v>0</v>
      </c>
      <c r="R123" s="12">
        <f t="shared" si="14"/>
        <v>0</v>
      </c>
      <c r="S123" s="12">
        <f t="shared" si="15"/>
        <v>0</v>
      </c>
      <c r="T123" s="29">
        <v>0</v>
      </c>
      <c r="U123" s="29">
        <v>0</v>
      </c>
      <c r="V123" s="29">
        <v>0</v>
      </c>
      <c r="W123" s="29">
        <v>0</v>
      </c>
      <c r="X123" s="29">
        <v>0</v>
      </c>
      <c r="Y123" s="29">
        <v>0</v>
      </c>
      <c r="Z123" s="29">
        <v>0</v>
      </c>
      <c r="AA123" s="29">
        <v>0</v>
      </c>
      <c r="AB123" s="29">
        <v>0</v>
      </c>
      <c r="AC123" s="29">
        <v>0</v>
      </c>
      <c r="AD123" s="29">
        <v>0</v>
      </c>
      <c r="AE123" s="29">
        <v>0</v>
      </c>
      <c r="AF123" s="29">
        <v>0</v>
      </c>
      <c r="AG123" s="29">
        <v>0</v>
      </c>
      <c r="AH123" s="29">
        <v>0</v>
      </c>
      <c r="AI123" s="29">
        <v>0</v>
      </c>
      <c r="AJ123" s="29">
        <v>0</v>
      </c>
      <c r="AK123" s="29">
        <v>0</v>
      </c>
      <c r="AL123" s="29">
        <v>0</v>
      </c>
      <c r="AM123" s="29">
        <v>0</v>
      </c>
      <c r="AN123" s="29">
        <v>0</v>
      </c>
      <c r="AO123" s="29">
        <v>0</v>
      </c>
      <c r="AP123" s="29">
        <v>0</v>
      </c>
    </row>
    <row r="124" spans="1:42" x14ac:dyDescent="0.25">
      <c r="A124" s="29">
        <v>22</v>
      </c>
      <c r="B124" s="29">
        <v>24701</v>
      </c>
      <c r="C124" s="29">
        <v>1</v>
      </c>
      <c r="D124" s="29" t="s">
        <v>559</v>
      </c>
      <c r="E124" s="29"/>
      <c r="F124" s="29">
        <v>0</v>
      </c>
      <c r="G124" s="29">
        <v>0</v>
      </c>
      <c r="H124" s="29">
        <v>0</v>
      </c>
      <c r="I124" s="29">
        <v>0</v>
      </c>
      <c r="J124" s="29">
        <v>0</v>
      </c>
      <c r="K124" s="29" t="s">
        <v>882</v>
      </c>
      <c r="L124" s="19" t="str">
        <f t="shared" si="8"/>
        <v>Рихтовка</v>
      </c>
      <c r="M124" s="12">
        <f t="shared" si="9"/>
        <v>0</v>
      </c>
      <c r="N124" s="12">
        <f t="shared" si="10"/>
        <v>0</v>
      </c>
      <c r="O124" s="12">
        <f t="shared" si="11"/>
        <v>0</v>
      </c>
      <c r="P124" s="12">
        <f t="shared" si="12"/>
        <v>0</v>
      </c>
      <c r="Q124" s="12">
        <f t="shared" si="13"/>
        <v>0</v>
      </c>
      <c r="R124" s="12">
        <f t="shared" si="14"/>
        <v>0</v>
      </c>
      <c r="S124" s="12">
        <f t="shared" si="15"/>
        <v>0</v>
      </c>
      <c r="T124" s="29">
        <v>0</v>
      </c>
      <c r="U124" s="29">
        <v>0</v>
      </c>
      <c r="V124" s="29">
        <v>0</v>
      </c>
      <c r="W124" s="29">
        <v>0</v>
      </c>
      <c r="X124" s="29">
        <v>0</v>
      </c>
      <c r="Y124" s="29">
        <v>0</v>
      </c>
      <c r="Z124" s="29">
        <v>0</v>
      </c>
      <c r="AA124" s="29">
        <v>0</v>
      </c>
      <c r="AB124" s="29">
        <v>0</v>
      </c>
      <c r="AC124" s="29">
        <v>0</v>
      </c>
      <c r="AD124" s="29">
        <v>0</v>
      </c>
      <c r="AE124" s="29">
        <v>0</v>
      </c>
      <c r="AF124" s="29">
        <v>0</v>
      </c>
      <c r="AG124" s="29">
        <v>0</v>
      </c>
      <c r="AH124" s="29">
        <v>0</v>
      </c>
      <c r="AI124" s="29">
        <v>0</v>
      </c>
      <c r="AJ124" s="29">
        <v>0</v>
      </c>
      <c r="AK124" s="29">
        <v>0</v>
      </c>
      <c r="AL124" s="29">
        <v>0</v>
      </c>
      <c r="AM124" s="29">
        <v>0</v>
      </c>
      <c r="AN124" s="29">
        <v>0</v>
      </c>
      <c r="AO124" s="29">
        <v>0</v>
      </c>
      <c r="AP124" s="29">
        <v>0</v>
      </c>
    </row>
    <row r="125" spans="1:42" x14ac:dyDescent="0.25">
      <c r="A125" s="29">
        <v>22</v>
      </c>
      <c r="B125" s="29">
        <v>24701</v>
      </c>
      <c r="C125" s="29">
        <v>1</v>
      </c>
      <c r="D125" s="29" t="s">
        <v>560</v>
      </c>
      <c r="E125" s="29"/>
      <c r="F125" s="29">
        <v>0</v>
      </c>
      <c r="G125" s="29">
        <v>0</v>
      </c>
      <c r="H125" s="29">
        <v>0</v>
      </c>
      <c r="I125" s="29">
        <v>0</v>
      </c>
      <c r="J125" s="29">
        <v>0</v>
      </c>
      <c r="K125" s="29" t="s">
        <v>882</v>
      </c>
      <c r="L125" s="19" t="str">
        <f t="shared" si="8"/>
        <v>Рихтовка</v>
      </c>
      <c r="M125" s="12">
        <f t="shared" si="9"/>
        <v>0</v>
      </c>
      <c r="N125" s="12">
        <f t="shared" si="10"/>
        <v>0</v>
      </c>
      <c r="O125" s="12">
        <f t="shared" si="11"/>
        <v>0</v>
      </c>
      <c r="P125" s="12">
        <f t="shared" si="12"/>
        <v>0</v>
      </c>
      <c r="Q125" s="12">
        <f t="shared" si="13"/>
        <v>0</v>
      </c>
      <c r="R125" s="12">
        <f t="shared" si="14"/>
        <v>0</v>
      </c>
      <c r="S125" s="12">
        <f t="shared" si="15"/>
        <v>0</v>
      </c>
      <c r="T125" s="29">
        <v>0</v>
      </c>
      <c r="U125" s="29">
        <v>0</v>
      </c>
      <c r="V125" s="29">
        <v>0</v>
      </c>
      <c r="W125" s="29">
        <v>0</v>
      </c>
      <c r="X125" s="29">
        <v>0</v>
      </c>
      <c r="Y125" s="29">
        <v>0</v>
      </c>
      <c r="Z125" s="29">
        <v>0</v>
      </c>
      <c r="AA125" s="29">
        <v>0</v>
      </c>
      <c r="AB125" s="29">
        <v>0</v>
      </c>
      <c r="AC125" s="29">
        <v>0</v>
      </c>
      <c r="AD125" s="29">
        <v>0</v>
      </c>
      <c r="AE125" s="29">
        <v>0</v>
      </c>
      <c r="AF125" s="29">
        <v>0</v>
      </c>
      <c r="AG125" s="29">
        <v>0</v>
      </c>
      <c r="AH125" s="29">
        <v>0</v>
      </c>
      <c r="AI125" s="29">
        <v>0</v>
      </c>
      <c r="AJ125" s="29">
        <v>0</v>
      </c>
      <c r="AK125" s="29">
        <v>0</v>
      </c>
      <c r="AL125" s="29">
        <v>0</v>
      </c>
      <c r="AM125" s="29">
        <v>0</v>
      </c>
      <c r="AN125" s="29">
        <v>0</v>
      </c>
      <c r="AO125" s="29">
        <v>0</v>
      </c>
      <c r="AP125" s="29">
        <v>0</v>
      </c>
    </row>
    <row r="126" spans="1:42" x14ac:dyDescent="0.25">
      <c r="A126" s="29">
        <v>22</v>
      </c>
      <c r="B126" s="29">
        <v>24701</v>
      </c>
      <c r="C126" s="29">
        <v>1</v>
      </c>
      <c r="D126" s="29" t="s">
        <v>561</v>
      </c>
      <c r="E126" s="29"/>
      <c r="F126" s="29">
        <v>0</v>
      </c>
      <c r="G126" s="29">
        <v>0</v>
      </c>
      <c r="H126" s="29">
        <v>0</v>
      </c>
      <c r="I126" s="29">
        <v>0</v>
      </c>
      <c r="J126" s="29">
        <v>0</v>
      </c>
      <c r="K126" s="29" t="s">
        <v>882</v>
      </c>
      <c r="L126" s="19" t="str">
        <f t="shared" si="8"/>
        <v>Рихтовка</v>
      </c>
      <c r="M126" s="12">
        <f t="shared" si="9"/>
        <v>0</v>
      </c>
      <c r="N126" s="12">
        <f t="shared" si="10"/>
        <v>0</v>
      </c>
      <c r="O126" s="12">
        <f t="shared" si="11"/>
        <v>0</v>
      </c>
      <c r="P126" s="12">
        <f t="shared" si="12"/>
        <v>0</v>
      </c>
      <c r="Q126" s="12">
        <f t="shared" si="13"/>
        <v>0</v>
      </c>
      <c r="R126" s="12">
        <f t="shared" si="14"/>
        <v>0</v>
      </c>
      <c r="S126" s="12">
        <f t="shared" si="15"/>
        <v>0</v>
      </c>
      <c r="T126" s="29">
        <v>0</v>
      </c>
      <c r="U126" s="29">
        <v>0</v>
      </c>
      <c r="V126" s="29">
        <v>0</v>
      </c>
      <c r="W126" s="29">
        <v>0</v>
      </c>
      <c r="X126" s="29">
        <v>0</v>
      </c>
      <c r="Y126" s="29">
        <v>0</v>
      </c>
      <c r="Z126" s="29">
        <v>0</v>
      </c>
      <c r="AA126" s="29">
        <v>0</v>
      </c>
      <c r="AB126" s="29">
        <v>0</v>
      </c>
      <c r="AC126" s="29">
        <v>0</v>
      </c>
      <c r="AD126" s="29">
        <v>0</v>
      </c>
      <c r="AE126" s="29">
        <v>0</v>
      </c>
      <c r="AF126" s="29">
        <v>0</v>
      </c>
      <c r="AG126" s="29">
        <v>0</v>
      </c>
      <c r="AH126" s="29">
        <v>0</v>
      </c>
      <c r="AI126" s="29">
        <v>0</v>
      </c>
      <c r="AJ126" s="29">
        <v>0</v>
      </c>
      <c r="AK126" s="29">
        <v>0</v>
      </c>
      <c r="AL126" s="29">
        <v>0</v>
      </c>
      <c r="AM126" s="29">
        <v>0</v>
      </c>
      <c r="AN126" s="29">
        <v>0</v>
      </c>
      <c r="AO126" s="29">
        <v>0</v>
      </c>
      <c r="AP126" s="29">
        <v>0</v>
      </c>
    </row>
    <row r="127" spans="1:42" x14ac:dyDescent="0.25">
      <c r="A127" s="29">
        <v>22</v>
      </c>
      <c r="B127" s="29">
        <v>24701</v>
      </c>
      <c r="C127" s="29">
        <v>1</v>
      </c>
      <c r="D127" s="29" t="s">
        <v>548</v>
      </c>
      <c r="E127" s="29"/>
      <c r="F127" s="29">
        <v>0</v>
      </c>
      <c r="G127" s="29">
        <v>0</v>
      </c>
      <c r="H127" s="29">
        <v>0</v>
      </c>
      <c r="I127" s="29">
        <v>0</v>
      </c>
      <c r="J127" s="29">
        <v>0</v>
      </c>
      <c r="K127" s="29" t="s">
        <v>882</v>
      </c>
      <c r="L127" s="19" t="str">
        <f t="shared" si="8"/>
        <v>Рихтовка</v>
      </c>
      <c r="M127" s="12">
        <f t="shared" si="9"/>
        <v>0</v>
      </c>
      <c r="N127" s="12">
        <f t="shared" si="10"/>
        <v>0</v>
      </c>
      <c r="O127" s="12">
        <f t="shared" si="11"/>
        <v>0</v>
      </c>
      <c r="P127" s="12">
        <f t="shared" si="12"/>
        <v>0</v>
      </c>
      <c r="Q127" s="12">
        <f t="shared" si="13"/>
        <v>0</v>
      </c>
      <c r="R127" s="12">
        <f t="shared" si="14"/>
        <v>0</v>
      </c>
      <c r="S127" s="12">
        <f t="shared" si="15"/>
        <v>0</v>
      </c>
      <c r="T127" s="29">
        <v>0</v>
      </c>
      <c r="U127" s="29">
        <v>0</v>
      </c>
      <c r="V127" s="29">
        <v>0</v>
      </c>
      <c r="W127" s="29">
        <v>0</v>
      </c>
      <c r="X127" s="29">
        <v>0</v>
      </c>
      <c r="Y127" s="29">
        <v>0</v>
      </c>
      <c r="Z127" s="29">
        <v>0</v>
      </c>
      <c r="AA127" s="29">
        <v>0</v>
      </c>
      <c r="AB127" s="29">
        <v>0</v>
      </c>
      <c r="AC127" s="29">
        <v>0</v>
      </c>
      <c r="AD127" s="29">
        <v>0</v>
      </c>
      <c r="AE127" s="29">
        <v>0</v>
      </c>
      <c r="AF127" s="29">
        <v>0</v>
      </c>
      <c r="AG127" s="29">
        <v>0</v>
      </c>
      <c r="AH127" s="29">
        <v>0</v>
      </c>
      <c r="AI127" s="29">
        <v>0</v>
      </c>
      <c r="AJ127" s="29">
        <v>0</v>
      </c>
      <c r="AK127" s="29">
        <v>0</v>
      </c>
      <c r="AL127" s="29">
        <v>0</v>
      </c>
      <c r="AM127" s="29">
        <v>0</v>
      </c>
      <c r="AN127" s="29">
        <v>0</v>
      </c>
      <c r="AO127" s="29">
        <v>0</v>
      </c>
      <c r="AP127" s="29">
        <v>0</v>
      </c>
    </row>
    <row r="128" spans="1:42" x14ac:dyDescent="0.25">
      <c r="A128" s="29">
        <v>22</v>
      </c>
      <c r="B128" s="29">
        <v>24701</v>
      </c>
      <c r="C128" s="29">
        <v>1</v>
      </c>
      <c r="D128" s="29" t="s">
        <v>549</v>
      </c>
      <c r="E128" s="29"/>
      <c r="F128" s="29">
        <v>0</v>
      </c>
      <c r="G128" s="29">
        <v>0</v>
      </c>
      <c r="H128" s="29">
        <v>0</v>
      </c>
      <c r="I128" s="29">
        <v>0</v>
      </c>
      <c r="J128" s="29">
        <v>0</v>
      </c>
      <c r="K128" s="29" t="s">
        <v>882</v>
      </c>
      <c r="L128" s="19" t="str">
        <f t="shared" si="8"/>
        <v>Рихтовка</v>
      </c>
      <c r="M128" s="12">
        <f t="shared" si="9"/>
        <v>0</v>
      </c>
      <c r="N128" s="12">
        <f t="shared" si="10"/>
        <v>0</v>
      </c>
      <c r="O128" s="12">
        <f t="shared" si="11"/>
        <v>0</v>
      </c>
      <c r="P128" s="12">
        <f t="shared" si="12"/>
        <v>0</v>
      </c>
      <c r="Q128" s="12">
        <f t="shared" si="13"/>
        <v>0</v>
      </c>
      <c r="R128" s="12">
        <f t="shared" si="14"/>
        <v>0</v>
      </c>
      <c r="S128" s="12">
        <f t="shared" si="15"/>
        <v>0</v>
      </c>
      <c r="T128" s="29">
        <v>0</v>
      </c>
      <c r="U128" s="29">
        <v>0</v>
      </c>
      <c r="V128" s="29">
        <v>0</v>
      </c>
      <c r="W128" s="29">
        <v>0</v>
      </c>
      <c r="X128" s="29">
        <v>0</v>
      </c>
      <c r="Y128" s="29">
        <v>0</v>
      </c>
      <c r="Z128" s="29">
        <v>0</v>
      </c>
      <c r="AA128" s="29">
        <v>0</v>
      </c>
      <c r="AB128" s="29">
        <v>0</v>
      </c>
      <c r="AC128" s="29">
        <v>0</v>
      </c>
      <c r="AD128" s="29">
        <v>0</v>
      </c>
      <c r="AE128" s="29">
        <v>0</v>
      </c>
      <c r="AF128" s="29">
        <v>0</v>
      </c>
      <c r="AG128" s="29">
        <v>0</v>
      </c>
      <c r="AH128" s="29">
        <v>0</v>
      </c>
      <c r="AI128" s="29">
        <v>0</v>
      </c>
      <c r="AJ128" s="29">
        <v>0</v>
      </c>
      <c r="AK128" s="29">
        <v>0</v>
      </c>
      <c r="AL128" s="29">
        <v>0</v>
      </c>
      <c r="AM128" s="29">
        <v>0</v>
      </c>
      <c r="AN128" s="29">
        <v>0</v>
      </c>
      <c r="AO128" s="29">
        <v>0</v>
      </c>
      <c r="AP128" s="29">
        <v>0</v>
      </c>
    </row>
    <row r="129" spans="1:42" x14ac:dyDescent="0.25">
      <c r="A129" s="29">
        <v>22</v>
      </c>
      <c r="B129" s="29">
        <v>24701</v>
      </c>
      <c r="C129" s="29">
        <v>1</v>
      </c>
      <c r="D129" s="29" t="s">
        <v>896</v>
      </c>
      <c r="E129" s="29"/>
      <c r="F129" s="29">
        <v>0</v>
      </c>
      <c r="G129" s="29">
        <v>0</v>
      </c>
      <c r="H129" s="29">
        <v>0</v>
      </c>
      <c r="I129" s="29">
        <v>0</v>
      </c>
      <c r="J129" s="29">
        <v>0</v>
      </c>
      <c r="K129" s="29" t="s">
        <v>882</v>
      </c>
      <c r="L129" s="19" t="str">
        <f t="shared" si="8"/>
        <v>Рихтовка</v>
      </c>
      <c r="M129" s="12">
        <f t="shared" si="9"/>
        <v>0</v>
      </c>
      <c r="N129" s="12">
        <f t="shared" si="10"/>
        <v>0</v>
      </c>
      <c r="O129" s="12">
        <f t="shared" si="11"/>
        <v>0</v>
      </c>
      <c r="P129" s="12">
        <f t="shared" si="12"/>
        <v>0</v>
      </c>
      <c r="Q129" s="12">
        <f t="shared" si="13"/>
        <v>0</v>
      </c>
      <c r="R129" s="12">
        <f t="shared" si="14"/>
        <v>0</v>
      </c>
      <c r="S129" s="12">
        <f t="shared" si="15"/>
        <v>0</v>
      </c>
      <c r="T129" s="29">
        <v>0</v>
      </c>
      <c r="U129" s="29">
        <v>0</v>
      </c>
      <c r="V129" s="29">
        <v>0</v>
      </c>
      <c r="W129" s="29">
        <v>0</v>
      </c>
      <c r="X129" s="29">
        <v>0</v>
      </c>
      <c r="Y129" s="29">
        <v>0</v>
      </c>
      <c r="Z129" s="29">
        <v>0</v>
      </c>
      <c r="AA129" s="29">
        <v>0</v>
      </c>
      <c r="AB129" s="29">
        <v>0</v>
      </c>
      <c r="AC129" s="29">
        <v>0</v>
      </c>
      <c r="AD129" s="29">
        <v>0</v>
      </c>
      <c r="AE129" s="29">
        <v>0</v>
      </c>
      <c r="AF129" s="29">
        <v>0</v>
      </c>
      <c r="AG129" s="29">
        <v>0</v>
      </c>
      <c r="AH129" s="29">
        <v>0</v>
      </c>
      <c r="AI129" s="29">
        <v>0</v>
      </c>
      <c r="AJ129" s="29">
        <v>0</v>
      </c>
      <c r="AK129" s="29">
        <v>0</v>
      </c>
      <c r="AL129" s="29">
        <v>0</v>
      </c>
      <c r="AM129" s="29">
        <v>0</v>
      </c>
      <c r="AN129" s="29">
        <v>0</v>
      </c>
      <c r="AO129" s="29">
        <v>0</v>
      </c>
      <c r="AP129" s="29">
        <v>0</v>
      </c>
    </row>
    <row r="130" spans="1:42" x14ac:dyDescent="0.25">
      <c r="A130" s="29">
        <v>23</v>
      </c>
      <c r="B130" s="29">
        <v>24701</v>
      </c>
      <c r="C130" s="29">
        <v>1</v>
      </c>
      <c r="D130" s="29" t="s">
        <v>896</v>
      </c>
      <c r="E130" s="29"/>
      <c r="F130" s="29">
        <v>0</v>
      </c>
      <c r="G130" s="29">
        <v>0</v>
      </c>
      <c r="H130" s="29">
        <v>0</v>
      </c>
      <c r="I130" s="29">
        <v>0</v>
      </c>
      <c r="J130" s="29">
        <v>0</v>
      </c>
      <c r="K130" s="29" t="s">
        <v>882</v>
      </c>
      <c r="L130" s="19" t="str">
        <f t="shared" ref="L130:L193" si="16">IF($M130=N130,$N$1,IF($M130=O130,$O$1,IF($M130=P130,$P$1,IF($M130=Q130,$Q$1,IF($M130=R130,$R$1,$S$1)))))</f>
        <v>Рихтовка</v>
      </c>
      <c r="M130" s="12">
        <f t="shared" si="9"/>
        <v>0</v>
      </c>
      <c r="N130" s="12">
        <f t="shared" si="10"/>
        <v>0</v>
      </c>
      <c r="O130" s="12">
        <f t="shared" si="11"/>
        <v>0</v>
      </c>
      <c r="P130" s="12">
        <f t="shared" si="12"/>
        <v>0</v>
      </c>
      <c r="Q130" s="12">
        <f t="shared" si="13"/>
        <v>0</v>
      </c>
      <c r="R130" s="12">
        <f t="shared" si="14"/>
        <v>0</v>
      </c>
      <c r="S130" s="12">
        <f t="shared" si="15"/>
        <v>0</v>
      </c>
      <c r="T130" s="29">
        <v>0</v>
      </c>
      <c r="U130" s="29">
        <v>0</v>
      </c>
      <c r="V130" s="29">
        <v>0</v>
      </c>
      <c r="W130" s="29">
        <v>0</v>
      </c>
      <c r="X130" s="29">
        <v>0</v>
      </c>
      <c r="Y130" s="29">
        <v>0</v>
      </c>
      <c r="Z130" s="29">
        <v>0</v>
      </c>
      <c r="AA130" s="29">
        <v>0</v>
      </c>
      <c r="AB130" s="29">
        <v>0</v>
      </c>
      <c r="AC130" s="29">
        <v>0</v>
      </c>
      <c r="AD130" s="29">
        <v>0</v>
      </c>
      <c r="AE130" s="29">
        <v>0</v>
      </c>
      <c r="AF130" s="29">
        <v>0</v>
      </c>
      <c r="AG130" s="29">
        <v>0</v>
      </c>
      <c r="AH130" s="29">
        <v>0</v>
      </c>
      <c r="AI130" s="29">
        <v>0</v>
      </c>
      <c r="AJ130" s="29">
        <v>0</v>
      </c>
      <c r="AK130" s="29">
        <v>0</v>
      </c>
      <c r="AL130" s="29">
        <v>0</v>
      </c>
      <c r="AM130" s="29">
        <v>0</v>
      </c>
      <c r="AN130" s="29">
        <v>0</v>
      </c>
      <c r="AO130" s="29">
        <v>0</v>
      </c>
      <c r="AP130" s="29">
        <v>0</v>
      </c>
    </row>
    <row r="131" spans="1:42" x14ac:dyDescent="0.25">
      <c r="A131" s="29">
        <v>23</v>
      </c>
      <c r="B131" s="29">
        <v>24701</v>
      </c>
      <c r="C131" s="29">
        <v>1</v>
      </c>
      <c r="D131" s="29" t="s">
        <v>897</v>
      </c>
      <c r="E131" s="29"/>
      <c r="F131" s="29">
        <v>0</v>
      </c>
      <c r="G131" s="29">
        <v>0</v>
      </c>
      <c r="H131" s="29">
        <v>0</v>
      </c>
      <c r="I131" s="29">
        <v>0</v>
      </c>
      <c r="J131" s="29">
        <v>0</v>
      </c>
      <c r="K131" s="29" t="s">
        <v>882</v>
      </c>
      <c r="L131" s="19" t="str">
        <f t="shared" si="16"/>
        <v>Рихтовка</v>
      </c>
      <c r="M131" s="12">
        <f t="shared" ref="M131:M194" si="17">MAX(N131,O131,P131,Q131,R131,S131)</f>
        <v>0</v>
      </c>
      <c r="N131" s="12">
        <f t="shared" ref="N131:N194" si="18">T131+U131+V131</f>
        <v>0</v>
      </c>
      <c r="O131" s="12">
        <f t="shared" ref="O131:O194" si="19">W131+X131+Y131</f>
        <v>0</v>
      </c>
      <c r="P131" s="12">
        <f t="shared" ref="P131:P194" si="20">Z131+AA131+AB131</f>
        <v>0</v>
      </c>
      <c r="Q131" s="12">
        <f t="shared" ref="Q131:Q194" si="21">AC131+AD131+AE131</f>
        <v>0</v>
      </c>
      <c r="R131" s="12">
        <f t="shared" ref="R131:R194" si="22">AF131+AG131+AH131</f>
        <v>0</v>
      </c>
      <c r="S131" s="12">
        <f t="shared" ref="S131:S194" si="23">AI131+AJ131+AK131</f>
        <v>0</v>
      </c>
      <c r="T131" s="29">
        <v>0</v>
      </c>
      <c r="U131" s="29">
        <v>0</v>
      </c>
      <c r="V131" s="29">
        <v>0</v>
      </c>
      <c r="W131" s="29">
        <v>0</v>
      </c>
      <c r="X131" s="29">
        <v>0</v>
      </c>
      <c r="Y131" s="29">
        <v>0</v>
      </c>
      <c r="Z131" s="29">
        <v>0</v>
      </c>
      <c r="AA131" s="29">
        <v>0</v>
      </c>
      <c r="AB131" s="29">
        <v>0</v>
      </c>
      <c r="AC131" s="29">
        <v>0</v>
      </c>
      <c r="AD131" s="29">
        <v>0</v>
      </c>
      <c r="AE131" s="29">
        <v>0</v>
      </c>
      <c r="AF131" s="29">
        <v>0</v>
      </c>
      <c r="AG131" s="29">
        <v>0</v>
      </c>
      <c r="AH131" s="29">
        <v>0</v>
      </c>
      <c r="AI131" s="29">
        <v>0</v>
      </c>
      <c r="AJ131" s="29">
        <v>0</v>
      </c>
      <c r="AK131" s="29">
        <v>0</v>
      </c>
      <c r="AL131" s="29">
        <v>0</v>
      </c>
      <c r="AM131" s="29">
        <v>0</v>
      </c>
      <c r="AN131" s="29">
        <v>0</v>
      </c>
      <c r="AO131" s="29">
        <v>0</v>
      </c>
      <c r="AP131" s="29">
        <v>0</v>
      </c>
    </row>
    <row r="132" spans="1:42" x14ac:dyDescent="0.25">
      <c r="A132" s="29">
        <v>23</v>
      </c>
      <c r="B132" s="29">
        <v>24701</v>
      </c>
      <c r="C132" s="29">
        <v>1</v>
      </c>
      <c r="D132" s="29" t="s">
        <v>898</v>
      </c>
      <c r="E132" s="29"/>
      <c r="F132" s="29">
        <v>0</v>
      </c>
      <c r="G132" s="29">
        <v>0</v>
      </c>
      <c r="H132" s="29">
        <v>0</v>
      </c>
      <c r="I132" s="29">
        <v>0</v>
      </c>
      <c r="J132" s="29">
        <v>0</v>
      </c>
      <c r="K132" s="29" t="s">
        <v>882</v>
      </c>
      <c r="L132" s="19" t="str">
        <f t="shared" si="16"/>
        <v>Рихтовка</v>
      </c>
      <c r="M132" s="12">
        <f t="shared" si="17"/>
        <v>0</v>
      </c>
      <c r="N132" s="12">
        <f t="shared" si="18"/>
        <v>0</v>
      </c>
      <c r="O132" s="12">
        <f t="shared" si="19"/>
        <v>0</v>
      </c>
      <c r="P132" s="12">
        <f t="shared" si="20"/>
        <v>0</v>
      </c>
      <c r="Q132" s="12">
        <f t="shared" si="21"/>
        <v>0</v>
      </c>
      <c r="R132" s="12">
        <f t="shared" si="22"/>
        <v>0</v>
      </c>
      <c r="S132" s="12">
        <f t="shared" si="23"/>
        <v>0</v>
      </c>
      <c r="T132" s="29">
        <v>0</v>
      </c>
      <c r="U132" s="29">
        <v>0</v>
      </c>
      <c r="V132" s="29">
        <v>0</v>
      </c>
      <c r="W132" s="29">
        <v>0</v>
      </c>
      <c r="X132" s="29">
        <v>0</v>
      </c>
      <c r="Y132" s="29">
        <v>0</v>
      </c>
      <c r="Z132" s="29">
        <v>0</v>
      </c>
      <c r="AA132" s="29">
        <v>0</v>
      </c>
      <c r="AB132" s="29">
        <v>0</v>
      </c>
      <c r="AC132" s="29">
        <v>0</v>
      </c>
      <c r="AD132" s="29">
        <v>0</v>
      </c>
      <c r="AE132" s="29">
        <v>0</v>
      </c>
      <c r="AF132" s="29">
        <v>0</v>
      </c>
      <c r="AG132" s="29">
        <v>0</v>
      </c>
      <c r="AH132" s="29">
        <v>0</v>
      </c>
      <c r="AI132" s="29">
        <v>0</v>
      </c>
      <c r="AJ132" s="29">
        <v>0</v>
      </c>
      <c r="AK132" s="29">
        <v>0</v>
      </c>
      <c r="AL132" s="29">
        <v>0</v>
      </c>
      <c r="AM132" s="29">
        <v>0</v>
      </c>
      <c r="AN132" s="29">
        <v>0</v>
      </c>
      <c r="AO132" s="29">
        <v>0</v>
      </c>
      <c r="AP132" s="29">
        <v>0</v>
      </c>
    </row>
    <row r="133" spans="1:42" x14ac:dyDescent="0.25">
      <c r="A133" s="29">
        <v>23</v>
      </c>
      <c r="B133" s="29">
        <v>24701</v>
      </c>
      <c r="C133" s="29">
        <v>1</v>
      </c>
      <c r="D133" s="29" t="s">
        <v>899</v>
      </c>
      <c r="E133" s="29"/>
      <c r="F133" s="29">
        <v>0</v>
      </c>
      <c r="G133" s="29">
        <v>0</v>
      </c>
      <c r="H133" s="29">
        <v>0</v>
      </c>
      <c r="I133" s="29">
        <v>0</v>
      </c>
      <c r="J133" s="29">
        <v>0</v>
      </c>
      <c r="K133" s="29" t="s">
        <v>882</v>
      </c>
      <c r="L133" s="19" t="str">
        <f t="shared" si="16"/>
        <v>Рихтовка</v>
      </c>
      <c r="M133" s="12">
        <f t="shared" si="17"/>
        <v>0</v>
      </c>
      <c r="N133" s="12">
        <f t="shared" si="18"/>
        <v>0</v>
      </c>
      <c r="O133" s="12">
        <f t="shared" si="19"/>
        <v>0</v>
      </c>
      <c r="P133" s="12">
        <f t="shared" si="20"/>
        <v>0</v>
      </c>
      <c r="Q133" s="12">
        <f t="shared" si="21"/>
        <v>0</v>
      </c>
      <c r="R133" s="12">
        <f t="shared" si="22"/>
        <v>0</v>
      </c>
      <c r="S133" s="12">
        <f t="shared" si="23"/>
        <v>0</v>
      </c>
      <c r="T133" s="29">
        <v>0</v>
      </c>
      <c r="U133" s="29">
        <v>0</v>
      </c>
      <c r="V133" s="29">
        <v>0</v>
      </c>
      <c r="W133" s="29">
        <v>0</v>
      </c>
      <c r="X133" s="29">
        <v>0</v>
      </c>
      <c r="Y133" s="29">
        <v>0</v>
      </c>
      <c r="Z133" s="29">
        <v>0</v>
      </c>
      <c r="AA133" s="29">
        <v>0</v>
      </c>
      <c r="AB133" s="29">
        <v>0</v>
      </c>
      <c r="AC133" s="29">
        <v>0</v>
      </c>
      <c r="AD133" s="29">
        <v>0</v>
      </c>
      <c r="AE133" s="29">
        <v>0</v>
      </c>
      <c r="AF133" s="29">
        <v>0</v>
      </c>
      <c r="AG133" s="29">
        <v>0</v>
      </c>
      <c r="AH133" s="29">
        <v>0</v>
      </c>
      <c r="AI133" s="29">
        <v>0</v>
      </c>
      <c r="AJ133" s="29">
        <v>0</v>
      </c>
      <c r="AK133" s="29">
        <v>0</v>
      </c>
      <c r="AL133" s="29">
        <v>0</v>
      </c>
      <c r="AM133" s="29">
        <v>0</v>
      </c>
      <c r="AN133" s="29">
        <v>0</v>
      </c>
      <c r="AO133" s="29">
        <v>0</v>
      </c>
      <c r="AP133" s="29">
        <v>0</v>
      </c>
    </row>
    <row r="134" spans="1:42" x14ac:dyDescent="0.25">
      <c r="A134" s="29">
        <v>23</v>
      </c>
      <c r="B134" s="29">
        <v>24701</v>
      </c>
      <c r="C134" s="29">
        <v>1</v>
      </c>
      <c r="D134" s="29" t="s">
        <v>900</v>
      </c>
      <c r="E134" s="29"/>
      <c r="F134" s="29">
        <v>0</v>
      </c>
      <c r="G134" s="29">
        <v>0</v>
      </c>
      <c r="H134" s="29">
        <v>0</v>
      </c>
      <c r="I134" s="29">
        <v>0</v>
      </c>
      <c r="J134" s="29">
        <v>0</v>
      </c>
      <c r="K134" s="29" t="s">
        <v>882</v>
      </c>
      <c r="L134" s="19" t="str">
        <f t="shared" si="16"/>
        <v>Рихтовка</v>
      </c>
      <c r="M134" s="12">
        <f t="shared" si="17"/>
        <v>0</v>
      </c>
      <c r="N134" s="12">
        <f t="shared" si="18"/>
        <v>0</v>
      </c>
      <c r="O134" s="12">
        <f t="shared" si="19"/>
        <v>0</v>
      </c>
      <c r="P134" s="12">
        <f t="shared" si="20"/>
        <v>0</v>
      </c>
      <c r="Q134" s="12">
        <f t="shared" si="21"/>
        <v>0</v>
      </c>
      <c r="R134" s="12">
        <f t="shared" si="22"/>
        <v>0</v>
      </c>
      <c r="S134" s="12">
        <f t="shared" si="23"/>
        <v>0</v>
      </c>
      <c r="T134" s="29">
        <v>0</v>
      </c>
      <c r="U134" s="29">
        <v>0</v>
      </c>
      <c r="V134" s="29">
        <v>0</v>
      </c>
      <c r="W134" s="29">
        <v>0</v>
      </c>
      <c r="X134" s="29">
        <v>0</v>
      </c>
      <c r="Y134" s="29">
        <v>0</v>
      </c>
      <c r="Z134" s="29">
        <v>0</v>
      </c>
      <c r="AA134" s="29">
        <v>0</v>
      </c>
      <c r="AB134" s="29">
        <v>0</v>
      </c>
      <c r="AC134" s="29">
        <v>0</v>
      </c>
      <c r="AD134" s="29">
        <v>0</v>
      </c>
      <c r="AE134" s="29">
        <v>0</v>
      </c>
      <c r="AF134" s="29">
        <v>0</v>
      </c>
      <c r="AG134" s="29">
        <v>0</v>
      </c>
      <c r="AH134" s="29">
        <v>0</v>
      </c>
      <c r="AI134" s="29">
        <v>0</v>
      </c>
      <c r="AJ134" s="29">
        <v>0</v>
      </c>
      <c r="AK134" s="29">
        <v>0</v>
      </c>
      <c r="AL134" s="29">
        <v>0</v>
      </c>
      <c r="AM134" s="29">
        <v>0</v>
      </c>
      <c r="AN134" s="29">
        <v>0</v>
      </c>
      <c r="AO134" s="29">
        <v>0</v>
      </c>
      <c r="AP134" s="29">
        <v>0</v>
      </c>
    </row>
    <row r="135" spans="1:42" x14ac:dyDescent="0.25">
      <c r="A135" s="29">
        <v>23</v>
      </c>
      <c r="B135" s="29">
        <v>24701</v>
      </c>
      <c r="C135" s="29">
        <v>1</v>
      </c>
      <c r="D135" s="29" t="s">
        <v>901</v>
      </c>
      <c r="E135" s="29"/>
      <c r="F135" s="29">
        <v>0</v>
      </c>
      <c r="G135" s="29">
        <v>0</v>
      </c>
      <c r="H135" s="29">
        <v>0</v>
      </c>
      <c r="I135" s="29">
        <v>0</v>
      </c>
      <c r="J135" s="29">
        <v>0</v>
      </c>
      <c r="K135" s="29" t="s">
        <v>882</v>
      </c>
      <c r="L135" s="19" t="str">
        <f t="shared" si="16"/>
        <v>Рихтовка</v>
      </c>
      <c r="M135" s="12">
        <f t="shared" si="17"/>
        <v>0</v>
      </c>
      <c r="N135" s="12">
        <f t="shared" si="18"/>
        <v>0</v>
      </c>
      <c r="O135" s="12">
        <f t="shared" si="19"/>
        <v>0</v>
      </c>
      <c r="P135" s="12">
        <f t="shared" si="20"/>
        <v>0</v>
      </c>
      <c r="Q135" s="12">
        <f t="shared" si="21"/>
        <v>0</v>
      </c>
      <c r="R135" s="12">
        <f t="shared" si="22"/>
        <v>0</v>
      </c>
      <c r="S135" s="12">
        <f t="shared" si="23"/>
        <v>0</v>
      </c>
      <c r="T135" s="29">
        <v>0</v>
      </c>
      <c r="U135" s="29">
        <v>0</v>
      </c>
      <c r="V135" s="29">
        <v>0</v>
      </c>
      <c r="W135" s="29">
        <v>0</v>
      </c>
      <c r="X135" s="29">
        <v>0</v>
      </c>
      <c r="Y135" s="29">
        <v>0</v>
      </c>
      <c r="Z135" s="29">
        <v>0</v>
      </c>
      <c r="AA135" s="29">
        <v>0</v>
      </c>
      <c r="AB135" s="29">
        <v>0</v>
      </c>
      <c r="AC135" s="29">
        <v>0</v>
      </c>
      <c r="AD135" s="29">
        <v>0</v>
      </c>
      <c r="AE135" s="29">
        <v>0</v>
      </c>
      <c r="AF135" s="29">
        <v>0</v>
      </c>
      <c r="AG135" s="29">
        <v>0</v>
      </c>
      <c r="AH135" s="29">
        <v>0</v>
      </c>
      <c r="AI135" s="29">
        <v>0</v>
      </c>
      <c r="AJ135" s="29">
        <v>0</v>
      </c>
      <c r="AK135" s="29">
        <v>0</v>
      </c>
      <c r="AL135" s="29">
        <v>0</v>
      </c>
      <c r="AM135" s="29">
        <v>0</v>
      </c>
      <c r="AN135" s="29">
        <v>0</v>
      </c>
      <c r="AO135" s="29">
        <v>0</v>
      </c>
      <c r="AP135" s="29">
        <v>0</v>
      </c>
    </row>
    <row r="136" spans="1:42" x14ac:dyDescent="0.25">
      <c r="A136" s="29">
        <v>23</v>
      </c>
      <c r="B136" s="29">
        <v>24701</v>
      </c>
      <c r="C136" s="29">
        <v>1</v>
      </c>
      <c r="D136" s="29" t="s">
        <v>902</v>
      </c>
      <c r="E136" s="29"/>
      <c r="F136" s="29">
        <v>0</v>
      </c>
      <c r="G136" s="29">
        <v>0</v>
      </c>
      <c r="H136" s="29">
        <v>0</v>
      </c>
      <c r="I136" s="29">
        <v>0</v>
      </c>
      <c r="J136" s="29">
        <v>0</v>
      </c>
      <c r="K136" s="29" t="s">
        <v>882</v>
      </c>
      <c r="L136" s="19" t="str">
        <f t="shared" si="16"/>
        <v>Рихтовка</v>
      </c>
      <c r="M136" s="12">
        <f t="shared" si="17"/>
        <v>0</v>
      </c>
      <c r="N136" s="12">
        <f t="shared" si="18"/>
        <v>0</v>
      </c>
      <c r="O136" s="12">
        <f t="shared" si="19"/>
        <v>0</v>
      </c>
      <c r="P136" s="12">
        <f t="shared" si="20"/>
        <v>0</v>
      </c>
      <c r="Q136" s="12">
        <f t="shared" si="21"/>
        <v>0</v>
      </c>
      <c r="R136" s="12">
        <f t="shared" si="22"/>
        <v>0</v>
      </c>
      <c r="S136" s="12">
        <f t="shared" si="23"/>
        <v>0</v>
      </c>
      <c r="T136" s="29">
        <v>0</v>
      </c>
      <c r="U136" s="29">
        <v>0</v>
      </c>
      <c r="V136" s="29">
        <v>0</v>
      </c>
      <c r="W136" s="29">
        <v>0</v>
      </c>
      <c r="X136" s="29">
        <v>0</v>
      </c>
      <c r="Y136" s="29">
        <v>0</v>
      </c>
      <c r="Z136" s="29">
        <v>0</v>
      </c>
      <c r="AA136" s="29">
        <v>0</v>
      </c>
      <c r="AB136" s="29">
        <v>0</v>
      </c>
      <c r="AC136" s="29">
        <v>0</v>
      </c>
      <c r="AD136" s="29">
        <v>0</v>
      </c>
      <c r="AE136" s="29">
        <v>0</v>
      </c>
      <c r="AF136" s="29">
        <v>0</v>
      </c>
      <c r="AG136" s="29">
        <v>0</v>
      </c>
      <c r="AH136" s="29">
        <v>0</v>
      </c>
      <c r="AI136" s="29">
        <v>0</v>
      </c>
      <c r="AJ136" s="29">
        <v>0</v>
      </c>
      <c r="AK136" s="29">
        <v>0</v>
      </c>
      <c r="AL136" s="29">
        <v>0</v>
      </c>
      <c r="AM136" s="29">
        <v>0</v>
      </c>
      <c r="AN136" s="29">
        <v>0</v>
      </c>
      <c r="AO136" s="29">
        <v>0</v>
      </c>
      <c r="AP136" s="29">
        <v>0</v>
      </c>
    </row>
    <row r="137" spans="1:42" x14ac:dyDescent="0.25">
      <c r="A137" s="29">
        <v>23</v>
      </c>
      <c r="B137" s="29">
        <v>24701</v>
      </c>
      <c r="C137" s="29">
        <v>1</v>
      </c>
      <c r="D137" s="29" t="s">
        <v>903</v>
      </c>
      <c r="E137" s="29"/>
      <c r="F137" s="29">
        <v>0</v>
      </c>
      <c r="G137" s="29">
        <v>0</v>
      </c>
      <c r="H137" s="29">
        <v>0</v>
      </c>
      <c r="I137" s="29">
        <v>0</v>
      </c>
      <c r="J137" s="29">
        <v>0</v>
      </c>
      <c r="K137" s="29" t="s">
        <v>882</v>
      </c>
      <c r="L137" s="19" t="str">
        <f t="shared" si="16"/>
        <v>Рихтовка</v>
      </c>
      <c r="M137" s="12">
        <f t="shared" si="17"/>
        <v>0</v>
      </c>
      <c r="N137" s="12">
        <f t="shared" si="18"/>
        <v>0</v>
      </c>
      <c r="O137" s="12">
        <f t="shared" si="19"/>
        <v>0</v>
      </c>
      <c r="P137" s="12">
        <f t="shared" si="20"/>
        <v>0</v>
      </c>
      <c r="Q137" s="12">
        <f t="shared" si="21"/>
        <v>0</v>
      </c>
      <c r="R137" s="12">
        <f t="shared" si="22"/>
        <v>0</v>
      </c>
      <c r="S137" s="12">
        <f t="shared" si="23"/>
        <v>0</v>
      </c>
      <c r="T137" s="29">
        <v>0</v>
      </c>
      <c r="U137" s="29">
        <v>0</v>
      </c>
      <c r="V137" s="29">
        <v>0</v>
      </c>
      <c r="W137" s="29">
        <v>0</v>
      </c>
      <c r="X137" s="29">
        <v>0</v>
      </c>
      <c r="Y137" s="29">
        <v>0</v>
      </c>
      <c r="Z137" s="29">
        <v>0</v>
      </c>
      <c r="AA137" s="29">
        <v>0</v>
      </c>
      <c r="AB137" s="29">
        <v>0</v>
      </c>
      <c r="AC137" s="29">
        <v>0</v>
      </c>
      <c r="AD137" s="29">
        <v>0</v>
      </c>
      <c r="AE137" s="29">
        <v>0</v>
      </c>
      <c r="AF137" s="29">
        <v>0</v>
      </c>
      <c r="AG137" s="29">
        <v>0</v>
      </c>
      <c r="AH137" s="29">
        <v>0</v>
      </c>
      <c r="AI137" s="29">
        <v>0</v>
      </c>
      <c r="AJ137" s="29">
        <v>0</v>
      </c>
      <c r="AK137" s="29">
        <v>0</v>
      </c>
      <c r="AL137" s="29">
        <v>0</v>
      </c>
      <c r="AM137" s="29">
        <v>0</v>
      </c>
      <c r="AN137" s="29">
        <v>0</v>
      </c>
      <c r="AO137" s="29">
        <v>0</v>
      </c>
      <c r="AP137" s="29">
        <v>0</v>
      </c>
    </row>
    <row r="138" spans="1:42" x14ac:dyDescent="0.25">
      <c r="A138" s="29">
        <v>23</v>
      </c>
      <c r="B138" s="29">
        <v>24701</v>
      </c>
      <c r="C138" s="29">
        <v>1</v>
      </c>
      <c r="D138" s="29" t="s">
        <v>949</v>
      </c>
      <c r="E138" s="29"/>
      <c r="F138" s="29">
        <v>0</v>
      </c>
      <c r="G138" s="29">
        <v>0</v>
      </c>
      <c r="H138" s="29">
        <v>0</v>
      </c>
      <c r="I138" s="29">
        <v>0</v>
      </c>
      <c r="J138" s="29">
        <v>0</v>
      </c>
      <c r="K138" s="29" t="s">
        <v>882</v>
      </c>
      <c r="L138" s="19" t="str">
        <f t="shared" si="16"/>
        <v>Рихтовка</v>
      </c>
      <c r="M138" s="12">
        <f t="shared" si="17"/>
        <v>0</v>
      </c>
      <c r="N138" s="12">
        <f t="shared" si="18"/>
        <v>0</v>
      </c>
      <c r="O138" s="12">
        <f t="shared" si="19"/>
        <v>0</v>
      </c>
      <c r="P138" s="12">
        <f t="shared" si="20"/>
        <v>0</v>
      </c>
      <c r="Q138" s="12">
        <f t="shared" si="21"/>
        <v>0</v>
      </c>
      <c r="R138" s="12">
        <f t="shared" si="22"/>
        <v>0</v>
      </c>
      <c r="S138" s="12">
        <f t="shared" si="23"/>
        <v>0</v>
      </c>
      <c r="T138" s="29">
        <v>0</v>
      </c>
      <c r="U138" s="29">
        <v>0</v>
      </c>
      <c r="V138" s="29">
        <v>0</v>
      </c>
      <c r="W138" s="29">
        <v>0</v>
      </c>
      <c r="X138" s="29">
        <v>0</v>
      </c>
      <c r="Y138" s="29">
        <v>0</v>
      </c>
      <c r="Z138" s="29">
        <v>0</v>
      </c>
      <c r="AA138" s="29">
        <v>0</v>
      </c>
      <c r="AB138" s="29">
        <v>0</v>
      </c>
      <c r="AC138" s="29">
        <v>0</v>
      </c>
      <c r="AD138" s="29">
        <v>0</v>
      </c>
      <c r="AE138" s="29">
        <v>0</v>
      </c>
      <c r="AF138" s="29">
        <v>0</v>
      </c>
      <c r="AG138" s="29">
        <v>0</v>
      </c>
      <c r="AH138" s="29">
        <v>0</v>
      </c>
      <c r="AI138" s="29">
        <v>0</v>
      </c>
      <c r="AJ138" s="29">
        <v>0</v>
      </c>
      <c r="AK138" s="29">
        <v>0</v>
      </c>
      <c r="AL138" s="29">
        <v>0</v>
      </c>
      <c r="AM138" s="29">
        <v>0</v>
      </c>
      <c r="AN138" s="29">
        <v>0</v>
      </c>
      <c r="AO138" s="29">
        <v>0</v>
      </c>
      <c r="AP138" s="29">
        <v>0</v>
      </c>
    </row>
    <row r="139" spans="1:42" x14ac:dyDescent="0.25">
      <c r="A139" s="29">
        <v>23</v>
      </c>
      <c r="B139" s="29">
        <v>24701</v>
      </c>
      <c r="C139" s="29">
        <v>1</v>
      </c>
      <c r="D139" s="29" t="s">
        <v>950</v>
      </c>
      <c r="E139" s="29"/>
      <c r="F139" s="29">
        <v>0</v>
      </c>
      <c r="G139" s="29">
        <v>0</v>
      </c>
      <c r="H139" s="29">
        <v>0</v>
      </c>
      <c r="I139" s="29">
        <v>0</v>
      </c>
      <c r="J139" s="29">
        <v>0</v>
      </c>
      <c r="K139" s="29" t="s">
        <v>882</v>
      </c>
      <c r="L139" s="19" t="str">
        <f t="shared" si="16"/>
        <v>Рихтовка</v>
      </c>
      <c r="M139" s="12">
        <f t="shared" si="17"/>
        <v>0</v>
      </c>
      <c r="N139" s="12">
        <f t="shared" si="18"/>
        <v>0</v>
      </c>
      <c r="O139" s="12">
        <f t="shared" si="19"/>
        <v>0</v>
      </c>
      <c r="P139" s="12">
        <f t="shared" si="20"/>
        <v>0</v>
      </c>
      <c r="Q139" s="12">
        <f t="shared" si="21"/>
        <v>0</v>
      </c>
      <c r="R139" s="12">
        <f t="shared" si="22"/>
        <v>0</v>
      </c>
      <c r="S139" s="12">
        <f t="shared" si="23"/>
        <v>0</v>
      </c>
      <c r="T139" s="29">
        <v>0</v>
      </c>
      <c r="U139" s="29">
        <v>0</v>
      </c>
      <c r="V139" s="29">
        <v>0</v>
      </c>
      <c r="W139" s="29">
        <v>0</v>
      </c>
      <c r="X139" s="29">
        <v>0</v>
      </c>
      <c r="Y139" s="29">
        <v>0</v>
      </c>
      <c r="Z139" s="29">
        <v>0</v>
      </c>
      <c r="AA139" s="29">
        <v>0</v>
      </c>
      <c r="AB139" s="29">
        <v>0</v>
      </c>
      <c r="AC139" s="29">
        <v>0</v>
      </c>
      <c r="AD139" s="29">
        <v>0</v>
      </c>
      <c r="AE139" s="29">
        <v>0</v>
      </c>
      <c r="AF139" s="29">
        <v>0</v>
      </c>
      <c r="AG139" s="29">
        <v>0</v>
      </c>
      <c r="AH139" s="29">
        <v>0</v>
      </c>
      <c r="AI139" s="29">
        <v>0</v>
      </c>
      <c r="AJ139" s="29">
        <v>0</v>
      </c>
      <c r="AK139" s="29">
        <v>0</v>
      </c>
      <c r="AL139" s="29">
        <v>0</v>
      </c>
      <c r="AM139" s="29">
        <v>0</v>
      </c>
      <c r="AN139" s="29">
        <v>0</v>
      </c>
      <c r="AO139" s="29">
        <v>0</v>
      </c>
      <c r="AP139" s="29">
        <v>0</v>
      </c>
    </row>
    <row r="140" spans="1:42" x14ac:dyDescent="0.25">
      <c r="A140" s="29">
        <v>23</v>
      </c>
      <c r="B140" s="29">
        <v>24701</v>
      </c>
      <c r="C140" s="29">
        <v>1</v>
      </c>
      <c r="D140" s="29" t="s">
        <v>904</v>
      </c>
      <c r="E140" s="29"/>
      <c r="F140" s="29">
        <v>0</v>
      </c>
      <c r="G140" s="29">
        <v>0</v>
      </c>
      <c r="H140" s="29">
        <v>0</v>
      </c>
      <c r="I140" s="29">
        <v>0</v>
      </c>
      <c r="J140" s="29">
        <v>0</v>
      </c>
      <c r="K140" s="29" t="s">
        <v>882</v>
      </c>
      <c r="L140" s="19" t="str">
        <f t="shared" si="16"/>
        <v>Рихтовка</v>
      </c>
      <c r="M140" s="12">
        <f t="shared" si="17"/>
        <v>0</v>
      </c>
      <c r="N140" s="12">
        <f t="shared" si="18"/>
        <v>0</v>
      </c>
      <c r="O140" s="12">
        <f t="shared" si="19"/>
        <v>0</v>
      </c>
      <c r="P140" s="12">
        <f t="shared" si="20"/>
        <v>0</v>
      </c>
      <c r="Q140" s="12">
        <f t="shared" si="21"/>
        <v>0</v>
      </c>
      <c r="R140" s="12">
        <f t="shared" si="22"/>
        <v>0</v>
      </c>
      <c r="S140" s="12">
        <f t="shared" si="23"/>
        <v>0</v>
      </c>
      <c r="T140" s="29">
        <v>0</v>
      </c>
      <c r="U140" s="29">
        <v>0</v>
      </c>
      <c r="V140" s="29">
        <v>0</v>
      </c>
      <c r="W140" s="29">
        <v>0</v>
      </c>
      <c r="X140" s="29">
        <v>0</v>
      </c>
      <c r="Y140" s="29">
        <v>0</v>
      </c>
      <c r="Z140" s="29">
        <v>0</v>
      </c>
      <c r="AA140" s="29">
        <v>0</v>
      </c>
      <c r="AB140" s="29">
        <v>0</v>
      </c>
      <c r="AC140" s="29">
        <v>0</v>
      </c>
      <c r="AD140" s="29">
        <v>0</v>
      </c>
      <c r="AE140" s="29">
        <v>0</v>
      </c>
      <c r="AF140" s="29">
        <v>0</v>
      </c>
      <c r="AG140" s="29">
        <v>0</v>
      </c>
      <c r="AH140" s="29">
        <v>0</v>
      </c>
      <c r="AI140" s="29">
        <v>0</v>
      </c>
      <c r="AJ140" s="29">
        <v>0</v>
      </c>
      <c r="AK140" s="29">
        <v>0</v>
      </c>
      <c r="AL140" s="29">
        <v>0</v>
      </c>
      <c r="AM140" s="29">
        <v>0</v>
      </c>
      <c r="AN140" s="29">
        <v>0</v>
      </c>
      <c r="AO140" s="29">
        <v>0</v>
      </c>
      <c r="AP140" s="29">
        <v>0</v>
      </c>
    </row>
    <row r="141" spans="1:42" x14ac:dyDescent="0.25">
      <c r="A141" s="29">
        <v>23</v>
      </c>
      <c r="B141" s="29">
        <v>24701</v>
      </c>
      <c r="C141" s="29">
        <v>1</v>
      </c>
      <c r="D141" s="29" t="s">
        <v>905</v>
      </c>
      <c r="E141" s="29"/>
      <c r="F141" s="29">
        <v>0</v>
      </c>
      <c r="G141" s="29">
        <v>0</v>
      </c>
      <c r="H141" s="29">
        <v>0</v>
      </c>
      <c r="I141" s="29">
        <v>0</v>
      </c>
      <c r="J141" s="29">
        <v>0</v>
      </c>
      <c r="K141" s="29" t="s">
        <v>882</v>
      </c>
      <c r="L141" s="19" t="str">
        <f t="shared" si="16"/>
        <v>Рихтовка</v>
      </c>
      <c r="M141" s="12">
        <f t="shared" si="17"/>
        <v>0</v>
      </c>
      <c r="N141" s="12">
        <f t="shared" si="18"/>
        <v>0</v>
      </c>
      <c r="O141" s="12">
        <f t="shared" si="19"/>
        <v>0</v>
      </c>
      <c r="P141" s="12">
        <f t="shared" si="20"/>
        <v>0</v>
      </c>
      <c r="Q141" s="12">
        <f t="shared" si="21"/>
        <v>0</v>
      </c>
      <c r="R141" s="12">
        <f t="shared" si="22"/>
        <v>0</v>
      </c>
      <c r="S141" s="12">
        <f t="shared" si="23"/>
        <v>0</v>
      </c>
      <c r="T141" s="29">
        <v>0</v>
      </c>
      <c r="U141" s="29">
        <v>0</v>
      </c>
      <c r="V141" s="29">
        <v>0</v>
      </c>
      <c r="W141" s="29">
        <v>0</v>
      </c>
      <c r="X141" s="29">
        <v>0</v>
      </c>
      <c r="Y141" s="29">
        <v>0</v>
      </c>
      <c r="Z141" s="29">
        <v>0</v>
      </c>
      <c r="AA141" s="29">
        <v>0</v>
      </c>
      <c r="AB141" s="29">
        <v>0</v>
      </c>
      <c r="AC141" s="29">
        <v>0</v>
      </c>
      <c r="AD141" s="29">
        <v>0</v>
      </c>
      <c r="AE141" s="29">
        <v>0</v>
      </c>
      <c r="AF141" s="29">
        <v>0</v>
      </c>
      <c r="AG141" s="29">
        <v>0</v>
      </c>
      <c r="AH141" s="29">
        <v>0</v>
      </c>
      <c r="AI141" s="29">
        <v>0</v>
      </c>
      <c r="AJ141" s="29">
        <v>0</v>
      </c>
      <c r="AK141" s="29">
        <v>0</v>
      </c>
      <c r="AL141" s="29">
        <v>0</v>
      </c>
      <c r="AM141" s="29">
        <v>0</v>
      </c>
      <c r="AN141" s="29">
        <v>0</v>
      </c>
      <c r="AO141" s="29">
        <v>0</v>
      </c>
      <c r="AP141" s="29">
        <v>0</v>
      </c>
    </row>
    <row r="142" spans="1:42" x14ac:dyDescent="0.25">
      <c r="A142" s="29">
        <v>23</v>
      </c>
      <c r="B142" s="29">
        <v>24794</v>
      </c>
      <c r="C142" s="29">
        <v>1</v>
      </c>
      <c r="D142" s="29" t="s">
        <v>906</v>
      </c>
      <c r="E142" s="29"/>
      <c r="F142" s="29">
        <v>0</v>
      </c>
      <c r="G142" s="29">
        <v>0</v>
      </c>
      <c r="H142" s="29">
        <v>0</v>
      </c>
      <c r="I142" s="29">
        <v>0</v>
      </c>
      <c r="J142" s="29">
        <v>0</v>
      </c>
      <c r="K142" s="29" t="s">
        <v>882</v>
      </c>
      <c r="L142" s="19" t="str">
        <f t="shared" si="16"/>
        <v>Рихтовка</v>
      </c>
      <c r="M142" s="12">
        <f t="shared" si="17"/>
        <v>0</v>
      </c>
      <c r="N142" s="12">
        <f t="shared" si="18"/>
        <v>0</v>
      </c>
      <c r="O142" s="12">
        <f t="shared" si="19"/>
        <v>0</v>
      </c>
      <c r="P142" s="12">
        <f t="shared" si="20"/>
        <v>0</v>
      </c>
      <c r="Q142" s="12">
        <f t="shared" si="21"/>
        <v>0</v>
      </c>
      <c r="R142" s="12">
        <f t="shared" si="22"/>
        <v>0</v>
      </c>
      <c r="S142" s="12">
        <f t="shared" si="23"/>
        <v>0</v>
      </c>
      <c r="T142" s="29">
        <v>0</v>
      </c>
      <c r="U142" s="29">
        <v>0</v>
      </c>
      <c r="V142" s="29">
        <v>0</v>
      </c>
      <c r="W142" s="29">
        <v>0</v>
      </c>
      <c r="X142" s="29">
        <v>0</v>
      </c>
      <c r="Y142" s="29">
        <v>0</v>
      </c>
      <c r="Z142" s="29">
        <v>0</v>
      </c>
      <c r="AA142" s="29">
        <v>0</v>
      </c>
      <c r="AB142" s="29">
        <v>0</v>
      </c>
      <c r="AC142" s="29">
        <v>0</v>
      </c>
      <c r="AD142" s="29">
        <v>0</v>
      </c>
      <c r="AE142" s="29">
        <v>0</v>
      </c>
      <c r="AF142" s="29">
        <v>0</v>
      </c>
      <c r="AG142" s="29">
        <v>0</v>
      </c>
      <c r="AH142" s="29">
        <v>0</v>
      </c>
      <c r="AI142" s="29">
        <v>0</v>
      </c>
      <c r="AJ142" s="29">
        <v>0</v>
      </c>
      <c r="AK142" s="29">
        <v>0</v>
      </c>
      <c r="AL142" s="29">
        <v>0</v>
      </c>
      <c r="AM142" s="29">
        <v>0</v>
      </c>
      <c r="AN142" s="29">
        <v>0</v>
      </c>
      <c r="AO142" s="29">
        <v>0</v>
      </c>
      <c r="AP142" s="29">
        <v>0</v>
      </c>
    </row>
    <row r="143" spans="1:42" x14ac:dyDescent="0.25">
      <c r="A143" s="29">
        <v>24</v>
      </c>
      <c r="B143" s="29">
        <v>24603</v>
      </c>
      <c r="C143" s="29">
        <v>1</v>
      </c>
      <c r="D143" s="29" t="s">
        <v>562</v>
      </c>
      <c r="E143" s="29"/>
      <c r="F143" s="29">
        <v>0</v>
      </c>
      <c r="G143" s="29">
        <v>0</v>
      </c>
      <c r="H143" s="29">
        <v>0</v>
      </c>
      <c r="I143" s="29">
        <v>0</v>
      </c>
      <c r="J143" s="29">
        <v>0</v>
      </c>
      <c r="K143" s="29" t="s">
        <v>882</v>
      </c>
      <c r="L143" s="19" t="str">
        <f t="shared" si="16"/>
        <v>Рихтовка</v>
      </c>
      <c r="M143" s="12">
        <f t="shared" si="17"/>
        <v>0</v>
      </c>
      <c r="N143" s="12">
        <f t="shared" si="18"/>
        <v>0</v>
      </c>
      <c r="O143" s="12">
        <f t="shared" si="19"/>
        <v>0</v>
      </c>
      <c r="P143" s="12">
        <f t="shared" si="20"/>
        <v>0</v>
      </c>
      <c r="Q143" s="12">
        <f t="shared" si="21"/>
        <v>0</v>
      </c>
      <c r="R143" s="12">
        <f t="shared" si="22"/>
        <v>0</v>
      </c>
      <c r="S143" s="12">
        <f t="shared" si="23"/>
        <v>0</v>
      </c>
      <c r="T143" s="29">
        <v>0</v>
      </c>
      <c r="U143" s="29">
        <v>0</v>
      </c>
      <c r="V143" s="29">
        <v>0</v>
      </c>
      <c r="W143" s="29">
        <v>0</v>
      </c>
      <c r="X143" s="29">
        <v>0</v>
      </c>
      <c r="Y143" s="29">
        <v>0</v>
      </c>
      <c r="Z143" s="29">
        <v>0</v>
      </c>
      <c r="AA143" s="29">
        <v>0</v>
      </c>
      <c r="AB143" s="29">
        <v>0</v>
      </c>
      <c r="AC143" s="29">
        <v>0</v>
      </c>
      <c r="AD143" s="29">
        <v>0</v>
      </c>
      <c r="AE143" s="29">
        <v>0</v>
      </c>
      <c r="AF143" s="29">
        <v>0</v>
      </c>
      <c r="AG143" s="29">
        <v>0</v>
      </c>
      <c r="AH143" s="29">
        <v>0</v>
      </c>
      <c r="AI143" s="29">
        <v>0</v>
      </c>
      <c r="AJ143" s="29">
        <v>0</v>
      </c>
      <c r="AK143" s="29">
        <v>0</v>
      </c>
      <c r="AL143" s="29">
        <v>0</v>
      </c>
      <c r="AM143" s="29">
        <v>0</v>
      </c>
      <c r="AN143" s="29">
        <v>0</v>
      </c>
      <c r="AO143" s="29">
        <v>0</v>
      </c>
      <c r="AP143" s="29">
        <v>0</v>
      </c>
    </row>
    <row r="144" spans="1:42" x14ac:dyDescent="0.25">
      <c r="A144" s="29">
        <v>24</v>
      </c>
      <c r="B144" s="29">
        <v>24603</v>
      </c>
      <c r="C144" s="29">
        <v>1</v>
      </c>
      <c r="D144" s="29" t="s">
        <v>563</v>
      </c>
      <c r="E144" s="29"/>
      <c r="F144" s="29">
        <v>0</v>
      </c>
      <c r="G144" s="29">
        <v>0</v>
      </c>
      <c r="H144" s="29">
        <v>0</v>
      </c>
      <c r="I144" s="29">
        <v>0</v>
      </c>
      <c r="J144" s="29">
        <v>0</v>
      </c>
      <c r="K144" s="29" t="s">
        <v>882</v>
      </c>
      <c r="L144" s="19" t="str">
        <f t="shared" si="16"/>
        <v>Рихтовка</v>
      </c>
      <c r="M144" s="12">
        <f t="shared" si="17"/>
        <v>0</v>
      </c>
      <c r="N144" s="12">
        <f t="shared" si="18"/>
        <v>0</v>
      </c>
      <c r="O144" s="12">
        <f t="shared" si="19"/>
        <v>0</v>
      </c>
      <c r="P144" s="12">
        <f t="shared" si="20"/>
        <v>0</v>
      </c>
      <c r="Q144" s="12">
        <f t="shared" si="21"/>
        <v>0</v>
      </c>
      <c r="R144" s="12">
        <f t="shared" si="22"/>
        <v>0</v>
      </c>
      <c r="S144" s="12">
        <f t="shared" si="23"/>
        <v>0</v>
      </c>
      <c r="T144" s="29">
        <v>0</v>
      </c>
      <c r="U144" s="29">
        <v>0</v>
      </c>
      <c r="V144" s="29">
        <v>0</v>
      </c>
      <c r="W144" s="29">
        <v>0</v>
      </c>
      <c r="X144" s="29">
        <v>0</v>
      </c>
      <c r="Y144" s="29">
        <v>0</v>
      </c>
      <c r="Z144" s="29">
        <v>0</v>
      </c>
      <c r="AA144" s="29">
        <v>0</v>
      </c>
      <c r="AB144" s="29">
        <v>0</v>
      </c>
      <c r="AC144" s="29">
        <v>0</v>
      </c>
      <c r="AD144" s="29">
        <v>0</v>
      </c>
      <c r="AE144" s="29">
        <v>0</v>
      </c>
      <c r="AF144" s="29">
        <v>0</v>
      </c>
      <c r="AG144" s="29">
        <v>0</v>
      </c>
      <c r="AH144" s="29">
        <v>0</v>
      </c>
      <c r="AI144" s="29">
        <v>0</v>
      </c>
      <c r="AJ144" s="29">
        <v>0</v>
      </c>
      <c r="AK144" s="29">
        <v>0</v>
      </c>
      <c r="AL144" s="29">
        <v>0</v>
      </c>
      <c r="AM144" s="29">
        <v>0</v>
      </c>
      <c r="AN144" s="29">
        <v>0</v>
      </c>
      <c r="AO144" s="29">
        <v>0</v>
      </c>
      <c r="AP144" s="29">
        <v>0</v>
      </c>
    </row>
    <row r="145" spans="1:42" x14ac:dyDescent="0.25">
      <c r="A145" s="29">
        <v>24</v>
      </c>
      <c r="B145" s="29">
        <v>24603</v>
      </c>
      <c r="C145" s="29">
        <v>1</v>
      </c>
      <c r="D145" s="29" t="s">
        <v>564</v>
      </c>
      <c r="E145" s="29"/>
      <c r="F145" s="29">
        <v>0</v>
      </c>
      <c r="G145" s="29">
        <v>0</v>
      </c>
      <c r="H145" s="29">
        <v>0</v>
      </c>
      <c r="I145" s="29">
        <v>0</v>
      </c>
      <c r="J145" s="29">
        <v>0</v>
      </c>
      <c r="K145" s="29" t="s">
        <v>882</v>
      </c>
      <c r="L145" s="19" t="str">
        <f t="shared" si="16"/>
        <v>Рихтовка</v>
      </c>
      <c r="M145" s="12">
        <f t="shared" si="17"/>
        <v>0</v>
      </c>
      <c r="N145" s="12">
        <f t="shared" si="18"/>
        <v>0</v>
      </c>
      <c r="O145" s="12">
        <f t="shared" si="19"/>
        <v>0</v>
      </c>
      <c r="P145" s="12">
        <f t="shared" si="20"/>
        <v>0</v>
      </c>
      <c r="Q145" s="12">
        <f t="shared" si="21"/>
        <v>0</v>
      </c>
      <c r="R145" s="12">
        <f t="shared" si="22"/>
        <v>0</v>
      </c>
      <c r="S145" s="12">
        <f t="shared" si="23"/>
        <v>0</v>
      </c>
      <c r="T145" s="29">
        <v>0</v>
      </c>
      <c r="U145" s="29">
        <v>0</v>
      </c>
      <c r="V145" s="29">
        <v>0</v>
      </c>
      <c r="W145" s="29">
        <v>0</v>
      </c>
      <c r="X145" s="29">
        <v>0</v>
      </c>
      <c r="Y145" s="29">
        <v>0</v>
      </c>
      <c r="Z145" s="29">
        <v>0</v>
      </c>
      <c r="AA145" s="29">
        <v>0</v>
      </c>
      <c r="AB145" s="29">
        <v>0</v>
      </c>
      <c r="AC145" s="29">
        <v>0</v>
      </c>
      <c r="AD145" s="29">
        <v>0</v>
      </c>
      <c r="AE145" s="29">
        <v>0</v>
      </c>
      <c r="AF145" s="29">
        <v>0</v>
      </c>
      <c r="AG145" s="29">
        <v>0</v>
      </c>
      <c r="AH145" s="29">
        <v>0</v>
      </c>
      <c r="AI145" s="29">
        <v>0</v>
      </c>
      <c r="AJ145" s="29">
        <v>0</v>
      </c>
      <c r="AK145" s="29">
        <v>0</v>
      </c>
      <c r="AL145" s="29">
        <v>0</v>
      </c>
      <c r="AM145" s="29">
        <v>0</v>
      </c>
      <c r="AN145" s="29">
        <v>0</v>
      </c>
      <c r="AO145" s="29">
        <v>0</v>
      </c>
      <c r="AP145" s="29">
        <v>0</v>
      </c>
    </row>
    <row r="146" spans="1:42" x14ac:dyDescent="0.25">
      <c r="A146" s="29">
        <v>24</v>
      </c>
      <c r="B146" s="29">
        <v>24603</v>
      </c>
      <c r="C146" s="29">
        <v>1</v>
      </c>
      <c r="D146" s="29" t="s">
        <v>565</v>
      </c>
      <c r="E146" s="29"/>
      <c r="F146" s="29">
        <v>0</v>
      </c>
      <c r="G146" s="29">
        <v>0</v>
      </c>
      <c r="H146" s="29">
        <v>0</v>
      </c>
      <c r="I146" s="29">
        <v>0</v>
      </c>
      <c r="J146" s="29">
        <v>0</v>
      </c>
      <c r="K146" s="29" t="s">
        <v>882</v>
      </c>
      <c r="L146" s="19" t="str">
        <f t="shared" si="16"/>
        <v>Рихтовка</v>
      </c>
      <c r="M146" s="12">
        <f t="shared" si="17"/>
        <v>0</v>
      </c>
      <c r="N146" s="12">
        <f t="shared" si="18"/>
        <v>0</v>
      </c>
      <c r="O146" s="12">
        <f t="shared" si="19"/>
        <v>0</v>
      </c>
      <c r="P146" s="12">
        <f t="shared" si="20"/>
        <v>0</v>
      </c>
      <c r="Q146" s="12">
        <f t="shared" si="21"/>
        <v>0</v>
      </c>
      <c r="R146" s="12">
        <f t="shared" si="22"/>
        <v>0</v>
      </c>
      <c r="S146" s="12">
        <f t="shared" si="23"/>
        <v>0</v>
      </c>
      <c r="T146" s="29">
        <v>0</v>
      </c>
      <c r="U146" s="29">
        <v>0</v>
      </c>
      <c r="V146" s="29">
        <v>0</v>
      </c>
      <c r="W146" s="29">
        <v>0</v>
      </c>
      <c r="X146" s="29">
        <v>0</v>
      </c>
      <c r="Y146" s="29">
        <v>0</v>
      </c>
      <c r="Z146" s="29">
        <v>0</v>
      </c>
      <c r="AA146" s="29">
        <v>0</v>
      </c>
      <c r="AB146" s="29">
        <v>0</v>
      </c>
      <c r="AC146" s="29">
        <v>0</v>
      </c>
      <c r="AD146" s="29">
        <v>0</v>
      </c>
      <c r="AE146" s="29">
        <v>0</v>
      </c>
      <c r="AF146" s="29">
        <v>0</v>
      </c>
      <c r="AG146" s="29">
        <v>0</v>
      </c>
      <c r="AH146" s="29">
        <v>0</v>
      </c>
      <c r="AI146" s="29">
        <v>0</v>
      </c>
      <c r="AJ146" s="29">
        <v>0</v>
      </c>
      <c r="AK146" s="29">
        <v>0</v>
      </c>
      <c r="AL146" s="29">
        <v>0</v>
      </c>
      <c r="AM146" s="29">
        <v>0</v>
      </c>
      <c r="AN146" s="29">
        <v>0</v>
      </c>
      <c r="AO146" s="29">
        <v>0</v>
      </c>
      <c r="AP146" s="29">
        <v>0</v>
      </c>
    </row>
    <row r="147" spans="1:42" x14ac:dyDescent="0.25">
      <c r="A147" s="29">
        <v>24</v>
      </c>
      <c r="B147" s="29">
        <v>24603</v>
      </c>
      <c r="C147" s="29">
        <v>1</v>
      </c>
      <c r="D147" s="29" t="s">
        <v>566</v>
      </c>
      <c r="E147" s="29"/>
      <c r="F147" s="29">
        <v>0</v>
      </c>
      <c r="G147" s="29">
        <v>0</v>
      </c>
      <c r="H147" s="29">
        <v>0</v>
      </c>
      <c r="I147" s="29">
        <v>0</v>
      </c>
      <c r="J147" s="29">
        <v>0</v>
      </c>
      <c r="K147" s="29" t="s">
        <v>882</v>
      </c>
      <c r="L147" s="19" t="str">
        <f t="shared" si="16"/>
        <v>Рихтовка</v>
      </c>
      <c r="M147" s="12">
        <f t="shared" si="17"/>
        <v>0</v>
      </c>
      <c r="N147" s="12">
        <f t="shared" si="18"/>
        <v>0</v>
      </c>
      <c r="O147" s="12">
        <f t="shared" si="19"/>
        <v>0</v>
      </c>
      <c r="P147" s="12">
        <f t="shared" si="20"/>
        <v>0</v>
      </c>
      <c r="Q147" s="12">
        <f t="shared" si="21"/>
        <v>0</v>
      </c>
      <c r="R147" s="12">
        <f t="shared" si="22"/>
        <v>0</v>
      </c>
      <c r="S147" s="12">
        <f t="shared" si="23"/>
        <v>0</v>
      </c>
      <c r="T147" s="29">
        <v>0</v>
      </c>
      <c r="U147" s="29">
        <v>0</v>
      </c>
      <c r="V147" s="29">
        <v>0</v>
      </c>
      <c r="W147" s="29">
        <v>0</v>
      </c>
      <c r="X147" s="29">
        <v>0</v>
      </c>
      <c r="Y147" s="29">
        <v>0</v>
      </c>
      <c r="Z147" s="29">
        <v>0</v>
      </c>
      <c r="AA147" s="29">
        <v>0</v>
      </c>
      <c r="AB147" s="29">
        <v>0</v>
      </c>
      <c r="AC147" s="29">
        <v>0</v>
      </c>
      <c r="AD147" s="29">
        <v>0</v>
      </c>
      <c r="AE147" s="29">
        <v>0</v>
      </c>
      <c r="AF147" s="29">
        <v>0</v>
      </c>
      <c r="AG147" s="29">
        <v>0</v>
      </c>
      <c r="AH147" s="29">
        <v>0</v>
      </c>
      <c r="AI147" s="29">
        <v>0</v>
      </c>
      <c r="AJ147" s="29">
        <v>0</v>
      </c>
      <c r="AK147" s="29">
        <v>0</v>
      </c>
      <c r="AL147" s="29">
        <v>0</v>
      </c>
      <c r="AM147" s="29">
        <v>0</v>
      </c>
      <c r="AN147" s="29">
        <v>0</v>
      </c>
      <c r="AO147" s="29">
        <v>0</v>
      </c>
      <c r="AP147" s="29">
        <v>0</v>
      </c>
    </row>
    <row r="148" spans="1:42" x14ac:dyDescent="0.25">
      <c r="A148" s="29">
        <v>24</v>
      </c>
      <c r="B148" s="29">
        <v>24603</v>
      </c>
      <c r="C148" s="29">
        <v>1</v>
      </c>
      <c r="D148" s="29" t="s">
        <v>567</v>
      </c>
      <c r="E148" s="29"/>
      <c r="F148" s="29">
        <v>0</v>
      </c>
      <c r="G148" s="29">
        <v>0</v>
      </c>
      <c r="H148" s="29">
        <v>0</v>
      </c>
      <c r="I148" s="29">
        <v>0</v>
      </c>
      <c r="J148" s="29">
        <v>0</v>
      </c>
      <c r="K148" s="29" t="s">
        <v>882</v>
      </c>
      <c r="L148" s="19" t="str">
        <f t="shared" si="16"/>
        <v>Рихтовка</v>
      </c>
      <c r="M148" s="12">
        <f t="shared" si="17"/>
        <v>0</v>
      </c>
      <c r="N148" s="12">
        <f t="shared" si="18"/>
        <v>0</v>
      </c>
      <c r="O148" s="12">
        <f t="shared" si="19"/>
        <v>0</v>
      </c>
      <c r="P148" s="12">
        <f t="shared" si="20"/>
        <v>0</v>
      </c>
      <c r="Q148" s="12">
        <f t="shared" si="21"/>
        <v>0</v>
      </c>
      <c r="R148" s="12">
        <f t="shared" si="22"/>
        <v>0</v>
      </c>
      <c r="S148" s="12">
        <f t="shared" si="23"/>
        <v>0</v>
      </c>
      <c r="T148" s="29">
        <v>0</v>
      </c>
      <c r="U148" s="29">
        <v>0</v>
      </c>
      <c r="V148" s="29">
        <v>0</v>
      </c>
      <c r="W148" s="29">
        <v>0</v>
      </c>
      <c r="X148" s="29">
        <v>0</v>
      </c>
      <c r="Y148" s="29">
        <v>0</v>
      </c>
      <c r="Z148" s="29">
        <v>0</v>
      </c>
      <c r="AA148" s="29">
        <v>0</v>
      </c>
      <c r="AB148" s="29">
        <v>0</v>
      </c>
      <c r="AC148" s="29">
        <v>0</v>
      </c>
      <c r="AD148" s="29">
        <v>0</v>
      </c>
      <c r="AE148" s="29">
        <v>0</v>
      </c>
      <c r="AF148" s="29">
        <v>0</v>
      </c>
      <c r="AG148" s="29">
        <v>0</v>
      </c>
      <c r="AH148" s="29">
        <v>0</v>
      </c>
      <c r="AI148" s="29">
        <v>0</v>
      </c>
      <c r="AJ148" s="29">
        <v>0</v>
      </c>
      <c r="AK148" s="29">
        <v>0</v>
      </c>
      <c r="AL148" s="29">
        <v>0</v>
      </c>
      <c r="AM148" s="29">
        <v>0</v>
      </c>
      <c r="AN148" s="29">
        <v>0</v>
      </c>
      <c r="AO148" s="29">
        <v>0</v>
      </c>
      <c r="AP148" s="29">
        <v>0</v>
      </c>
    </row>
    <row r="149" spans="1:42" x14ac:dyDescent="0.25">
      <c r="A149" s="29">
        <v>24</v>
      </c>
      <c r="B149" s="29">
        <v>24603</v>
      </c>
      <c r="C149" s="29">
        <v>1</v>
      </c>
      <c r="D149" s="29" t="s">
        <v>568</v>
      </c>
      <c r="E149" s="29"/>
      <c r="F149" s="29">
        <v>0</v>
      </c>
      <c r="G149" s="29">
        <v>0</v>
      </c>
      <c r="H149" s="29">
        <v>0</v>
      </c>
      <c r="I149" s="29">
        <v>0</v>
      </c>
      <c r="J149" s="29">
        <v>0</v>
      </c>
      <c r="K149" s="29" t="s">
        <v>882</v>
      </c>
      <c r="L149" s="19" t="str">
        <f t="shared" si="16"/>
        <v>Рихтовка</v>
      </c>
      <c r="M149" s="12">
        <f t="shared" si="17"/>
        <v>0</v>
      </c>
      <c r="N149" s="12">
        <f t="shared" si="18"/>
        <v>0</v>
      </c>
      <c r="O149" s="12">
        <f t="shared" si="19"/>
        <v>0</v>
      </c>
      <c r="P149" s="12">
        <f t="shared" si="20"/>
        <v>0</v>
      </c>
      <c r="Q149" s="12">
        <f t="shared" si="21"/>
        <v>0</v>
      </c>
      <c r="R149" s="12">
        <f t="shared" si="22"/>
        <v>0</v>
      </c>
      <c r="S149" s="12">
        <f t="shared" si="23"/>
        <v>0</v>
      </c>
      <c r="T149" s="29">
        <v>0</v>
      </c>
      <c r="U149" s="29">
        <v>0</v>
      </c>
      <c r="V149" s="29">
        <v>0</v>
      </c>
      <c r="W149" s="29">
        <v>0</v>
      </c>
      <c r="X149" s="29">
        <v>0</v>
      </c>
      <c r="Y149" s="29">
        <v>0</v>
      </c>
      <c r="Z149" s="29">
        <v>0</v>
      </c>
      <c r="AA149" s="29">
        <v>0</v>
      </c>
      <c r="AB149" s="29">
        <v>0</v>
      </c>
      <c r="AC149" s="29">
        <v>0</v>
      </c>
      <c r="AD149" s="29">
        <v>0</v>
      </c>
      <c r="AE149" s="29">
        <v>0</v>
      </c>
      <c r="AF149" s="29">
        <v>0</v>
      </c>
      <c r="AG149" s="29">
        <v>0</v>
      </c>
      <c r="AH149" s="29">
        <v>0</v>
      </c>
      <c r="AI149" s="29">
        <v>0</v>
      </c>
      <c r="AJ149" s="29">
        <v>0</v>
      </c>
      <c r="AK149" s="29">
        <v>0</v>
      </c>
      <c r="AL149" s="29">
        <v>0</v>
      </c>
      <c r="AM149" s="29">
        <v>0</v>
      </c>
      <c r="AN149" s="29">
        <v>0</v>
      </c>
      <c r="AO149" s="29">
        <v>0</v>
      </c>
      <c r="AP149" s="29">
        <v>0</v>
      </c>
    </row>
    <row r="150" spans="1:42" x14ac:dyDescent="0.25">
      <c r="A150" s="29">
        <v>24</v>
      </c>
      <c r="B150" s="29">
        <v>24603</v>
      </c>
      <c r="C150" s="29">
        <v>1</v>
      </c>
      <c r="D150" s="29" t="s">
        <v>569</v>
      </c>
      <c r="E150" s="29"/>
      <c r="F150" s="29">
        <v>0</v>
      </c>
      <c r="G150" s="29">
        <v>0</v>
      </c>
      <c r="H150" s="29">
        <v>0</v>
      </c>
      <c r="I150" s="29">
        <v>0</v>
      </c>
      <c r="J150" s="29">
        <v>0</v>
      </c>
      <c r="K150" s="29" t="s">
        <v>882</v>
      </c>
      <c r="L150" s="19" t="str">
        <f t="shared" si="16"/>
        <v>Рихтовка</v>
      </c>
      <c r="M150" s="12">
        <f t="shared" si="17"/>
        <v>0</v>
      </c>
      <c r="N150" s="12">
        <f t="shared" si="18"/>
        <v>0</v>
      </c>
      <c r="O150" s="12">
        <f t="shared" si="19"/>
        <v>0</v>
      </c>
      <c r="P150" s="12">
        <f t="shared" si="20"/>
        <v>0</v>
      </c>
      <c r="Q150" s="12">
        <f t="shared" si="21"/>
        <v>0</v>
      </c>
      <c r="R150" s="12">
        <f t="shared" si="22"/>
        <v>0</v>
      </c>
      <c r="S150" s="12">
        <f t="shared" si="23"/>
        <v>0</v>
      </c>
      <c r="T150" s="29">
        <v>0</v>
      </c>
      <c r="U150" s="29">
        <v>0</v>
      </c>
      <c r="V150" s="29">
        <v>0</v>
      </c>
      <c r="W150" s="29">
        <v>0</v>
      </c>
      <c r="X150" s="29">
        <v>0</v>
      </c>
      <c r="Y150" s="29">
        <v>0</v>
      </c>
      <c r="Z150" s="29">
        <v>0</v>
      </c>
      <c r="AA150" s="29">
        <v>0</v>
      </c>
      <c r="AB150" s="29">
        <v>0</v>
      </c>
      <c r="AC150" s="29">
        <v>0</v>
      </c>
      <c r="AD150" s="29">
        <v>0</v>
      </c>
      <c r="AE150" s="29">
        <v>0</v>
      </c>
      <c r="AF150" s="29">
        <v>0</v>
      </c>
      <c r="AG150" s="29">
        <v>0</v>
      </c>
      <c r="AH150" s="29">
        <v>0</v>
      </c>
      <c r="AI150" s="29">
        <v>0</v>
      </c>
      <c r="AJ150" s="29">
        <v>0</v>
      </c>
      <c r="AK150" s="29">
        <v>0</v>
      </c>
      <c r="AL150" s="29">
        <v>0</v>
      </c>
      <c r="AM150" s="29">
        <v>0</v>
      </c>
      <c r="AN150" s="29">
        <v>0</v>
      </c>
      <c r="AO150" s="29">
        <v>0</v>
      </c>
      <c r="AP150" s="29">
        <v>0</v>
      </c>
    </row>
    <row r="151" spans="1:42" x14ac:dyDescent="0.25">
      <c r="A151" s="29">
        <v>24</v>
      </c>
      <c r="B151" s="29">
        <v>24603</v>
      </c>
      <c r="C151" s="29">
        <v>1</v>
      </c>
      <c r="D151" s="29" t="s">
        <v>570</v>
      </c>
      <c r="E151" s="29"/>
      <c r="F151" s="29">
        <v>0</v>
      </c>
      <c r="G151" s="29">
        <v>0</v>
      </c>
      <c r="H151" s="29">
        <v>0</v>
      </c>
      <c r="I151" s="29">
        <v>0</v>
      </c>
      <c r="J151" s="29">
        <v>0</v>
      </c>
      <c r="K151" s="29" t="s">
        <v>882</v>
      </c>
      <c r="L151" s="19" t="str">
        <f t="shared" si="16"/>
        <v>Рихтовка</v>
      </c>
      <c r="M151" s="12">
        <f t="shared" si="17"/>
        <v>0</v>
      </c>
      <c r="N151" s="12">
        <f t="shared" si="18"/>
        <v>0</v>
      </c>
      <c r="O151" s="12">
        <f t="shared" si="19"/>
        <v>0</v>
      </c>
      <c r="P151" s="12">
        <f t="shared" si="20"/>
        <v>0</v>
      </c>
      <c r="Q151" s="12">
        <f t="shared" si="21"/>
        <v>0</v>
      </c>
      <c r="R151" s="12">
        <f t="shared" si="22"/>
        <v>0</v>
      </c>
      <c r="S151" s="12">
        <f t="shared" si="23"/>
        <v>0</v>
      </c>
      <c r="T151" s="29">
        <v>0</v>
      </c>
      <c r="U151" s="29">
        <v>0</v>
      </c>
      <c r="V151" s="29">
        <v>0</v>
      </c>
      <c r="W151" s="29">
        <v>0</v>
      </c>
      <c r="X151" s="29">
        <v>0</v>
      </c>
      <c r="Y151" s="29">
        <v>0</v>
      </c>
      <c r="Z151" s="29">
        <v>0</v>
      </c>
      <c r="AA151" s="29">
        <v>0</v>
      </c>
      <c r="AB151" s="29">
        <v>0</v>
      </c>
      <c r="AC151" s="29">
        <v>0</v>
      </c>
      <c r="AD151" s="29">
        <v>0</v>
      </c>
      <c r="AE151" s="29">
        <v>0</v>
      </c>
      <c r="AF151" s="29">
        <v>0</v>
      </c>
      <c r="AG151" s="29">
        <v>0</v>
      </c>
      <c r="AH151" s="29">
        <v>0</v>
      </c>
      <c r="AI151" s="29">
        <v>0</v>
      </c>
      <c r="AJ151" s="29">
        <v>0</v>
      </c>
      <c r="AK151" s="29">
        <v>0</v>
      </c>
      <c r="AL151" s="29">
        <v>0</v>
      </c>
      <c r="AM151" s="29">
        <v>0</v>
      </c>
      <c r="AN151" s="29">
        <v>0</v>
      </c>
      <c r="AO151" s="29">
        <v>0</v>
      </c>
      <c r="AP151" s="29">
        <v>0</v>
      </c>
    </row>
    <row r="152" spans="1:42" x14ac:dyDescent="0.25">
      <c r="A152" s="29">
        <v>24</v>
      </c>
      <c r="B152" s="29">
        <v>24603</v>
      </c>
      <c r="C152" s="29">
        <v>1</v>
      </c>
      <c r="D152" s="29" t="s">
        <v>571</v>
      </c>
      <c r="E152" s="29"/>
      <c r="F152" s="29">
        <v>0</v>
      </c>
      <c r="G152" s="29">
        <v>0</v>
      </c>
      <c r="H152" s="29">
        <v>0</v>
      </c>
      <c r="I152" s="29">
        <v>0</v>
      </c>
      <c r="J152" s="29">
        <v>0</v>
      </c>
      <c r="K152" s="29" t="s">
        <v>882</v>
      </c>
      <c r="L152" s="19" t="str">
        <f t="shared" si="16"/>
        <v>Рихтовка</v>
      </c>
      <c r="M152" s="12">
        <f t="shared" si="17"/>
        <v>0</v>
      </c>
      <c r="N152" s="12">
        <f t="shared" si="18"/>
        <v>0</v>
      </c>
      <c r="O152" s="12">
        <f t="shared" si="19"/>
        <v>0</v>
      </c>
      <c r="P152" s="12">
        <f t="shared" si="20"/>
        <v>0</v>
      </c>
      <c r="Q152" s="12">
        <f t="shared" si="21"/>
        <v>0</v>
      </c>
      <c r="R152" s="12">
        <f t="shared" si="22"/>
        <v>0</v>
      </c>
      <c r="S152" s="12">
        <f t="shared" si="23"/>
        <v>0</v>
      </c>
      <c r="T152" s="29">
        <v>0</v>
      </c>
      <c r="U152" s="29">
        <v>0</v>
      </c>
      <c r="V152" s="29">
        <v>0</v>
      </c>
      <c r="W152" s="29">
        <v>0</v>
      </c>
      <c r="X152" s="29">
        <v>0</v>
      </c>
      <c r="Y152" s="29">
        <v>0</v>
      </c>
      <c r="Z152" s="29">
        <v>0</v>
      </c>
      <c r="AA152" s="29">
        <v>0</v>
      </c>
      <c r="AB152" s="29">
        <v>0</v>
      </c>
      <c r="AC152" s="29">
        <v>0</v>
      </c>
      <c r="AD152" s="29">
        <v>0</v>
      </c>
      <c r="AE152" s="29">
        <v>0</v>
      </c>
      <c r="AF152" s="29">
        <v>0</v>
      </c>
      <c r="AG152" s="29">
        <v>0</v>
      </c>
      <c r="AH152" s="29">
        <v>0</v>
      </c>
      <c r="AI152" s="29">
        <v>0</v>
      </c>
      <c r="AJ152" s="29">
        <v>0</v>
      </c>
      <c r="AK152" s="29">
        <v>0</v>
      </c>
      <c r="AL152" s="29">
        <v>0</v>
      </c>
      <c r="AM152" s="29">
        <v>0</v>
      </c>
      <c r="AN152" s="29">
        <v>0</v>
      </c>
      <c r="AO152" s="29">
        <v>0</v>
      </c>
      <c r="AP152" s="29">
        <v>0</v>
      </c>
    </row>
    <row r="153" spans="1:42" x14ac:dyDescent="0.25">
      <c r="A153" s="29">
        <v>24</v>
      </c>
      <c r="B153" s="29">
        <v>24603</v>
      </c>
      <c r="C153" s="29">
        <v>1</v>
      </c>
      <c r="D153" s="29" t="s">
        <v>572</v>
      </c>
      <c r="E153" s="29"/>
      <c r="F153" s="29">
        <v>0</v>
      </c>
      <c r="G153" s="29">
        <v>0</v>
      </c>
      <c r="H153" s="29">
        <v>0</v>
      </c>
      <c r="I153" s="29">
        <v>0</v>
      </c>
      <c r="J153" s="29">
        <v>0</v>
      </c>
      <c r="K153" s="29" t="s">
        <v>882</v>
      </c>
      <c r="L153" s="19" t="str">
        <f t="shared" si="16"/>
        <v>Рихтовка</v>
      </c>
      <c r="M153" s="12">
        <f t="shared" si="17"/>
        <v>0</v>
      </c>
      <c r="N153" s="12">
        <f t="shared" si="18"/>
        <v>0</v>
      </c>
      <c r="O153" s="12">
        <f t="shared" si="19"/>
        <v>0</v>
      </c>
      <c r="P153" s="12">
        <f t="shared" si="20"/>
        <v>0</v>
      </c>
      <c r="Q153" s="12">
        <f t="shared" si="21"/>
        <v>0</v>
      </c>
      <c r="R153" s="12">
        <f t="shared" si="22"/>
        <v>0</v>
      </c>
      <c r="S153" s="12">
        <f t="shared" si="23"/>
        <v>0</v>
      </c>
      <c r="T153" s="29">
        <v>0</v>
      </c>
      <c r="U153" s="29">
        <v>0</v>
      </c>
      <c r="V153" s="29">
        <v>0</v>
      </c>
      <c r="W153" s="29">
        <v>0</v>
      </c>
      <c r="X153" s="29">
        <v>0</v>
      </c>
      <c r="Y153" s="29">
        <v>0</v>
      </c>
      <c r="Z153" s="29">
        <v>0</v>
      </c>
      <c r="AA153" s="29">
        <v>0</v>
      </c>
      <c r="AB153" s="29">
        <v>0</v>
      </c>
      <c r="AC153" s="29">
        <v>0</v>
      </c>
      <c r="AD153" s="29">
        <v>0</v>
      </c>
      <c r="AE153" s="29">
        <v>0</v>
      </c>
      <c r="AF153" s="29">
        <v>0</v>
      </c>
      <c r="AG153" s="29">
        <v>0</v>
      </c>
      <c r="AH153" s="29">
        <v>0</v>
      </c>
      <c r="AI153" s="29">
        <v>0</v>
      </c>
      <c r="AJ153" s="29">
        <v>0</v>
      </c>
      <c r="AK153" s="29">
        <v>0</v>
      </c>
      <c r="AL153" s="29">
        <v>0</v>
      </c>
      <c r="AM153" s="29">
        <v>0</v>
      </c>
      <c r="AN153" s="29">
        <v>0</v>
      </c>
      <c r="AO153" s="29">
        <v>0</v>
      </c>
      <c r="AP153" s="29">
        <v>0</v>
      </c>
    </row>
    <row r="154" spans="1:42" x14ac:dyDescent="0.25">
      <c r="A154" s="29">
        <v>24</v>
      </c>
      <c r="B154" s="29">
        <v>24603</v>
      </c>
      <c r="C154" s="29">
        <v>1</v>
      </c>
      <c r="D154" s="29" t="s">
        <v>573</v>
      </c>
      <c r="E154" s="29"/>
      <c r="F154" s="29">
        <v>0</v>
      </c>
      <c r="G154" s="29">
        <v>0</v>
      </c>
      <c r="H154" s="29">
        <v>0</v>
      </c>
      <c r="I154" s="29">
        <v>0</v>
      </c>
      <c r="J154" s="29">
        <v>0</v>
      </c>
      <c r="K154" s="29" t="s">
        <v>882</v>
      </c>
      <c r="L154" s="19" t="str">
        <f t="shared" si="16"/>
        <v>Рихтовка</v>
      </c>
      <c r="M154" s="12">
        <f t="shared" si="17"/>
        <v>0</v>
      </c>
      <c r="N154" s="12">
        <f t="shared" si="18"/>
        <v>0</v>
      </c>
      <c r="O154" s="12">
        <f t="shared" si="19"/>
        <v>0</v>
      </c>
      <c r="P154" s="12">
        <f t="shared" si="20"/>
        <v>0</v>
      </c>
      <c r="Q154" s="12">
        <f t="shared" si="21"/>
        <v>0</v>
      </c>
      <c r="R154" s="12">
        <f t="shared" si="22"/>
        <v>0</v>
      </c>
      <c r="S154" s="12">
        <f t="shared" si="23"/>
        <v>0</v>
      </c>
      <c r="T154" s="29">
        <v>0</v>
      </c>
      <c r="U154" s="29">
        <v>0</v>
      </c>
      <c r="V154" s="29">
        <v>0</v>
      </c>
      <c r="W154" s="29">
        <v>0</v>
      </c>
      <c r="X154" s="29">
        <v>0</v>
      </c>
      <c r="Y154" s="29">
        <v>0</v>
      </c>
      <c r="Z154" s="29">
        <v>0</v>
      </c>
      <c r="AA154" s="29">
        <v>0</v>
      </c>
      <c r="AB154" s="29">
        <v>0</v>
      </c>
      <c r="AC154" s="29">
        <v>0</v>
      </c>
      <c r="AD154" s="29">
        <v>0</v>
      </c>
      <c r="AE154" s="29">
        <v>0</v>
      </c>
      <c r="AF154" s="29">
        <v>0</v>
      </c>
      <c r="AG154" s="29">
        <v>0</v>
      </c>
      <c r="AH154" s="29">
        <v>0</v>
      </c>
      <c r="AI154" s="29">
        <v>0</v>
      </c>
      <c r="AJ154" s="29">
        <v>0</v>
      </c>
      <c r="AK154" s="29">
        <v>0</v>
      </c>
      <c r="AL154" s="29">
        <v>0</v>
      </c>
      <c r="AM154" s="29">
        <v>0</v>
      </c>
      <c r="AN154" s="29">
        <v>0</v>
      </c>
      <c r="AO154" s="29">
        <v>0</v>
      </c>
      <c r="AP154" s="29">
        <v>0</v>
      </c>
    </row>
    <row r="155" spans="1:42" x14ac:dyDescent="0.25">
      <c r="A155" s="29">
        <v>24</v>
      </c>
      <c r="B155" s="29">
        <v>24603</v>
      </c>
      <c r="C155" s="29">
        <v>1</v>
      </c>
      <c r="D155" s="29" t="s">
        <v>574</v>
      </c>
      <c r="E155" s="29"/>
      <c r="F155" s="29">
        <v>0</v>
      </c>
      <c r="G155" s="29">
        <v>0</v>
      </c>
      <c r="H155" s="29">
        <v>0</v>
      </c>
      <c r="I155" s="29">
        <v>0</v>
      </c>
      <c r="J155" s="29">
        <v>0</v>
      </c>
      <c r="K155" s="29" t="s">
        <v>882</v>
      </c>
      <c r="L155" s="19" t="str">
        <f t="shared" si="16"/>
        <v>Рихтовка</v>
      </c>
      <c r="M155" s="12">
        <f t="shared" si="17"/>
        <v>0</v>
      </c>
      <c r="N155" s="12">
        <f t="shared" si="18"/>
        <v>0</v>
      </c>
      <c r="O155" s="12">
        <f t="shared" si="19"/>
        <v>0</v>
      </c>
      <c r="P155" s="12">
        <f t="shared" si="20"/>
        <v>0</v>
      </c>
      <c r="Q155" s="12">
        <f t="shared" si="21"/>
        <v>0</v>
      </c>
      <c r="R155" s="12">
        <f t="shared" si="22"/>
        <v>0</v>
      </c>
      <c r="S155" s="12">
        <f t="shared" si="23"/>
        <v>0</v>
      </c>
      <c r="T155" s="29">
        <v>0</v>
      </c>
      <c r="U155" s="29">
        <v>0</v>
      </c>
      <c r="V155" s="29">
        <v>0</v>
      </c>
      <c r="W155" s="29">
        <v>0</v>
      </c>
      <c r="X155" s="29">
        <v>0</v>
      </c>
      <c r="Y155" s="29">
        <v>0</v>
      </c>
      <c r="Z155" s="29">
        <v>0</v>
      </c>
      <c r="AA155" s="29">
        <v>0</v>
      </c>
      <c r="AB155" s="29">
        <v>0</v>
      </c>
      <c r="AC155" s="29">
        <v>0</v>
      </c>
      <c r="AD155" s="29">
        <v>0</v>
      </c>
      <c r="AE155" s="29">
        <v>0</v>
      </c>
      <c r="AF155" s="29">
        <v>0</v>
      </c>
      <c r="AG155" s="29">
        <v>0</v>
      </c>
      <c r="AH155" s="29">
        <v>0</v>
      </c>
      <c r="AI155" s="29">
        <v>0</v>
      </c>
      <c r="AJ155" s="29">
        <v>0</v>
      </c>
      <c r="AK155" s="29">
        <v>0</v>
      </c>
      <c r="AL155" s="29">
        <v>0</v>
      </c>
      <c r="AM155" s="29">
        <v>0</v>
      </c>
      <c r="AN155" s="29">
        <v>0</v>
      </c>
      <c r="AO155" s="29">
        <v>0</v>
      </c>
      <c r="AP155" s="29">
        <v>0</v>
      </c>
    </row>
    <row r="156" spans="1:42" x14ac:dyDescent="0.25">
      <c r="A156" s="29">
        <v>24</v>
      </c>
      <c r="B156" s="29">
        <v>24603</v>
      </c>
      <c r="C156" s="29">
        <v>1</v>
      </c>
      <c r="D156" s="29" t="s">
        <v>575</v>
      </c>
      <c r="E156" s="29"/>
      <c r="F156" s="29">
        <v>0</v>
      </c>
      <c r="G156" s="29">
        <v>0</v>
      </c>
      <c r="H156" s="29">
        <v>0</v>
      </c>
      <c r="I156" s="29">
        <v>0</v>
      </c>
      <c r="J156" s="29">
        <v>0</v>
      </c>
      <c r="K156" s="29" t="s">
        <v>882</v>
      </c>
      <c r="L156" s="19" t="str">
        <f t="shared" si="16"/>
        <v>Рихтовка</v>
      </c>
      <c r="M156" s="12">
        <f t="shared" si="17"/>
        <v>0</v>
      </c>
      <c r="N156" s="12">
        <f t="shared" si="18"/>
        <v>0</v>
      </c>
      <c r="O156" s="12">
        <f t="shared" si="19"/>
        <v>0</v>
      </c>
      <c r="P156" s="12">
        <f t="shared" si="20"/>
        <v>0</v>
      </c>
      <c r="Q156" s="12">
        <f t="shared" si="21"/>
        <v>0</v>
      </c>
      <c r="R156" s="12">
        <f t="shared" si="22"/>
        <v>0</v>
      </c>
      <c r="S156" s="12">
        <f t="shared" si="23"/>
        <v>0</v>
      </c>
      <c r="T156" s="29">
        <v>0</v>
      </c>
      <c r="U156" s="29">
        <v>0</v>
      </c>
      <c r="V156" s="29">
        <v>0</v>
      </c>
      <c r="W156" s="29">
        <v>0</v>
      </c>
      <c r="X156" s="29">
        <v>0</v>
      </c>
      <c r="Y156" s="29">
        <v>0</v>
      </c>
      <c r="Z156" s="29">
        <v>0</v>
      </c>
      <c r="AA156" s="29">
        <v>0</v>
      </c>
      <c r="AB156" s="29">
        <v>0</v>
      </c>
      <c r="AC156" s="29">
        <v>0</v>
      </c>
      <c r="AD156" s="29">
        <v>0</v>
      </c>
      <c r="AE156" s="29">
        <v>0</v>
      </c>
      <c r="AF156" s="29">
        <v>0</v>
      </c>
      <c r="AG156" s="29">
        <v>0</v>
      </c>
      <c r="AH156" s="29">
        <v>0</v>
      </c>
      <c r="AI156" s="29">
        <v>0</v>
      </c>
      <c r="AJ156" s="29">
        <v>0</v>
      </c>
      <c r="AK156" s="29">
        <v>0</v>
      </c>
      <c r="AL156" s="29">
        <v>0</v>
      </c>
      <c r="AM156" s="29">
        <v>0</v>
      </c>
      <c r="AN156" s="29">
        <v>0</v>
      </c>
      <c r="AO156" s="29">
        <v>0</v>
      </c>
      <c r="AP156" s="29">
        <v>0</v>
      </c>
    </row>
    <row r="157" spans="1:42" x14ac:dyDescent="0.25">
      <c r="A157" s="29">
        <v>25</v>
      </c>
      <c r="B157" s="29">
        <v>24603</v>
      </c>
      <c r="C157" s="29">
        <v>1</v>
      </c>
      <c r="D157" s="29" t="s">
        <v>575</v>
      </c>
      <c r="E157" s="29"/>
      <c r="F157" s="29">
        <v>0</v>
      </c>
      <c r="G157" s="29">
        <v>0</v>
      </c>
      <c r="H157" s="29">
        <v>0</v>
      </c>
      <c r="I157" s="29">
        <v>0</v>
      </c>
      <c r="J157" s="29">
        <v>0</v>
      </c>
      <c r="K157" s="29" t="s">
        <v>882</v>
      </c>
      <c r="L157" s="19" t="str">
        <f t="shared" si="16"/>
        <v>Рихтовка</v>
      </c>
      <c r="M157" s="12">
        <f t="shared" si="17"/>
        <v>0</v>
      </c>
      <c r="N157" s="12">
        <f t="shared" si="18"/>
        <v>0</v>
      </c>
      <c r="O157" s="12">
        <f t="shared" si="19"/>
        <v>0</v>
      </c>
      <c r="P157" s="12">
        <f t="shared" si="20"/>
        <v>0</v>
      </c>
      <c r="Q157" s="12">
        <f t="shared" si="21"/>
        <v>0</v>
      </c>
      <c r="R157" s="12">
        <f t="shared" si="22"/>
        <v>0</v>
      </c>
      <c r="S157" s="12">
        <f t="shared" si="23"/>
        <v>0</v>
      </c>
      <c r="T157" s="29">
        <v>0</v>
      </c>
      <c r="U157" s="29">
        <v>0</v>
      </c>
      <c r="V157" s="29">
        <v>0</v>
      </c>
      <c r="W157" s="29">
        <v>0</v>
      </c>
      <c r="X157" s="29">
        <v>0</v>
      </c>
      <c r="Y157" s="29">
        <v>0</v>
      </c>
      <c r="Z157" s="29">
        <v>0</v>
      </c>
      <c r="AA157" s="29">
        <v>0</v>
      </c>
      <c r="AB157" s="29">
        <v>0</v>
      </c>
      <c r="AC157" s="29">
        <v>0</v>
      </c>
      <c r="AD157" s="29">
        <v>0</v>
      </c>
      <c r="AE157" s="29">
        <v>0</v>
      </c>
      <c r="AF157" s="29">
        <v>0</v>
      </c>
      <c r="AG157" s="29">
        <v>0</v>
      </c>
      <c r="AH157" s="29">
        <v>0</v>
      </c>
      <c r="AI157" s="29">
        <v>0</v>
      </c>
      <c r="AJ157" s="29">
        <v>0</v>
      </c>
      <c r="AK157" s="29">
        <v>0</v>
      </c>
      <c r="AL157" s="29">
        <v>0</v>
      </c>
      <c r="AM157" s="29">
        <v>0</v>
      </c>
      <c r="AN157" s="29">
        <v>0</v>
      </c>
      <c r="AO157" s="29">
        <v>0</v>
      </c>
      <c r="AP157" s="29">
        <v>0</v>
      </c>
    </row>
    <row r="158" spans="1:42" x14ac:dyDescent="0.25">
      <c r="A158" s="29">
        <v>25</v>
      </c>
      <c r="B158" s="29">
        <v>24603</v>
      </c>
      <c r="C158" s="29">
        <v>1</v>
      </c>
      <c r="D158" s="29" t="s">
        <v>576</v>
      </c>
      <c r="E158" s="29"/>
      <c r="F158" s="29">
        <v>0</v>
      </c>
      <c r="G158" s="29">
        <v>0</v>
      </c>
      <c r="H158" s="29">
        <v>0</v>
      </c>
      <c r="I158" s="29">
        <v>0</v>
      </c>
      <c r="J158" s="29">
        <v>0</v>
      </c>
      <c r="K158" s="29" t="s">
        <v>882</v>
      </c>
      <c r="L158" s="19" t="str">
        <f t="shared" si="16"/>
        <v>Рихтовка</v>
      </c>
      <c r="M158" s="12">
        <f t="shared" si="17"/>
        <v>0</v>
      </c>
      <c r="N158" s="12">
        <f t="shared" si="18"/>
        <v>0</v>
      </c>
      <c r="O158" s="12">
        <f t="shared" si="19"/>
        <v>0</v>
      </c>
      <c r="P158" s="12">
        <f t="shared" si="20"/>
        <v>0</v>
      </c>
      <c r="Q158" s="12">
        <f t="shared" si="21"/>
        <v>0</v>
      </c>
      <c r="R158" s="12">
        <f t="shared" si="22"/>
        <v>0</v>
      </c>
      <c r="S158" s="12">
        <f t="shared" si="23"/>
        <v>0</v>
      </c>
      <c r="T158" s="29">
        <v>0</v>
      </c>
      <c r="U158" s="29">
        <v>0</v>
      </c>
      <c r="V158" s="29">
        <v>0</v>
      </c>
      <c r="W158" s="29">
        <v>0</v>
      </c>
      <c r="X158" s="29">
        <v>0</v>
      </c>
      <c r="Y158" s="29">
        <v>0</v>
      </c>
      <c r="Z158" s="29">
        <v>0</v>
      </c>
      <c r="AA158" s="29">
        <v>0</v>
      </c>
      <c r="AB158" s="29">
        <v>0</v>
      </c>
      <c r="AC158" s="29">
        <v>0</v>
      </c>
      <c r="AD158" s="29">
        <v>0</v>
      </c>
      <c r="AE158" s="29">
        <v>0</v>
      </c>
      <c r="AF158" s="29">
        <v>0</v>
      </c>
      <c r="AG158" s="29">
        <v>0</v>
      </c>
      <c r="AH158" s="29">
        <v>0</v>
      </c>
      <c r="AI158" s="29">
        <v>0</v>
      </c>
      <c r="AJ158" s="29">
        <v>0</v>
      </c>
      <c r="AK158" s="29">
        <v>0</v>
      </c>
      <c r="AL158" s="29">
        <v>0</v>
      </c>
      <c r="AM158" s="29">
        <v>0</v>
      </c>
      <c r="AN158" s="29">
        <v>0</v>
      </c>
      <c r="AO158" s="29">
        <v>0</v>
      </c>
      <c r="AP158" s="29">
        <v>0</v>
      </c>
    </row>
    <row r="159" spans="1:42" x14ac:dyDescent="0.25">
      <c r="A159" s="29">
        <v>25</v>
      </c>
      <c r="B159" s="29">
        <v>24603</v>
      </c>
      <c r="C159" s="29">
        <v>1</v>
      </c>
      <c r="D159" s="29" t="s">
        <v>577</v>
      </c>
      <c r="E159" s="29"/>
      <c r="F159" s="29">
        <v>0</v>
      </c>
      <c r="G159" s="29">
        <v>0</v>
      </c>
      <c r="H159" s="29">
        <v>0</v>
      </c>
      <c r="I159" s="29">
        <v>0</v>
      </c>
      <c r="J159" s="29">
        <v>0</v>
      </c>
      <c r="K159" s="29" t="s">
        <v>882</v>
      </c>
      <c r="L159" s="19" t="str">
        <f t="shared" si="16"/>
        <v>Рихтовка</v>
      </c>
      <c r="M159" s="12">
        <f t="shared" si="17"/>
        <v>0</v>
      </c>
      <c r="N159" s="12">
        <f t="shared" si="18"/>
        <v>0</v>
      </c>
      <c r="O159" s="12">
        <f t="shared" si="19"/>
        <v>0</v>
      </c>
      <c r="P159" s="12">
        <f t="shared" si="20"/>
        <v>0</v>
      </c>
      <c r="Q159" s="12">
        <f t="shared" si="21"/>
        <v>0</v>
      </c>
      <c r="R159" s="12">
        <f t="shared" si="22"/>
        <v>0</v>
      </c>
      <c r="S159" s="12">
        <f t="shared" si="23"/>
        <v>0</v>
      </c>
      <c r="T159" s="29">
        <v>0</v>
      </c>
      <c r="U159" s="29">
        <v>0</v>
      </c>
      <c r="V159" s="29">
        <v>0</v>
      </c>
      <c r="W159" s="29">
        <v>0</v>
      </c>
      <c r="X159" s="29">
        <v>0</v>
      </c>
      <c r="Y159" s="29">
        <v>0</v>
      </c>
      <c r="Z159" s="29">
        <v>0</v>
      </c>
      <c r="AA159" s="29">
        <v>0</v>
      </c>
      <c r="AB159" s="29">
        <v>0</v>
      </c>
      <c r="AC159" s="29">
        <v>0</v>
      </c>
      <c r="AD159" s="29">
        <v>0</v>
      </c>
      <c r="AE159" s="29">
        <v>0</v>
      </c>
      <c r="AF159" s="29">
        <v>0</v>
      </c>
      <c r="AG159" s="29">
        <v>0</v>
      </c>
      <c r="AH159" s="29">
        <v>0</v>
      </c>
      <c r="AI159" s="29">
        <v>0</v>
      </c>
      <c r="AJ159" s="29">
        <v>0</v>
      </c>
      <c r="AK159" s="29">
        <v>0</v>
      </c>
      <c r="AL159" s="29">
        <v>0</v>
      </c>
      <c r="AM159" s="29">
        <v>0</v>
      </c>
      <c r="AN159" s="29">
        <v>0</v>
      </c>
      <c r="AO159" s="29">
        <v>0</v>
      </c>
      <c r="AP159" s="29">
        <v>0</v>
      </c>
    </row>
    <row r="160" spans="1:42" x14ac:dyDescent="0.25">
      <c r="A160" s="29">
        <v>25</v>
      </c>
      <c r="B160" s="29">
        <v>24603</v>
      </c>
      <c r="C160" s="29">
        <v>1</v>
      </c>
      <c r="D160" s="29" t="s">
        <v>578</v>
      </c>
      <c r="E160" s="29"/>
      <c r="F160" s="29">
        <v>0</v>
      </c>
      <c r="G160" s="29">
        <v>0</v>
      </c>
      <c r="H160" s="29">
        <v>0</v>
      </c>
      <c r="I160" s="29">
        <v>0</v>
      </c>
      <c r="J160" s="29">
        <v>0</v>
      </c>
      <c r="K160" s="29" t="s">
        <v>882</v>
      </c>
      <c r="L160" s="19" t="str">
        <f t="shared" si="16"/>
        <v>Рихтовка</v>
      </c>
      <c r="M160" s="12">
        <f t="shared" si="17"/>
        <v>0</v>
      </c>
      <c r="N160" s="12">
        <f t="shared" si="18"/>
        <v>0</v>
      </c>
      <c r="O160" s="12">
        <f t="shared" si="19"/>
        <v>0</v>
      </c>
      <c r="P160" s="12">
        <f t="shared" si="20"/>
        <v>0</v>
      </c>
      <c r="Q160" s="12">
        <f t="shared" si="21"/>
        <v>0</v>
      </c>
      <c r="R160" s="12">
        <f t="shared" si="22"/>
        <v>0</v>
      </c>
      <c r="S160" s="12">
        <f t="shared" si="23"/>
        <v>0</v>
      </c>
      <c r="T160" s="29">
        <v>0</v>
      </c>
      <c r="U160" s="29">
        <v>0</v>
      </c>
      <c r="V160" s="29">
        <v>0</v>
      </c>
      <c r="W160" s="29">
        <v>0</v>
      </c>
      <c r="X160" s="29">
        <v>0</v>
      </c>
      <c r="Y160" s="29">
        <v>0</v>
      </c>
      <c r="Z160" s="29">
        <v>0</v>
      </c>
      <c r="AA160" s="29">
        <v>0</v>
      </c>
      <c r="AB160" s="29">
        <v>0</v>
      </c>
      <c r="AC160" s="29">
        <v>0</v>
      </c>
      <c r="AD160" s="29">
        <v>0</v>
      </c>
      <c r="AE160" s="29">
        <v>0</v>
      </c>
      <c r="AF160" s="29">
        <v>0</v>
      </c>
      <c r="AG160" s="29">
        <v>0</v>
      </c>
      <c r="AH160" s="29">
        <v>0</v>
      </c>
      <c r="AI160" s="29">
        <v>0</v>
      </c>
      <c r="AJ160" s="29">
        <v>0</v>
      </c>
      <c r="AK160" s="29">
        <v>0</v>
      </c>
      <c r="AL160" s="29">
        <v>0</v>
      </c>
      <c r="AM160" s="29">
        <v>0</v>
      </c>
      <c r="AN160" s="29">
        <v>0</v>
      </c>
      <c r="AO160" s="29">
        <v>0</v>
      </c>
      <c r="AP160" s="29">
        <v>0</v>
      </c>
    </row>
    <row r="161" spans="1:42" x14ac:dyDescent="0.25">
      <c r="A161" s="29">
        <v>25</v>
      </c>
      <c r="B161" s="29">
        <v>24603</v>
      </c>
      <c r="C161" s="29">
        <v>1</v>
      </c>
      <c r="D161" s="29" t="s">
        <v>579</v>
      </c>
      <c r="E161" s="29"/>
      <c r="F161" s="29">
        <v>0</v>
      </c>
      <c r="G161" s="29">
        <v>0</v>
      </c>
      <c r="H161" s="29">
        <v>0</v>
      </c>
      <c r="I161" s="29">
        <v>0</v>
      </c>
      <c r="J161" s="29">
        <v>0</v>
      </c>
      <c r="K161" s="29" t="s">
        <v>882</v>
      </c>
      <c r="L161" s="19" t="str">
        <f t="shared" si="16"/>
        <v>Рихтовка</v>
      </c>
      <c r="M161" s="12">
        <f t="shared" si="17"/>
        <v>0</v>
      </c>
      <c r="N161" s="12">
        <f t="shared" si="18"/>
        <v>0</v>
      </c>
      <c r="O161" s="12">
        <f t="shared" si="19"/>
        <v>0</v>
      </c>
      <c r="P161" s="12">
        <f t="shared" si="20"/>
        <v>0</v>
      </c>
      <c r="Q161" s="12">
        <f t="shared" si="21"/>
        <v>0</v>
      </c>
      <c r="R161" s="12">
        <f t="shared" si="22"/>
        <v>0</v>
      </c>
      <c r="S161" s="12">
        <f t="shared" si="23"/>
        <v>0</v>
      </c>
      <c r="T161" s="29">
        <v>0</v>
      </c>
      <c r="U161" s="29">
        <v>0</v>
      </c>
      <c r="V161" s="29">
        <v>0</v>
      </c>
      <c r="W161" s="29">
        <v>0</v>
      </c>
      <c r="X161" s="29">
        <v>0</v>
      </c>
      <c r="Y161" s="29">
        <v>0</v>
      </c>
      <c r="Z161" s="29">
        <v>0</v>
      </c>
      <c r="AA161" s="29">
        <v>0</v>
      </c>
      <c r="AB161" s="29">
        <v>0</v>
      </c>
      <c r="AC161" s="29">
        <v>0</v>
      </c>
      <c r="AD161" s="29">
        <v>0</v>
      </c>
      <c r="AE161" s="29">
        <v>0</v>
      </c>
      <c r="AF161" s="29">
        <v>0</v>
      </c>
      <c r="AG161" s="29">
        <v>0</v>
      </c>
      <c r="AH161" s="29">
        <v>0</v>
      </c>
      <c r="AI161" s="29">
        <v>0</v>
      </c>
      <c r="AJ161" s="29">
        <v>0</v>
      </c>
      <c r="AK161" s="29">
        <v>0</v>
      </c>
      <c r="AL161" s="29">
        <v>0</v>
      </c>
      <c r="AM161" s="29">
        <v>0</v>
      </c>
      <c r="AN161" s="29">
        <v>0</v>
      </c>
      <c r="AO161" s="29">
        <v>0</v>
      </c>
      <c r="AP161" s="29">
        <v>0</v>
      </c>
    </row>
    <row r="162" spans="1:42" x14ac:dyDescent="0.25">
      <c r="A162" s="29">
        <v>25</v>
      </c>
      <c r="B162" s="29">
        <v>24603</v>
      </c>
      <c r="C162" s="29">
        <v>1</v>
      </c>
      <c r="D162" s="29" t="s">
        <v>580</v>
      </c>
      <c r="E162" s="29"/>
      <c r="F162" s="29">
        <v>0</v>
      </c>
      <c r="G162" s="29">
        <v>0</v>
      </c>
      <c r="H162" s="29">
        <v>0</v>
      </c>
      <c r="I162" s="29">
        <v>0</v>
      </c>
      <c r="J162" s="29">
        <v>0</v>
      </c>
      <c r="K162" s="29" t="s">
        <v>882</v>
      </c>
      <c r="L162" s="19" t="str">
        <f t="shared" si="16"/>
        <v>Рихтовка</v>
      </c>
      <c r="M162" s="12">
        <f t="shared" si="17"/>
        <v>0</v>
      </c>
      <c r="N162" s="12">
        <f t="shared" si="18"/>
        <v>0</v>
      </c>
      <c r="O162" s="12">
        <f t="shared" si="19"/>
        <v>0</v>
      </c>
      <c r="P162" s="12">
        <f t="shared" si="20"/>
        <v>0</v>
      </c>
      <c r="Q162" s="12">
        <f t="shared" si="21"/>
        <v>0</v>
      </c>
      <c r="R162" s="12">
        <f t="shared" si="22"/>
        <v>0</v>
      </c>
      <c r="S162" s="12">
        <f t="shared" si="23"/>
        <v>0</v>
      </c>
      <c r="T162" s="29">
        <v>0</v>
      </c>
      <c r="U162" s="29">
        <v>0</v>
      </c>
      <c r="V162" s="29">
        <v>0</v>
      </c>
      <c r="W162" s="29">
        <v>0</v>
      </c>
      <c r="X162" s="29">
        <v>0</v>
      </c>
      <c r="Y162" s="29">
        <v>0</v>
      </c>
      <c r="Z162" s="29">
        <v>0</v>
      </c>
      <c r="AA162" s="29">
        <v>0</v>
      </c>
      <c r="AB162" s="29">
        <v>0</v>
      </c>
      <c r="AC162" s="29">
        <v>0</v>
      </c>
      <c r="AD162" s="29">
        <v>0</v>
      </c>
      <c r="AE162" s="29">
        <v>0</v>
      </c>
      <c r="AF162" s="29">
        <v>0</v>
      </c>
      <c r="AG162" s="29">
        <v>0</v>
      </c>
      <c r="AH162" s="29">
        <v>0</v>
      </c>
      <c r="AI162" s="29">
        <v>0</v>
      </c>
      <c r="AJ162" s="29">
        <v>0</v>
      </c>
      <c r="AK162" s="29">
        <v>0</v>
      </c>
      <c r="AL162" s="29">
        <v>0</v>
      </c>
      <c r="AM162" s="29">
        <v>0</v>
      </c>
      <c r="AN162" s="29">
        <v>0</v>
      </c>
      <c r="AO162" s="29">
        <v>0</v>
      </c>
      <c r="AP162" s="29">
        <v>0</v>
      </c>
    </row>
    <row r="163" spans="1:42" x14ac:dyDescent="0.25">
      <c r="A163" s="29">
        <v>25</v>
      </c>
      <c r="B163" s="29">
        <v>24603</v>
      </c>
      <c r="C163" s="29">
        <v>1</v>
      </c>
      <c r="D163" s="29" t="s">
        <v>581</v>
      </c>
      <c r="E163" s="29"/>
      <c r="F163" s="29">
        <v>0</v>
      </c>
      <c r="G163" s="29">
        <v>0</v>
      </c>
      <c r="H163" s="29">
        <v>0</v>
      </c>
      <c r="I163" s="29">
        <v>0</v>
      </c>
      <c r="J163" s="29">
        <v>0</v>
      </c>
      <c r="K163" s="29" t="s">
        <v>882</v>
      </c>
      <c r="L163" s="19" t="str">
        <f t="shared" si="16"/>
        <v>Рихтовка</v>
      </c>
      <c r="M163" s="12">
        <f t="shared" si="17"/>
        <v>0</v>
      </c>
      <c r="N163" s="12">
        <f t="shared" si="18"/>
        <v>0</v>
      </c>
      <c r="O163" s="12">
        <f t="shared" si="19"/>
        <v>0</v>
      </c>
      <c r="P163" s="12">
        <f t="shared" si="20"/>
        <v>0</v>
      </c>
      <c r="Q163" s="12">
        <f t="shared" si="21"/>
        <v>0</v>
      </c>
      <c r="R163" s="12">
        <f t="shared" si="22"/>
        <v>0</v>
      </c>
      <c r="S163" s="12">
        <f t="shared" si="23"/>
        <v>0</v>
      </c>
      <c r="T163" s="29">
        <v>0</v>
      </c>
      <c r="U163" s="29">
        <v>0</v>
      </c>
      <c r="V163" s="29">
        <v>0</v>
      </c>
      <c r="W163" s="29">
        <v>0</v>
      </c>
      <c r="X163" s="29">
        <v>0</v>
      </c>
      <c r="Y163" s="29">
        <v>0</v>
      </c>
      <c r="Z163" s="29">
        <v>0</v>
      </c>
      <c r="AA163" s="29">
        <v>0</v>
      </c>
      <c r="AB163" s="29">
        <v>0</v>
      </c>
      <c r="AC163" s="29">
        <v>0</v>
      </c>
      <c r="AD163" s="29">
        <v>0</v>
      </c>
      <c r="AE163" s="29">
        <v>0</v>
      </c>
      <c r="AF163" s="29">
        <v>0</v>
      </c>
      <c r="AG163" s="29">
        <v>0</v>
      </c>
      <c r="AH163" s="29">
        <v>0</v>
      </c>
      <c r="AI163" s="29">
        <v>0</v>
      </c>
      <c r="AJ163" s="29">
        <v>0</v>
      </c>
      <c r="AK163" s="29">
        <v>0</v>
      </c>
      <c r="AL163" s="29">
        <v>0</v>
      </c>
      <c r="AM163" s="29">
        <v>0</v>
      </c>
      <c r="AN163" s="29">
        <v>0</v>
      </c>
      <c r="AO163" s="29">
        <v>0</v>
      </c>
      <c r="AP163" s="29">
        <v>0</v>
      </c>
    </row>
    <row r="164" spans="1:42" x14ac:dyDescent="0.25">
      <c r="A164" s="29">
        <v>25</v>
      </c>
      <c r="B164" s="29">
        <v>24603</v>
      </c>
      <c r="C164" s="29">
        <v>1</v>
      </c>
      <c r="D164" s="29" t="s">
        <v>582</v>
      </c>
      <c r="E164" s="29"/>
      <c r="F164" s="29">
        <v>0</v>
      </c>
      <c r="G164" s="29">
        <v>0</v>
      </c>
      <c r="H164" s="29">
        <v>0</v>
      </c>
      <c r="I164" s="29">
        <v>0</v>
      </c>
      <c r="J164" s="29">
        <v>0</v>
      </c>
      <c r="K164" s="29" t="s">
        <v>882</v>
      </c>
      <c r="L164" s="19" t="str">
        <f t="shared" si="16"/>
        <v>Рихтовка</v>
      </c>
      <c r="M164" s="12">
        <f t="shared" si="17"/>
        <v>0</v>
      </c>
      <c r="N164" s="12">
        <f t="shared" si="18"/>
        <v>0</v>
      </c>
      <c r="O164" s="12">
        <f t="shared" si="19"/>
        <v>0</v>
      </c>
      <c r="P164" s="12">
        <f t="shared" si="20"/>
        <v>0</v>
      </c>
      <c r="Q164" s="12">
        <f t="shared" si="21"/>
        <v>0</v>
      </c>
      <c r="R164" s="12">
        <f t="shared" si="22"/>
        <v>0</v>
      </c>
      <c r="S164" s="12">
        <f t="shared" si="23"/>
        <v>0</v>
      </c>
      <c r="T164" s="29">
        <v>0</v>
      </c>
      <c r="U164" s="29">
        <v>0</v>
      </c>
      <c r="V164" s="29">
        <v>0</v>
      </c>
      <c r="W164" s="29">
        <v>0</v>
      </c>
      <c r="X164" s="29">
        <v>0</v>
      </c>
      <c r="Y164" s="29">
        <v>0</v>
      </c>
      <c r="Z164" s="29">
        <v>0</v>
      </c>
      <c r="AA164" s="29">
        <v>0</v>
      </c>
      <c r="AB164" s="29">
        <v>0</v>
      </c>
      <c r="AC164" s="29">
        <v>0</v>
      </c>
      <c r="AD164" s="29">
        <v>0</v>
      </c>
      <c r="AE164" s="29">
        <v>0</v>
      </c>
      <c r="AF164" s="29">
        <v>0</v>
      </c>
      <c r="AG164" s="29">
        <v>0</v>
      </c>
      <c r="AH164" s="29">
        <v>0</v>
      </c>
      <c r="AI164" s="29">
        <v>0</v>
      </c>
      <c r="AJ164" s="29">
        <v>0</v>
      </c>
      <c r="AK164" s="29">
        <v>0</v>
      </c>
      <c r="AL164" s="29">
        <v>0</v>
      </c>
      <c r="AM164" s="29">
        <v>0</v>
      </c>
      <c r="AN164" s="29">
        <v>0</v>
      </c>
      <c r="AO164" s="29">
        <v>0</v>
      </c>
      <c r="AP164" s="29">
        <v>0</v>
      </c>
    </row>
    <row r="165" spans="1:42" x14ac:dyDescent="0.25">
      <c r="A165" s="29">
        <v>25</v>
      </c>
      <c r="B165" s="29">
        <v>24603</v>
      </c>
      <c r="C165" s="29">
        <v>1</v>
      </c>
      <c r="D165" s="29" t="s">
        <v>583</v>
      </c>
      <c r="E165" s="29"/>
      <c r="F165" s="29">
        <v>0</v>
      </c>
      <c r="G165" s="29">
        <v>0</v>
      </c>
      <c r="H165" s="29">
        <v>0</v>
      </c>
      <c r="I165" s="29">
        <v>0</v>
      </c>
      <c r="J165" s="29">
        <v>0</v>
      </c>
      <c r="K165" s="29" t="s">
        <v>882</v>
      </c>
      <c r="L165" s="19" t="str">
        <f t="shared" si="16"/>
        <v>Рихтовка</v>
      </c>
      <c r="M165" s="12">
        <f t="shared" si="17"/>
        <v>0</v>
      </c>
      <c r="N165" s="12">
        <f t="shared" si="18"/>
        <v>0</v>
      </c>
      <c r="O165" s="12">
        <f t="shared" si="19"/>
        <v>0</v>
      </c>
      <c r="P165" s="12">
        <f t="shared" si="20"/>
        <v>0</v>
      </c>
      <c r="Q165" s="12">
        <f t="shared" si="21"/>
        <v>0</v>
      </c>
      <c r="R165" s="12">
        <f t="shared" si="22"/>
        <v>0</v>
      </c>
      <c r="S165" s="12">
        <f t="shared" si="23"/>
        <v>0</v>
      </c>
      <c r="T165" s="29">
        <v>0</v>
      </c>
      <c r="U165" s="29">
        <v>0</v>
      </c>
      <c r="V165" s="29">
        <v>0</v>
      </c>
      <c r="W165" s="29">
        <v>0</v>
      </c>
      <c r="X165" s="29">
        <v>0</v>
      </c>
      <c r="Y165" s="29">
        <v>0</v>
      </c>
      <c r="Z165" s="29">
        <v>0</v>
      </c>
      <c r="AA165" s="29">
        <v>0</v>
      </c>
      <c r="AB165" s="29">
        <v>0</v>
      </c>
      <c r="AC165" s="29">
        <v>0</v>
      </c>
      <c r="AD165" s="29">
        <v>0</v>
      </c>
      <c r="AE165" s="29">
        <v>0</v>
      </c>
      <c r="AF165" s="29">
        <v>0</v>
      </c>
      <c r="AG165" s="29">
        <v>0</v>
      </c>
      <c r="AH165" s="29">
        <v>0</v>
      </c>
      <c r="AI165" s="29">
        <v>0</v>
      </c>
      <c r="AJ165" s="29">
        <v>0</v>
      </c>
      <c r="AK165" s="29">
        <v>0</v>
      </c>
      <c r="AL165" s="29">
        <v>0</v>
      </c>
      <c r="AM165" s="29">
        <v>0</v>
      </c>
      <c r="AN165" s="29">
        <v>0</v>
      </c>
      <c r="AO165" s="29">
        <v>0</v>
      </c>
      <c r="AP165" s="29">
        <v>0</v>
      </c>
    </row>
    <row r="166" spans="1:42" x14ac:dyDescent="0.25">
      <c r="A166" s="29">
        <v>25</v>
      </c>
      <c r="B166" s="29">
        <v>24603</v>
      </c>
      <c r="C166" s="29">
        <v>1</v>
      </c>
      <c r="D166" s="29" t="s">
        <v>584</v>
      </c>
      <c r="E166" s="29"/>
      <c r="F166" s="29">
        <v>0</v>
      </c>
      <c r="G166" s="29">
        <v>0</v>
      </c>
      <c r="H166" s="29">
        <v>0</v>
      </c>
      <c r="I166" s="29">
        <v>0</v>
      </c>
      <c r="J166" s="29">
        <v>0</v>
      </c>
      <c r="K166" s="29" t="s">
        <v>882</v>
      </c>
      <c r="L166" s="19" t="str">
        <f t="shared" si="16"/>
        <v>Рихтовка</v>
      </c>
      <c r="M166" s="12">
        <f t="shared" si="17"/>
        <v>0</v>
      </c>
      <c r="N166" s="12">
        <f t="shared" si="18"/>
        <v>0</v>
      </c>
      <c r="O166" s="12">
        <f t="shared" si="19"/>
        <v>0</v>
      </c>
      <c r="P166" s="12">
        <f t="shared" si="20"/>
        <v>0</v>
      </c>
      <c r="Q166" s="12">
        <f t="shared" si="21"/>
        <v>0</v>
      </c>
      <c r="R166" s="12">
        <f t="shared" si="22"/>
        <v>0</v>
      </c>
      <c r="S166" s="12">
        <f t="shared" si="23"/>
        <v>0</v>
      </c>
      <c r="T166" s="29">
        <v>0</v>
      </c>
      <c r="U166" s="29">
        <v>0</v>
      </c>
      <c r="V166" s="29">
        <v>0</v>
      </c>
      <c r="W166" s="29">
        <v>0</v>
      </c>
      <c r="X166" s="29">
        <v>0</v>
      </c>
      <c r="Y166" s="29">
        <v>0</v>
      </c>
      <c r="Z166" s="29">
        <v>0</v>
      </c>
      <c r="AA166" s="29">
        <v>0</v>
      </c>
      <c r="AB166" s="29">
        <v>0</v>
      </c>
      <c r="AC166" s="29">
        <v>0</v>
      </c>
      <c r="AD166" s="29">
        <v>0</v>
      </c>
      <c r="AE166" s="29">
        <v>0</v>
      </c>
      <c r="AF166" s="29">
        <v>0</v>
      </c>
      <c r="AG166" s="29">
        <v>0</v>
      </c>
      <c r="AH166" s="29">
        <v>0</v>
      </c>
      <c r="AI166" s="29">
        <v>0</v>
      </c>
      <c r="AJ166" s="29">
        <v>0</v>
      </c>
      <c r="AK166" s="29">
        <v>0</v>
      </c>
      <c r="AL166" s="29">
        <v>0</v>
      </c>
      <c r="AM166" s="29">
        <v>0</v>
      </c>
      <c r="AN166" s="29">
        <v>0</v>
      </c>
      <c r="AO166" s="29">
        <v>0</v>
      </c>
      <c r="AP166" s="29">
        <v>0</v>
      </c>
    </row>
    <row r="167" spans="1:42" x14ac:dyDescent="0.25">
      <c r="A167" s="29">
        <v>25</v>
      </c>
      <c r="B167" s="29">
        <v>24603</v>
      </c>
      <c r="C167" s="29">
        <v>1</v>
      </c>
      <c r="D167" s="29" t="s">
        <v>585</v>
      </c>
      <c r="E167" s="29"/>
      <c r="F167" s="29">
        <v>0</v>
      </c>
      <c r="G167" s="29">
        <v>0</v>
      </c>
      <c r="H167" s="29">
        <v>0</v>
      </c>
      <c r="I167" s="29">
        <v>0</v>
      </c>
      <c r="J167" s="29">
        <v>0</v>
      </c>
      <c r="K167" s="29" t="s">
        <v>882</v>
      </c>
      <c r="L167" s="19" t="str">
        <f t="shared" si="16"/>
        <v>Рихтовка</v>
      </c>
      <c r="M167" s="12">
        <f t="shared" si="17"/>
        <v>0</v>
      </c>
      <c r="N167" s="12">
        <f t="shared" si="18"/>
        <v>0</v>
      </c>
      <c r="O167" s="12">
        <f t="shared" si="19"/>
        <v>0</v>
      </c>
      <c r="P167" s="12">
        <f t="shared" si="20"/>
        <v>0</v>
      </c>
      <c r="Q167" s="12">
        <f t="shared" si="21"/>
        <v>0</v>
      </c>
      <c r="R167" s="12">
        <f t="shared" si="22"/>
        <v>0</v>
      </c>
      <c r="S167" s="12">
        <f t="shared" si="23"/>
        <v>0</v>
      </c>
      <c r="T167" s="29">
        <v>0</v>
      </c>
      <c r="U167" s="29">
        <v>0</v>
      </c>
      <c r="V167" s="29">
        <v>0</v>
      </c>
      <c r="W167" s="29">
        <v>0</v>
      </c>
      <c r="X167" s="29">
        <v>0</v>
      </c>
      <c r="Y167" s="29">
        <v>0</v>
      </c>
      <c r="Z167" s="29">
        <v>0</v>
      </c>
      <c r="AA167" s="29">
        <v>0</v>
      </c>
      <c r="AB167" s="29">
        <v>0</v>
      </c>
      <c r="AC167" s="29">
        <v>0</v>
      </c>
      <c r="AD167" s="29">
        <v>0</v>
      </c>
      <c r="AE167" s="29">
        <v>0</v>
      </c>
      <c r="AF167" s="29">
        <v>0</v>
      </c>
      <c r="AG167" s="29">
        <v>0</v>
      </c>
      <c r="AH167" s="29">
        <v>0</v>
      </c>
      <c r="AI167" s="29">
        <v>0</v>
      </c>
      <c r="AJ167" s="29">
        <v>0</v>
      </c>
      <c r="AK167" s="29">
        <v>0</v>
      </c>
      <c r="AL167" s="29">
        <v>0</v>
      </c>
      <c r="AM167" s="29">
        <v>0</v>
      </c>
      <c r="AN167" s="29">
        <v>0</v>
      </c>
      <c r="AO167" s="29">
        <v>0</v>
      </c>
      <c r="AP167" s="29">
        <v>0</v>
      </c>
    </row>
    <row r="168" spans="1:42" x14ac:dyDescent="0.25">
      <c r="A168" s="29">
        <v>25</v>
      </c>
      <c r="B168" s="29">
        <v>24603</v>
      </c>
      <c r="C168" s="29">
        <v>1</v>
      </c>
      <c r="D168" s="29" t="s">
        <v>586</v>
      </c>
      <c r="E168" s="29"/>
      <c r="F168" s="29">
        <v>0</v>
      </c>
      <c r="G168" s="29">
        <v>0</v>
      </c>
      <c r="H168" s="29">
        <v>0</v>
      </c>
      <c r="I168" s="29">
        <v>0</v>
      </c>
      <c r="J168" s="29">
        <v>0</v>
      </c>
      <c r="K168" s="29" t="s">
        <v>882</v>
      </c>
      <c r="L168" s="19" t="str">
        <f t="shared" si="16"/>
        <v>Рихтовка</v>
      </c>
      <c r="M168" s="12">
        <f t="shared" si="17"/>
        <v>0</v>
      </c>
      <c r="N168" s="12">
        <f t="shared" si="18"/>
        <v>0</v>
      </c>
      <c r="O168" s="12">
        <f t="shared" si="19"/>
        <v>0</v>
      </c>
      <c r="P168" s="12">
        <f t="shared" si="20"/>
        <v>0</v>
      </c>
      <c r="Q168" s="12">
        <f t="shared" si="21"/>
        <v>0</v>
      </c>
      <c r="R168" s="12">
        <f t="shared" si="22"/>
        <v>0</v>
      </c>
      <c r="S168" s="12">
        <f t="shared" si="23"/>
        <v>0</v>
      </c>
      <c r="T168" s="29">
        <v>0</v>
      </c>
      <c r="U168" s="29">
        <v>0</v>
      </c>
      <c r="V168" s="29">
        <v>0</v>
      </c>
      <c r="W168" s="29">
        <v>0</v>
      </c>
      <c r="X168" s="29">
        <v>0</v>
      </c>
      <c r="Y168" s="29">
        <v>0</v>
      </c>
      <c r="Z168" s="29">
        <v>0</v>
      </c>
      <c r="AA168" s="29">
        <v>0</v>
      </c>
      <c r="AB168" s="29">
        <v>0</v>
      </c>
      <c r="AC168" s="29">
        <v>0</v>
      </c>
      <c r="AD168" s="29">
        <v>0</v>
      </c>
      <c r="AE168" s="29">
        <v>0</v>
      </c>
      <c r="AF168" s="29">
        <v>0</v>
      </c>
      <c r="AG168" s="29">
        <v>0</v>
      </c>
      <c r="AH168" s="29">
        <v>0</v>
      </c>
      <c r="AI168" s="29">
        <v>0</v>
      </c>
      <c r="AJ168" s="29">
        <v>0</v>
      </c>
      <c r="AK168" s="29">
        <v>0</v>
      </c>
      <c r="AL168" s="29">
        <v>0</v>
      </c>
      <c r="AM168" s="29">
        <v>0</v>
      </c>
      <c r="AN168" s="29">
        <v>0</v>
      </c>
      <c r="AO168" s="29">
        <v>0</v>
      </c>
      <c r="AP168" s="29">
        <v>0</v>
      </c>
    </row>
    <row r="169" spans="1:42" x14ac:dyDescent="0.25">
      <c r="A169" s="29">
        <v>25</v>
      </c>
      <c r="B169" s="29">
        <v>24603</v>
      </c>
      <c r="C169" s="29">
        <v>1</v>
      </c>
      <c r="D169" s="29" t="s">
        <v>587</v>
      </c>
      <c r="E169" s="29"/>
      <c r="F169" s="29">
        <v>0</v>
      </c>
      <c r="G169" s="29">
        <v>0</v>
      </c>
      <c r="H169" s="29">
        <v>0</v>
      </c>
      <c r="I169" s="29">
        <v>0</v>
      </c>
      <c r="J169" s="29">
        <v>0</v>
      </c>
      <c r="K169" s="29" t="s">
        <v>882</v>
      </c>
      <c r="L169" s="19" t="str">
        <f t="shared" si="16"/>
        <v>Рихтовка</v>
      </c>
      <c r="M169" s="12">
        <f t="shared" si="17"/>
        <v>0</v>
      </c>
      <c r="N169" s="12">
        <f t="shared" si="18"/>
        <v>0</v>
      </c>
      <c r="O169" s="12">
        <f t="shared" si="19"/>
        <v>0</v>
      </c>
      <c r="P169" s="12">
        <f t="shared" si="20"/>
        <v>0</v>
      </c>
      <c r="Q169" s="12">
        <f t="shared" si="21"/>
        <v>0</v>
      </c>
      <c r="R169" s="12">
        <f t="shared" si="22"/>
        <v>0</v>
      </c>
      <c r="S169" s="12">
        <f t="shared" si="23"/>
        <v>0</v>
      </c>
      <c r="T169" s="29">
        <v>0</v>
      </c>
      <c r="U169" s="29">
        <v>0</v>
      </c>
      <c r="V169" s="29">
        <v>0</v>
      </c>
      <c r="W169" s="29">
        <v>0</v>
      </c>
      <c r="X169" s="29">
        <v>0</v>
      </c>
      <c r="Y169" s="29">
        <v>0</v>
      </c>
      <c r="Z169" s="29">
        <v>0</v>
      </c>
      <c r="AA169" s="29">
        <v>0</v>
      </c>
      <c r="AB169" s="29">
        <v>0</v>
      </c>
      <c r="AC169" s="29">
        <v>0</v>
      </c>
      <c r="AD169" s="29">
        <v>0</v>
      </c>
      <c r="AE169" s="29">
        <v>0</v>
      </c>
      <c r="AF169" s="29">
        <v>0</v>
      </c>
      <c r="AG169" s="29">
        <v>0</v>
      </c>
      <c r="AH169" s="29">
        <v>0</v>
      </c>
      <c r="AI169" s="29">
        <v>0</v>
      </c>
      <c r="AJ169" s="29">
        <v>0</v>
      </c>
      <c r="AK169" s="29">
        <v>0</v>
      </c>
      <c r="AL169" s="29">
        <v>0</v>
      </c>
      <c r="AM169" s="29">
        <v>0</v>
      </c>
      <c r="AN169" s="29">
        <v>0</v>
      </c>
      <c r="AO169" s="29">
        <v>0</v>
      </c>
      <c r="AP169" s="29">
        <v>0</v>
      </c>
    </row>
    <row r="170" spans="1:42" x14ac:dyDescent="0.25">
      <c r="A170" s="29">
        <v>26</v>
      </c>
      <c r="B170" s="29">
        <v>24603</v>
      </c>
      <c r="C170" s="29">
        <v>1</v>
      </c>
      <c r="D170" s="29" t="s">
        <v>588</v>
      </c>
      <c r="E170" s="29"/>
      <c r="F170" s="29">
        <v>0</v>
      </c>
      <c r="G170" s="29">
        <v>0</v>
      </c>
      <c r="H170" s="29">
        <v>0</v>
      </c>
      <c r="I170" s="29">
        <v>0</v>
      </c>
      <c r="J170" s="29">
        <v>0</v>
      </c>
      <c r="K170" s="29" t="s">
        <v>882</v>
      </c>
      <c r="L170" s="19" t="str">
        <f t="shared" si="16"/>
        <v>Рихтовка</v>
      </c>
      <c r="M170" s="12">
        <f t="shared" si="17"/>
        <v>0</v>
      </c>
      <c r="N170" s="12">
        <f t="shared" si="18"/>
        <v>0</v>
      </c>
      <c r="O170" s="12">
        <f t="shared" si="19"/>
        <v>0</v>
      </c>
      <c r="P170" s="12">
        <f t="shared" si="20"/>
        <v>0</v>
      </c>
      <c r="Q170" s="12">
        <f t="shared" si="21"/>
        <v>0</v>
      </c>
      <c r="R170" s="12">
        <f t="shared" si="22"/>
        <v>0</v>
      </c>
      <c r="S170" s="12">
        <f t="shared" si="23"/>
        <v>0</v>
      </c>
      <c r="T170" s="29">
        <v>0</v>
      </c>
      <c r="U170" s="29">
        <v>0</v>
      </c>
      <c r="V170" s="29">
        <v>0</v>
      </c>
      <c r="W170" s="29">
        <v>0</v>
      </c>
      <c r="X170" s="29">
        <v>0</v>
      </c>
      <c r="Y170" s="29">
        <v>0</v>
      </c>
      <c r="Z170" s="29">
        <v>0</v>
      </c>
      <c r="AA170" s="29">
        <v>0</v>
      </c>
      <c r="AB170" s="29">
        <v>0</v>
      </c>
      <c r="AC170" s="29">
        <v>0</v>
      </c>
      <c r="AD170" s="29">
        <v>0</v>
      </c>
      <c r="AE170" s="29">
        <v>0</v>
      </c>
      <c r="AF170" s="29">
        <v>0</v>
      </c>
      <c r="AG170" s="29">
        <v>0</v>
      </c>
      <c r="AH170" s="29">
        <v>0</v>
      </c>
      <c r="AI170" s="29">
        <v>0</v>
      </c>
      <c r="AJ170" s="29">
        <v>0</v>
      </c>
      <c r="AK170" s="29">
        <v>0</v>
      </c>
      <c r="AL170" s="29">
        <v>0</v>
      </c>
      <c r="AM170" s="29">
        <v>0</v>
      </c>
      <c r="AN170" s="29">
        <v>0</v>
      </c>
      <c r="AO170" s="29">
        <v>0</v>
      </c>
      <c r="AP170" s="29">
        <v>0</v>
      </c>
    </row>
    <row r="171" spans="1:42" x14ac:dyDescent="0.25">
      <c r="A171" s="29">
        <v>26</v>
      </c>
      <c r="B171" s="29">
        <v>24603</v>
      </c>
      <c r="C171" s="29">
        <v>1</v>
      </c>
      <c r="D171" s="29" t="s">
        <v>589</v>
      </c>
      <c r="E171" s="29"/>
      <c r="F171" s="29">
        <v>0</v>
      </c>
      <c r="G171" s="29">
        <v>0</v>
      </c>
      <c r="H171" s="29">
        <v>0</v>
      </c>
      <c r="I171" s="29">
        <v>0</v>
      </c>
      <c r="J171" s="29">
        <v>0</v>
      </c>
      <c r="K171" s="29" t="s">
        <v>882</v>
      </c>
      <c r="L171" s="19" t="str">
        <f t="shared" si="16"/>
        <v>Рихтовка</v>
      </c>
      <c r="M171" s="12">
        <f t="shared" si="17"/>
        <v>0</v>
      </c>
      <c r="N171" s="12">
        <f t="shared" si="18"/>
        <v>0</v>
      </c>
      <c r="O171" s="12">
        <f t="shared" si="19"/>
        <v>0</v>
      </c>
      <c r="P171" s="12">
        <f t="shared" si="20"/>
        <v>0</v>
      </c>
      <c r="Q171" s="12">
        <f t="shared" si="21"/>
        <v>0</v>
      </c>
      <c r="R171" s="12">
        <f t="shared" si="22"/>
        <v>0</v>
      </c>
      <c r="S171" s="12">
        <f t="shared" si="23"/>
        <v>0</v>
      </c>
      <c r="T171" s="29">
        <v>0</v>
      </c>
      <c r="U171" s="29">
        <v>0</v>
      </c>
      <c r="V171" s="29">
        <v>0</v>
      </c>
      <c r="W171" s="29">
        <v>0</v>
      </c>
      <c r="X171" s="29">
        <v>0</v>
      </c>
      <c r="Y171" s="29">
        <v>0</v>
      </c>
      <c r="Z171" s="29">
        <v>0</v>
      </c>
      <c r="AA171" s="29">
        <v>0</v>
      </c>
      <c r="AB171" s="29">
        <v>0</v>
      </c>
      <c r="AC171" s="29">
        <v>0</v>
      </c>
      <c r="AD171" s="29">
        <v>0</v>
      </c>
      <c r="AE171" s="29">
        <v>0</v>
      </c>
      <c r="AF171" s="29">
        <v>0</v>
      </c>
      <c r="AG171" s="29">
        <v>0</v>
      </c>
      <c r="AH171" s="29">
        <v>0</v>
      </c>
      <c r="AI171" s="29">
        <v>0</v>
      </c>
      <c r="AJ171" s="29">
        <v>0</v>
      </c>
      <c r="AK171" s="29">
        <v>0</v>
      </c>
      <c r="AL171" s="29">
        <v>0</v>
      </c>
      <c r="AM171" s="29">
        <v>0</v>
      </c>
      <c r="AN171" s="29">
        <v>0</v>
      </c>
      <c r="AO171" s="29">
        <v>0</v>
      </c>
      <c r="AP171" s="29">
        <v>0</v>
      </c>
    </row>
    <row r="172" spans="1:42" x14ac:dyDescent="0.25">
      <c r="A172" s="29">
        <v>26</v>
      </c>
      <c r="B172" s="29">
        <v>24603</v>
      </c>
      <c r="C172" s="29">
        <v>1</v>
      </c>
      <c r="D172" s="29" t="s">
        <v>590</v>
      </c>
      <c r="E172" s="29"/>
      <c r="F172" s="29">
        <v>0</v>
      </c>
      <c r="G172" s="29">
        <v>0</v>
      </c>
      <c r="H172" s="29">
        <v>0</v>
      </c>
      <c r="I172" s="29">
        <v>0</v>
      </c>
      <c r="J172" s="29">
        <v>0</v>
      </c>
      <c r="K172" s="29" t="s">
        <v>882</v>
      </c>
      <c r="L172" s="19" t="str">
        <f t="shared" si="16"/>
        <v>Рихтовка</v>
      </c>
      <c r="M172" s="12">
        <f t="shared" si="17"/>
        <v>0</v>
      </c>
      <c r="N172" s="12">
        <f t="shared" si="18"/>
        <v>0</v>
      </c>
      <c r="O172" s="12">
        <f t="shared" si="19"/>
        <v>0</v>
      </c>
      <c r="P172" s="12">
        <f t="shared" si="20"/>
        <v>0</v>
      </c>
      <c r="Q172" s="12">
        <f t="shared" si="21"/>
        <v>0</v>
      </c>
      <c r="R172" s="12">
        <f t="shared" si="22"/>
        <v>0</v>
      </c>
      <c r="S172" s="12">
        <f t="shared" si="23"/>
        <v>0</v>
      </c>
      <c r="T172" s="29">
        <v>0</v>
      </c>
      <c r="U172" s="29">
        <v>0</v>
      </c>
      <c r="V172" s="29">
        <v>0</v>
      </c>
      <c r="W172" s="29">
        <v>0</v>
      </c>
      <c r="X172" s="29">
        <v>0</v>
      </c>
      <c r="Y172" s="29">
        <v>0</v>
      </c>
      <c r="Z172" s="29">
        <v>0</v>
      </c>
      <c r="AA172" s="29">
        <v>0</v>
      </c>
      <c r="AB172" s="29">
        <v>0</v>
      </c>
      <c r="AC172" s="29">
        <v>0</v>
      </c>
      <c r="AD172" s="29">
        <v>0</v>
      </c>
      <c r="AE172" s="29">
        <v>0</v>
      </c>
      <c r="AF172" s="29">
        <v>0</v>
      </c>
      <c r="AG172" s="29">
        <v>0</v>
      </c>
      <c r="AH172" s="29">
        <v>0</v>
      </c>
      <c r="AI172" s="29">
        <v>0</v>
      </c>
      <c r="AJ172" s="29">
        <v>0</v>
      </c>
      <c r="AK172" s="29">
        <v>0</v>
      </c>
      <c r="AL172" s="29">
        <v>0</v>
      </c>
      <c r="AM172" s="29">
        <v>0</v>
      </c>
      <c r="AN172" s="29">
        <v>0</v>
      </c>
      <c r="AO172" s="29">
        <v>0</v>
      </c>
      <c r="AP172" s="29">
        <v>0</v>
      </c>
    </row>
    <row r="173" spans="1:42" x14ac:dyDescent="0.25">
      <c r="A173" s="29">
        <v>26</v>
      </c>
      <c r="B173" s="29">
        <v>24603</v>
      </c>
      <c r="C173" s="29">
        <v>1</v>
      </c>
      <c r="D173" s="29" t="s">
        <v>591</v>
      </c>
      <c r="E173" s="29"/>
      <c r="F173" s="29">
        <v>0</v>
      </c>
      <c r="G173" s="29">
        <v>0</v>
      </c>
      <c r="H173" s="29">
        <v>0</v>
      </c>
      <c r="I173" s="29">
        <v>0</v>
      </c>
      <c r="J173" s="29">
        <v>0</v>
      </c>
      <c r="K173" s="29" t="s">
        <v>882</v>
      </c>
      <c r="L173" s="19" t="str">
        <f t="shared" si="16"/>
        <v>Рихтовка</v>
      </c>
      <c r="M173" s="12">
        <f t="shared" si="17"/>
        <v>0</v>
      </c>
      <c r="N173" s="12">
        <f t="shared" si="18"/>
        <v>0</v>
      </c>
      <c r="O173" s="12">
        <f t="shared" si="19"/>
        <v>0</v>
      </c>
      <c r="P173" s="12">
        <f t="shared" si="20"/>
        <v>0</v>
      </c>
      <c r="Q173" s="12">
        <f t="shared" si="21"/>
        <v>0</v>
      </c>
      <c r="R173" s="12">
        <f t="shared" si="22"/>
        <v>0</v>
      </c>
      <c r="S173" s="12">
        <f t="shared" si="23"/>
        <v>0</v>
      </c>
      <c r="T173" s="29">
        <v>0</v>
      </c>
      <c r="U173" s="29">
        <v>0</v>
      </c>
      <c r="V173" s="29">
        <v>0</v>
      </c>
      <c r="W173" s="29">
        <v>0</v>
      </c>
      <c r="X173" s="29">
        <v>0</v>
      </c>
      <c r="Y173" s="29">
        <v>0</v>
      </c>
      <c r="Z173" s="29">
        <v>0</v>
      </c>
      <c r="AA173" s="29">
        <v>0</v>
      </c>
      <c r="AB173" s="29">
        <v>0</v>
      </c>
      <c r="AC173" s="29">
        <v>0</v>
      </c>
      <c r="AD173" s="29">
        <v>0</v>
      </c>
      <c r="AE173" s="29">
        <v>0</v>
      </c>
      <c r="AF173" s="29">
        <v>0</v>
      </c>
      <c r="AG173" s="29">
        <v>0</v>
      </c>
      <c r="AH173" s="29">
        <v>0</v>
      </c>
      <c r="AI173" s="29">
        <v>0</v>
      </c>
      <c r="AJ173" s="29">
        <v>0</v>
      </c>
      <c r="AK173" s="29">
        <v>0</v>
      </c>
      <c r="AL173" s="29">
        <v>0</v>
      </c>
      <c r="AM173" s="29">
        <v>0</v>
      </c>
      <c r="AN173" s="29">
        <v>0</v>
      </c>
      <c r="AO173" s="29">
        <v>0</v>
      </c>
      <c r="AP173" s="29">
        <v>0</v>
      </c>
    </row>
    <row r="174" spans="1:42" x14ac:dyDescent="0.25">
      <c r="A174" s="29">
        <v>26</v>
      </c>
      <c r="B174" s="29">
        <v>24603</v>
      </c>
      <c r="C174" s="29">
        <v>1</v>
      </c>
      <c r="D174" s="29" t="s">
        <v>592</v>
      </c>
      <c r="E174" s="29"/>
      <c r="F174" s="29">
        <v>0</v>
      </c>
      <c r="G174" s="29">
        <v>0</v>
      </c>
      <c r="H174" s="29">
        <v>0</v>
      </c>
      <c r="I174" s="29">
        <v>0</v>
      </c>
      <c r="J174" s="29">
        <v>0</v>
      </c>
      <c r="K174" s="29" t="s">
        <v>882</v>
      </c>
      <c r="L174" s="19" t="str">
        <f t="shared" si="16"/>
        <v>Рихтовка</v>
      </c>
      <c r="M174" s="12">
        <f t="shared" si="17"/>
        <v>0</v>
      </c>
      <c r="N174" s="12">
        <f t="shared" si="18"/>
        <v>0</v>
      </c>
      <c r="O174" s="12">
        <f t="shared" si="19"/>
        <v>0</v>
      </c>
      <c r="P174" s="12">
        <f t="shared" si="20"/>
        <v>0</v>
      </c>
      <c r="Q174" s="12">
        <f t="shared" si="21"/>
        <v>0</v>
      </c>
      <c r="R174" s="12">
        <f t="shared" si="22"/>
        <v>0</v>
      </c>
      <c r="S174" s="12">
        <f t="shared" si="23"/>
        <v>0</v>
      </c>
      <c r="T174" s="29">
        <v>0</v>
      </c>
      <c r="U174" s="29">
        <v>0</v>
      </c>
      <c r="V174" s="29">
        <v>0</v>
      </c>
      <c r="W174" s="29">
        <v>0</v>
      </c>
      <c r="X174" s="29">
        <v>0</v>
      </c>
      <c r="Y174" s="29">
        <v>0</v>
      </c>
      <c r="Z174" s="29">
        <v>0</v>
      </c>
      <c r="AA174" s="29">
        <v>0</v>
      </c>
      <c r="AB174" s="29">
        <v>0</v>
      </c>
      <c r="AC174" s="29">
        <v>0</v>
      </c>
      <c r="AD174" s="29">
        <v>0</v>
      </c>
      <c r="AE174" s="29">
        <v>0</v>
      </c>
      <c r="AF174" s="29">
        <v>0</v>
      </c>
      <c r="AG174" s="29">
        <v>0</v>
      </c>
      <c r="AH174" s="29">
        <v>0</v>
      </c>
      <c r="AI174" s="29">
        <v>0</v>
      </c>
      <c r="AJ174" s="29">
        <v>0</v>
      </c>
      <c r="AK174" s="29">
        <v>0</v>
      </c>
      <c r="AL174" s="29">
        <v>0</v>
      </c>
      <c r="AM174" s="29">
        <v>0</v>
      </c>
      <c r="AN174" s="29">
        <v>0</v>
      </c>
      <c r="AO174" s="29">
        <v>0</v>
      </c>
      <c r="AP174" s="29">
        <v>0</v>
      </c>
    </row>
    <row r="175" spans="1:42" x14ac:dyDescent="0.25">
      <c r="A175" s="29">
        <v>26</v>
      </c>
      <c r="B175" s="29">
        <v>24603</v>
      </c>
      <c r="C175" s="29">
        <v>1</v>
      </c>
      <c r="D175" s="29" t="s">
        <v>593</v>
      </c>
      <c r="E175" s="29"/>
      <c r="F175" s="29">
        <v>0</v>
      </c>
      <c r="G175" s="29">
        <v>0</v>
      </c>
      <c r="H175" s="29">
        <v>0</v>
      </c>
      <c r="I175" s="29">
        <v>0</v>
      </c>
      <c r="J175" s="29">
        <v>0</v>
      </c>
      <c r="K175" s="29" t="s">
        <v>882</v>
      </c>
      <c r="L175" s="19" t="str">
        <f t="shared" si="16"/>
        <v>Рихтовка</v>
      </c>
      <c r="M175" s="12">
        <f t="shared" si="17"/>
        <v>0</v>
      </c>
      <c r="N175" s="12">
        <f t="shared" si="18"/>
        <v>0</v>
      </c>
      <c r="O175" s="12">
        <f t="shared" si="19"/>
        <v>0</v>
      </c>
      <c r="P175" s="12">
        <f t="shared" si="20"/>
        <v>0</v>
      </c>
      <c r="Q175" s="12">
        <f t="shared" si="21"/>
        <v>0</v>
      </c>
      <c r="R175" s="12">
        <f t="shared" si="22"/>
        <v>0</v>
      </c>
      <c r="S175" s="12">
        <f t="shared" si="23"/>
        <v>0</v>
      </c>
      <c r="T175" s="29">
        <v>0</v>
      </c>
      <c r="U175" s="29">
        <v>0</v>
      </c>
      <c r="V175" s="29">
        <v>0</v>
      </c>
      <c r="W175" s="29">
        <v>0</v>
      </c>
      <c r="X175" s="29">
        <v>0</v>
      </c>
      <c r="Y175" s="29">
        <v>0</v>
      </c>
      <c r="Z175" s="29">
        <v>0</v>
      </c>
      <c r="AA175" s="29">
        <v>0</v>
      </c>
      <c r="AB175" s="29">
        <v>0</v>
      </c>
      <c r="AC175" s="29">
        <v>0</v>
      </c>
      <c r="AD175" s="29">
        <v>0</v>
      </c>
      <c r="AE175" s="29">
        <v>0</v>
      </c>
      <c r="AF175" s="29">
        <v>0</v>
      </c>
      <c r="AG175" s="29">
        <v>0</v>
      </c>
      <c r="AH175" s="29">
        <v>0</v>
      </c>
      <c r="AI175" s="29">
        <v>0</v>
      </c>
      <c r="AJ175" s="29">
        <v>0</v>
      </c>
      <c r="AK175" s="29">
        <v>0</v>
      </c>
      <c r="AL175" s="29">
        <v>0</v>
      </c>
      <c r="AM175" s="29">
        <v>0</v>
      </c>
      <c r="AN175" s="29">
        <v>0</v>
      </c>
      <c r="AO175" s="29">
        <v>0</v>
      </c>
      <c r="AP175" s="29">
        <v>0</v>
      </c>
    </row>
    <row r="176" spans="1:42" x14ac:dyDescent="0.25">
      <c r="A176" s="29">
        <v>26</v>
      </c>
      <c r="B176" s="29">
        <v>24603</v>
      </c>
      <c r="C176" s="29">
        <v>1</v>
      </c>
      <c r="D176" s="29" t="s">
        <v>594</v>
      </c>
      <c r="E176" s="29"/>
      <c r="F176" s="29">
        <v>0</v>
      </c>
      <c r="G176" s="29">
        <v>0</v>
      </c>
      <c r="H176" s="29">
        <v>0</v>
      </c>
      <c r="I176" s="29">
        <v>0</v>
      </c>
      <c r="J176" s="29">
        <v>0</v>
      </c>
      <c r="K176" s="29" t="s">
        <v>882</v>
      </c>
      <c r="L176" s="19" t="str">
        <f t="shared" si="16"/>
        <v>Рихтовка</v>
      </c>
      <c r="M176" s="12">
        <f t="shared" si="17"/>
        <v>0</v>
      </c>
      <c r="N176" s="12">
        <f t="shared" si="18"/>
        <v>0</v>
      </c>
      <c r="O176" s="12">
        <f t="shared" si="19"/>
        <v>0</v>
      </c>
      <c r="P176" s="12">
        <f t="shared" si="20"/>
        <v>0</v>
      </c>
      <c r="Q176" s="12">
        <f t="shared" si="21"/>
        <v>0</v>
      </c>
      <c r="R176" s="12">
        <f t="shared" si="22"/>
        <v>0</v>
      </c>
      <c r="S176" s="12">
        <f t="shared" si="23"/>
        <v>0</v>
      </c>
      <c r="T176" s="29">
        <v>0</v>
      </c>
      <c r="U176" s="29">
        <v>0</v>
      </c>
      <c r="V176" s="29">
        <v>0</v>
      </c>
      <c r="W176" s="29">
        <v>0</v>
      </c>
      <c r="X176" s="29">
        <v>0</v>
      </c>
      <c r="Y176" s="29">
        <v>0</v>
      </c>
      <c r="Z176" s="29">
        <v>0</v>
      </c>
      <c r="AA176" s="29">
        <v>0</v>
      </c>
      <c r="AB176" s="29">
        <v>0</v>
      </c>
      <c r="AC176" s="29">
        <v>0</v>
      </c>
      <c r="AD176" s="29">
        <v>0</v>
      </c>
      <c r="AE176" s="29">
        <v>0</v>
      </c>
      <c r="AF176" s="29">
        <v>0</v>
      </c>
      <c r="AG176" s="29">
        <v>0</v>
      </c>
      <c r="AH176" s="29">
        <v>0</v>
      </c>
      <c r="AI176" s="29">
        <v>0</v>
      </c>
      <c r="AJ176" s="29">
        <v>0</v>
      </c>
      <c r="AK176" s="29">
        <v>0</v>
      </c>
      <c r="AL176" s="29">
        <v>0</v>
      </c>
      <c r="AM176" s="29">
        <v>0</v>
      </c>
      <c r="AN176" s="29">
        <v>0</v>
      </c>
      <c r="AO176" s="29">
        <v>0</v>
      </c>
      <c r="AP176" s="29">
        <v>0</v>
      </c>
    </row>
    <row r="177" spans="1:42" x14ac:dyDescent="0.25">
      <c r="A177" s="29">
        <v>26</v>
      </c>
      <c r="B177" s="29">
        <v>24603</v>
      </c>
      <c r="C177" s="29">
        <v>1</v>
      </c>
      <c r="D177" s="29" t="s">
        <v>595</v>
      </c>
      <c r="E177" s="29"/>
      <c r="F177" s="29">
        <v>0</v>
      </c>
      <c r="G177" s="29">
        <v>0</v>
      </c>
      <c r="H177" s="29">
        <v>0</v>
      </c>
      <c r="I177" s="29">
        <v>0</v>
      </c>
      <c r="J177" s="29">
        <v>0</v>
      </c>
      <c r="K177" s="29" t="s">
        <v>882</v>
      </c>
      <c r="L177" s="19" t="str">
        <f t="shared" si="16"/>
        <v>Рихтовка</v>
      </c>
      <c r="M177" s="12">
        <f t="shared" si="17"/>
        <v>0</v>
      </c>
      <c r="N177" s="12">
        <f t="shared" si="18"/>
        <v>0</v>
      </c>
      <c r="O177" s="12">
        <f t="shared" si="19"/>
        <v>0</v>
      </c>
      <c r="P177" s="12">
        <f t="shared" si="20"/>
        <v>0</v>
      </c>
      <c r="Q177" s="12">
        <f t="shared" si="21"/>
        <v>0</v>
      </c>
      <c r="R177" s="12">
        <f t="shared" si="22"/>
        <v>0</v>
      </c>
      <c r="S177" s="12">
        <f t="shared" si="23"/>
        <v>0</v>
      </c>
      <c r="T177" s="29">
        <v>0</v>
      </c>
      <c r="U177" s="29">
        <v>0</v>
      </c>
      <c r="V177" s="29">
        <v>0</v>
      </c>
      <c r="W177" s="29">
        <v>0</v>
      </c>
      <c r="X177" s="29">
        <v>0</v>
      </c>
      <c r="Y177" s="29">
        <v>0</v>
      </c>
      <c r="Z177" s="29">
        <v>0</v>
      </c>
      <c r="AA177" s="29">
        <v>0</v>
      </c>
      <c r="AB177" s="29">
        <v>0</v>
      </c>
      <c r="AC177" s="29">
        <v>0</v>
      </c>
      <c r="AD177" s="29">
        <v>0</v>
      </c>
      <c r="AE177" s="29">
        <v>0</v>
      </c>
      <c r="AF177" s="29">
        <v>0</v>
      </c>
      <c r="AG177" s="29">
        <v>0</v>
      </c>
      <c r="AH177" s="29">
        <v>0</v>
      </c>
      <c r="AI177" s="29">
        <v>0</v>
      </c>
      <c r="AJ177" s="29">
        <v>0</v>
      </c>
      <c r="AK177" s="29">
        <v>0</v>
      </c>
      <c r="AL177" s="29">
        <v>0</v>
      </c>
      <c r="AM177" s="29">
        <v>0</v>
      </c>
      <c r="AN177" s="29">
        <v>0</v>
      </c>
      <c r="AO177" s="29">
        <v>0</v>
      </c>
      <c r="AP177" s="29">
        <v>0</v>
      </c>
    </row>
    <row r="178" spans="1:42" x14ac:dyDescent="0.25">
      <c r="A178" s="29">
        <v>26</v>
      </c>
      <c r="B178" s="29">
        <v>24603</v>
      </c>
      <c r="C178" s="29">
        <v>1</v>
      </c>
      <c r="D178" s="29" t="s">
        <v>596</v>
      </c>
      <c r="E178" s="29"/>
      <c r="F178" s="29">
        <v>0</v>
      </c>
      <c r="G178" s="29">
        <v>0</v>
      </c>
      <c r="H178" s="29">
        <v>0</v>
      </c>
      <c r="I178" s="29">
        <v>0</v>
      </c>
      <c r="J178" s="29">
        <v>0</v>
      </c>
      <c r="K178" s="29" t="s">
        <v>882</v>
      </c>
      <c r="L178" s="19" t="str">
        <f t="shared" si="16"/>
        <v>Рихтовка</v>
      </c>
      <c r="M178" s="12">
        <f t="shared" si="17"/>
        <v>0</v>
      </c>
      <c r="N178" s="12">
        <f t="shared" si="18"/>
        <v>0</v>
      </c>
      <c r="O178" s="12">
        <f t="shared" si="19"/>
        <v>0</v>
      </c>
      <c r="P178" s="12">
        <f t="shared" si="20"/>
        <v>0</v>
      </c>
      <c r="Q178" s="12">
        <f t="shared" si="21"/>
        <v>0</v>
      </c>
      <c r="R178" s="12">
        <f t="shared" si="22"/>
        <v>0</v>
      </c>
      <c r="S178" s="12">
        <f t="shared" si="23"/>
        <v>0</v>
      </c>
      <c r="T178" s="29">
        <v>0</v>
      </c>
      <c r="U178" s="29">
        <v>0</v>
      </c>
      <c r="V178" s="29">
        <v>0</v>
      </c>
      <c r="W178" s="29">
        <v>0</v>
      </c>
      <c r="X178" s="29">
        <v>0</v>
      </c>
      <c r="Y178" s="29">
        <v>0</v>
      </c>
      <c r="Z178" s="29">
        <v>0</v>
      </c>
      <c r="AA178" s="29">
        <v>0</v>
      </c>
      <c r="AB178" s="29">
        <v>0</v>
      </c>
      <c r="AC178" s="29">
        <v>0</v>
      </c>
      <c r="AD178" s="29">
        <v>0</v>
      </c>
      <c r="AE178" s="29">
        <v>0</v>
      </c>
      <c r="AF178" s="29">
        <v>0</v>
      </c>
      <c r="AG178" s="29">
        <v>0</v>
      </c>
      <c r="AH178" s="29">
        <v>0</v>
      </c>
      <c r="AI178" s="29">
        <v>0</v>
      </c>
      <c r="AJ178" s="29">
        <v>0</v>
      </c>
      <c r="AK178" s="29">
        <v>0</v>
      </c>
      <c r="AL178" s="29">
        <v>0</v>
      </c>
      <c r="AM178" s="29">
        <v>0</v>
      </c>
      <c r="AN178" s="29">
        <v>0</v>
      </c>
      <c r="AO178" s="29">
        <v>0</v>
      </c>
      <c r="AP178" s="29">
        <v>0</v>
      </c>
    </row>
    <row r="179" spans="1:42" x14ac:dyDescent="0.25">
      <c r="A179" s="29">
        <v>26</v>
      </c>
      <c r="B179" s="29">
        <v>24603</v>
      </c>
      <c r="C179" s="29">
        <v>1</v>
      </c>
      <c r="D179" s="29" t="s">
        <v>597</v>
      </c>
      <c r="E179" s="29"/>
      <c r="F179" s="29">
        <v>0</v>
      </c>
      <c r="G179" s="29">
        <v>0</v>
      </c>
      <c r="H179" s="29">
        <v>0</v>
      </c>
      <c r="I179" s="29">
        <v>0</v>
      </c>
      <c r="J179" s="29">
        <v>0</v>
      </c>
      <c r="K179" s="29" t="s">
        <v>882</v>
      </c>
      <c r="L179" s="19" t="str">
        <f t="shared" si="16"/>
        <v>Рихтовка</v>
      </c>
      <c r="M179" s="12">
        <f t="shared" si="17"/>
        <v>0</v>
      </c>
      <c r="N179" s="12">
        <f t="shared" si="18"/>
        <v>0</v>
      </c>
      <c r="O179" s="12">
        <f t="shared" si="19"/>
        <v>0</v>
      </c>
      <c r="P179" s="12">
        <f t="shared" si="20"/>
        <v>0</v>
      </c>
      <c r="Q179" s="12">
        <f t="shared" si="21"/>
        <v>0</v>
      </c>
      <c r="R179" s="12">
        <f t="shared" si="22"/>
        <v>0</v>
      </c>
      <c r="S179" s="12">
        <f t="shared" si="23"/>
        <v>0</v>
      </c>
      <c r="T179" s="29">
        <v>0</v>
      </c>
      <c r="U179" s="29">
        <v>0</v>
      </c>
      <c r="V179" s="29">
        <v>0</v>
      </c>
      <c r="W179" s="29">
        <v>0</v>
      </c>
      <c r="X179" s="29">
        <v>0</v>
      </c>
      <c r="Y179" s="29">
        <v>0</v>
      </c>
      <c r="Z179" s="29">
        <v>0</v>
      </c>
      <c r="AA179" s="29">
        <v>0</v>
      </c>
      <c r="AB179" s="29">
        <v>0</v>
      </c>
      <c r="AC179" s="29">
        <v>0</v>
      </c>
      <c r="AD179" s="29">
        <v>0</v>
      </c>
      <c r="AE179" s="29">
        <v>0</v>
      </c>
      <c r="AF179" s="29">
        <v>0</v>
      </c>
      <c r="AG179" s="29">
        <v>0</v>
      </c>
      <c r="AH179" s="29">
        <v>0</v>
      </c>
      <c r="AI179" s="29">
        <v>0</v>
      </c>
      <c r="AJ179" s="29">
        <v>0</v>
      </c>
      <c r="AK179" s="29">
        <v>0</v>
      </c>
      <c r="AL179" s="29">
        <v>0</v>
      </c>
      <c r="AM179" s="29">
        <v>0</v>
      </c>
      <c r="AN179" s="29">
        <v>0</v>
      </c>
      <c r="AO179" s="29">
        <v>0</v>
      </c>
      <c r="AP179" s="29">
        <v>0</v>
      </c>
    </row>
    <row r="180" spans="1:42" x14ac:dyDescent="0.25">
      <c r="A180" s="29">
        <v>26</v>
      </c>
      <c r="B180" s="29">
        <v>24603</v>
      </c>
      <c r="C180" s="29">
        <v>1</v>
      </c>
      <c r="D180" s="29" t="s">
        <v>598</v>
      </c>
      <c r="E180" s="29"/>
      <c r="F180" s="29">
        <v>0</v>
      </c>
      <c r="G180" s="29">
        <v>0</v>
      </c>
      <c r="H180" s="29">
        <v>0</v>
      </c>
      <c r="I180" s="29">
        <v>0</v>
      </c>
      <c r="J180" s="29">
        <v>0</v>
      </c>
      <c r="K180" s="29" t="s">
        <v>882</v>
      </c>
      <c r="L180" s="19" t="str">
        <f t="shared" si="16"/>
        <v>Рихтовка</v>
      </c>
      <c r="M180" s="12">
        <f t="shared" si="17"/>
        <v>0</v>
      </c>
      <c r="N180" s="12">
        <f t="shared" si="18"/>
        <v>0</v>
      </c>
      <c r="O180" s="12">
        <f t="shared" si="19"/>
        <v>0</v>
      </c>
      <c r="P180" s="12">
        <f t="shared" si="20"/>
        <v>0</v>
      </c>
      <c r="Q180" s="12">
        <f t="shared" si="21"/>
        <v>0</v>
      </c>
      <c r="R180" s="12">
        <f t="shared" si="22"/>
        <v>0</v>
      </c>
      <c r="S180" s="12">
        <f t="shared" si="23"/>
        <v>0</v>
      </c>
      <c r="T180" s="29">
        <v>0</v>
      </c>
      <c r="U180" s="29">
        <v>0</v>
      </c>
      <c r="V180" s="29">
        <v>0</v>
      </c>
      <c r="W180" s="29">
        <v>0</v>
      </c>
      <c r="X180" s="29">
        <v>0</v>
      </c>
      <c r="Y180" s="29">
        <v>0</v>
      </c>
      <c r="Z180" s="29">
        <v>0</v>
      </c>
      <c r="AA180" s="29">
        <v>0</v>
      </c>
      <c r="AB180" s="29">
        <v>0</v>
      </c>
      <c r="AC180" s="29">
        <v>0</v>
      </c>
      <c r="AD180" s="29">
        <v>0</v>
      </c>
      <c r="AE180" s="29">
        <v>0</v>
      </c>
      <c r="AF180" s="29">
        <v>0</v>
      </c>
      <c r="AG180" s="29">
        <v>0</v>
      </c>
      <c r="AH180" s="29">
        <v>0</v>
      </c>
      <c r="AI180" s="29">
        <v>0</v>
      </c>
      <c r="AJ180" s="29">
        <v>0</v>
      </c>
      <c r="AK180" s="29">
        <v>0</v>
      </c>
      <c r="AL180" s="29">
        <v>0</v>
      </c>
      <c r="AM180" s="29">
        <v>0</v>
      </c>
      <c r="AN180" s="29">
        <v>0</v>
      </c>
      <c r="AO180" s="29">
        <v>0</v>
      </c>
      <c r="AP180" s="29">
        <v>0</v>
      </c>
    </row>
    <row r="181" spans="1:42" x14ac:dyDescent="0.25">
      <c r="A181" s="29">
        <v>26</v>
      </c>
      <c r="B181" s="29">
        <v>24603</v>
      </c>
      <c r="C181" s="29">
        <v>1</v>
      </c>
      <c r="D181" s="29" t="s">
        <v>599</v>
      </c>
      <c r="E181" s="29"/>
      <c r="F181" s="29">
        <v>0</v>
      </c>
      <c r="G181" s="29">
        <v>0</v>
      </c>
      <c r="H181" s="29">
        <v>0</v>
      </c>
      <c r="I181" s="29">
        <v>0</v>
      </c>
      <c r="J181" s="29">
        <v>0</v>
      </c>
      <c r="K181" s="29" t="s">
        <v>882</v>
      </c>
      <c r="L181" s="19" t="str">
        <f t="shared" si="16"/>
        <v>Рихтовка</v>
      </c>
      <c r="M181" s="12">
        <f t="shared" si="17"/>
        <v>0</v>
      </c>
      <c r="N181" s="12">
        <f t="shared" si="18"/>
        <v>0</v>
      </c>
      <c r="O181" s="12">
        <f t="shared" si="19"/>
        <v>0</v>
      </c>
      <c r="P181" s="12">
        <f t="shared" si="20"/>
        <v>0</v>
      </c>
      <c r="Q181" s="12">
        <f t="shared" si="21"/>
        <v>0</v>
      </c>
      <c r="R181" s="12">
        <f t="shared" si="22"/>
        <v>0</v>
      </c>
      <c r="S181" s="12">
        <f t="shared" si="23"/>
        <v>0</v>
      </c>
      <c r="T181" s="29">
        <v>0</v>
      </c>
      <c r="U181" s="29">
        <v>0</v>
      </c>
      <c r="V181" s="29">
        <v>0</v>
      </c>
      <c r="W181" s="29">
        <v>0</v>
      </c>
      <c r="X181" s="29">
        <v>0</v>
      </c>
      <c r="Y181" s="29">
        <v>0</v>
      </c>
      <c r="Z181" s="29">
        <v>0</v>
      </c>
      <c r="AA181" s="29">
        <v>0</v>
      </c>
      <c r="AB181" s="29">
        <v>0</v>
      </c>
      <c r="AC181" s="29">
        <v>0</v>
      </c>
      <c r="AD181" s="29">
        <v>0</v>
      </c>
      <c r="AE181" s="29">
        <v>0</v>
      </c>
      <c r="AF181" s="29">
        <v>0</v>
      </c>
      <c r="AG181" s="29">
        <v>0</v>
      </c>
      <c r="AH181" s="29">
        <v>0</v>
      </c>
      <c r="AI181" s="29">
        <v>0</v>
      </c>
      <c r="AJ181" s="29">
        <v>0</v>
      </c>
      <c r="AK181" s="29">
        <v>0</v>
      </c>
      <c r="AL181" s="29">
        <v>0</v>
      </c>
      <c r="AM181" s="29">
        <v>0</v>
      </c>
      <c r="AN181" s="29">
        <v>0</v>
      </c>
      <c r="AO181" s="29">
        <v>0</v>
      </c>
      <c r="AP181" s="29">
        <v>0</v>
      </c>
    </row>
    <row r="182" spans="1:42" x14ac:dyDescent="0.25">
      <c r="A182" s="29">
        <v>26</v>
      </c>
      <c r="B182" s="29">
        <v>24603</v>
      </c>
      <c r="C182" s="29">
        <v>1</v>
      </c>
      <c r="D182" s="29" t="s">
        <v>600</v>
      </c>
      <c r="E182" s="29"/>
      <c r="F182" s="29">
        <v>0</v>
      </c>
      <c r="G182" s="29">
        <v>0</v>
      </c>
      <c r="H182" s="29">
        <v>0</v>
      </c>
      <c r="I182" s="29">
        <v>0</v>
      </c>
      <c r="J182" s="29">
        <v>0</v>
      </c>
      <c r="K182" s="29" t="s">
        <v>882</v>
      </c>
      <c r="L182" s="19" t="str">
        <f t="shared" si="16"/>
        <v>Рихтовка</v>
      </c>
      <c r="M182" s="12">
        <f t="shared" si="17"/>
        <v>0</v>
      </c>
      <c r="N182" s="12">
        <f t="shared" si="18"/>
        <v>0</v>
      </c>
      <c r="O182" s="12">
        <f t="shared" si="19"/>
        <v>0</v>
      </c>
      <c r="P182" s="12">
        <f t="shared" si="20"/>
        <v>0</v>
      </c>
      <c r="Q182" s="12">
        <f t="shared" si="21"/>
        <v>0</v>
      </c>
      <c r="R182" s="12">
        <f t="shared" si="22"/>
        <v>0</v>
      </c>
      <c r="S182" s="12">
        <f t="shared" si="23"/>
        <v>0</v>
      </c>
      <c r="T182" s="29">
        <v>0</v>
      </c>
      <c r="U182" s="29">
        <v>0</v>
      </c>
      <c r="V182" s="29">
        <v>0</v>
      </c>
      <c r="W182" s="29">
        <v>0</v>
      </c>
      <c r="X182" s="29">
        <v>0</v>
      </c>
      <c r="Y182" s="29">
        <v>0</v>
      </c>
      <c r="Z182" s="29">
        <v>0</v>
      </c>
      <c r="AA182" s="29">
        <v>0</v>
      </c>
      <c r="AB182" s="29">
        <v>0</v>
      </c>
      <c r="AC182" s="29">
        <v>0</v>
      </c>
      <c r="AD182" s="29">
        <v>0</v>
      </c>
      <c r="AE182" s="29">
        <v>0</v>
      </c>
      <c r="AF182" s="29">
        <v>0</v>
      </c>
      <c r="AG182" s="29">
        <v>0</v>
      </c>
      <c r="AH182" s="29">
        <v>0</v>
      </c>
      <c r="AI182" s="29">
        <v>0</v>
      </c>
      <c r="AJ182" s="29">
        <v>0</v>
      </c>
      <c r="AK182" s="29">
        <v>0</v>
      </c>
      <c r="AL182" s="29">
        <v>0</v>
      </c>
      <c r="AM182" s="29">
        <v>0</v>
      </c>
      <c r="AN182" s="29">
        <v>0</v>
      </c>
      <c r="AO182" s="29">
        <v>0</v>
      </c>
      <c r="AP182" s="29">
        <v>0</v>
      </c>
    </row>
    <row r="183" spans="1:42" x14ac:dyDescent="0.25">
      <c r="A183" s="29">
        <v>27</v>
      </c>
      <c r="B183" s="29">
        <v>24603</v>
      </c>
      <c r="C183" s="29">
        <v>1</v>
      </c>
      <c r="D183" s="29" t="s">
        <v>600</v>
      </c>
      <c r="E183" s="29"/>
      <c r="F183" s="29">
        <v>0</v>
      </c>
      <c r="G183" s="29">
        <v>0</v>
      </c>
      <c r="H183" s="29">
        <v>0</v>
      </c>
      <c r="I183" s="29">
        <v>0</v>
      </c>
      <c r="J183" s="29">
        <v>0</v>
      </c>
      <c r="K183" s="29" t="s">
        <v>882</v>
      </c>
      <c r="L183" s="19" t="str">
        <f t="shared" si="16"/>
        <v>Рихтовка</v>
      </c>
      <c r="M183" s="12">
        <f t="shared" si="17"/>
        <v>0</v>
      </c>
      <c r="N183" s="12">
        <f t="shared" si="18"/>
        <v>0</v>
      </c>
      <c r="O183" s="12">
        <f t="shared" si="19"/>
        <v>0</v>
      </c>
      <c r="P183" s="12">
        <f t="shared" si="20"/>
        <v>0</v>
      </c>
      <c r="Q183" s="12">
        <f t="shared" si="21"/>
        <v>0</v>
      </c>
      <c r="R183" s="12">
        <f t="shared" si="22"/>
        <v>0</v>
      </c>
      <c r="S183" s="12">
        <f t="shared" si="23"/>
        <v>0</v>
      </c>
      <c r="T183" s="29">
        <v>0</v>
      </c>
      <c r="U183" s="29">
        <v>0</v>
      </c>
      <c r="V183" s="29">
        <v>0</v>
      </c>
      <c r="W183" s="29">
        <v>0</v>
      </c>
      <c r="X183" s="29">
        <v>0</v>
      </c>
      <c r="Y183" s="29">
        <v>0</v>
      </c>
      <c r="Z183" s="29">
        <v>0</v>
      </c>
      <c r="AA183" s="29">
        <v>0</v>
      </c>
      <c r="AB183" s="29">
        <v>0</v>
      </c>
      <c r="AC183" s="29">
        <v>0</v>
      </c>
      <c r="AD183" s="29">
        <v>0</v>
      </c>
      <c r="AE183" s="29">
        <v>0</v>
      </c>
      <c r="AF183" s="29">
        <v>0</v>
      </c>
      <c r="AG183" s="29">
        <v>0</v>
      </c>
      <c r="AH183" s="29">
        <v>0</v>
      </c>
      <c r="AI183" s="29">
        <v>0</v>
      </c>
      <c r="AJ183" s="29">
        <v>0</v>
      </c>
      <c r="AK183" s="29">
        <v>0</v>
      </c>
      <c r="AL183" s="29">
        <v>0</v>
      </c>
      <c r="AM183" s="29">
        <v>0</v>
      </c>
      <c r="AN183" s="29">
        <v>0</v>
      </c>
      <c r="AO183" s="29">
        <v>0</v>
      </c>
      <c r="AP183" s="29">
        <v>0</v>
      </c>
    </row>
    <row r="184" spans="1:42" x14ac:dyDescent="0.25">
      <c r="A184" s="29">
        <v>27</v>
      </c>
      <c r="B184" s="29">
        <v>24603</v>
      </c>
      <c r="C184" s="29">
        <v>1</v>
      </c>
      <c r="D184" s="29" t="s">
        <v>601</v>
      </c>
      <c r="E184" s="29"/>
      <c r="F184" s="29">
        <v>0</v>
      </c>
      <c r="G184" s="29">
        <v>0</v>
      </c>
      <c r="H184" s="29">
        <v>0</v>
      </c>
      <c r="I184" s="29">
        <v>0</v>
      </c>
      <c r="J184" s="29">
        <v>0</v>
      </c>
      <c r="K184" s="29" t="s">
        <v>882</v>
      </c>
      <c r="L184" s="19" t="str">
        <f t="shared" si="16"/>
        <v>Рихтовка</v>
      </c>
      <c r="M184" s="12">
        <f t="shared" si="17"/>
        <v>0</v>
      </c>
      <c r="N184" s="12">
        <f t="shared" si="18"/>
        <v>0</v>
      </c>
      <c r="O184" s="12">
        <f t="shared" si="19"/>
        <v>0</v>
      </c>
      <c r="P184" s="12">
        <f t="shared" si="20"/>
        <v>0</v>
      </c>
      <c r="Q184" s="12">
        <f t="shared" si="21"/>
        <v>0</v>
      </c>
      <c r="R184" s="12">
        <f t="shared" si="22"/>
        <v>0</v>
      </c>
      <c r="S184" s="12">
        <f t="shared" si="23"/>
        <v>0</v>
      </c>
      <c r="T184" s="29">
        <v>0</v>
      </c>
      <c r="U184" s="29">
        <v>0</v>
      </c>
      <c r="V184" s="29">
        <v>0</v>
      </c>
      <c r="W184" s="29">
        <v>0</v>
      </c>
      <c r="X184" s="29">
        <v>0</v>
      </c>
      <c r="Y184" s="29">
        <v>0</v>
      </c>
      <c r="Z184" s="29">
        <v>0</v>
      </c>
      <c r="AA184" s="29">
        <v>0</v>
      </c>
      <c r="AB184" s="29">
        <v>0</v>
      </c>
      <c r="AC184" s="29">
        <v>0</v>
      </c>
      <c r="AD184" s="29">
        <v>0</v>
      </c>
      <c r="AE184" s="29">
        <v>0</v>
      </c>
      <c r="AF184" s="29">
        <v>0</v>
      </c>
      <c r="AG184" s="29">
        <v>0</v>
      </c>
      <c r="AH184" s="29">
        <v>0</v>
      </c>
      <c r="AI184" s="29">
        <v>0</v>
      </c>
      <c r="AJ184" s="29">
        <v>0</v>
      </c>
      <c r="AK184" s="29">
        <v>0</v>
      </c>
      <c r="AL184" s="29">
        <v>0</v>
      </c>
      <c r="AM184" s="29">
        <v>0</v>
      </c>
      <c r="AN184" s="29">
        <v>0</v>
      </c>
      <c r="AO184" s="29">
        <v>0</v>
      </c>
      <c r="AP184" s="29">
        <v>0</v>
      </c>
    </row>
    <row r="185" spans="1:42" x14ac:dyDescent="0.25">
      <c r="A185" s="29">
        <v>27</v>
      </c>
      <c r="B185" s="29">
        <v>24603</v>
      </c>
      <c r="C185" s="29">
        <v>1</v>
      </c>
      <c r="D185" s="29" t="s">
        <v>602</v>
      </c>
      <c r="E185" s="29"/>
      <c r="F185" s="29">
        <v>0</v>
      </c>
      <c r="G185" s="29">
        <v>0</v>
      </c>
      <c r="H185" s="29">
        <v>0</v>
      </c>
      <c r="I185" s="29">
        <v>0</v>
      </c>
      <c r="J185" s="29">
        <v>0</v>
      </c>
      <c r="K185" s="29" t="s">
        <v>882</v>
      </c>
      <c r="L185" s="19" t="str">
        <f t="shared" si="16"/>
        <v>Рихтовка</v>
      </c>
      <c r="M185" s="12">
        <f t="shared" si="17"/>
        <v>0</v>
      </c>
      <c r="N185" s="12">
        <f t="shared" si="18"/>
        <v>0</v>
      </c>
      <c r="O185" s="12">
        <f t="shared" si="19"/>
        <v>0</v>
      </c>
      <c r="P185" s="12">
        <f t="shared" si="20"/>
        <v>0</v>
      </c>
      <c r="Q185" s="12">
        <f t="shared" si="21"/>
        <v>0</v>
      </c>
      <c r="R185" s="12">
        <f t="shared" si="22"/>
        <v>0</v>
      </c>
      <c r="S185" s="12">
        <f t="shared" si="23"/>
        <v>0</v>
      </c>
      <c r="T185" s="29">
        <v>0</v>
      </c>
      <c r="U185" s="29">
        <v>0</v>
      </c>
      <c r="V185" s="29">
        <v>0</v>
      </c>
      <c r="W185" s="29">
        <v>0</v>
      </c>
      <c r="X185" s="29">
        <v>0</v>
      </c>
      <c r="Y185" s="29">
        <v>0</v>
      </c>
      <c r="Z185" s="29">
        <v>0</v>
      </c>
      <c r="AA185" s="29">
        <v>0</v>
      </c>
      <c r="AB185" s="29">
        <v>0</v>
      </c>
      <c r="AC185" s="29">
        <v>0</v>
      </c>
      <c r="AD185" s="29">
        <v>0</v>
      </c>
      <c r="AE185" s="29">
        <v>0</v>
      </c>
      <c r="AF185" s="29">
        <v>0</v>
      </c>
      <c r="AG185" s="29">
        <v>0</v>
      </c>
      <c r="AH185" s="29">
        <v>0</v>
      </c>
      <c r="AI185" s="29">
        <v>0</v>
      </c>
      <c r="AJ185" s="29">
        <v>0</v>
      </c>
      <c r="AK185" s="29">
        <v>0</v>
      </c>
      <c r="AL185" s="29">
        <v>0</v>
      </c>
      <c r="AM185" s="29">
        <v>0</v>
      </c>
      <c r="AN185" s="29">
        <v>0</v>
      </c>
      <c r="AO185" s="29">
        <v>0</v>
      </c>
      <c r="AP185" s="29">
        <v>0</v>
      </c>
    </row>
    <row r="186" spans="1:42" x14ac:dyDescent="0.25">
      <c r="A186" s="29">
        <v>27</v>
      </c>
      <c r="B186" s="29">
        <v>24603</v>
      </c>
      <c r="C186" s="29">
        <v>1</v>
      </c>
      <c r="D186" s="29" t="s">
        <v>603</v>
      </c>
      <c r="E186" s="29"/>
      <c r="F186" s="29">
        <v>0</v>
      </c>
      <c r="G186" s="29">
        <v>0</v>
      </c>
      <c r="H186" s="29">
        <v>0</v>
      </c>
      <c r="I186" s="29">
        <v>0</v>
      </c>
      <c r="J186" s="29">
        <v>0</v>
      </c>
      <c r="K186" s="29" t="s">
        <v>882</v>
      </c>
      <c r="L186" s="19" t="str">
        <f t="shared" si="16"/>
        <v>Рихтовка</v>
      </c>
      <c r="M186" s="12">
        <f t="shared" si="17"/>
        <v>0</v>
      </c>
      <c r="N186" s="12">
        <f t="shared" si="18"/>
        <v>0</v>
      </c>
      <c r="O186" s="12">
        <f t="shared" si="19"/>
        <v>0</v>
      </c>
      <c r="P186" s="12">
        <f t="shared" si="20"/>
        <v>0</v>
      </c>
      <c r="Q186" s="12">
        <f t="shared" si="21"/>
        <v>0</v>
      </c>
      <c r="R186" s="12">
        <f t="shared" si="22"/>
        <v>0</v>
      </c>
      <c r="S186" s="12">
        <f t="shared" si="23"/>
        <v>0</v>
      </c>
      <c r="T186" s="29">
        <v>0</v>
      </c>
      <c r="U186" s="29">
        <v>0</v>
      </c>
      <c r="V186" s="29">
        <v>0</v>
      </c>
      <c r="W186" s="29">
        <v>0</v>
      </c>
      <c r="X186" s="29">
        <v>0</v>
      </c>
      <c r="Y186" s="29">
        <v>0</v>
      </c>
      <c r="Z186" s="29">
        <v>0</v>
      </c>
      <c r="AA186" s="29">
        <v>0</v>
      </c>
      <c r="AB186" s="29">
        <v>0</v>
      </c>
      <c r="AC186" s="29">
        <v>0</v>
      </c>
      <c r="AD186" s="29">
        <v>0</v>
      </c>
      <c r="AE186" s="29">
        <v>0</v>
      </c>
      <c r="AF186" s="29">
        <v>0</v>
      </c>
      <c r="AG186" s="29">
        <v>0</v>
      </c>
      <c r="AH186" s="29">
        <v>0</v>
      </c>
      <c r="AI186" s="29">
        <v>0</v>
      </c>
      <c r="AJ186" s="29">
        <v>0</v>
      </c>
      <c r="AK186" s="29">
        <v>0</v>
      </c>
      <c r="AL186" s="29">
        <v>0</v>
      </c>
      <c r="AM186" s="29">
        <v>0</v>
      </c>
      <c r="AN186" s="29">
        <v>0</v>
      </c>
      <c r="AO186" s="29">
        <v>0</v>
      </c>
      <c r="AP186" s="29">
        <v>0</v>
      </c>
    </row>
    <row r="187" spans="1:42" x14ac:dyDescent="0.25">
      <c r="A187" s="29">
        <v>27</v>
      </c>
      <c r="B187" s="29">
        <v>24603</v>
      </c>
      <c r="C187" s="29">
        <v>1</v>
      </c>
      <c r="D187" s="29" t="s">
        <v>604</v>
      </c>
      <c r="E187" s="29"/>
      <c r="F187" s="29">
        <v>0</v>
      </c>
      <c r="G187" s="29">
        <v>0</v>
      </c>
      <c r="H187" s="29">
        <v>0</v>
      </c>
      <c r="I187" s="29">
        <v>0</v>
      </c>
      <c r="J187" s="29">
        <v>0</v>
      </c>
      <c r="K187" s="29" t="s">
        <v>882</v>
      </c>
      <c r="L187" s="19" t="str">
        <f t="shared" si="16"/>
        <v>Рихтовка</v>
      </c>
      <c r="M187" s="12">
        <f t="shared" si="17"/>
        <v>0</v>
      </c>
      <c r="N187" s="12">
        <f t="shared" si="18"/>
        <v>0</v>
      </c>
      <c r="O187" s="12">
        <f t="shared" si="19"/>
        <v>0</v>
      </c>
      <c r="P187" s="12">
        <f t="shared" si="20"/>
        <v>0</v>
      </c>
      <c r="Q187" s="12">
        <f t="shared" si="21"/>
        <v>0</v>
      </c>
      <c r="R187" s="12">
        <f t="shared" si="22"/>
        <v>0</v>
      </c>
      <c r="S187" s="12">
        <f t="shared" si="23"/>
        <v>0</v>
      </c>
      <c r="T187" s="29">
        <v>0</v>
      </c>
      <c r="U187" s="29">
        <v>0</v>
      </c>
      <c r="V187" s="29">
        <v>0</v>
      </c>
      <c r="W187" s="29">
        <v>0</v>
      </c>
      <c r="X187" s="29">
        <v>0</v>
      </c>
      <c r="Y187" s="29">
        <v>0</v>
      </c>
      <c r="Z187" s="29">
        <v>0</v>
      </c>
      <c r="AA187" s="29">
        <v>0</v>
      </c>
      <c r="AB187" s="29">
        <v>0</v>
      </c>
      <c r="AC187" s="29">
        <v>0</v>
      </c>
      <c r="AD187" s="29">
        <v>0</v>
      </c>
      <c r="AE187" s="29">
        <v>0</v>
      </c>
      <c r="AF187" s="29">
        <v>0</v>
      </c>
      <c r="AG187" s="29">
        <v>0</v>
      </c>
      <c r="AH187" s="29">
        <v>0</v>
      </c>
      <c r="AI187" s="29">
        <v>0</v>
      </c>
      <c r="AJ187" s="29">
        <v>0</v>
      </c>
      <c r="AK187" s="29">
        <v>0</v>
      </c>
      <c r="AL187" s="29">
        <v>0</v>
      </c>
      <c r="AM187" s="29">
        <v>0</v>
      </c>
      <c r="AN187" s="29">
        <v>0</v>
      </c>
      <c r="AO187" s="29">
        <v>0</v>
      </c>
      <c r="AP187" s="29">
        <v>0</v>
      </c>
    </row>
    <row r="188" spans="1:42" x14ac:dyDescent="0.25">
      <c r="A188" s="29">
        <v>27</v>
      </c>
      <c r="B188" s="29">
        <v>24603</v>
      </c>
      <c r="C188" s="29">
        <v>1</v>
      </c>
      <c r="D188" s="29" t="s">
        <v>605</v>
      </c>
      <c r="E188" s="29"/>
      <c r="F188" s="29">
        <v>0</v>
      </c>
      <c r="G188" s="29">
        <v>0</v>
      </c>
      <c r="H188" s="29">
        <v>0</v>
      </c>
      <c r="I188" s="29">
        <v>0</v>
      </c>
      <c r="J188" s="29">
        <v>0</v>
      </c>
      <c r="K188" s="29" t="s">
        <v>882</v>
      </c>
      <c r="L188" s="19" t="str">
        <f t="shared" si="16"/>
        <v>Рихтовка</v>
      </c>
      <c r="M188" s="12">
        <f t="shared" si="17"/>
        <v>0</v>
      </c>
      <c r="N188" s="12">
        <f t="shared" si="18"/>
        <v>0</v>
      </c>
      <c r="O188" s="12">
        <f t="shared" si="19"/>
        <v>0</v>
      </c>
      <c r="P188" s="12">
        <f t="shared" si="20"/>
        <v>0</v>
      </c>
      <c r="Q188" s="12">
        <f t="shared" si="21"/>
        <v>0</v>
      </c>
      <c r="R188" s="12">
        <f t="shared" si="22"/>
        <v>0</v>
      </c>
      <c r="S188" s="12">
        <f t="shared" si="23"/>
        <v>0</v>
      </c>
      <c r="T188" s="29">
        <v>0</v>
      </c>
      <c r="U188" s="29">
        <v>0</v>
      </c>
      <c r="V188" s="29">
        <v>0</v>
      </c>
      <c r="W188" s="29">
        <v>0</v>
      </c>
      <c r="X188" s="29">
        <v>0</v>
      </c>
      <c r="Y188" s="29">
        <v>0</v>
      </c>
      <c r="Z188" s="29">
        <v>0</v>
      </c>
      <c r="AA188" s="29">
        <v>0</v>
      </c>
      <c r="AB188" s="29">
        <v>0</v>
      </c>
      <c r="AC188" s="29">
        <v>0</v>
      </c>
      <c r="AD188" s="29">
        <v>0</v>
      </c>
      <c r="AE188" s="29">
        <v>0</v>
      </c>
      <c r="AF188" s="29">
        <v>0</v>
      </c>
      <c r="AG188" s="29">
        <v>0</v>
      </c>
      <c r="AH188" s="29">
        <v>0</v>
      </c>
      <c r="AI188" s="29">
        <v>0</v>
      </c>
      <c r="AJ188" s="29">
        <v>0</v>
      </c>
      <c r="AK188" s="29">
        <v>0</v>
      </c>
      <c r="AL188" s="29">
        <v>0</v>
      </c>
      <c r="AM188" s="29">
        <v>0</v>
      </c>
      <c r="AN188" s="29">
        <v>0</v>
      </c>
      <c r="AO188" s="29">
        <v>0</v>
      </c>
      <c r="AP188" s="29">
        <v>0</v>
      </c>
    </row>
    <row r="189" spans="1:42" x14ac:dyDescent="0.25">
      <c r="A189" s="29">
        <v>27</v>
      </c>
      <c r="B189" s="29">
        <v>24603</v>
      </c>
      <c r="C189" s="29">
        <v>1</v>
      </c>
      <c r="D189" s="29" t="s">
        <v>606</v>
      </c>
      <c r="E189" s="29"/>
      <c r="F189" s="29">
        <v>0</v>
      </c>
      <c r="G189" s="29">
        <v>0</v>
      </c>
      <c r="H189" s="29">
        <v>0</v>
      </c>
      <c r="I189" s="29">
        <v>0</v>
      </c>
      <c r="J189" s="29">
        <v>0</v>
      </c>
      <c r="K189" s="29" t="s">
        <v>882</v>
      </c>
      <c r="L189" s="19" t="str">
        <f t="shared" si="16"/>
        <v>Рихтовка</v>
      </c>
      <c r="M189" s="12">
        <f t="shared" si="17"/>
        <v>0</v>
      </c>
      <c r="N189" s="12">
        <f t="shared" si="18"/>
        <v>0</v>
      </c>
      <c r="O189" s="12">
        <f t="shared" si="19"/>
        <v>0</v>
      </c>
      <c r="P189" s="12">
        <f t="shared" si="20"/>
        <v>0</v>
      </c>
      <c r="Q189" s="12">
        <f t="shared" si="21"/>
        <v>0</v>
      </c>
      <c r="R189" s="12">
        <f t="shared" si="22"/>
        <v>0</v>
      </c>
      <c r="S189" s="12">
        <f t="shared" si="23"/>
        <v>0</v>
      </c>
      <c r="T189" s="29">
        <v>0</v>
      </c>
      <c r="U189" s="29">
        <v>0</v>
      </c>
      <c r="V189" s="29">
        <v>0</v>
      </c>
      <c r="W189" s="29">
        <v>0</v>
      </c>
      <c r="X189" s="29">
        <v>0</v>
      </c>
      <c r="Y189" s="29">
        <v>0</v>
      </c>
      <c r="Z189" s="29">
        <v>0</v>
      </c>
      <c r="AA189" s="29">
        <v>0</v>
      </c>
      <c r="AB189" s="29">
        <v>0</v>
      </c>
      <c r="AC189" s="29">
        <v>0</v>
      </c>
      <c r="AD189" s="29">
        <v>0</v>
      </c>
      <c r="AE189" s="29">
        <v>0</v>
      </c>
      <c r="AF189" s="29">
        <v>0</v>
      </c>
      <c r="AG189" s="29">
        <v>0</v>
      </c>
      <c r="AH189" s="29">
        <v>0</v>
      </c>
      <c r="AI189" s="29">
        <v>0</v>
      </c>
      <c r="AJ189" s="29">
        <v>0</v>
      </c>
      <c r="AK189" s="29">
        <v>0</v>
      </c>
      <c r="AL189" s="29">
        <v>0</v>
      </c>
      <c r="AM189" s="29">
        <v>0</v>
      </c>
      <c r="AN189" s="29">
        <v>0</v>
      </c>
      <c r="AO189" s="29">
        <v>0</v>
      </c>
      <c r="AP189" s="29">
        <v>0</v>
      </c>
    </row>
    <row r="190" spans="1:42" x14ac:dyDescent="0.25">
      <c r="A190" s="29">
        <v>27</v>
      </c>
      <c r="B190" s="29">
        <v>24603</v>
      </c>
      <c r="C190" s="29">
        <v>1</v>
      </c>
      <c r="D190" s="29" t="s">
        <v>607</v>
      </c>
      <c r="E190" s="29"/>
      <c r="F190" s="29">
        <v>0</v>
      </c>
      <c r="G190" s="29">
        <v>0</v>
      </c>
      <c r="H190" s="29">
        <v>0</v>
      </c>
      <c r="I190" s="29">
        <v>0</v>
      </c>
      <c r="J190" s="29">
        <v>0</v>
      </c>
      <c r="K190" s="29" t="s">
        <v>882</v>
      </c>
      <c r="L190" s="19" t="str">
        <f t="shared" si="16"/>
        <v>Рихтовка</v>
      </c>
      <c r="M190" s="12">
        <f t="shared" si="17"/>
        <v>0</v>
      </c>
      <c r="N190" s="12">
        <f t="shared" si="18"/>
        <v>0</v>
      </c>
      <c r="O190" s="12">
        <f t="shared" si="19"/>
        <v>0</v>
      </c>
      <c r="P190" s="12">
        <f t="shared" si="20"/>
        <v>0</v>
      </c>
      <c r="Q190" s="12">
        <f t="shared" si="21"/>
        <v>0</v>
      </c>
      <c r="R190" s="12">
        <f t="shared" si="22"/>
        <v>0</v>
      </c>
      <c r="S190" s="12">
        <f t="shared" si="23"/>
        <v>0</v>
      </c>
      <c r="T190" s="29">
        <v>0</v>
      </c>
      <c r="U190" s="29">
        <v>0</v>
      </c>
      <c r="V190" s="29">
        <v>0</v>
      </c>
      <c r="W190" s="29">
        <v>0</v>
      </c>
      <c r="X190" s="29">
        <v>0</v>
      </c>
      <c r="Y190" s="29">
        <v>0</v>
      </c>
      <c r="Z190" s="29">
        <v>0</v>
      </c>
      <c r="AA190" s="29">
        <v>0</v>
      </c>
      <c r="AB190" s="29">
        <v>0</v>
      </c>
      <c r="AC190" s="29">
        <v>0</v>
      </c>
      <c r="AD190" s="29">
        <v>0</v>
      </c>
      <c r="AE190" s="29">
        <v>0</v>
      </c>
      <c r="AF190" s="29">
        <v>0</v>
      </c>
      <c r="AG190" s="29">
        <v>0</v>
      </c>
      <c r="AH190" s="29">
        <v>0</v>
      </c>
      <c r="AI190" s="29">
        <v>0</v>
      </c>
      <c r="AJ190" s="29">
        <v>0</v>
      </c>
      <c r="AK190" s="29">
        <v>0</v>
      </c>
      <c r="AL190" s="29">
        <v>0</v>
      </c>
      <c r="AM190" s="29">
        <v>0</v>
      </c>
      <c r="AN190" s="29">
        <v>0</v>
      </c>
      <c r="AO190" s="29">
        <v>0</v>
      </c>
      <c r="AP190" s="29">
        <v>0</v>
      </c>
    </row>
    <row r="191" spans="1:42" x14ac:dyDescent="0.25">
      <c r="A191" s="29">
        <v>27</v>
      </c>
      <c r="B191" s="29">
        <v>24603</v>
      </c>
      <c r="C191" s="29">
        <v>1</v>
      </c>
      <c r="D191" s="29" t="s">
        <v>608</v>
      </c>
      <c r="E191" s="29"/>
      <c r="F191" s="29">
        <v>0</v>
      </c>
      <c r="G191" s="29">
        <v>0</v>
      </c>
      <c r="H191" s="29">
        <v>0</v>
      </c>
      <c r="I191" s="29">
        <v>0</v>
      </c>
      <c r="J191" s="29">
        <v>0</v>
      </c>
      <c r="K191" s="29" t="s">
        <v>882</v>
      </c>
      <c r="L191" s="19" t="str">
        <f t="shared" si="16"/>
        <v>Рихтовка</v>
      </c>
      <c r="M191" s="12">
        <f t="shared" si="17"/>
        <v>0</v>
      </c>
      <c r="N191" s="12">
        <f t="shared" si="18"/>
        <v>0</v>
      </c>
      <c r="O191" s="12">
        <f t="shared" si="19"/>
        <v>0</v>
      </c>
      <c r="P191" s="12">
        <f t="shared" si="20"/>
        <v>0</v>
      </c>
      <c r="Q191" s="12">
        <f t="shared" si="21"/>
        <v>0</v>
      </c>
      <c r="R191" s="12">
        <f t="shared" si="22"/>
        <v>0</v>
      </c>
      <c r="S191" s="12">
        <f t="shared" si="23"/>
        <v>0</v>
      </c>
      <c r="T191" s="29">
        <v>0</v>
      </c>
      <c r="U191" s="29">
        <v>0</v>
      </c>
      <c r="V191" s="29">
        <v>0</v>
      </c>
      <c r="W191" s="29">
        <v>0</v>
      </c>
      <c r="X191" s="29">
        <v>0</v>
      </c>
      <c r="Y191" s="29">
        <v>0</v>
      </c>
      <c r="Z191" s="29">
        <v>0</v>
      </c>
      <c r="AA191" s="29">
        <v>0</v>
      </c>
      <c r="AB191" s="29">
        <v>0</v>
      </c>
      <c r="AC191" s="29">
        <v>0</v>
      </c>
      <c r="AD191" s="29">
        <v>0</v>
      </c>
      <c r="AE191" s="29">
        <v>0</v>
      </c>
      <c r="AF191" s="29">
        <v>0</v>
      </c>
      <c r="AG191" s="29">
        <v>0</v>
      </c>
      <c r="AH191" s="29">
        <v>0</v>
      </c>
      <c r="AI191" s="29">
        <v>0</v>
      </c>
      <c r="AJ191" s="29">
        <v>0</v>
      </c>
      <c r="AK191" s="29">
        <v>0</v>
      </c>
      <c r="AL191" s="29">
        <v>0</v>
      </c>
      <c r="AM191" s="29">
        <v>0</v>
      </c>
      <c r="AN191" s="29">
        <v>0</v>
      </c>
      <c r="AO191" s="29">
        <v>0</v>
      </c>
      <c r="AP191" s="29">
        <v>0</v>
      </c>
    </row>
    <row r="192" spans="1:42" x14ac:dyDescent="0.25">
      <c r="A192" s="29">
        <v>27</v>
      </c>
      <c r="B192" s="29">
        <v>24603</v>
      </c>
      <c r="C192" s="29">
        <v>1</v>
      </c>
      <c r="D192" s="29" t="s">
        <v>609</v>
      </c>
      <c r="E192" s="29"/>
      <c r="F192" s="29">
        <v>0</v>
      </c>
      <c r="G192" s="29">
        <v>0</v>
      </c>
      <c r="H192" s="29">
        <v>0</v>
      </c>
      <c r="I192" s="29">
        <v>0</v>
      </c>
      <c r="J192" s="29">
        <v>0</v>
      </c>
      <c r="K192" s="29" t="s">
        <v>882</v>
      </c>
      <c r="L192" s="19" t="str">
        <f t="shared" si="16"/>
        <v>Рихтовка</v>
      </c>
      <c r="M192" s="12">
        <f t="shared" si="17"/>
        <v>0</v>
      </c>
      <c r="N192" s="12">
        <f t="shared" si="18"/>
        <v>0</v>
      </c>
      <c r="O192" s="12">
        <f t="shared" si="19"/>
        <v>0</v>
      </c>
      <c r="P192" s="12">
        <f t="shared" si="20"/>
        <v>0</v>
      </c>
      <c r="Q192" s="12">
        <f t="shared" si="21"/>
        <v>0</v>
      </c>
      <c r="R192" s="12">
        <f t="shared" si="22"/>
        <v>0</v>
      </c>
      <c r="S192" s="12">
        <f t="shared" si="23"/>
        <v>0</v>
      </c>
      <c r="T192" s="29">
        <v>0</v>
      </c>
      <c r="U192" s="29">
        <v>0</v>
      </c>
      <c r="V192" s="29">
        <v>0</v>
      </c>
      <c r="W192" s="29">
        <v>0</v>
      </c>
      <c r="X192" s="29">
        <v>0</v>
      </c>
      <c r="Y192" s="29">
        <v>0</v>
      </c>
      <c r="Z192" s="29">
        <v>0</v>
      </c>
      <c r="AA192" s="29">
        <v>0</v>
      </c>
      <c r="AB192" s="29">
        <v>0</v>
      </c>
      <c r="AC192" s="29">
        <v>0</v>
      </c>
      <c r="AD192" s="29">
        <v>0</v>
      </c>
      <c r="AE192" s="29">
        <v>0</v>
      </c>
      <c r="AF192" s="29">
        <v>0</v>
      </c>
      <c r="AG192" s="29">
        <v>0</v>
      </c>
      <c r="AH192" s="29">
        <v>0</v>
      </c>
      <c r="AI192" s="29">
        <v>0</v>
      </c>
      <c r="AJ192" s="29">
        <v>0</v>
      </c>
      <c r="AK192" s="29">
        <v>0</v>
      </c>
      <c r="AL192" s="29">
        <v>0</v>
      </c>
      <c r="AM192" s="29">
        <v>0</v>
      </c>
      <c r="AN192" s="29">
        <v>0</v>
      </c>
      <c r="AO192" s="29">
        <v>0</v>
      </c>
      <c r="AP192" s="29">
        <v>0</v>
      </c>
    </row>
    <row r="193" spans="1:42" x14ac:dyDescent="0.25">
      <c r="A193" s="29">
        <v>27</v>
      </c>
      <c r="B193" s="29">
        <v>24603</v>
      </c>
      <c r="C193" s="29">
        <v>1</v>
      </c>
      <c r="D193" s="29" t="s">
        <v>610</v>
      </c>
      <c r="E193" s="29"/>
      <c r="F193" s="29">
        <v>0</v>
      </c>
      <c r="G193" s="29">
        <v>0</v>
      </c>
      <c r="H193" s="29">
        <v>0</v>
      </c>
      <c r="I193" s="29">
        <v>0</v>
      </c>
      <c r="J193" s="29">
        <v>0</v>
      </c>
      <c r="K193" s="29" t="s">
        <v>882</v>
      </c>
      <c r="L193" s="19" t="str">
        <f t="shared" si="16"/>
        <v>Рихтовка</v>
      </c>
      <c r="M193" s="12">
        <f t="shared" si="17"/>
        <v>0</v>
      </c>
      <c r="N193" s="12">
        <f t="shared" si="18"/>
        <v>0</v>
      </c>
      <c r="O193" s="12">
        <f t="shared" si="19"/>
        <v>0</v>
      </c>
      <c r="P193" s="12">
        <f t="shared" si="20"/>
        <v>0</v>
      </c>
      <c r="Q193" s="12">
        <f t="shared" si="21"/>
        <v>0</v>
      </c>
      <c r="R193" s="12">
        <f t="shared" si="22"/>
        <v>0</v>
      </c>
      <c r="S193" s="12">
        <f t="shared" si="23"/>
        <v>0</v>
      </c>
      <c r="T193" s="29">
        <v>0</v>
      </c>
      <c r="U193" s="29">
        <v>0</v>
      </c>
      <c r="V193" s="29">
        <v>0</v>
      </c>
      <c r="W193" s="29">
        <v>0</v>
      </c>
      <c r="X193" s="29">
        <v>0</v>
      </c>
      <c r="Y193" s="29">
        <v>0</v>
      </c>
      <c r="Z193" s="29">
        <v>0</v>
      </c>
      <c r="AA193" s="29">
        <v>0</v>
      </c>
      <c r="AB193" s="29">
        <v>0</v>
      </c>
      <c r="AC193" s="29">
        <v>0</v>
      </c>
      <c r="AD193" s="29">
        <v>0</v>
      </c>
      <c r="AE193" s="29">
        <v>0</v>
      </c>
      <c r="AF193" s="29">
        <v>0</v>
      </c>
      <c r="AG193" s="29">
        <v>0</v>
      </c>
      <c r="AH193" s="29">
        <v>0</v>
      </c>
      <c r="AI193" s="29">
        <v>0</v>
      </c>
      <c r="AJ193" s="29">
        <v>0</v>
      </c>
      <c r="AK193" s="29">
        <v>0</v>
      </c>
      <c r="AL193" s="29">
        <v>0</v>
      </c>
      <c r="AM193" s="29">
        <v>0</v>
      </c>
      <c r="AN193" s="29">
        <v>0</v>
      </c>
      <c r="AO193" s="29">
        <v>0</v>
      </c>
      <c r="AP193" s="29">
        <v>0</v>
      </c>
    </row>
    <row r="194" spans="1:42" x14ac:dyDescent="0.25">
      <c r="A194" s="29">
        <v>27</v>
      </c>
      <c r="B194" s="29">
        <v>24603</v>
      </c>
      <c r="C194" s="29">
        <v>1</v>
      </c>
      <c r="D194" s="29" t="s">
        <v>611</v>
      </c>
      <c r="E194" s="29"/>
      <c r="F194" s="29">
        <v>0</v>
      </c>
      <c r="G194" s="29">
        <v>0</v>
      </c>
      <c r="H194" s="29">
        <v>0</v>
      </c>
      <c r="I194" s="29">
        <v>0</v>
      </c>
      <c r="J194" s="29">
        <v>0</v>
      </c>
      <c r="K194" s="29" t="s">
        <v>882</v>
      </c>
      <c r="L194" s="19" t="str">
        <f t="shared" ref="L194:L257" si="24">IF($M194=N194,$N$1,IF($M194=O194,$O$1,IF($M194=P194,$P$1,IF($M194=Q194,$Q$1,IF($M194=R194,$R$1,$S$1)))))</f>
        <v>Рихтовка</v>
      </c>
      <c r="M194" s="12">
        <f t="shared" si="17"/>
        <v>0</v>
      </c>
      <c r="N194" s="12">
        <f t="shared" si="18"/>
        <v>0</v>
      </c>
      <c r="O194" s="12">
        <f t="shared" si="19"/>
        <v>0</v>
      </c>
      <c r="P194" s="12">
        <f t="shared" si="20"/>
        <v>0</v>
      </c>
      <c r="Q194" s="12">
        <f t="shared" si="21"/>
        <v>0</v>
      </c>
      <c r="R194" s="12">
        <f t="shared" si="22"/>
        <v>0</v>
      </c>
      <c r="S194" s="12">
        <f t="shared" si="23"/>
        <v>0</v>
      </c>
      <c r="T194" s="29">
        <v>0</v>
      </c>
      <c r="U194" s="29">
        <v>0</v>
      </c>
      <c r="V194" s="29">
        <v>0</v>
      </c>
      <c r="W194" s="29">
        <v>0</v>
      </c>
      <c r="X194" s="29">
        <v>0</v>
      </c>
      <c r="Y194" s="29">
        <v>0</v>
      </c>
      <c r="Z194" s="29">
        <v>0</v>
      </c>
      <c r="AA194" s="29">
        <v>0</v>
      </c>
      <c r="AB194" s="29">
        <v>0</v>
      </c>
      <c r="AC194" s="29">
        <v>0</v>
      </c>
      <c r="AD194" s="29">
        <v>0</v>
      </c>
      <c r="AE194" s="29">
        <v>0</v>
      </c>
      <c r="AF194" s="29">
        <v>0</v>
      </c>
      <c r="AG194" s="29">
        <v>0</v>
      </c>
      <c r="AH194" s="29">
        <v>0</v>
      </c>
      <c r="AI194" s="29">
        <v>0</v>
      </c>
      <c r="AJ194" s="29">
        <v>0</v>
      </c>
      <c r="AK194" s="29">
        <v>0</v>
      </c>
      <c r="AL194" s="29">
        <v>0</v>
      </c>
      <c r="AM194" s="29">
        <v>0</v>
      </c>
      <c r="AN194" s="29">
        <v>0</v>
      </c>
      <c r="AO194" s="29">
        <v>0</v>
      </c>
      <c r="AP194" s="29">
        <v>0</v>
      </c>
    </row>
    <row r="195" spans="1:42" x14ac:dyDescent="0.25">
      <c r="A195" s="29">
        <v>27</v>
      </c>
      <c r="B195" s="29">
        <v>24603</v>
      </c>
      <c r="C195" s="29">
        <v>1</v>
      </c>
      <c r="D195" s="29" t="s">
        <v>612</v>
      </c>
      <c r="E195" s="29"/>
      <c r="F195" s="29">
        <v>0</v>
      </c>
      <c r="G195" s="29">
        <v>0</v>
      </c>
      <c r="H195" s="29">
        <v>0</v>
      </c>
      <c r="I195" s="29">
        <v>0</v>
      </c>
      <c r="J195" s="29">
        <v>0</v>
      </c>
      <c r="K195" s="29" t="s">
        <v>882</v>
      </c>
      <c r="L195" s="19" t="str">
        <f t="shared" si="24"/>
        <v>Рихтовка</v>
      </c>
      <c r="M195" s="12">
        <f t="shared" ref="M195:M258" si="25">MAX(N195,O195,P195,Q195,R195,S195)</f>
        <v>0</v>
      </c>
      <c r="N195" s="12">
        <f t="shared" ref="N195:N258" si="26">T195+U195+V195</f>
        <v>0</v>
      </c>
      <c r="O195" s="12">
        <f t="shared" ref="O195:O258" si="27">W195+X195+Y195</f>
        <v>0</v>
      </c>
      <c r="P195" s="12">
        <f t="shared" ref="P195:P258" si="28">Z195+AA195+AB195</f>
        <v>0</v>
      </c>
      <c r="Q195" s="12">
        <f t="shared" ref="Q195:Q258" si="29">AC195+AD195+AE195</f>
        <v>0</v>
      </c>
      <c r="R195" s="12">
        <f t="shared" ref="R195:R258" si="30">AF195+AG195+AH195</f>
        <v>0</v>
      </c>
      <c r="S195" s="12">
        <f t="shared" ref="S195:S258" si="31">AI195+AJ195+AK195</f>
        <v>0</v>
      </c>
      <c r="T195" s="29">
        <v>0</v>
      </c>
      <c r="U195" s="29">
        <v>0</v>
      </c>
      <c r="V195" s="29">
        <v>0</v>
      </c>
      <c r="W195" s="29">
        <v>0</v>
      </c>
      <c r="X195" s="29">
        <v>0</v>
      </c>
      <c r="Y195" s="29">
        <v>0</v>
      </c>
      <c r="Z195" s="29">
        <v>0</v>
      </c>
      <c r="AA195" s="29">
        <v>0</v>
      </c>
      <c r="AB195" s="29">
        <v>0</v>
      </c>
      <c r="AC195" s="29">
        <v>0</v>
      </c>
      <c r="AD195" s="29">
        <v>0</v>
      </c>
      <c r="AE195" s="29">
        <v>0</v>
      </c>
      <c r="AF195" s="29">
        <v>0</v>
      </c>
      <c r="AG195" s="29">
        <v>0</v>
      </c>
      <c r="AH195" s="29">
        <v>0</v>
      </c>
      <c r="AI195" s="29">
        <v>0</v>
      </c>
      <c r="AJ195" s="29">
        <v>0</v>
      </c>
      <c r="AK195" s="29">
        <v>0</v>
      </c>
      <c r="AL195" s="29">
        <v>0</v>
      </c>
      <c r="AM195" s="29">
        <v>0</v>
      </c>
      <c r="AN195" s="29">
        <v>0</v>
      </c>
      <c r="AO195" s="29">
        <v>0</v>
      </c>
      <c r="AP195" s="29">
        <v>0</v>
      </c>
    </row>
    <row r="196" spans="1:42" x14ac:dyDescent="0.25">
      <c r="A196" s="29">
        <v>29</v>
      </c>
      <c r="B196" s="29">
        <v>24603</v>
      </c>
      <c r="C196" s="29">
        <v>1</v>
      </c>
      <c r="D196" s="29" t="s">
        <v>612</v>
      </c>
      <c r="E196" s="29"/>
      <c r="F196" s="29">
        <v>0</v>
      </c>
      <c r="G196" s="29">
        <v>0</v>
      </c>
      <c r="H196" s="29">
        <v>0</v>
      </c>
      <c r="I196" s="29">
        <v>0</v>
      </c>
      <c r="J196" s="29">
        <v>0</v>
      </c>
      <c r="K196" s="29" t="s">
        <v>882</v>
      </c>
      <c r="L196" s="19" t="str">
        <f t="shared" si="24"/>
        <v>Рихтовка</v>
      </c>
      <c r="M196" s="12">
        <f t="shared" si="25"/>
        <v>0</v>
      </c>
      <c r="N196" s="12">
        <f t="shared" si="26"/>
        <v>0</v>
      </c>
      <c r="O196" s="12">
        <f t="shared" si="27"/>
        <v>0</v>
      </c>
      <c r="P196" s="12">
        <f t="shared" si="28"/>
        <v>0</v>
      </c>
      <c r="Q196" s="12">
        <f t="shared" si="29"/>
        <v>0</v>
      </c>
      <c r="R196" s="12">
        <f t="shared" si="30"/>
        <v>0</v>
      </c>
      <c r="S196" s="12">
        <f t="shared" si="31"/>
        <v>0</v>
      </c>
      <c r="T196" s="29">
        <v>0</v>
      </c>
      <c r="U196" s="29">
        <v>0</v>
      </c>
      <c r="V196" s="29">
        <v>0</v>
      </c>
      <c r="W196" s="29">
        <v>0</v>
      </c>
      <c r="X196" s="29">
        <v>0</v>
      </c>
      <c r="Y196" s="29">
        <v>0</v>
      </c>
      <c r="Z196" s="29">
        <v>0</v>
      </c>
      <c r="AA196" s="29">
        <v>0</v>
      </c>
      <c r="AB196" s="29">
        <v>0</v>
      </c>
      <c r="AC196" s="29">
        <v>0</v>
      </c>
      <c r="AD196" s="29">
        <v>0</v>
      </c>
      <c r="AE196" s="29">
        <v>0</v>
      </c>
      <c r="AF196" s="29">
        <v>0</v>
      </c>
      <c r="AG196" s="29">
        <v>0</v>
      </c>
      <c r="AH196" s="29">
        <v>0</v>
      </c>
      <c r="AI196" s="29">
        <v>0</v>
      </c>
      <c r="AJ196" s="29">
        <v>0</v>
      </c>
      <c r="AK196" s="29">
        <v>0</v>
      </c>
      <c r="AL196" s="29">
        <v>0</v>
      </c>
      <c r="AM196" s="29">
        <v>0</v>
      </c>
      <c r="AN196" s="29">
        <v>0</v>
      </c>
      <c r="AO196" s="29">
        <v>0</v>
      </c>
      <c r="AP196" s="29">
        <v>0</v>
      </c>
    </row>
    <row r="197" spans="1:42" x14ac:dyDescent="0.25">
      <c r="A197" s="29">
        <v>29</v>
      </c>
      <c r="B197" s="29">
        <v>24603</v>
      </c>
      <c r="C197" s="29">
        <v>1</v>
      </c>
      <c r="D197" s="29" t="s">
        <v>613</v>
      </c>
      <c r="E197" s="29"/>
      <c r="F197" s="29">
        <v>0</v>
      </c>
      <c r="G197" s="29">
        <v>0</v>
      </c>
      <c r="H197" s="29">
        <v>0</v>
      </c>
      <c r="I197" s="29">
        <v>0</v>
      </c>
      <c r="J197" s="29">
        <v>0</v>
      </c>
      <c r="K197" s="29" t="s">
        <v>882</v>
      </c>
      <c r="L197" s="19" t="str">
        <f t="shared" si="24"/>
        <v>Рихтовка</v>
      </c>
      <c r="M197" s="12">
        <f t="shared" si="25"/>
        <v>0</v>
      </c>
      <c r="N197" s="12">
        <f t="shared" si="26"/>
        <v>0</v>
      </c>
      <c r="O197" s="12">
        <f t="shared" si="27"/>
        <v>0</v>
      </c>
      <c r="P197" s="12">
        <f t="shared" si="28"/>
        <v>0</v>
      </c>
      <c r="Q197" s="12">
        <f t="shared" si="29"/>
        <v>0</v>
      </c>
      <c r="R197" s="12">
        <f t="shared" si="30"/>
        <v>0</v>
      </c>
      <c r="S197" s="12">
        <f t="shared" si="31"/>
        <v>0</v>
      </c>
      <c r="T197" s="29">
        <v>0</v>
      </c>
      <c r="U197" s="29">
        <v>0</v>
      </c>
      <c r="V197" s="29">
        <v>0</v>
      </c>
      <c r="W197" s="29">
        <v>0</v>
      </c>
      <c r="X197" s="29">
        <v>0</v>
      </c>
      <c r="Y197" s="29">
        <v>0</v>
      </c>
      <c r="Z197" s="29">
        <v>0</v>
      </c>
      <c r="AA197" s="29">
        <v>0</v>
      </c>
      <c r="AB197" s="29">
        <v>0</v>
      </c>
      <c r="AC197" s="29">
        <v>0</v>
      </c>
      <c r="AD197" s="29">
        <v>0</v>
      </c>
      <c r="AE197" s="29">
        <v>0</v>
      </c>
      <c r="AF197" s="29">
        <v>0</v>
      </c>
      <c r="AG197" s="29">
        <v>0</v>
      </c>
      <c r="AH197" s="29">
        <v>0</v>
      </c>
      <c r="AI197" s="29">
        <v>0</v>
      </c>
      <c r="AJ197" s="29">
        <v>0</v>
      </c>
      <c r="AK197" s="29">
        <v>0</v>
      </c>
      <c r="AL197" s="29">
        <v>0</v>
      </c>
      <c r="AM197" s="29">
        <v>0</v>
      </c>
      <c r="AN197" s="29">
        <v>0</v>
      </c>
      <c r="AO197" s="29">
        <v>0</v>
      </c>
      <c r="AP197" s="29">
        <v>0</v>
      </c>
    </row>
    <row r="198" spans="1:42" x14ac:dyDescent="0.25">
      <c r="A198" s="29">
        <v>29</v>
      </c>
      <c r="B198" s="29">
        <v>24603</v>
      </c>
      <c r="C198" s="29">
        <v>1</v>
      </c>
      <c r="D198" s="29" t="s">
        <v>614</v>
      </c>
      <c r="E198" s="29"/>
      <c r="F198" s="29">
        <v>0</v>
      </c>
      <c r="G198" s="29">
        <v>0</v>
      </c>
      <c r="H198" s="29">
        <v>0</v>
      </c>
      <c r="I198" s="29">
        <v>0</v>
      </c>
      <c r="J198" s="29">
        <v>0</v>
      </c>
      <c r="K198" s="29" t="s">
        <v>882</v>
      </c>
      <c r="L198" s="19" t="str">
        <f t="shared" si="24"/>
        <v>Рихтовка</v>
      </c>
      <c r="M198" s="12">
        <f t="shared" si="25"/>
        <v>0</v>
      </c>
      <c r="N198" s="12">
        <f t="shared" si="26"/>
        <v>0</v>
      </c>
      <c r="O198" s="12">
        <f t="shared" si="27"/>
        <v>0</v>
      </c>
      <c r="P198" s="12">
        <f t="shared" si="28"/>
        <v>0</v>
      </c>
      <c r="Q198" s="12">
        <f t="shared" si="29"/>
        <v>0</v>
      </c>
      <c r="R198" s="12">
        <f t="shared" si="30"/>
        <v>0</v>
      </c>
      <c r="S198" s="12">
        <f t="shared" si="31"/>
        <v>0</v>
      </c>
      <c r="T198" s="29">
        <v>0</v>
      </c>
      <c r="U198" s="29">
        <v>0</v>
      </c>
      <c r="V198" s="29">
        <v>0</v>
      </c>
      <c r="W198" s="29">
        <v>0</v>
      </c>
      <c r="X198" s="29">
        <v>0</v>
      </c>
      <c r="Y198" s="29">
        <v>0</v>
      </c>
      <c r="Z198" s="29">
        <v>0</v>
      </c>
      <c r="AA198" s="29">
        <v>0</v>
      </c>
      <c r="AB198" s="29">
        <v>0</v>
      </c>
      <c r="AC198" s="29">
        <v>0</v>
      </c>
      <c r="AD198" s="29">
        <v>0</v>
      </c>
      <c r="AE198" s="29">
        <v>0</v>
      </c>
      <c r="AF198" s="29">
        <v>0</v>
      </c>
      <c r="AG198" s="29">
        <v>0</v>
      </c>
      <c r="AH198" s="29">
        <v>0</v>
      </c>
      <c r="AI198" s="29">
        <v>0</v>
      </c>
      <c r="AJ198" s="29">
        <v>0</v>
      </c>
      <c r="AK198" s="29">
        <v>0</v>
      </c>
      <c r="AL198" s="29">
        <v>0</v>
      </c>
      <c r="AM198" s="29">
        <v>0</v>
      </c>
      <c r="AN198" s="29">
        <v>0</v>
      </c>
      <c r="AO198" s="29">
        <v>0</v>
      </c>
      <c r="AP198" s="29">
        <v>0</v>
      </c>
    </row>
    <row r="199" spans="1:42" x14ac:dyDescent="0.25">
      <c r="A199" s="29">
        <v>29</v>
      </c>
      <c r="B199" s="29">
        <v>24604</v>
      </c>
      <c r="C199" s="29">
        <v>1</v>
      </c>
      <c r="D199" s="29" t="s">
        <v>615</v>
      </c>
      <c r="E199" s="29"/>
      <c r="F199" s="29">
        <v>0</v>
      </c>
      <c r="G199" s="29">
        <v>0</v>
      </c>
      <c r="H199" s="29">
        <v>0</v>
      </c>
      <c r="I199" s="29">
        <v>0</v>
      </c>
      <c r="J199" s="29">
        <v>0</v>
      </c>
      <c r="K199" s="29" t="s">
        <v>882</v>
      </c>
      <c r="L199" s="19" t="str">
        <f t="shared" si="24"/>
        <v>Рихтовка</v>
      </c>
      <c r="M199" s="12">
        <f t="shared" si="25"/>
        <v>0</v>
      </c>
      <c r="N199" s="12">
        <f t="shared" si="26"/>
        <v>0</v>
      </c>
      <c r="O199" s="12">
        <f t="shared" si="27"/>
        <v>0</v>
      </c>
      <c r="P199" s="12">
        <f t="shared" si="28"/>
        <v>0</v>
      </c>
      <c r="Q199" s="12">
        <f t="shared" si="29"/>
        <v>0</v>
      </c>
      <c r="R199" s="12">
        <f t="shared" si="30"/>
        <v>0</v>
      </c>
      <c r="S199" s="12">
        <f t="shared" si="31"/>
        <v>0</v>
      </c>
      <c r="T199" s="29">
        <v>0</v>
      </c>
      <c r="U199" s="29">
        <v>0</v>
      </c>
      <c r="V199" s="29">
        <v>0</v>
      </c>
      <c r="W199" s="29">
        <v>0</v>
      </c>
      <c r="X199" s="29">
        <v>0</v>
      </c>
      <c r="Y199" s="29">
        <v>0</v>
      </c>
      <c r="Z199" s="29">
        <v>0</v>
      </c>
      <c r="AA199" s="29">
        <v>0</v>
      </c>
      <c r="AB199" s="29">
        <v>0</v>
      </c>
      <c r="AC199" s="29">
        <v>0</v>
      </c>
      <c r="AD199" s="29">
        <v>0</v>
      </c>
      <c r="AE199" s="29">
        <v>0</v>
      </c>
      <c r="AF199" s="29">
        <v>0</v>
      </c>
      <c r="AG199" s="29">
        <v>0</v>
      </c>
      <c r="AH199" s="29">
        <v>0</v>
      </c>
      <c r="AI199" s="29">
        <v>0</v>
      </c>
      <c r="AJ199" s="29">
        <v>0</v>
      </c>
      <c r="AK199" s="29">
        <v>0</v>
      </c>
      <c r="AL199" s="29">
        <v>0</v>
      </c>
      <c r="AM199" s="29">
        <v>0</v>
      </c>
      <c r="AN199" s="29">
        <v>0</v>
      </c>
      <c r="AO199" s="29">
        <v>0</v>
      </c>
      <c r="AP199" s="29">
        <v>0</v>
      </c>
    </row>
    <row r="200" spans="1:42" x14ac:dyDescent="0.25">
      <c r="A200" s="29">
        <v>29</v>
      </c>
      <c r="B200" s="29">
        <v>24604</v>
      </c>
      <c r="C200" s="29">
        <v>1</v>
      </c>
      <c r="D200" s="29" t="s">
        <v>616</v>
      </c>
      <c r="E200" s="29"/>
      <c r="F200" s="29">
        <v>0</v>
      </c>
      <c r="G200" s="29">
        <v>0</v>
      </c>
      <c r="H200" s="29">
        <v>0</v>
      </c>
      <c r="I200" s="29">
        <v>0</v>
      </c>
      <c r="J200" s="29">
        <v>0</v>
      </c>
      <c r="K200" s="29" t="s">
        <v>882</v>
      </c>
      <c r="L200" s="19" t="str">
        <f t="shared" si="24"/>
        <v>Рихтовка</v>
      </c>
      <c r="M200" s="12">
        <f t="shared" si="25"/>
        <v>0</v>
      </c>
      <c r="N200" s="12">
        <f t="shared" si="26"/>
        <v>0</v>
      </c>
      <c r="O200" s="12">
        <f t="shared" si="27"/>
        <v>0</v>
      </c>
      <c r="P200" s="12">
        <f t="shared" si="28"/>
        <v>0</v>
      </c>
      <c r="Q200" s="12">
        <f t="shared" si="29"/>
        <v>0</v>
      </c>
      <c r="R200" s="12">
        <f t="shared" si="30"/>
        <v>0</v>
      </c>
      <c r="S200" s="12">
        <f t="shared" si="31"/>
        <v>0</v>
      </c>
      <c r="T200" s="29">
        <v>0</v>
      </c>
      <c r="U200" s="29">
        <v>0</v>
      </c>
      <c r="V200" s="29">
        <v>0</v>
      </c>
      <c r="W200" s="29">
        <v>0</v>
      </c>
      <c r="X200" s="29">
        <v>0</v>
      </c>
      <c r="Y200" s="29">
        <v>0</v>
      </c>
      <c r="Z200" s="29">
        <v>0</v>
      </c>
      <c r="AA200" s="29">
        <v>0</v>
      </c>
      <c r="AB200" s="29">
        <v>0</v>
      </c>
      <c r="AC200" s="29">
        <v>0</v>
      </c>
      <c r="AD200" s="29">
        <v>0</v>
      </c>
      <c r="AE200" s="29">
        <v>0</v>
      </c>
      <c r="AF200" s="29">
        <v>0</v>
      </c>
      <c r="AG200" s="29">
        <v>0</v>
      </c>
      <c r="AH200" s="29">
        <v>0</v>
      </c>
      <c r="AI200" s="29">
        <v>0</v>
      </c>
      <c r="AJ200" s="29">
        <v>0</v>
      </c>
      <c r="AK200" s="29">
        <v>0</v>
      </c>
      <c r="AL200" s="29">
        <v>0</v>
      </c>
      <c r="AM200" s="29">
        <v>0</v>
      </c>
      <c r="AN200" s="29">
        <v>0</v>
      </c>
      <c r="AO200" s="29">
        <v>0</v>
      </c>
      <c r="AP200" s="29">
        <v>0</v>
      </c>
    </row>
    <row r="201" spans="1:42" x14ac:dyDescent="0.25">
      <c r="A201" s="29">
        <v>29</v>
      </c>
      <c r="B201" s="29">
        <v>24604</v>
      </c>
      <c r="C201" s="29">
        <v>1</v>
      </c>
      <c r="D201" s="29" t="s">
        <v>617</v>
      </c>
      <c r="E201" s="29"/>
      <c r="F201" s="29">
        <v>0</v>
      </c>
      <c r="G201" s="29">
        <v>0</v>
      </c>
      <c r="H201" s="29">
        <v>0</v>
      </c>
      <c r="I201" s="29">
        <v>0</v>
      </c>
      <c r="J201" s="29">
        <v>0</v>
      </c>
      <c r="K201" s="29" t="s">
        <v>882</v>
      </c>
      <c r="L201" s="19" t="str">
        <f t="shared" si="24"/>
        <v>Рихтовка</v>
      </c>
      <c r="M201" s="12">
        <f t="shared" si="25"/>
        <v>0</v>
      </c>
      <c r="N201" s="12">
        <f t="shared" si="26"/>
        <v>0</v>
      </c>
      <c r="O201" s="12">
        <f t="shared" si="27"/>
        <v>0</v>
      </c>
      <c r="P201" s="12">
        <f t="shared" si="28"/>
        <v>0</v>
      </c>
      <c r="Q201" s="12">
        <f t="shared" si="29"/>
        <v>0</v>
      </c>
      <c r="R201" s="12">
        <f t="shared" si="30"/>
        <v>0</v>
      </c>
      <c r="S201" s="12">
        <f t="shared" si="31"/>
        <v>0</v>
      </c>
      <c r="T201" s="29">
        <v>0</v>
      </c>
      <c r="U201" s="29">
        <v>0</v>
      </c>
      <c r="V201" s="29">
        <v>0</v>
      </c>
      <c r="W201" s="29">
        <v>0</v>
      </c>
      <c r="X201" s="29">
        <v>0</v>
      </c>
      <c r="Y201" s="29">
        <v>0</v>
      </c>
      <c r="Z201" s="29">
        <v>0</v>
      </c>
      <c r="AA201" s="29">
        <v>0</v>
      </c>
      <c r="AB201" s="29">
        <v>0</v>
      </c>
      <c r="AC201" s="29">
        <v>0</v>
      </c>
      <c r="AD201" s="29">
        <v>0</v>
      </c>
      <c r="AE201" s="29">
        <v>0</v>
      </c>
      <c r="AF201" s="29">
        <v>0</v>
      </c>
      <c r="AG201" s="29">
        <v>0</v>
      </c>
      <c r="AH201" s="29">
        <v>0</v>
      </c>
      <c r="AI201" s="29">
        <v>0</v>
      </c>
      <c r="AJ201" s="29">
        <v>0</v>
      </c>
      <c r="AK201" s="29">
        <v>0</v>
      </c>
      <c r="AL201" s="29">
        <v>0</v>
      </c>
      <c r="AM201" s="29">
        <v>0</v>
      </c>
      <c r="AN201" s="29">
        <v>0</v>
      </c>
      <c r="AO201" s="29">
        <v>0</v>
      </c>
      <c r="AP201" s="29">
        <v>0</v>
      </c>
    </row>
    <row r="202" spans="1:42" x14ac:dyDescent="0.25">
      <c r="A202" s="29">
        <v>29</v>
      </c>
      <c r="B202" s="29">
        <v>24604</v>
      </c>
      <c r="C202" s="29">
        <v>1</v>
      </c>
      <c r="D202" s="29" t="s">
        <v>618</v>
      </c>
      <c r="E202" s="29"/>
      <c r="F202" s="29">
        <v>0</v>
      </c>
      <c r="G202" s="29">
        <v>0</v>
      </c>
      <c r="H202" s="29">
        <v>0</v>
      </c>
      <c r="I202" s="29">
        <v>0</v>
      </c>
      <c r="J202" s="29">
        <v>0</v>
      </c>
      <c r="K202" s="29" t="s">
        <v>882</v>
      </c>
      <c r="L202" s="19" t="str">
        <f t="shared" si="24"/>
        <v>Рихтовка</v>
      </c>
      <c r="M202" s="12">
        <f t="shared" si="25"/>
        <v>0</v>
      </c>
      <c r="N202" s="12">
        <f t="shared" si="26"/>
        <v>0</v>
      </c>
      <c r="O202" s="12">
        <f t="shared" si="27"/>
        <v>0</v>
      </c>
      <c r="P202" s="12">
        <f t="shared" si="28"/>
        <v>0</v>
      </c>
      <c r="Q202" s="12">
        <f t="shared" si="29"/>
        <v>0</v>
      </c>
      <c r="R202" s="12">
        <f t="shared" si="30"/>
        <v>0</v>
      </c>
      <c r="S202" s="12">
        <f t="shared" si="31"/>
        <v>0</v>
      </c>
      <c r="T202" s="29">
        <v>0</v>
      </c>
      <c r="U202" s="29">
        <v>0</v>
      </c>
      <c r="V202" s="29">
        <v>0</v>
      </c>
      <c r="W202" s="29">
        <v>0</v>
      </c>
      <c r="X202" s="29">
        <v>0</v>
      </c>
      <c r="Y202" s="29">
        <v>0</v>
      </c>
      <c r="Z202" s="29">
        <v>0</v>
      </c>
      <c r="AA202" s="29">
        <v>0</v>
      </c>
      <c r="AB202" s="29">
        <v>0</v>
      </c>
      <c r="AC202" s="29">
        <v>0</v>
      </c>
      <c r="AD202" s="29">
        <v>0</v>
      </c>
      <c r="AE202" s="29">
        <v>0</v>
      </c>
      <c r="AF202" s="29">
        <v>0</v>
      </c>
      <c r="AG202" s="29">
        <v>0</v>
      </c>
      <c r="AH202" s="29">
        <v>0</v>
      </c>
      <c r="AI202" s="29">
        <v>0</v>
      </c>
      <c r="AJ202" s="29">
        <v>0</v>
      </c>
      <c r="AK202" s="29">
        <v>0</v>
      </c>
      <c r="AL202" s="29">
        <v>0</v>
      </c>
      <c r="AM202" s="29">
        <v>0</v>
      </c>
      <c r="AN202" s="29">
        <v>0</v>
      </c>
      <c r="AO202" s="29">
        <v>0</v>
      </c>
      <c r="AP202" s="29">
        <v>0</v>
      </c>
    </row>
    <row r="203" spans="1:42" x14ac:dyDescent="0.25">
      <c r="A203" s="29">
        <v>29</v>
      </c>
      <c r="B203" s="29">
        <v>24604</v>
      </c>
      <c r="C203" s="29">
        <v>1</v>
      </c>
      <c r="D203" s="29" t="s">
        <v>619</v>
      </c>
      <c r="E203" s="29"/>
      <c r="F203" s="29">
        <v>0</v>
      </c>
      <c r="G203" s="29">
        <v>0</v>
      </c>
      <c r="H203" s="29">
        <v>0</v>
      </c>
      <c r="I203" s="29">
        <v>0</v>
      </c>
      <c r="J203" s="29">
        <v>0</v>
      </c>
      <c r="K203" s="29" t="s">
        <v>882</v>
      </c>
      <c r="L203" s="19" t="str">
        <f t="shared" si="24"/>
        <v>Рихтовка</v>
      </c>
      <c r="M203" s="12">
        <f t="shared" si="25"/>
        <v>0</v>
      </c>
      <c r="N203" s="12">
        <f t="shared" si="26"/>
        <v>0</v>
      </c>
      <c r="O203" s="12">
        <f t="shared" si="27"/>
        <v>0</v>
      </c>
      <c r="P203" s="12">
        <f t="shared" si="28"/>
        <v>0</v>
      </c>
      <c r="Q203" s="12">
        <f t="shared" si="29"/>
        <v>0</v>
      </c>
      <c r="R203" s="12">
        <f t="shared" si="30"/>
        <v>0</v>
      </c>
      <c r="S203" s="12">
        <f t="shared" si="31"/>
        <v>0</v>
      </c>
      <c r="T203" s="29">
        <v>0</v>
      </c>
      <c r="U203" s="29">
        <v>0</v>
      </c>
      <c r="V203" s="29">
        <v>0</v>
      </c>
      <c r="W203" s="29">
        <v>0</v>
      </c>
      <c r="X203" s="29">
        <v>0</v>
      </c>
      <c r="Y203" s="29">
        <v>0</v>
      </c>
      <c r="Z203" s="29">
        <v>0</v>
      </c>
      <c r="AA203" s="29">
        <v>0</v>
      </c>
      <c r="AB203" s="29">
        <v>0</v>
      </c>
      <c r="AC203" s="29">
        <v>0</v>
      </c>
      <c r="AD203" s="29">
        <v>0</v>
      </c>
      <c r="AE203" s="29">
        <v>0</v>
      </c>
      <c r="AF203" s="29">
        <v>0</v>
      </c>
      <c r="AG203" s="29">
        <v>0</v>
      </c>
      <c r="AH203" s="29">
        <v>0</v>
      </c>
      <c r="AI203" s="29">
        <v>0</v>
      </c>
      <c r="AJ203" s="29">
        <v>0</v>
      </c>
      <c r="AK203" s="29">
        <v>0</v>
      </c>
      <c r="AL203" s="29">
        <v>0</v>
      </c>
      <c r="AM203" s="29">
        <v>0</v>
      </c>
      <c r="AN203" s="29">
        <v>0</v>
      </c>
      <c r="AO203" s="29">
        <v>0</v>
      </c>
      <c r="AP203" s="29">
        <v>0</v>
      </c>
    </row>
    <row r="204" spans="1:42" x14ac:dyDescent="0.25">
      <c r="A204" s="29">
        <v>29</v>
      </c>
      <c r="B204" s="29">
        <v>24604</v>
      </c>
      <c r="C204" s="29">
        <v>1</v>
      </c>
      <c r="D204" s="29" t="s">
        <v>620</v>
      </c>
      <c r="E204" s="29"/>
      <c r="F204" s="29">
        <v>0</v>
      </c>
      <c r="G204" s="29">
        <v>0</v>
      </c>
      <c r="H204" s="29">
        <v>0</v>
      </c>
      <c r="I204" s="29">
        <v>0</v>
      </c>
      <c r="J204" s="29">
        <v>0</v>
      </c>
      <c r="K204" s="29" t="s">
        <v>882</v>
      </c>
      <c r="L204" s="19" t="str">
        <f t="shared" si="24"/>
        <v>Рихтовка</v>
      </c>
      <c r="M204" s="12">
        <f t="shared" si="25"/>
        <v>0</v>
      </c>
      <c r="N204" s="12">
        <f t="shared" si="26"/>
        <v>0</v>
      </c>
      <c r="O204" s="12">
        <f t="shared" si="27"/>
        <v>0</v>
      </c>
      <c r="P204" s="12">
        <f t="shared" si="28"/>
        <v>0</v>
      </c>
      <c r="Q204" s="12">
        <f t="shared" si="29"/>
        <v>0</v>
      </c>
      <c r="R204" s="12">
        <f t="shared" si="30"/>
        <v>0</v>
      </c>
      <c r="S204" s="12">
        <f t="shared" si="31"/>
        <v>0</v>
      </c>
      <c r="T204" s="29">
        <v>0</v>
      </c>
      <c r="U204" s="29">
        <v>0</v>
      </c>
      <c r="V204" s="29">
        <v>0</v>
      </c>
      <c r="W204" s="29">
        <v>0</v>
      </c>
      <c r="X204" s="29">
        <v>0</v>
      </c>
      <c r="Y204" s="29">
        <v>0</v>
      </c>
      <c r="Z204" s="29">
        <v>0</v>
      </c>
      <c r="AA204" s="29">
        <v>0</v>
      </c>
      <c r="AB204" s="29">
        <v>0</v>
      </c>
      <c r="AC204" s="29">
        <v>0</v>
      </c>
      <c r="AD204" s="29">
        <v>0</v>
      </c>
      <c r="AE204" s="29">
        <v>0</v>
      </c>
      <c r="AF204" s="29">
        <v>0</v>
      </c>
      <c r="AG204" s="29">
        <v>0</v>
      </c>
      <c r="AH204" s="29">
        <v>0</v>
      </c>
      <c r="AI204" s="29">
        <v>0</v>
      </c>
      <c r="AJ204" s="29">
        <v>0</v>
      </c>
      <c r="AK204" s="29">
        <v>0</v>
      </c>
      <c r="AL204" s="29">
        <v>0</v>
      </c>
      <c r="AM204" s="29">
        <v>0</v>
      </c>
      <c r="AN204" s="29">
        <v>0</v>
      </c>
      <c r="AO204" s="29">
        <v>0</v>
      </c>
      <c r="AP204" s="29">
        <v>0</v>
      </c>
    </row>
    <row r="205" spans="1:42" x14ac:dyDescent="0.25">
      <c r="A205" s="29">
        <v>30</v>
      </c>
      <c r="B205" s="29">
        <v>24604</v>
      </c>
      <c r="C205" s="29">
        <v>1</v>
      </c>
      <c r="D205" s="29" t="s">
        <v>620</v>
      </c>
      <c r="E205" s="29"/>
      <c r="F205" s="29">
        <v>0</v>
      </c>
      <c r="G205" s="29">
        <v>0</v>
      </c>
      <c r="H205" s="29">
        <v>0</v>
      </c>
      <c r="I205" s="29">
        <v>0</v>
      </c>
      <c r="J205" s="29">
        <v>0</v>
      </c>
      <c r="K205" s="29" t="s">
        <v>882</v>
      </c>
      <c r="L205" s="19" t="str">
        <f t="shared" si="24"/>
        <v>Рихтовка</v>
      </c>
      <c r="M205" s="12">
        <f t="shared" si="25"/>
        <v>0</v>
      </c>
      <c r="N205" s="12">
        <f t="shared" si="26"/>
        <v>0</v>
      </c>
      <c r="O205" s="12">
        <f t="shared" si="27"/>
        <v>0</v>
      </c>
      <c r="P205" s="12">
        <f t="shared" si="28"/>
        <v>0</v>
      </c>
      <c r="Q205" s="12">
        <f t="shared" si="29"/>
        <v>0</v>
      </c>
      <c r="R205" s="12">
        <f t="shared" si="30"/>
        <v>0</v>
      </c>
      <c r="S205" s="12">
        <f t="shared" si="31"/>
        <v>0</v>
      </c>
      <c r="T205" s="29">
        <v>0</v>
      </c>
      <c r="U205" s="29">
        <v>0</v>
      </c>
      <c r="V205" s="29">
        <v>0</v>
      </c>
      <c r="W205" s="29">
        <v>0</v>
      </c>
      <c r="X205" s="29">
        <v>0</v>
      </c>
      <c r="Y205" s="29">
        <v>0</v>
      </c>
      <c r="Z205" s="29">
        <v>0</v>
      </c>
      <c r="AA205" s="29">
        <v>0</v>
      </c>
      <c r="AB205" s="29">
        <v>0</v>
      </c>
      <c r="AC205" s="29">
        <v>0</v>
      </c>
      <c r="AD205" s="29">
        <v>0</v>
      </c>
      <c r="AE205" s="29">
        <v>0</v>
      </c>
      <c r="AF205" s="29">
        <v>0</v>
      </c>
      <c r="AG205" s="29">
        <v>0</v>
      </c>
      <c r="AH205" s="29">
        <v>0</v>
      </c>
      <c r="AI205" s="29">
        <v>0</v>
      </c>
      <c r="AJ205" s="29">
        <v>0</v>
      </c>
      <c r="AK205" s="29">
        <v>0</v>
      </c>
      <c r="AL205" s="29">
        <v>0</v>
      </c>
      <c r="AM205" s="29">
        <v>0</v>
      </c>
      <c r="AN205" s="29">
        <v>0</v>
      </c>
      <c r="AO205" s="29">
        <v>0</v>
      </c>
      <c r="AP205" s="29">
        <v>0</v>
      </c>
    </row>
    <row r="206" spans="1:42" x14ac:dyDescent="0.25">
      <c r="A206" s="29">
        <v>30</v>
      </c>
      <c r="B206" s="29">
        <v>24604</v>
      </c>
      <c r="C206" s="29">
        <v>1</v>
      </c>
      <c r="D206" s="29" t="s">
        <v>621</v>
      </c>
      <c r="E206" s="29"/>
      <c r="F206" s="29">
        <v>0</v>
      </c>
      <c r="G206" s="29">
        <v>0</v>
      </c>
      <c r="H206" s="29">
        <v>0</v>
      </c>
      <c r="I206" s="29">
        <v>0</v>
      </c>
      <c r="J206" s="29">
        <v>0</v>
      </c>
      <c r="K206" s="29" t="s">
        <v>882</v>
      </c>
      <c r="L206" s="19" t="str">
        <f t="shared" si="24"/>
        <v>Рихтовка</v>
      </c>
      <c r="M206" s="12">
        <f t="shared" si="25"/>
        <v>0</v>
      </c>
      <c r="N206" s="12">
        <f t="shared" si="26"/>
        <v>0</v>
      </c>
      <c r="O206" s="12">
        <f t="shared" si="27"/>
        <v>0</v>
      </c>
      <c r="P206" s="12">
        <f t="shared" si="28"/>
        <v>0</v>
      </c>
      <c r="Q206" s="12">
        <f t="shared" si="29"/>
        <v>0</v>
      </c>
      <c r="R206" s="12">
        <f t="shared" si="30"/>
        <v>0</v>
      </c>
      <c r="S206" s="12">
        <f t="shared" si="31"/>
        <v>0</v>
      </c>
      <c r="T206" s="29">
        <v>0</v>
      </c>
      <c r="U206" s="29">
        <v>0</v>
      </c>
      <c r="V206" s="29">
        <v>0</v>
      </c>
      <c r="W206" s="29">
        <v>0</v>
      </c>
      <c r="X206" s="29">
        <v>0</v>
      </c>
      <c r="Y206" s="29">
        <v>0</v>
      </c>
      <c r="Z206" s="29">
        <v>0</v>
      </c>
      <c r="AA206" s="29">
        <v>0</v>
      </c>
      <c r="AB206" s="29">
        <v>0</v>
      </c>
      <c r="AC206" s="29">
        <v>0</v>
      </c>
      <c r="AD206" s="29">
        <v>0</v>
      </c>
      <c r="AE206" s="29">
        <v>0</v>
      </c>
      <c r="AF206" s="29">
        <v>0</v>
      </c>
      <c r="AG206" s="29">
        <v>0</v>
      </c>
      <c r="AH206" s="29">
        <v>0</v>
      </c>
      <c r="AI206" s="29">
        <v>0</v>
      </c>
      <c r="AJ206" s="29">
        <v>0</v>
      </c>
      <c r="AK206" s="29">
        <v>0</v>
      </c>
      <c r="AL206" s="29">
        <v>0</v>
      </c>
      <c r="AM206" s="29">
        <v>0</v>
      </c>
      <c r="AN206" s="29">
        <v>0</v>
      </c>
      <c r="AO206" s="29">
        <v>0</v>
      </c>
      <c r="AP206" s="29">
        <v>0</v>
      </c>
    </row>
    <row r="207" spans="1:42" x14ac:dyDescent="0.25">
      <c r="A207" s="29">
        <v>30</v>
      </c>
      <c r="B207" s="29">
        <v>24604</v>
      </c>
      <c r="C207" s="29">
        <v>1</v>
      </c>
      <c r="D207" s="29" t="s">
        <v>622</v>
      </c>
      <c r="E207" s="29"/>
      <c r="F207" s="29">
        <v>0</v>
      </c>
      <c r="G207" s="29">
        <v>0</v>
      </c>
      <c r="H207" s="29">
        <v>0</v>
      </c>
      <c r="I207" s="29">
        <v>0</v>
      </c>
      <c r="J207" s="29">
        <v>0</v>
      </c>
      <c r="K207" s="29" t="s">
        <v>882</v>
      </c>
      <c r="L207" s="19" t="str">
        <f t="shared" si="24"/>
        <v>Рихтовка</v>
      </c>
      <c r="M207" s="12">
        <f t="shared" si="25"/>
        <v>0</v>
      </c>
      <c r="N207" s="12">
        <f t="shared" si="26"/>
        <v>0</v>
      </c>
      <c r="O207" s="12">
        <f t="shared" si="27"/>
        <v>0</v>
      </c>
      <c r="P207" s="12">
        <f t="shared" si="28"/>
        <v>0</v>
      </c>
      <c r="Q207" s="12">
        <f t="shared" si="29"/>
        <v>0</v>
      </c>
      <c r="R207" s="12">
        <f t="shared" si="30"/>
        <v>0</v>
      </c>
      <c r="S207" s="12">
        <f t="shared" si="31"/>
        <v>0</v>
      </c>
      <c r="T207" s="29">
        <v>0</v>
      </c>
      <c r="U207" s="29">
        <v>0</v>
      </c>
      <c r="V207" s="29">
        <v>0</v>
      </c>
      <c r="W207" s="29">
        <v>0</v>
      </c>
      <c r="X207" s="29">
        <v>0</v>
      </c>
      <c r="Y207" s="29">
        <v>0</v>
      </c>
      <c r="Z207" s="29">
        <v>0</v>
      </c>
      <c r="AA207" s="29">
        <v>0</v>
      </c>
      <c r="AB207" s="29">
        <v>0</v>
      </c>
      <c r="AC207" s="29">
        <v>0</v>
      </c>
      <c r="AD207" s="29">
        <v>0</v>
      </c>
      <c r="AE207" s="29">
        <v>0</v>
      </c>
      <c r="AF207" s="29">
        <v>0</v>
      </c>
      <c r="AG207" s="29">
        <v>0</v>
      </c>
      <c r="AH207" s="29">
        <v>0</v>
      </c>
      <c r="AI207" s="29">
        <v>0</v>
      </c>
      <c r="AJ207" s="29">
        <v>0</v>
      </c>
      <c r="AK207" s="29">
        <v>0</v>
      </c>
      <c r="AL207" s="29">
        <v>0</v>
      </c>
      <c r="AM207" s="29">
        <v>0</v>
      </c>
      <c r="AN207" s="29">
        <v>0</v>
      </c>
      <c r="AO207" s="29">
        <v>0</v>
      </c>
      <c r="AP207" s="29">
        <v>0</v>
      </c>
    </row>
    <row r="208" spans="1:42" x14ac:dyDescent="0.25">
      <c r="A208" s="29">
        <v>30</v>
      </c>
      <c r="B208" s="29">
        <v>24604</v>
      </c>
      <c r="C208" s="29">
        <v>1</v>
      </c>
      <c r="D208" s="29" t="s">
        <v>623</v>
      </c>
      <c r="E208" s="29"/>
      <c r="F208" s="29">
        <v>0</v>
      </c>
      <c r="G208" s="29">
        <v>0</v>
      </c>
      <c r="H208" s="29">
        <v>0</v>
      </c>
      <c r="I208" s="29">
        <v>0</v>
      </c>
      <c r="J208" s="29">
        <v>0</v>
      </c>
      <c r="K208" s="29" t="s">
        <v>882</v>
      </c>
      <c r="L208" s="19" t="str">
        <f t="shared" si="24"/>
        <v>Рихтовка</v>
      </c>
      <c r="M208" s="12">
        <f t="shared" si="25"/>
        <v>0</v>
      </c>
      <c r="N208" s="12">
        <f t="shared" si="26"/>
        <v>0</v>
      </c>
      <c r="O208" s="12">
        <f t="shared" si="27"/>
        <v>0</v>
      </c>
      <c r="P208" s="12">
        <f t="shared" si="28"/>
        <v>0</v>
      </c>
      <c r="Q208" s="12">
        <f t="shared" si="29"/>
        <v>0</v>
      </c>
      <c r="R208" s="12">
        <f t="shared" si="30"/>
        <v>0</v>
      </c>
      <c r="S208" s="12">
        <f t="shared" si="31"/>
        <v>0</v>
      </c>
      <c r="T208" s="29">
        <v>0</v>
      </c>
      <c r="U208" s="29">
        <v>0</v>
      </c>
      <c r="V208" s="29">
        <v>0</v>
      </c>
      <c r="W208" s="29">
        <v>0</v>
      </c>
      <c r="X208" s="29">
        <v>0</v>
      </c>
      <c r="Y208" s="29">
        <v>0</v>
      </c>
      <c r="Z208" s="29">
        <v>0</v>
      </c>
      <c r="AA208" s="29">
        <v>0</v>
      </c>
      <c r="AB208" s="29">
        <v>0</v>
      </c>
      <c r="AC208" s="29">
        <v>0</v>
      </c>
      <c r="AD208" s="29">
        <v>0</v>
      </c>
      <c r="AE208" s="29">
        <v>0</v>
      </c>
      <c r="AF208" s="29">
        <v>0</v>
      </c>
      <c r="AG208" s="29">
        <v>0</v>
      </c>
      <c r="AH208" s="29">
        <v>0</v>
      </c>
      <c r="AI208" s="29">
        <v>0</v>
      </c>
      <c r="AJ208" s="29">
        <v>0</v>
      </c>
      <c r="AK208" s="29">
        <v>0</v>
      </c>
      <c r="AL208" s="29">
        <v>0</v>
      </c>
      <c r="AM208" s="29">
        <v>0</v>
      </c>
      <c r="AN208" s="29">
        <v>0</v>
      </c>
      <c r="AO208" s="29">
        <v>0</v>
      </c>
      <c r="AP208" s="29">
        <v>0</v>
      </c>
    </row>
    <row r="209" spans="1:42" x14ac:dyDescent="0.25">
      <c r="A209" s="29">
        <v>30</v>
      </c>
      <c r="B209" s="29">
        <v>24604</v>
      </c>
      <c r="C209" s="29">
        <v>1</v>
      </c>
      <c r="D209" s="29" t="s">
        <v>624</v>
      </c>
      <c r="E209" s="29"/>
      <c r="F209" s="29">
        <v>0</v>
      </c>
      <c r="G209" s="29">
        <v>0</v>
      </c>
      <c r="H209" s="29">
        <v>0</v>
      </c>
      <c r="I209" s="29">
        <v>0</v>
      </c>
      <c r="J209" s="29">
        <v>0</v>
      </c>
      <c r="K209" s="29" t="s">
        <v>882</v>
      </c>
      <c r="L209" s="19" t="str">
        <f t="shared" si="24"/>
        <v>Рихтовка</v>
      </c>
      <c r="M209" s="12">
        <f t="shared" si="25"/>
        <v>0</v>
      </c>
      <c r="N209" s="12">
        <f t="shared" si="26"/>
        <v>0</v>
      </c>
      <c r="O209" s="12">
        <f t="shared" si="27"/>
        <v>0</v>
      </c>
      <c r="P209" s="12">
        <f t="shared" si="28"/>
        <v>0</v>
      </c>
      <c r="Q209" s="12">
        <f t="shared" si="29"/>
        <v>0</v>
      </c>
      <c r="R209" s="12">
        <f t="shared" si="30"/>
        <v>0</v>
      </c>
      <c r="S209" s="12">
        <f t="shared" si="31"/>
        <v>0</v>
      </c>
      <c r="T209" s="29">
        <v>0</v>
      </c>
      <c r="U209" s="29">
        <v>0</v>
      </c>
      <c r="V209" s="29">
        <v>0</v>
      </c>
      <c r="W209" s="29">
        <v>0</v>
      </c>
      <c r="X209" s="29">
        <v>0</v>
      </c>
      <c r="Y209" s="29">
        <v>0</v>
      </c>
      <c r="Z209" s="29">
        <v>0</v>
      </c>
      <c r="AA209" s="29">
        <v>0</v>
      </c>
      <c r="AB209" s="29">
        <v>0</v>
      </c>
      <c r="AC209" s="29">
        <v>0</v>
      </c>
      <c r="AD209" s="29">
        <v>0</v>
      </c>
      <c r="AE209" s="29">
        <v>0</v>
      </c>
      <c r="AF209" s="29">
        <v>0</v>
      </c>
      <c r="AG209" s="29">
        <v>0</v>
      </c>
      <c r="AH209" s="29">
        <v>0</v>
      </c>
      <c r="AI209" s="29">
        <v>0</v>
      </c>
      <c r="AJ209" s="29">
        <v>0</v>
      </c>
      <c r="AK209" s="29">
        <v>0</v>
      </c>
      <c r="AL209" s="29">
        <v>0</v>
      </c>
      <c r="AM209" s="29">
        <v>0</v>
      </c>
      <c r="AN209" s="29">
        <v>0</v>
      </c>
      <c r="AO209" s="29">
        <v>0</v>
      </c>
      <c r="AP209" s="29">
        <v>0</v>
      </c>
    </row>
    <row r="210" spans="1:42" x14ac:dyDescent="0.25">
      <c r="A210" s="29">
        <v>30</v>
      </c>
      <c r="B210" s="29">
        <v>24604</v>
      </c>
      <c r="C210" s="29">
        <v>1</v>
      </c>
      <c r="D210" s="29" t="s">
        <v>625</v>
      </c>
      <c r="E210" s="29"/>
      <c r="F210" s="29">
        <v>0</v>
      </c>
      <c r="G210" s="29">
        <v>0</v>
      </c>
      <c r="H210" s="29">
        <v>0</v>
      </c>
      <c r="I210" s="29">
        <v>0</v>
      </c>
      <c r="J210" s="29">
        <v>0</v>
      </c>
      <c r="K210" s="29" t="s">
        <v>882</v>
      </c>
      <c r="L210" s="19" t="str">
        <f t="shared" si="24"/>
        <v>Рихтовка</v>
      </c>
      <c r="M210" s="12">
        <f t="shared" si="25"/>
        <v>0</v>
      </c>
      <c r="N210" s="12">
        <f t="shared" si="26"/>
        <v>0</v>
      </c>
      <c r="O210" s="12">
        <f t="shared" si="27"/>
        <v>0</v>
      </c>
      <c r="P210" s="12">
        <f t="shared" si="28"/>
        <v>0</v>
      </c>
      <c r="Q210" s="12">
        <f t="shared" si="29"/>
        <v>0</v>
      </c>
      <c r="R210" s="12">
        <f t="shared" si="30"/>
        <v>0</v>
      </c>
      <c r="S210" s="12">
        <f t="shared" si="31"/>
        <v>0</v>
      </c>
      <c r="T210" s="29">
        <v>0</v>
      </c>
      <c r="U210" s="29">
        <v>0</v>
      </c>
      <c r="V210" s="29">
        <v>0</v>
      </c>
      <c r="W210" s="29">
        <v>0</v>
      </c>
      <c r="X210" s="29">
        <v>0</v>
      </c>
      <c r="Y210" s="29">
        <v>0</v>
      </c>
      <c r="Z210" s="29">
        <v>0</v>
      </c>
      <c r="AA210" s="29">
        <v>0</v>
      </c>
      <c r="AB210" s="29">
        <v>0</v>
      </c>
      <c r="AC210" s="29">
        <v>0</v>
      </c>
      <c r="AD210" s="29">
        <v>0</v>
      </c>
      <c r="AE210" s="29">
        <v>0</v>
      </c>
      <c r="AF210" s="29">
        <v>0</v>
      </c>
      <c r="AG210" s="29">
        <v>0</v>
      </c>
      <c r="AH210" s="29">
        <v>0</v>
      </c>
      <c r="AI210" s="29">
        <v>0</v>
      </c>
      <c r="AJ210" s="29">
        <v>0</v>
      </c>
      <c r="AK210" s="29">
        <v>0</v>
      </c>
      <c r="AL210" s="29">
        <v>0</v>
      </c>
      <c r="AM210" s="29">
        <v>0</v>
      </c>
      <c r="AN210" s="29">
        <v>0</v>
      </c>
      <c r="AO210" s="29">
        <v>0</v>
      </c>
      <c r="AP210" s="29">
        <v>0</v>
      </c>
    </row>
    <row r="211" spans="1:42" x14ac:dyDescent="0.25">
      <c r="A211" s="29">
        <v>30</v>
      </c>
      <c r="B211" s="29">
        <v>24604</v>
      </c>
      <c r="C211" s="29">
        <v>1</v>
      </c>
      <c r="D211" s="29" t="s">
        <v>626</v>
      </c>
      <c r="E211" s="29"/>
      <c r="F211" s="29">
        <v>0</v>
      </c>
      <c r="G211" s="29">
        <v>0</v>
      </c>
      <c r="H211" s="29">
        <v>0</v>
      </c>
      <c r="I211" s="29">
        <v>0</v>
      </c>
      <c r="J211" s="29">
        <v>0</v>
      </c>
      <c r="K211" s="29" t="s">
        <v>882</v>
      </c>
      <c r="L211" s="19" t="str">
        <f t="shared" si="24"/>
        <v>Рихтовка</v>
      </c>
      <c r="M211" s="12">
        <f t="shared" si="25"/>
        <v>0</v>
      </c>
      <c r="N211" s="12">
        <f t="shared" si="26"/>
        <v>0</v>
      </c>
      <c r="O211" s="12">
        <f t="shared" si="27"/>
        <v>0</v>
      </c>
      <c r="P211" s="12">
        <f t="shared" si="28"/>
        <v>0</v>
      </c>
      <c r="Q211" s="12">
        <f t="shared" si="29"/>
        <v>0</v>
      </c>
      <c r="R211" s="12">
        <f t="shared" si="30"/>
        <v>0</v>
      </c>
      <c r="S211" s="12">
        <f t="shared" si="31"/>
        <v>0</v>
      </c>
      <c r="T211" s="29">
        <v>0</v>
      </c>
      <c r="U211" s="29">
        <v>0</v>
      </c>
      <c r="V211" s="29">
        <v>0</v>
      </c>
      <c r="W211" s="29">
        <v>0</v>
      </c>
      <c r="X211" s="29">
        <v>0</v>
      </c>
      <c r="Y211" s="29">
        <v>0</v>
      </c>
      <c r="Z211" s="29">
        <v>0</v>
      </c>
      <c r="AA211" s="29">
        <v>0</v>
      </c>
      <c r="AB211" s="29">
        <v>0</v>
      </c>
      <c r="AC211" s="29">
        <v>0</v>
      </c>
      <c r="AD211" s="29">
        <v>0</v>
      </c>
      <c r="AE211" s="29">
        <v>0</v>
      </c>
      <c r="AF211" s="29">
        <v>0</v>
      </c>
      <c r="AG211" s="29">
        <v>0</v>
      </c>
      <c r="AH211" s="29">
        <v>0</v>
      </c>
      <c r="AI211" s="29">
        <v>0</v>
      </c>
      <c r="AJ211" s="29">
        <v>0</v>
      </c>
      <c r="AK211" s="29">
        <v>0</v>
      </c>
      <c r="AL211" s="29">
        <v>0</v>
      </c>
      <c r="AM211" s="29">
        <v>0</v>
      </c>
      <c r="AN211" s="29">
        <v>0</v>
      </c>
      <c r="AO211" s="29">
        <v>0</v>
      </c>
      <c r="AP211" s="29">
        <v>0</v>
      </c>
    </row>
    <row r="212" spans="1:42" x14ac:dyDescent="0.25">
      <c r="A212" s="29">
        <v>30</v>
      </c>
      <c r="B212" s="29">
        <v>24604</v>
      </c>
      <c r="C212" s="29">
        <v>1</v>
      </c>
      <c r="D212" s="29" t="s">
        <v>627</v>
      </c>
      <c r="E212" s="29"/>
      <c r="F212" s="29">
        <v>0</v>
      </c>
      <c r="G212" s="29">
        <v>0</v>
      </c>
      <c r="H212" s="29">
        <v>0</v>
      </c>
      <c r="I212" s="29">
        <v>0</v>
      </c>
      <c r="J212" s="29">
        <v>0</v>
      </c>
      <c r="K212" s="29" t="s">
        <v>882</v>
      </c>
      <c r="L212" s="19" t="str">
        <f t="shared" si="24"/>
        <v>Рихтовка</v>
      </c>
      <c r="M212" s="12">
        <f t="shared" si="25"/>
        <v>0</v>
      </c>
      <c r="N212" s="12">
        <f t="shared" si="26"/>
        <v>0</v>
      </c>
      <c r="O212" s="12">
        <f t="shared" si="27"/>
        <v>0</v>
      </c>
      <c r="P212" s="12">
        <f t="shared" si="28"/>
        <v>0</v>
      </c>
      <c r="Q212" s="12">
        <f t="shared" si="29"/>
        <v>0</v>
      </c>
      <c r="R212" s="12">
        <f t="shared" si="30"/>
        <v>0</v>
      </c>
      <c r="S212" s="12">
        <f t="shared" si="31"/>
        <v>0</v>
      </c>
      <c r="T212" s="29">
        <v>0</v>
      </c>
      <c r="U212" s="29">
        <v>0</v>
      </c>
      <c r="V212" s="29">
        <v>0</v>
      </c>
      <c r="W212" s="29">
        <v>0</v>
      </c>
      <c r="X212" s="29">
        <v>0</v>
      </c>
      <c r="Y212" s="29">
        <v>0</v>
      </c>
      <c r="Z212" s="29">
        <v>0</v>
      </c>
      <c r="AA212" s="29">
        <v>0</v>
      </c>
      <c r="AB212" s="29">
        <v>0</v>
      </c>
      <c r="AC212" s="29">
        <v>0</v>
      </c>
      <c r="AD212" s="29">
        <v>0</v>
      </c>
      <c r="AE212" s="29">
        <v>0</v>
      </c>
      <c r="AF212" s="29">
        <v>0</v>
      </c>
      <c r="AG212" s="29">
        <v>0</v>
      </c>
      <c r="AH212" s="29">
        <v>0</v>
      </c>
      <c r="AI212" s="29">
        <v>0</v>
      </c>
      <c r="AJ212" s="29">
        <v>0</v>
      </c>
      <c r="AK212" s="29">
        <v>0</v>
      </c>
      <c r="AL212" s="29">
        <v>0</v>
      </c>
      <c r="AM212" s="29">
        <v>0</v>
      </c>
      <c r="AN212" s="29">
        <v>0</v>
      </c>
      <c r="AO212" s="29">
        <v>0</v>
      </c>
      <c r="AP212" s="29">
        <v>0</v>
      </c>
    </row>
    <row r="213" spans="1:42" x14ac:dyDescent="0.25">
      <c r="A213" s="29">
        <v>30</v>
      </c>
      <c r="B213" s="29">
        <v>24604</v>
      </c>
      <c r="C213" s="29">
        <v>1</v>
      </c>
      <c r="D213" s="29" t="s">
        <v>628</v>
      </c>
      <c r="E213" s="29"/>
      <c r="F213" s="29">
        <v>0</v>
      </c>
      <c r="G213" s="29">
        <v>0</v>
      </c>
      <c r="H213" s="29">
        <v>0</v>
      </c>
      <c r="I213" s="29">
        <v>0</v>
      </c>
      <c r="J213" s="29">
        <v>0</v>
      </c>
      <c r="K213" s="29" t="s">
        <v>882</v>
      </c>
      <c r="L213" s="19" t="str">
        <f t="shared" si="24"/>
        <v>Рихтовка</v>
      </c>
      <c r="M213" s="12">
        <f t="shared" si="25"/>
        <v>0</v>
      </c>
      <c r="N213" s="12">
        <f t="shared" si="26"/>
        <v>0</v>
      </c>
      <c r="O213" s="12">
        <f t="shared" si="27"/>
        <v>0</v>
      </c>
      <c r="P213" s="12">
        <f t="shared" si="28"/>
        <v>0</v>
      </c>
      <c r="Q213" s="12">
        <f t="shared" si="29"/>
        <v>0</v>
      </c>
      <c r="R213" s="12">
        <f t="shared" si="30"/>
        <v>0</v>
      </c>
      <c r="S213" s="12">
        <f t="shared" si="31"/>
        <v>0</v>
      </c>
      <c r="T213" s="29">
        <v>0</v>
      </c>
      <c r="U213" s="29">
        <v>0</v>
      </c>
      <c r="V213" s="29">
        <v>0</v>
      </c>
      <c r="W213" s="29">
        <v>0</v>
      </c>
      <c r="X213" s="29">
        <v>0</v>
      </c>
      <c r="Y213" s="29">
        <v>0</v>
      </c>
      <c r="Z213" s="29">
        <v>0</v>
      </c>
      <c r="AA213" s="29">
        <v>0</v>
      </c>
      <c r="AB213" s="29">
        <v>0</v>
      </c>
      <c r="AC213" s="29">
        <v>0</v>
      </c>
      <c r="AD213" s="29">
        <v>0</v>
      </c>
      <c r="AE213" s="29">
        <v>0</v>
      </c>
      <c r="AF213" s="29">
        <v>0</v>
      </c>
      <c r="AG213" s="29">
        <v>0</v>
      </c>
      <c r="AH213" s="29">
        <v>0</v>
      </c>
      <c r="AI213" s="29">
        <v>0</v>
      </c>
      <c r="AJ213" s="29">
        <v>0</v>
      </c>
      <c r="AK213" s="29">
        <v>0</v>
      </c>
      <c r="AL213" s="29">
        <v>0</v>
      </c>
      <c r="AM213" s="29">
        <v>0</v>
      </c>
      <c r="AN213" s="29">
        <v>0</v>
      </c>
      <c r="AO213" s="29">
        <v>0</v>
      </c>
      <c r="AP213" s="29">
        <v>0</v>
      </c>
    </row>
    <row r="214" spans="1:42" x14ac:dyDescent="0.25">
      <c r="A214" s="29">
        <v>30</v>
      </c>
      <c r="B214" s="29">
        <v>24604</v>
      </c>
      <c r="C214" s="29">
        <v>1</v>
      </c>
      <c r="D214" s="29" t="s">
        <v>629</v>
      </c>
      <c r="E214" s="29"/>
      <c r="F214" s="29">
        <v>0</v>
      </c>
      <c r="G214" s="29">
        <v>0</v>
      </c>
      <c r="H214" s="29">
        <v>0</v>
      </c>
      <c r="I214" s="29">
        <v>0</v>
      </c>
      <c r="J214" s="29">
        <v>0</v>
      </c>
      <c r="K214" s="29" t="s">
        <v>882</v>
      </c>
      <c r="L214" s="19" t="str">
        <f t="shared" si="24"/>
        <v>Рихтовка</v>
      </c>
      <c r="M214" s="12">
        <f t="shared" si="25"/>
        <v>0</v>
      </c>
      <c r="N214" s="12">
        <f t="shared" si="26"/>
        <v>0</v>
      </c>
      <c r="O214" s="12">
        <f t="shared" si="27"/>
        <v>0</v>
      </c>
      <c r="P214" s="12">
        <f t="shared" si="28"/>
        <v>0</v>
      </c>
      <c r="Q214" s="12">
        <f t="shared" si="29"/>
        <v>0</v>
      </c>
      <c r="R214" s="12">
        <f t="shared" si="30"/>
        <v>0</v>
      </c>
      <c r="S214" s="12">
        <f t="shared" si="31"/>
        <v>0</v>
      </c>
      <c r="T214" s="29">
        <v>0</v>
      </c>
      <c r="U214" s="29">
        <v>0</v>
      </c>
      <c r="V214" s="29">
        <v>0</v>
      </c>
      <c r="W214" s="29">
        <v>0</v>
      </c>
      <c r="X214" s="29">
        <v>0</v>
      </c>
      <c r="Y214" s="29">
        <v>0</v>
      </c>
      <c r="Z214" s="29">
        <v>0</v>
      </c>
      <c r="AA214" s="29">
        <v>0</v>
      </c>
      <c r="AB214" s="29">
        <v>0</v>
      </c>
      <c r="AC214" s="29">
        <v>0</v>
      </c>
      <c r="AD214" s="29">
        <v>0</v>
      </c>
      <c r="AE214" s="29">
        <v>0</v>
      </c>
      <c r="AF214" s="29">
        <v>0</v>
      </c>
      <c r="AG214" s="29">
        <v>0</v>
      </c>
      <c r="AH214" s="29">
        <v>0</v>
      </c>
      <c r="AI214" s="29">
        <v>0</v>
      </c>
      <c r="AJ214" s="29">
        <v>0</v>
      </c>
      <c r="AK214" s="29">
        <v>0</v>
      </c>
      <c r="AL214" s="29">
        <v>0</v>
      </c>
      <c r="AM214" s="29">
        <v>0</v>
      </c>
      <c r="AN214" s="29">
        <v>0</v>
      </c>
      <c r="AO214" s="29">
        <v>0</v>
      </c>
      <c r="AP214" s="29">
        <v>0</v>
      </c>
    </row>
    <row r="215" spans="1:42" x14ac:dyDescent="0.25">
      <c r="A215" s="29">
        <v>30</v>
      </c>
      <c r="B215" s="29">
        <v>24604</v>
      </c>
      <c r="C215" s="29">
        <v>1</v>
      </c>
      <c r="D215" s="29" t="s">
        <v>630</v>
      </c>
      <c r="E215" s="29"/>
      <c r="F215" s="29">
        <v>0</v>
      </c>
      <c r="G215" s="29">
        <v>0</v>
      </c>
      <c r="H215" s="29">
        <v>0</v>
      </c>
      <c r="I215" s="29">
        <v>0</v>
      </c>
      <c r="J215" s="29">
        <v>0</v>
      </c>
      <c r="K215" s="29" t="s">
        <v>882</v>
      </c>
      <c r="L215" s="19" t="str">
        <f t="shared" si="24"/>
        <v>Рихтовка</v>
      </c>
      <c r="M215" s="12">
        <f t="shared" si="25"/>
        <v>0</v>
      </c>
      <c r="N215" s="12">
        <f t="shared" si="26"/>
        <v>0</v>
      </c>
      <c r="O215" s="12">
        <f t="shared" si="27"/>
        <v>0</v>
      </c>
      <c r="P215" s="12">
        <f t="shared" si="28"/>
        <v>0</v>
      </c>
      <c r="Q215" s="12">
        <f t="shared" si="29"/>
        <v>0</v>
      </c>
      <c r="R215" s="12">
        <f t="shared" si="30"/>
        <v>0</v>
      </c>
      <c r="S215" s="12">
        <f t="shared" si="31"/>
        <v>0</v>
      </c>
      <c r="T215" s="29">
        <v>0</v>
      </c>
      <c r="U215" s="29">
        <v>0</v>
      </c>
      <c r="V215" s="29">
        <v>0</v>
      </c>
      <c r="W215" s="29">
        <v>0</v>
      </c>
      <c r="X215" s="29">
        <v>0</v>
      </c>
      <c r="Y215" s="29">
        <v>0</v>
      </c>
      <c r="Z215" s="29">
        <v>0</v>
      </c>
      <c r="AA215" s="29">
        <v>0</v>
      </c>
      <c r="AB215" s="29">
        <v>0</v>
      </c>
      <c r="AC215" s="29">
        <v>0</v>
      </c>
      <c r="AD215" s="29">
        <v>0</v>
      </c>
      <c r="AE215" s="29">
        <v>0</v>
      </c>
      <c r="AF215" s="29">
        <v>0</v>
      </c>
      <c r="AG215" s="29">
        <v>0</v>
      </c>
      <c r="AH215" s="29">
        <v>0</v>
      </c>
      <c r="AI215" s="29">
        <v>0</v>
      </c>
      <c r="AJ215" s="29">
        <v>0</v>
      </c>
      <c r="AK215" s="29">
        <v>0</v>
      </c>
      <c r="AL215" s="29">
        <v>0</v>
      </c>
      <c r="AM215" s="29">
        <v>0</v>
      </c>
      <c r="AN215" s="29">
        <v>0</v>
      </c>
      <c r="AO215" s="29">
        <v>0</v>
      </c>
      <c r="AP215" s="29">
        <v>0</v>
      </c>
    </row>
    <row r="216" spans="1:42" x14ac:dyDescent="0.25">
      <c r="A216" s="29">
        <v>30</v>
      </c>
      <c r="B216" s="29">
        <v>24604</v>
      </c>
      <c r="C216" s="29">
        <v>1</v>
      </c>
      <c r="D216" s="29" t="s">
        <v>631</v>
      </c>
      <c r="E216" s="29"/>
      <c r="F216" s="29">
        <v>0</v>
      </c>
      <c r="G216" s="29">
        <v>0</v>
      </c>
      <c r="H216" s="29">
        <v>0</v>
      </c>
      <c r="I216" s="29">
        <v>0</v>
      </c>
      <c r="J216" s="29">
        <v>0</v>
      </c>
      <c r="K216" s="29" t="s">
        <v>882</v>
      </c>
      <c r="L216" s="19" t="str">
        <f t="shared" si="24"/>
        <v>Рихтовка</v>
      </c>
      <c r="M216" s="12">
        <f t="shared" si="25"/>
        <v>0</v>
      </c>
      <c r="N216" s="12">
        <f t="shared" si="26"/>
        <v>0</v>
      </c>
      <c r="O216" s="12">
        <f t="shared" si="27"/>
        <v>0</v>
      </c>
      <c r="P216" s="12">
        <f t="shared" si="28"/>
        <v>0</v>
      </c>
      <c r="Q216" s="12">
        <f t="shared" si="29"/>
        <v>0</v>
      </c>
      <c r="R216" s="12">
        <f t="shared" si="30"/>
        <v>0</v>
      </c>
      <c r="S216" s="12">
        <f t="shared" si="31"/>
        <v>0</v>
      </c>
      <c r="T216" s="29">
        <v>0</v>
      </c>
      <c r="U216" s="29">
        <v>0</v>
      </c>
      <c r="V216" s="29">
        <v>0</v>
      </c>
      <c r="W216" s="29">
        <v>0</v>
      </c>
      <c r="X216" s="29">
        <v>0</v>
      </c>
      <c r="Y216" s="29">
        <v>0</v>
      </c>
      <c r="Z216" s="29">
        <v>0</v>
      </c>
      <c r="AA216" s="29">
        <v>0</v>
      </c>
      <c r="AB216" s="29">
        <v>0</v>
      </c>
      <c r="AC216" s="29">
        <v>0</v>
      </c>
      <c r="AD216" s="29">
        <v>0</v>
      </c>
      <c r="AE216" s="29">
        <v>0</v>
      </c>
      <c r="AF216" s="29">
        <v>0</v>
      </c>
      <c r="AG216" s="29">
        <v>0</v>
      </c>
      <c r="AH216" s="29">
        <v>0</v>
      </c>
      <c r="AI216" s="29">
        <v>0</v>
      </c>
      <c r="AJ216" s="29">
        <v>0</v>
      </c>
      <c r="AK216" s="29">
        <v>0</v>
      </c>
      <c r="AL216" s="29">
        <v>0</v>
      </c>
      <c r="AM216" s="29">
        <v>0</v>
      </c>
      <c r="AN216" s="29">
        <v>0</v>
      </c>
      <c r="AO216" s="29">
        <v>0</v>
      </c>
      <c r="AP216" s="29">
        <v>0</v>
      </c>
    </row>
    <row r="217" spans="1:42" x14ac:dyDescent="0.25">
      <c r="A217" s="29">
        <v>30</v>
      </c>
      <c r="B217" s="29">
        <v>24604</v>
      </c>
      <c r="C217" s="29">
        <v>1</v>
      </c>
      <c r="D217" s="29" t="s">
        <v>632</v>
      </c>
      <c r="E217" s="29"/>
      <c r="F217" s="29">
        <v>0</v>
      </c>
      <c r="G217" s="29">
        <v>0</v>
      </c>
      <c r="H217" s="29">
        <v>0</v>
      </c>
      <c r="I217" s="29">
        <v>0</v>
      </c>
      <c r="J217" s="29">
        <v>0</v>
      </c>
      <c r="K217" s="29" t="s">
        <v>882</v>
      </c>
      <c r="L217" s="19" t="str">
        <f t="shared" si="24"/>
        <v>Рихтовка</v>
      </c>
      <c r="M217" s="12">
        <f t="shared" si="25"/>
        <v>0</v>
      </c>
      <c r="N217" s="12">
        <f t="shared" si="26"/>
        <v>0</v>
      </c>
      <c r="O217" s="12">
        <f t="shared" si="27"/>
        <v>0</v>
      </c>
      <c r="P217" s="12">
        <f t="shared" si="28"/>
        <v>0</v>
      </c>
      <c r="Q217" s="12">
        <f t="shared" si="29"/>
        <v>0</v>
      </c>
      <c r="R217" s="12">
        <f t="shared" si="30"/>
        <v>0</v>
      </c>
      <c r="S217" s="12">
        <f t="shared" si="31"/>
        <v>0</v>
      </c>
      <c r="T217" s="29">
        <v>0</v>
      </c>
      <c r="U217" s="29">
        <v>0</v>
      </c>
      <c r="V217" s="29">
        <v>0</v>
      </c>
      <c r="W217" s="29">
        <v>0</v>
      </c>
      <c r="X217" s="29">
        <v>0</v>
      </c>
      <c r="Y217" s="29">
        <v>0</v>
      </c>
      <c r="Z217" s="29">
        <v>0</v>
      </c>
      <c r="AA217" s="29">
        <v>0</v>
      </c>
      <c r="AB217" s="29">
        <v>0</v>
      </c>
      <c r="AC217" s="29">
        <v>0</v>
      </c>
      <c r="AD217" s="29">
        <v>0</v>
      </c>
      <c r="AE217" s="29">
        <v>0</v>
      </c>
      <c r="AF217" s="29">
        <v>0</v>
      </c>
      <c r="AG217" s="29">
        <v>0</v>
      </c>
      <c r="AH217" s="29">
        <v>0</v>
      </c>
      <c r="AI217" s="29">
        <v>0</v>
      </c>
      <c r="AJ217" s="29">
        <v>0</v>
      </c>
      <c r="AK217" s="29">
        <v>0</v>
      </c>
      <c r="AL217" s="29">
        <v>0</v>
      </c>
      <c r="AM217" s="29">
        <v>0</v>
      </c>
      <c r="AN217" s="29">
        <v>0</v>
      </c>
      <c r="AO217" s="29">
        <v>0</v>
      </c>
      <c r="AP217" s="29">
        <v>0</v>
      </c>
    </row>
    <row r="218" spans="1:42" x14ac:dyDescent="0.25">
      <c r="A218" s="29">
        <v>30</v>
      </c>
      <c r="B218" s="29">
        <v>24604</v>
      </c>
      <c r="C218" s="29">
        <v>1</v>
      </c>
      <c r="D218" s="29" t="s">
        <v>633</v>
      </c>
      <c r="E218" s="29"/>
      <c r="F218" s="29">
        <v>0</v>
      </c>
      <c r="G218" s="29">
        <v>0</v>
      </c>
      <c r="H218" s="29">
        <v>0</v>
      </c>
      <c r="I218" s="29">
        <v>0</v>
      </c>
      <c r="J218" s="29">
        <v>0</v>
      </c>
      <c r="K218" s="29" t="s">
        <v>882</v>
      </c>
      <c r="L218" s="19" t="str">
        <f t="shared" si="24"/>
        <v>Рихтовка</v>
      </c>
      <c r="M218" s="12">
        <f t="shared" si="25"/>
        <v>0</v>
      </c>
      <c r="N218" s="12">
        <f t="shared" si="26"/>
        <v>0</v>
      </c>
      <c r="O218" s="12">
        <f t="shared" si="27"/>
        <v>0</v>
      </c>
      <c r="P218" s="12">
        <f t="shared" si="28"/>
        <v>0</v>
      </c>
      <c r="Q218" s="12">
        <f t="shared" si="29"/>
        <v>0</v>
      </c>
      <c r="R218" s="12">
        <f t="shared" si="30"/>
        <v>0</v>
      </c>
      <c r="S218" s="12">
        <f t="shared" si="31"/>
        <v>0</v>
      </c>
      <c r="T218" s="29">
        <v>0</v>
      </c>
      <c r="U218" s="29">
        <v>0</v>
      </c>
      <c r="V218" s="29">
        <v>0</v>
      </c>
      <c r="W218" s="29">
        <v>0</v>
      </c>
      <c r="X218" s="29">
        <v>0</v>
      </c>
      <c r="Y218" s="29">
        <v>0</v>
      </c>
      <c r="Z218" s="29">
        <v>0</v>
      </c>
      <c r="AA218" s="29">
        <v>0</v>
      </c>
      <c r="AB218" s="29">
        <v>0</v>
      </c>
      <c r="AC218" s="29">
        <v>0</v>
      </c>
      <c r="AD218" s="29">
        <v>0</v>
      </c>
      <c r="AE218" s="29">
        <v>0</v>
      </c>
      <c r="AF218" s="29">
        <v>0</v>
      </c>
      <c r="AG218" s="29">
        <v>0</v>
      </c>
      <c r="AH218" s="29">
        <v>0</v>
      </c>
      <c r="AI218" s="29">
        <v>0</v>
      </c>
      <c r="AJ218" s="29">
        <v>0</v>
      </c>
      <c r="AK218" s="29">
        <v>0</v>
      </c>
      <c r="AL218" s="29">
        <v>0</v>
      </c>
      <c r="AM218" s="29">
        <v>0</v>
      </c>
      <c r="AN218" s="29">
        <v>0</v>
      </c>
      <c r="AO218" s="29">
        <v>0</v>
      </c>
      <c r="AP218" s="29">
        <v>0</v>
      </c>
    </row>
    <row r="219" spans="1:42" x14ac:dyDescent="0.25">
      <c r="A219" s="29">
        <v>30</v>
      </c>
      <c r="B219" s="29">
        <v>24604</v>
      </c>
      <c r="C219" s="29">
        <v>1</v>
      </c>
      <c r="D219" s="29" t="s">
        <v>634</v>
      </c>
      <c r="E219" s="29"/>
      <c r="F219" s="29">
        <v>0</v>
      </c>
      <c r="G219" s="29">
        <v>0</v>
      </c>
      <c r="H219" s="29">
        <v>0</v>
      </c>
      <c r="I219" s="29">
        <v>0</v>
      </c>
      <c r="J219" s="29">
        <v>0</v>
      </c>
      <c r="K219" s="29" t="s">
        <v>882</v>
      </c>
      <c r="L219" s="19" t="str">
        <f t="shared" si="24"/>
        <v>Рихтовка</v>
      </c>
      <c r="M219" s="12">
        <f t="shared" si="25"/>
        <v>0</v>
      </c>
      <c r="N219" s="12">
        <f t="shared" si="26"/>
        <v>0</v>
      </c>
      <c r="O219" s="12">
        <f t="shared" si="27"/>
        <v>0</v>
      </c>
      <c r="P219" s="12">
        <f t="shared" si="28"/>
        <v>0</v>
      </c>
      <c r="Q219" s="12">
        <f t="shared" si="29"/>
        <v>0</v>
      </c>
      <c r="R219" s="12">
        <f t="shared" si="30"/>
        <v>0</v>
      </c>
      <c r="S219" s="12">
        <f t="shared" si="31"/>
        <v>0</v>
      </c>
      <c r="T219" s="29">
        <v>0</v>
      </c>
      <c r="U219" s="29">
        <v>0</v>
      </c>
      <c r="V219" s="29">
        <v>0</v>
      </c>
      <c r="W219" s="29">
        <v>0</v>
      </c>
      <c r="X219" s="29">
        <v>0</v>
      </c>
      <c r="Y219" s="29">
        <v>0</v>
      </c>
      <c r="Z219" s="29">
        <v>0</v>
      </c>
      <c r="AA219" s="29">
        <v>0</v>
      </c>
      <c r="AB219" s="29">
        <v>0</v>
      </c>
      <c r="AC219" s="29">
        <v>0</v>
      </c>
      <c r="AD219" s="29">
        <v>0</v>
      </c>
      <c r="AE219" s="29">
        <v>0</v>
      </c>
      <c r="AF219" s="29">
        <v>0</v>
      </c>
      <c r="AG219" s="29">
        <v>0</v>
      </c>
      <c r="AH219" s="29">
        <v>0</v>
      </c>
      <c r="AI219" s="29">
        <v>0</v>
      </c>
      <c r="AJ219" s="29">
        <v>0</v>
      </c>
      <c r="AK219" s="29">
        <v>0</v>
      </c>
      <c r="AL219" s="29">
        <v>0</v>
      </c>
      <c r="AM219" s="29">
        <v>0</v>
      </c>
      <c r="AN219" s="29">
        <v>0</v>
      </c>
      <c r="AO219" s="29">
        <v>0</v>
      </c>
      <c r="AP219" s="29">
        <v>0</v>
      </c>
    </row>
    <row r="220" spans="1:42" x14ac:dyDescent="0.25">
      <c r="A220" s="29">
        <v>31</v>
      </c>
      <c r="B220" s="29">
        <v>24604</v>
      </c>
      <c r="C220" s="29">
        <v>1</v>
      </c>
      <c r="D220" s="29" t="s">
        <v>635</v>
      </c>
      <c r="E220" s="29"/>
      <c r="F220" s="29">
        <v>0</v>
      </c>
      <c r="G220" s="29">
        <v>0</v>
      </c>
      <c r="H220" s="29">
        <v>0</v>
      </c>
      <c r="I220" s="29">
        <v>0</v>
      </c>
      <c r="J220" s="29">
        <v>0</v>
      </c>
      <c r="K220" s="29" t="s">
        <v>882</v>
      </c>
      <c r="L220" s="19" t="str">
        <f t="shared" si="24"/>
        <v>Рихтовка</v>
      </c>
      <c r="M220" s="12">
        <f t="shared" si="25"/>
        <v>0</v>
      </c>
      <c r="N220" s="12">
        <f t="shared" si="26"/>
        <v>0</v>
      </c>
      <c r="O220" s="12">
        <f t="shared" si="27"/>
        <v>0</v>
      </c>
      <c r="P220" s="12">
        <f t="shared" si="28"/>
        <v>0</v>
      </c>
      <c r="Q220" s="12">
        <f t="shared" si="29"/>
        <v>0</v>
      </c>
      <c r="R220" s="12">
        <f t="shared" si="30"/>
        <v>0</v>
      </c>
      <c r="S220" s="12">
        <f t="shared" si="31"/>
        <v>0</v>
      </c>
      <c r="T220" s="29">
        <v>0</v>
      </c>
      <c r="U220" s="29">
        <v>0</v>
      </c>
      <c r="V220" s="29">
        <v>0</v>
      </c>
      <c r="W220" s="29">
        <v>0</v>
      </c>
      <c r="X220" s="29">
        <v>0</v>
      </c>
      <c r="Y220" s="29">
        <v>0</v>
      </c>
      <c r="Z220" s="29">
        <v>0</v>
      </c>
      <c r="AA220" s="29">
        <v>0</v>
      </c>
      <c r="AB220" s="29">
        <v>0</v>
      </c>
      <c r="AC220" s="29">
        <v>0</v>
      </c>
      <c r="AD220" s="29">
        <v>0</v>
      </c>
      <c r="AE220" s="29">
        <v>0</v>
      </c>
      <c r="AF220" s="29">
        <v>0</v>
      </c>
      <c r="AG220" s="29">
        <v>0</v>
      </c>
      <c r="AH220" s="29">
        <v>0</v>
      </c>
      <c r="AI220" s="29">
        <v>0</v>
      </c>
      <c r="AJ220" s="29">
        <v>0</v>
      </c>
      <c r="AK220" s="29">
        <v>0</v>
      </c>
      <c r="AL220" s="29">
        <v>0</v>
      </c>
      <c r="AM220" s="29">
        <v>0</v>
      </c>
      <c r="AN220" s="29">
        <v>0</v>
      </c>
      <c r="AO220" s="29">
        <v>0</v>
      </c>
      <c r="AP220" s="29">
        <v>0</v>
      </c>
    </row>
    <row r="221" spans="1:42" x14ac:dyDescent="0.25">
      <c r="A221" s="29">
        <v>31</v>
      </c>
      <c r="B221" s="29">
        <v>24604</v>
      </c>
      <c r="C221" s="29">
        <v>1</v>
      </c>
      <c r="D221" s="29" t="s">
        <v>636</v>
      </c>
      <c r="E221" s="29"/>
      <c r="F221" s="29">
        <v>0</v>
      </c>
      <c r="G221" s="29">
        <v>0</v>
      </c>
      <c r="H221" s="29">
        <v>0</v>
      </c>
      <c r="I221" s="29">
        <v>0</v>
      </c>
      <c r="J221" s="29">
        <v>0</v>
      </c>
      <c r="K221" s="29" t="s">
        <v>882</v>
      </c>
      <c r="L221" s="19" t="str">
        <f t="shared" si="24"/>
        <v>Рихтовка</v>
      </c>
      <c r="M221" s="12">
        <f t="shared" si="25"/>
        <v>0</v>
      </c>
      <c r="N221" s="12">
        <f t="shared" si="26"/>
        <v>0</v>
      </c>
      <c r="O221" s="12">
        <f t="shared" si="27"/>
        <v>0</v>
      </c>
      <c r="P221" s="12">
        <f t="shared" si="28"/>
        <v>0</v>
      </c>
      <c r="Q221" s="12">
        <f t="shared" si="29"/>
        <v>0</v>
      </c>
      <c r="R221" s="12">
        <f t="shared" si="30"/>
        <v>0</v>
      </c>
      <c r="S221" s="12">
        <f t="shared" si="31"/>
        <v>0</v>
      </c>
      <c r="T221" s="29">
        <v>0</v>
      </c>
      <c r="U221" s="29">
        <v>0</v>
      </c>
      <c r="V221" s="29">
        <v>0</v>
      </c>
      <c r="W221" s="29">
        <v>0</v>
      </c>
      <c r="X221" s="29">
        <v>0</v>
      </c>
      <c r="Y221" s="29">
        <v>0</v>
      </c>
      <c r="Z221" s="29">
        <v>0</v>
      </c>
      <c r="AA221" s="29">
        <v>0</v>
      </c>
      <c r="AB221" s="29">
        <v>0</v>
      </c>
      <c r="AC221" s="29">
        <v>0</v>
      </c>
      <c r="AD221" s="29">
        <v>0</v>
      </c>
      <c r="AE221" s="29">
        <v>0</v>
      </c>
      <c r="AF221" s="29">
        <v>0</v>
      </c>
      <c r="AG221" s="29">
        <v>0</v>
      </c>
      <c r="AH221" s="29">
        <v>0</v>
      </c>
      <c r="AI221" s="29">
        <v>0</v>
      </c>
      <c r="AJ221" s="29">
        <v>0</v>
      </c>
      <c r="AK221" s="29">
        <v>0</v>
      </c>
      <c r="AL221" s="29">
        <v>0</v>
      </c>
      <c r="AM221" s="29">
        <v>0</v>
      </c>
      <c r="AN221" s="29">
        <v>0</v>
      </c>
      <c r="AO221" s="29">
        <v>0</v>
      </c>
      <c r="AP221" s="29">
        <v>0</v>
      </c>
    </row>
    <row r="222" spans="1:42" x14ac:dyDescent="0.25">
      <c r="A222" s="29">
        <v>31</v>
      </c>
      <c r="B222" s="29">
        <v>24604</v>
      </c>
      <c r="C222" s="29">
        <v>1</v>
      </c>
      <c r="D222" s="29" t="s">
        <v>637</v>
      </c>
      <c r="E222" s="29"/>
      <c r="F222" s="29">
        <v>0</v>
      </c>
      <c r="G222" s="29">
        <v>0</v>
      </c>
      <c r="H222" s="29">
        <v>0</v>
      </c>
      <c r="I222" s="29">
        <v>0</v>
      </c>
      <c r="J222" s="29">
        <v>0</v>
      </c>
      <c r="K222" s="29" t="s">
        <v>882</v>
      </c>
      <c r="L222" s="19" t="str">
        <f t="shared" si="24"/>
        <v>Рихтовка</v>
      </c>
      <c r="M222" s="12">
        <f t="shared" si="25"/>
        <v>0</v>
      </c>
      <c r="N222" s="12">
        <f t="shared" si="26"/>
        <v>0</v>
      </c>
      <c r="O222" s="12">
        <f t="shared" si="27"/>
        <v>0</v>
      </c>
      <c r="P222" s="12">
        <f t="shared" si="28"/>
        <v>0</v>
      </c>
      <c r="Q222" s="12">
        <f t="shared" si="29"/>
        <v>0</v>
      </c>
      <c r="R222" s="12">
        <f t="shared" si="30"/>
        <v>0</v>
      </c>
      <c r="S222" s="12">
        <f t="shared" si="31"/>
        <v>0</v>
      </c>
      <c r="T222" s="29">
        <v>0</v>
      </c>
      <c r="U222" s="29">
        <v>0</v>
      </c>
      <c r="V222" s="29">
        <v>0</v>
      </c>
      <c r="W222" s="29">
        <v>0</v>
      </c>
      <c r="X222" s="29">
        <v>0</v>
      </c>
      <c r="Y222" s="29">
        <v>0</v>
      </c>
      <c r="Z222" s="29">
        <v>0</v>
      </c>
      <c r="AA222" s="29">
        <v>0</v>
      </c>
      <c r="AB222" s="29">
        <v>0</v>
      </c>
      <c r="AC222" s="29">
        <v>0</v>
      </c>
      <c r="AD222" s="29">
        <v>0</v>
      </c>
      <c r="AE222" s="29">
        <v>0</v>
      </c>
      <c r="AF222" s="29">
        <v>0</v>
      </c>
      <c r="AG222" s="29">
        <v>0</v>
      </c>
      <c r="AH222" s="29">
        <v>0</v>
      </c>
      <c r="AI222" s="29">
        <v>0</v>
      </c>
      <c r="AJ222" s="29">
        <v>0</v>
      </c>
      <c r="AK222" s="29">
        <v>0</v>
      </c>
      <c r="AL222" s="29">
        <v>0</v>
      </c>
      <c r="AM222" s="29">
        <v>0</v>
      </c>
      <c r="AN222" s="29">
        <v>0</v>
      </c>
      <c r="AO222" s="29">
        <v>0</v>
      </c>
      <c r="AP222" s="29">
        <v>0</v>
      </c>
    </row>
    <row r="223" spans="1:42" x14ac:dyDescent="0.25">
      <c r="A223" s="29">
        <v>31</v>
      </c>
      <c r="B223" s="29">
        <v>24604</v>
      </c>
      <c r="C223" s="29">
        <v>1</v>
      </c>
      <c r="D223" s="29" t="s">
        <v>638</v>
      </c>
      <c r="E223" s="29"/>
      <c r="F223" s="29">
        <v>0</v>
      </c>
      <c r="G223" s="29">
        <v>0</v>
      </c>
      <c r="H223" s="29">
        <v>0</v>
      </c>
      <c r="I223" s="29">
        <v>0</v>
      </c>
      <c r="J223" s="29">
        <v>0</v>
      </c>
      <c r="K223" s="29" t="s">
        <v>882</v>
      </c>
      <c r="L223" s="19" t="str">
        <f t="shared" si="24"/>
        <v>Рихтовка</v>
      </c>
      <c r="M223" s="12">
        <f t="shared" si="25"/>
        <v>0</v>
      </c>
      <c r="N223" s="12">
        <f t="shared" si="26"/>
        <v>0</v>
      </c>
      <c r="O223" s="12">
        <f t="shared" si="27"/>
        <v>0</v>
      </c>
      <c r="P223" s="12">
        <f t="shared" si="28"/>
        <v>0</v>
      </c>
      <c r="Q223" s="12">
        <f t="shared" si="29"/>
        <v>0</v>
      </c>
      <c r="R223" s="12">
        <f t="shared" si="30"/>
        <v>0</v>
      </c>
      <c r="S223" s="12">
        <f t="shared" si="31"/>
        <v>0</v>
      </c>
      <c r="T223" s="29">
        <v>0</v>
      </c>
      <c r="U223" s="29">
        <v>0</v>
      </c>
      <c r="V223" s="29">
        <v>0</v>
      </c>
      <c r="W223" s="29">
        <v>0</v>
      </c>
      <c r="X223" s="29">
        <v>0</v>
      </c>
      <c r="Y223" s="29">
        <v>0</v>
      </c>
      <c r="Z223" s="29">
        <v>0</v>
      </c>
      <c r="AA223" s="29">
        <v>0</v>
      </c>
      <c r="AB223" s="29">
        <v>0</v>
      </c>
      <c r="AC223" s="29">
        <v>0</v>
      </c>
      <c r="AD223" s="29">
        <v>0</v>
      </c>
      <c r="AE223" s="29">
        <v>0</v>
      </c>
      <c r="AF223" s="29">
        <v>0</v>
      </c>
      <c r="AG223" s="29">
        <v>0</v>
      </c>
      <c r="AH223" s="29">
        <v>0</v>
      </c>
      <c r="AI223" s="29">
        <v>0</v>
      </c>
      <c r="AJ223" s="29">
        <v>0</v>
      </c>
      <c r="AK223" s="29">
        <v>0</v>
      </c>
      <c r="AL223" s="29">
        <v>0</v>
      </c>
      <c r="AM223" s="29">
        <v>0</v>
      </c>
      <c r="AN223" s="29">
        <v>0</v>
      </c>
      <c r="AO223" s="29">
        <v>0</v>
      </c>
      <c r="AP223" s="29">
        <v>0</v>
      </c>
    </row>
    <row r="224" spans="1:42" x14ac:dyDescent="0.25">
      <c r="A224" s="29">
        <v>31</v>
      </c>
      <c r="B224" s="29">
        <v>24604</v>
      </c>
      <c r="C224" s="29">
        <v>1</v>
      </c>
      <c r="D224" s="29" t="s">
        <v>639</v>
      </c>
      <c r="E224" s="29"/>
      <c r="F224" s="29">
        <v>0</v>
      </c>
      <c r="G224" s="29">
        <v>0</v>
      </c>
      <c r="H224" s="29">
        <v>0</v>
      </c>
      <c r="I224" s="29">
        <v>0</v>
      </c>
      <c r="J224" s="29">
        <v>0</v>
      </c>
      <c r="K224" s="29" t="s">
        <v>882</v>
      </c>
      <c r="L224" s="19" t="str">
        <f t="shared" si="24"/>
        <v>Рихтовка</v>
      </c>
      <c r="M224" s="12">
        <f t="shared" si="25"/>
        <v>0</v>
      </c>
      <c r="N224" s="12">
        <f t="shared" si="26"/>
        <v>0</v>
      </c>
      <c r="O224" s="12">
        <f t="shared" si="27"/>
        <v>0</v>
      </c>
      <c r="P224" s="12">
        <f t="shared" si="28"/>
        <v>0</v>
      </c>
      <c r="Q224" s="12">
        <f t="shared" si="29"/>
        <v>0</v>
      </c>
      <c r="R224" s="12">
        <f t="shared" si="30"/>
        <v>0</v>
      </c>
      <c r="S224" s="12">
        <f t="shared" si="31"/>
        <v>0</v>
      </c>
      <c r="T224" s="29">
        <v>0</v>
      </c>
      <c r="U224" s="29">
        <v>0</v>
      </c>
      <c r="V224" s="29">
        <v>0</v>
      </c>
      <c r="W224" s="29">
        <v>0</v>
      </c>
      <c r="X224" s="29">
        <v>0</v>
      </c>
      <c r="Y224" s="29">
        <v>0</v>
      </c>
      <c r="Z224" s="29">
        <v>0</v>
      </c>
      <c r="AA224" s="29">
        <v>0</v>
      </c>
      <c r="AB224" s="29">
        <v>0</v>
      </c>
      <c r="AC224" s="29">
        <v>0</v>
      </c>
      <c r="AD224" s="29">
        <v>0</v>
      </c>
      <c r="AE224" s="29">
        <v>0</v>
      </c>
      <c r="AF224" s="29">
        <v>0</v>
      </c>
      <c r="AG224" s="29">
        <v>0</v>
      </c>
      <c r="AH224" s="29">
        <v>0</v>
      </c>
      <c r="AI224" s="29">
        <v>0</v>
      </c>
      <c r="AJ224" s="29">
        <v>0</v>
      </c>
      <c r="AK224" s="29">
        <v>0</v>
      </c>
      <c r="AL224" s="29">
        <v>0</v>
      </c>
      <c r="AM224" s="29">
        <v>0</v>
      </c>
      <c r="AN224" s="29">
        <v>0</v>
      </c>
      <c r="AO224" s="29">
        <v>0</v>
      </c>
      <c r="AP224" s="29">
        <v>0</v>
      </c>
    </row>
    <row r="225" spans="1:42" x14ac:dyDescent="0.25">
      <c r="A225" s="29">
        <v>31</v>
      </c>
      <c r="B225" s="29">
        <v>24604</v>
      </c>
      <c r="C225" s="29">
        <v>1</v>
      </c>
      <c r="D225" s="29" t="s">
        <v>640</v>
      </c>
      <c r="E225" s="29"/>
      <c r="F225" s="29">
        <v>0</v>
      </c>
      <c r="G225" s="29">
        <v>0</v>
      </c>
      <c r="H225" s="29">
        <v>0</v>
      </c>
      <c r="I225" s="29">
        <v>0</v>
      </c>
      <c r="J225" s="29">
        <v>0</v>
      </c>
      <c r="K225" s="29" t="s">
        <v>882</v>
      </c>
      <c r="L225" s="19" t="str">
        <f t="shared" si="24"/>
        <v>Рихтовка</v>
      </c>
      <c r="M225" s="12">
        <f t="shared" si="25"/>
        <v>0</v>
      </c>
      <c r="N225" s="12">
        <f t="shared" si="26"/>
        <v>0</v>
      </c>
      <c r="O225" s="12">
        <f t="shared" si="27"/>
        <v>0</v>
      </c>
      <c r="P225" s="12">
        <f t="shared" si="28"/>
        <v>0</v>
      </c>
      <c r="Q225" s="12">
        <f t="shared" si="29"/>
        <v>0</v>
      </c>
      <c r="R225" s="12">
        <f t="shared" si="30"/>
        <v>0</v>
      </c>
      <c r="S225" s="12">
        <f t="shared" si="31"/>
        <v>0</v>
      </c>
      <c r="T225" s="29">
        <v>0</v>
      </c>
      <c r="U225" s="29">
        <v>0</v>
      </c>
      <c r="V225" s="29">
        <v>0</v>
      </c>
      <c r="W225" s="29">
        <v>0</v>
      </c>
      <c r="X225" s="29">
        <v>0</v>
      </c>
      <c r="Y225" s="29">
        <v>0</v>
      </c>
      <c r="Z225" s="29">
        <v>0</v>
      </c>
      <c r="AA225" s="29">
        <v>0</v>
      </c>
      <c r="AB225" s="29">
        <v>0</v>
      </c>
      <c r="AC225" s="29">
        <v>0</v>
      </c>
      <c r="AD225" s="29">
        <v>0</v>
      </c>
      <c r="AE225" s="29">
        <v>0</v>
      </c>
      <c r="AF225" s="29">
        <v>0</v>
      </c>
      <c r="AG225" s="29">
        <v>0</v>
      </c>
      <c r="AH225" s="29">
        <v>0</v>
      </c>
      <c r="AI225" s="29">
        <v>0</v>
      </c>
      <c r="AJ225" s="29">
        <v>0</v>
      </c>
      <c r="AK225" s="29">
        <v>0</v>
      </c>
      <c r="AL225" s="29">
        <v>0</v>
      </c>
      <c r="AM225" s="29">
        <v>0</v>
      </c>
      <c r="AN225" s="29">
        <v>0</v>
      </c>
      <c r="AO225" s="29">
        <v>0</v>
      </c>
      <c r="AP225" s="29">
        <v>0</v>
      </c>
    </row>
    <row r="226" spans="1:42" x14ac:dyDescent="0.25">
      <c r="A226" s="29">
        <v>31</v>
      </c>
      <c r="B226" s="29">
        <v>24604</v>
      </c>
      <c r="C226" s="29">
        <v>1</v>
      </c>
      <c r="D226" s="29" t="s">
        <v>641</v>
      </c>
      <c r="E226" s="29"/>
      <c r="F226" s="29">
        <v>0</v>
      </c>
      <c r="G226" s="29">
        <v>0</v>
      </c>
      <c r="H226" s="29">
        <v>0</v>
      </c>
      <c r="I226" s="29">
        <v>0</v>
      </c>
      <c r="J226" s="29">
        <v>0</v>
      </c>
      <c r="K226" s="29" t="s">
        <v>882</v>
      </c>
      <c r="L226" s="19" t="str">
        <f t="shared" si="24"/>
        <v>Рихтовка</v>
      </c>
      <c r="M226" s="12">
        <f t="shared" si="25"/>
        <v>0</v>
      </c>
      <c r="N226" s="12">
        <f t="shared" si="26"/>
        <v>0</v>
      </c>
      <c r="O226" s="12">
        <f t="shared" si="27"/>
        <v>0</v>
      </c>
      <c r="P226" s="12">
        <f t="shared" si="28"/>
        <v>0</v>
      </c>
      <c r="Q226" s="12">
        <f t="shared" si="29"/>
        <v>0</v>
      </c>
      <c r="R226" s="12">
        <f t="shared" si="30"/>
        <v>0</v>
      </c>
      <c r="S226" s="12">
        <f t="shared" si="31"/>
        <v>0</v>
      </c>
      <c r="T226" s="29">
        <v>0</v>
      </c>
      <c r="U226" s="29">
        <v>0</v>
      </c>
      <c r="V226" s="29">
        <v>0</v>
      </c>
      <c r="W226" s="29">
        <v>0</v>
      </c>
      <c r="X226" s="29">
        <v>0</v>
      </c>
      <c r="Y226" s="29">
        <v>0</v>
      </c>
      <c r="Z226" s="29">
        <v>0</v>
      </c>
      <c r="AA226" s="29">
        <v>0</v>
      </c>
      <c r="AB226" s="29">
        <v>0</v>
      </c>
      <c r="AC226" s="29">
        <v>0</v>
      </c>
      <c r="AD226" s="29">
        <v>0</v>
      </c>
      <c r="AE226" s="29">
        <v>0</v>
      </c>
      <c r="AF226" s="29">
        <v>0</v>
      </c>
      <c r="AG226" s="29">
        <v>0</v>
      </c>
      <c r="AH226" s="29">
        <v>0</v>
      </c>
      <c r="AI226" s="29">
        <v>0</v>
      </c>
      <c r="AJ226" s="29">
        <v>0</v>
      </c>
      <c r="AK226" s="29">
        <v>0</v>
      </c>
      <c r="AL226" s="29">
        <v>0</v>
      </c>
      <c r="AM226" s="29">
        <v>0</v>
      </c>
      <c r="AN226" s="29">
        <v>0</v>
      </c>
      <c r="AO226" s="29">
        <v>0</v>
      </c>
      <c r="AP226" s="29">
        <v>0</v>
      </c>
    </row>
    <row r="227" spans="1:42" x14ac:dyDescent="0.25">
      <c r="A227" s="29">
        <v>31</v>
      </c>
      <c r="B227" s="29">
        <v>24604</v>
      </c>
      <c r="C227" s="29">
        <v>1</v>
      </c>
      <c r="D227" s="29" t="s">
        <v>642</v>
      </c>
      <c r="E227" s="29"/>
      <c r="F227" s="29">
        <v>0</v>
      </c>
      <c r="G227" s="29">
        <v>0</v>
      </c>
      <c r="H227" s="29">
        <v>0</v>
      </c>
      <c r="I227" s="29">
        <v>0</v>
      </c>
      <c r="J227" s="29">
        <v>0</v>
      </c>
      <c r="K227" s="29" t="s">
        <v>882</v>
      </c>
      <c r="L227" s="19" t="str">
        <f t="shared" si="24"/>
        <v>Рихтовка</v>
      </c>
      <c r="M227" s="12">
        <f t="shared" si="25"/>
        <v>0</v>
      </c>
      <c r="N227" s="12">
        <f t="shared" si="26"/>
        <v>0</v>
      </c>
      <c r="O227" s="12">
        <f t="shared" si="27"/>
        <v>0</v>
      </c>
      <c r="P227" s="12">
        <f t="shared" si="28"/>
        <v>0</v>
      </c>
      <c r="Q227" s="12">
        <f t="shared" si="29"/>
        <v>0</v>
      </c>
      <c r="R227" s="12">
        <f t="shared" si="30"/>
        <v>0</v>
      </c>
      <c r="S227" s="12">
        <f t="shared" si="31"/>
        <v>0</v>
      </c>
      <c r="T227" s="29">
        <v>0</v>
      </c>
      <c r="U227" s="29">
        <v>0</v>
      </c>
      <c r="V227" s="29">
        <v>0</v>
      </c>
      <c r="W227" s="29">
        <v>0</v>
      </c>
      <c r="X227" s="29">
        <v>0</v>
      </c>
      <c r="Y227" s="29">
        <v>0</v>
      </c>
      <c r="Z227" s="29">
        <v>0</v>
      </c>
      <c r="AA227" s="29">
        <v>0</v>
      </c>
      <c r="AB227" s="29">
        <v>0</v>
      </c>
      <c r="AC227" s="29">
        <v>0</v>
      </c>
      <c r="AD227" s="29">
        <v>0</v>
      </c>
      <c r="AE227" s="29">
        <v>0</v>
      </c>
      <c r="AF227" s="29">
        <v>0</v>
      </c>
      <c r="AG227" s="29">
        <v>0</v>
      </c>
      <c r="AH227" s="29">
        <v>0</v>
      </c>
      <c r="AI227" s="29">
        <v>0</v>
      </c>
      <c r="AJ227" s="29">
        <v>0</v>
      </c>
      <c r="AK227" s="29">
        <v>0</v>
      </c>
      <c r="AL227" s="29">
        <v>0</v>
      </c>
      <c r="AM227" s="29">
        <v>0</v>
      </c>
      <c r="AN227" s="29">
        <v>0</v>
      </c>
      <c r="AO227" s="29">
        <v>0</v>
      </c>
      <c r="AP227" s="29">
        <v>0</v>
      </c>
    </row>
    <row r="228" spans="1:42" x14ac:dyDescent="0.25">
      <c r="A228" s="29">
        <v>31</v>
      </c>
      <c r="B228" s="29">
        <v>24604</v>
      </c>
      <c r="C228" s="29">
        <v>1</v>
      </c>
      <c r="D228" s="29" t="s">
        <v>643</v>
      </c>
      <c r="E228" s="29"/>
      <c r="F228" s="29">
        <v>0</v>
      </c>
      <c r="G228" s="29">
        <v>0</v>
      </c>
      <c r="H228" s="29">
        <v>0</v>
      </c>
      <c r="I228" s="29">
        <v>0</v>
      </c>
      <c r="J228" s="29">
        <v>0</v>
      </c>
      <c r="K228" s="29" t="s">
        <v>882</v>
      </c>
      <c r="L228" s="19" t="str">
        <f t="shared" si="24"/>
        <v>Рихтовка</v>
      </c>
      <c r="M228" s="12">
        <f t="shared" si="25"/>
        <v>0</v>
      </c>
      <c r="N228" s="12">
        <f t="shared" si="26"/>
        <v>0</v>
      </c>
      <c r="O228" s="12">
        <f t="shared" si="27"/>
        <v>0</v>
      </c>
      <c r="P228" s="12">
        <f t="shared" si="28"/>
        <v>0</v>
      </c>
      <c r="Q228" s="12">
        <f t="shared" si="29"/>
        <v>0</v>
      </c>
      <c r="R228" s="12">
        <f t="shared" si="30"/>
        <v>0</v>
      </c>
      <c r="S228" s="12">
        <f t="shared" si="31"/>
        <v>0</v>
      </c>
      <c r="T228" s="29">
        <v>0</v>
      </c>
      <c r="U228" s="29">
        <v>0</v>
      </c>
      <c r="V228" s="29">
        <v>0</v>
      </c>
      <c r="W228" s="29">
        <v>0</v>
      </c>
      <c r="X228" s="29">
        <v>0</v>
      </c>
      <c r="Y228" s="29">
        <v>0</v>
      </c>
      <c r="Z228" s="29">
        <v>0</v>
      </c>
      <c r="AA228" s="29">
        <v>0</v>
      </c>
      <c r="AB228" s="29">
        <v>0</v>
      </c>
      <c r="AC228" s="29">
        <v>0</v>
      </c>
      <c r="AD228" s="29">
        <v>0</v>
      </c>
      <c r="AE228" s="29">
        <v>0</v>
      </c>
      <c r="AF228" s="29">
        <v>0</v>
      </c>
      <c r="AG228" s="29">
        <v>0</v>
      </c>
      <c r="AH228" s="29">
        <v>0</v>
      </c>
      <c r="AI228" s="29">
        <v>0</v>
      </c>
      <c r="AJ228" s="29">
        <v>0</v>
      </c>
      <c r="AK228" s="29">
        <v>0</v>
      </c>
      <c r="AL228" s="29">
        <v>0</v>
      </c>
      <c r="AM228" s="29">
        <v>0</v>
      </c>
      <c r="AN228" s="29">
        <v>0</v>
      </c>
      <c r="AO228" s="29">
        <v>0</v>
      </c>
      <c r="AP228" s="29">
        <v>0</v>
      </c>
    </row>
    <row r="229" spans="1:42" x14ac:dyDescent="0.25">
      <c r="A229" s="29">
        <v>31</v>
      </c>
      <c r="B229" s="29">
        <v>24604</v>
      </c>
      <c r="C229" s="29">
        <v>1</v>
      </c>
      <c r="D229" s="29" t="s">
        <v>644</v>
      </c>
      <c r="E229" s="29"/>
      <c r="F229" s="29">
        <v>0</v>
      </c>
      <c r="G229" s="29">
        <v>0</v>
      </c>
      <c r="H229" s="29">
        <v>0</v>
      </c>
      <c r="I229" s="29">
        <v>0</v>
      </c>
      <c r="J229" s="29">
        <v>0</v>
      </c>
      <c r="K229" s="29" t="s">
        <v>882</v>
      </c>
      <c r="L229" s="19" t="str">
        <f t="shared" si="24"/>
        <v>Рихтовка</v>
      </c>
      <c r="M229" s="12">
        <f t="shared" si="25"/>
        <v>0</v>
      </c>
      <c r="N229" s="12">
        <f t="shared" si="26"/>
        <v>0</v>
      </c>
      <c r="O229" s="12">
        <f t="shared" si="27"/>
        <v>0</v>
      </c>
      <c r="P229" s="12">
        <f t="shared" si="28"/>
        <v>0</v>
      </c>
      <c r="Q229" s="12">
        <f t="shared" si="29"/>
        <v>0</v>
      </c>
      <c r="R229" s="12">
        <f t="shared" si="30"/>
        <v>0</v>
      </c>
      <c r="S229" s="12">
        <f t="shared" si="31"/>
        <v>0</v>
      </c>
      <c r="T229" s="29">
        <v>0</v>
      </c>
      <c r="U229" s="29">
        <v>0</v>
      </c>
      <c r="V229" s="29">
        <v>0</v>
      </c>
      <c r="W229" s="29">
        <v>0</v>
      </c>
      <c r="X229" s="29">
        <v>0</v>
      </c>
      <c r="Y229" s="29">
        <v>0</v>
      </c>
      <c r="Z229" s="29">
        <v>0</v>
      </c>
      <c r="AA229" s="29">
        <v>0</v>
      </c>
      <c r="AB229" s="29">
        <v>0</v>
      </c>
      <c r="AC229" s="29">
        <v>0</v>
      </c>
      <c r="AD229" s="29">
        <v>0</v>
      </c>
      <c r="AE229" s="29">
        <v>0</v>
      </c>
      <c r="AF229" s="29">
        <v>0</v>
      </c>
      <c r="AG229" s="29">
        <v>0</v>
      </c>
      <c r="AH229" s="29">
        <v>0</v>
      </c>
      <c r="AI229" s="29">
        <v>0</v>
      </c>
      <c r="AJ229" s="29">
        <v>0</v>
      </c>
      <c r="AK229" s="29">
        <v>0</v>
      </c>
      <c r="AL229" s="29">
        <v>0</v>
      </c>
      <c r="AM229" s="29">
        <v>0</v>
      </c>
      <c r="AN229" s="29">
        <v>0</v>
      </c>
      <c r="AO229" s="29">
        <v>0</v>
      </c>
      <c r="AP229" s="29">
        <v>0</v>
      </c>
    </row>
    <row r="230" spans="1:42" x14ac:dyDescent="0.25">
      <c r="A230" s="29">
        <v>31</v>
      </c>
      <c r="B230" s="29">
        <v>24604</v>
      </c>
      <c r="C230" s="29">
        <v>1</v>
      </c>
      <c r="D230" s="29" t="s">
        <v>645</v>
      </c>
      <c r="E230" s="29"/>
      <c r="F230" s="29">
        <v>0</v>
      </c>
      <c r="G230" s="29">
        <v>0</v>
      </c>
      <c r="H230" s="29">
        <v>0</v>
      </c>
      <c r="I230" s="29">
        <v>0</v>
      </c>
      <c r="J230" s="29">
        <v>0</v>
      </c>
      <c r="K230" s="29" t="s">
        <v>882</v>
      </c>
      <c r="L230" s="19" t="str">
        <f t="shared" si="24"/>
        <v>Рихтовка</v>
      </c>
      <c r="M230" s="12">
        <f t="shared" si="25"/>
        <v>0</v>
      </c>
      <c r="N230" s="12">
        <f t="shared" si="26"/>
        <v>0</v>
      </c>
      <c r="O230" s="12">
        <f t="shared" si="27"/>
        <v>0</v>
      </c>
      <c r="P230" s="12">
        <f t="shared" si="28"/>
        <v>0</v>
      </c>
      <c r="Q230" s="12">
        <f t="shared" si="29"/>
        <v>0</v>
      </c>
      <c r="R230" s="12">
        <f t="shared" si="30"/>
        <v>0</v>
      </c>
      <c r="S230" s="12">
        <f t="shared" si="31"/>
        <v>0</v>
      </c>
      <c r="T230" s="29">
        <v>0</v>
      </c>
      <c r="U230" s="29">
        <v>0</v>
      </c>
      <c r="V230" s="29">
        <v>0</v>
      </c>
      <c r="W230" s="29">
        <v>0</v>
      </c>
      <c r="X230" s="29">
        <v>0</v>
      </c>
      <c r="Y230" s="29">
        <v>0</v>
      </c>
      <c r="Z230" s="29">
        <v>0</v>
      </c>
      <c r="AA230" s="29">
        <v>0</v>
      </c>
      <c r="AB230" s="29">
        <v>0</v>
      </c>
      <c r="AC230" s="29">
        <v>0</v>
      </c>
      <c r="AD230" s="29">
        <v>0</v>
      </c>
      <c r="AE230" s="29">
        <v>0</v>
      </c>
      <c r="AF230" s="29">
        <v>0</v>
      </c>
      <c r="AG230" s="29">
        <v>0</v>
      </c>
      <c r="AH230" s="29">
        <v>0</v>
      </c>
      <c r="AI230" s="29">
        <v>0</v>
      </c>
      <c r="AJ230" s="29">
        <v>0</v>
      </c>
      <c r="AK230" s="29">
        <v>0</v>
      </c>
      <c r="AL230" s="29">
        <v>0</v>
      </c>
      <c r="AM230" s="29">
        <v>0</v>
      </c>
      <c r="AN230" s="29">
        <v>0</v>
      </c>
      <c r="AO230" s="29">
        <v>0</v>
      </c>
      <c r="AP230" s="29">
        <v>0</v>
      </c>
    </row>
    <row r="231" spans="1:42" x14ac:dyDescent="0.25">
      <c r="A231" s="29">
        <v>31</v>
      </c>
      <c r="B231" s="29">
        <v>24604</v>
      </c>
      <c r="C231" s="29">
        <v>1</v>
      </c>
      <c r="D231" s="29" t="s">
        <v>646</v>
      </c>
      <c r="E231" s="29"/>
      <c r="F231" s="29">
        <v>0</v>
      </c>
      <c r="G231" s="29">
        <v>0</v>
      </c>
      <c r="H231" s="29">
        <v>0</v>
      </c>
      <c r="I231" s="29">
        <v>0</v>
      </c>
      <c r="J231" s="29">
        <v>0</v>
      </c>
      <c r="K231" s="29" t="s">
        <v>882</v>
      </c>
      <c r="L231" s="19" t="str">
        <f t="shared" si="24"/>
        <v>Рихтовка</v>
      </c>
      <c r="M231" s="12">
        <f t="shared" si="25"/>
        <v>0</v>
      </c>
      <c r="N231" s="12">
        <f t="shared" si="26"/>
        <v>0</v>
      </c>
      <c r="O231" s="12">
        <f t="shared" si="27"/>
        <v>0</v>
      </c>
      <c r="P231" s="12">
        <f t="shared" si="28"/>
        <v>0</v>
      </c>
      <c r="Q231" s="12">
        <f t="shared" si="29"/>
        <v>0</v>
      </c>
      <c r="R231" s="12">
        <f t="shared" si="30"/>
        <v>0</v>
      </c>
      <c r="S231" s="12">
        <f t="shared" si="31"/>
        <v>0</v>
      </c>
      <c r="T231" s="29">
        <v>0</v>
      </c>
      <c r="U231" s="29">
        <v>0</v>
      </c>
      <c r="V231" s="29">
        <v>0</v>
      </c>
      <c r="W231" s="29">
        <v>0</v>
      </c>
      <c r="X231" s="29">
        <v>0</v>
      </c>
      <c r="Y231" s="29">
        <v>0</v>
      </c>
      <c r="Z231" s="29">
        <v>0</v>
      </c>
      <c r="AA231" s="29">
        <v>0</v>
      </c>
      <c r="AB231" s="29">
        <v>0</v>
      </c>
      <c r="AC231" s="29">
        <v>0</v>
      </c>
      <c r="AD231" s="29">
        <v>0</v>
      </c>
      <c r="AE231" s="29">
        <v>0</v>
      </c>
      <c r="AF231" s="29">
        <v>0</v>
      </c>
      <c r="AG231" s="29">
        <v>0</v>
      </c>
      <c r="AH231" s="29">
        <v>0</v>
      </c>
      <c r="AI231" s="29">
        <v>0</v>
      </c>
      <c r="AJ231" s="29">
        <v>0</v>
      </c>
      <c r="AK231" s="29">
        <v>0</v>
      </c>
      <c r="AL231" s="29">
        <v>0</v>
      </c>
      <c r="AM231" s="29">
        <v>0</v>
      </c>
      <c r="AN231" s="29">
        <v>0</v>
      </c>
      <c r="AO231" s="29">
        <v>0</v>
      </c>
      <c r="AP231" s="29">
        <v>0</v>
      </c>
    </row>
    <row r="232" spans="1:42" x14ac:dyDescent="0.25">
      <c r="A232" s="29">
        <v>31</v>
      </c>
      <c r="B232" s="29">
        <v>24604</v>
      </c>
      <c r="C232" s="29">
        <v>1</v>
      </c>
      <c r="D232" s="29" t="s">
        <v>647</v>
      </c>
      <c r="E232" s="29"/>
      <c r="F232" s="29">
        <v>0</v>
      </c>
      <c r="G232" s="29">
        <v>0</v>
      </c>
      <c r="H232" s="29">
        <v>0</v>
      </c>
      <c r="I232" s="29">
        <v>0</v>
      </c>
      <c r="J232" s="29">
        <v>0</v>
      </c>
      <c r="K232" s="29" t="s">
        <v>882</v>
      </c>
      <c r="L232" s="19" t="str">
        <f t="shared" si="24"/>
        <v>Рихтовка</v>
      </c>
      <c r="M232" s="12">
        <f t="shared" si="25"/>
        <v>0</v>
      </c>
      <c r="N232" s="12">
        <f t="shared" si="26"/>
        <v>0</v>
      </c>
      <c r="O232" s="12">
        <f t="shared" si="27"/>
        <v>0</v>
      </c>
      <c r="P232" s="12">
        <f t="shared" si="28"/>
        <v>0</v>
      </c>
      <c r="Q232" s="12">
        <f t="shared" si="29"/>
        <v>0</v>
      </c>
      <c r="R232" s="12">
        <f t="shared" si="30"/>
        <v>0</v>
      </c>
      <c r="S232" s="12">
        <f t="shared" si="31"/>
        <v>0</v>
      </c>
      <c r="T232" s="29">
        <v>0</v>
      </c>
      <c r="U232" s="29">
        <v>0</v>
      </c>
      <c r="V232" s="29">
        <v>0</v>
      </c>
      <c r="W232" s="29">
        <v>0</v>
      </c>
      <c r="X232" s="29">
        <v>0</v>
      </c>
      <c r="Y232" s="29">
        <v>0</v>
      </c>
      <c r="Z232" s="29">
        <v>0</v>
      </c>
      <c r="AA232" s="29">
        <v>0</v>
      </c>
      <c r="AB232" s="29">
        <v>0</v>
      </c>
      <c r="AC232" s="29">
        <v>0</v>
      </c>
      <c r="AD232" s="29">
        <v>0</v>
      </c>
      <c r="AE232" s="29">
        <v>0</v>
      </c>
      <c r="AF232" s="29">
        <v>0</v>
      </c>
      <c r="AG232" s="29">
        <v>0</v>
      </c>
      <c r="AH232" s="29">
        <v>0</v>
      </c>
      <c r="AI232" s="29">
        <v>0</v>
      </c>
      <c r="AJ232" s="29">
        <v>0</v>
      </c>
      <c r="AK232" s="29">
        <v>0</v>
      </c>
      <c r="AL232" s="29">
        <v>0</v>
      </c>
      <c r="AM232" s="29">
        <v>0</v>
      </c>
      <c r="AN232" s="29">
        <v>0</v>
      </c>
      <c r="AO232" s="29">
        <v>0</v>
      </c>
      <c r="AP232" s="29">
        <v>0</v>
      </c>
    </row>
    <row r="233" spans="1:42" x14ac:dyDescent="0.25">
      <c r="A233" s="29">
        <v>31</v>
      </c>
      <c r="B233" s="29">
        <v>24604</v>
      </c>
      <c r="C233" s="29">
        <v>1</v>
      </c>
      <c r="D233" s="29" t="s">
        <v>648</v>
      </c>
      <c r="E233" s="29">
        <v>11</v>
      </c>
      <c r="F233" s="29">
        <v>0</v>
      </c>
      <c r="G233" s="29">
        <v>0.73199999332427979</v>
      </c>
      <c r="H233" s="29">
        <v>0</v>
      </c>
      <c r="I233" s="29">
        <v>0</v>
      </c>
      <c r="J233" s="29">
        <v>0.73199999332427979</v>
      </c>
      <c r="K233" s="29">
        <v>40</v>
      </c>
      <c r="L233" s="19" t="str">
        <f t="shared" si="24"/>
        <v>Рихтовка</v>
      </c>
      <c r="M233" s="12">
        <f t="shared" si="25"/>
        <v>4</v>
      </c>
      <c r="N233" s="12">
        <f t="shared" si="26"/>
        <v>4</v>
      </c>
      <c r="O233" s="12">
        <f t="shared" si="27"/>
        <v>1</v>
      </c>
      <c r="P233" s="12">
        <f t="shared" si="28"/>
        <v>0</v>
      </c>
      <c r="Q233" s="12">
        <f t="shared" si="29"/>
        <v>0</v>
      </c>
      <c r="R233" s="12">
        <f t="shared" si="30"/>
        <v>0</v>
      </c>
      <c r="S233" s="12">
        <f t="shared" si="31"/>
        <v>0</v>
      </c>
      <c r="T233" s="29">
        <v>4</v>
      </c>
      <c r="U233" s="29">
        <v>0</v>
      </c>
      <c r="V233" s="29">
        <v>0</v>
      </c>
      <c r="W233" s="29">
        <v>1</v>
      </c>
      <c r="X233" s="29">
        <v>0</v>
      </c>
      <c r="Y233" s="29">
        <v>0</v>
      </c>
      <c r="Z233" s="29">
        <v>0</v>
      </c>
      <c r="AA233" s="29">
        <v>0</v>
      </c>
      <c r="AB233" s="29">
        <v>0</v>
      </c>
      <c r="AC233" s="29">
        <v>0</v>
      </c>
      <c r="AD233" s="29">
        <v>0</v>
      </c>
      <c r="AE233" s="29">
        <v>0</v>
      </c>
      <c r="AF233" s="29">
        <v>0</v>
      </c>
      <c r="AG233" s="29">
        <v>0</v>
      </c>
      <c r="AH233" s="29">
        <v>0</v>
      </c>
      <c r="AI233" s="29">
        <v>0</v>
      </c>
      <c r="AJ233" s="29">
        <v>0</v>
      </c>
      <c r="AK233" s="29">
        <v>0</v>
      </c>
      <c r="AL233" s="29">
        <v>5</v>
      </c>
      <c r="AM233" s="29">
        <v>0</v>
      </c>
      <c r="AN233" s="29">
        <v>0</v>
      </c>
      <c r="AO233" s="29">
        <v>0</v>
      </c>
      <c r="AP233" s="29">
        <v>0</v>
      </c>
    </row>
    <row r="234" spans="1:42" x14ac:dyDescent="0.25">
      <c r="A234" s="29">
        <v>16</v>
      </c>
      <c r="B234" s="29">
        <v>24604</v>
      </c>
      <c r="C234" s="29">
        <v>1</v>
      </c>
      <c r="D234" s="29" t="s">
        <v>648</v>
      </c>
      <c r="E234" s="29">
        <v>11</v>
      </c>
      <c r="F234" s="29">
        <v>2</v>
      </c>
      <c r="G234" s="29">
        <v>0</v>
      </c>
      <c r="H234" s="29">
        <v>0</v>
      </c>
      <c r="I234" s="29">
        <v>0</v>
      </c>
      <c r="J234" s="29">
        <v>2</v>
      </c>
      <c r="K234" s="29">
        <v>10</v>
      </c>
      <c r="L234" s="19" t="str">
        <f t="shared" si="24"/>
        <v>Перекос</v>
      </c>
      <c r="M234" s="12">
        <f t="shared" si="25"/>
        <v>1</v>
      </c>
      <c r="N234" s="12">
        <f t="shared" si="26"/>
        <v>0</v>
      </c>
      <c r="O234" s="12">
        <f t="shared" si="27"/>
        <v>0</v>
      </c>
      <c r="P234" s="12">
        <f t="shared" si="28"/>
        <v>0</v>
      </c>
      <c r="Q234" s="12">
        <f t="shared" si="29"/>
        <v>0</v>
      </c>
      <c r="R234" s="12">
        <f t="shared" si="30"/>
        <v>1</v>
      </c>
      <c r="S234" s="12">
        <f t="shared" si="31"/>
        <v>0</v>
      </c>
      <c r="T234" s="29">
        <v>0</v>
      </c>
      <c r="U234" s="29">
        <v>0</v>
      </c>
      <c r="V234" s="29">
        <v>0</v>
      </c>
      <c r="W234" s="29">
        <v>0</v>
      </c>
      <c r="X234" s="29">
        <v>0</v>
      </c>
      <c r="Y234" s="29">
        <v>0</v>
      </c>
      <c r="Z234" s="29">
        <v>0</v>
      </c>
      <c r="AA234" s="29">
        <v>0</v>
      </c>
      <c r="AB234" s="29">
        <v>0</v>
      </c>
      <c r="AC234" s="29">
        <v>0</v>
      </c>
      <c r="AD234" s="29">
        <v>0</v>
      </c>
      <c r="AE234" s="29">
        <v>0</v>
      </c>
      <c r="AF234" s="29">
        <v>1</v>
      </c>
      <c r="AG234" s="29">
        <v>0</v>
      </c>
      <c r="AH234" s="29">
        <v>0</v>
      </c>
      <c r="AI234" s="29">
        <v>0</v>
      </c>
      <c r="AJ234" s="29">
        <v>0</v>
      </c>
      <c r="AK234" s="29">
        <v>0</v>
      </c>
      <c r="AL234" s="29">
        <v>1</v>
      </c>
      <c r="AM234" s="29">
        <v>0</v>
      </c>
      <c r="AN234" s="29">
        <v>0</v>
      </c>
      <c r="AO234" s="29">
        <v>0</v>
      </c>
      <c r="AP234" s="29">
        <v>0</v>
      </c>
    </row>
    <row r="235" spans="1:42" x14ac:dyDescent="0.25">
      <c r="A235" s="29">
        <v>16</v>
      </c>
      <c r="B235" s="29">
        <v>24604</v>
      </c>
      <c r="C235" s="29">
        <v>1</v>
      </c>
      <c r="D235" s="29" t="s">
        <v>649</v>
      </c>
      <c r="E235" s="29">
        <v>11</v>
      </c>
      <c r="F235" s="29">
        <v>1.0010000467300415</v>
      </c>
      <c r="G235" s="29">
        <v>6</v>
      </c>
      <c r="H235" s="29">
        <v>4.999000072479248</v>
      </c>
      <c r="I235" s="29">
        <v>1</v>
      </c>
      <c r="J235" s="29">
        <v>13</v>
      </c>
      <c r="K235" s="29">
        <v>115.40000152587891</v>
      </c>
      <c r="L235" s="19" t="str">
        <f t="shared" si="24"/>
        <v>Уширение</v>
      </c>
      <c r="M235" s="12">
        <f t="shared" si="25"/>
        <v>106</v>
      </c>
      <c r="N235" s="12">
        <f t="shared" si="26"/>
        <v>64</v>
      </c>
      <c r="O235" s="12">
        <f t="shared" si="27"/>
        <v>106</v>
      </c>
      <c r="P235" s="12">
        <f t="shared" si="28"/>
        <v>1</v>
      </c>
      <c r="Q235" s="12">
        <f t="shared" si="29"/>
        <v>9</v>
      </c>
      <c r="R235" s="12">
        <f t="shared" si="30"/>
        <v>39</v>
      </c>
      <c r="S235" s="12">
        <f t="shared" si="31"/>
        <v>10</v>
      </c>
      <c r="T235" s="29">
        <v>64</v>
      </c>
      <c r="U235" s="29">
        <v>0</v>
      </c>
      <c r="V235" s="29">
        <v>0</v>
      </c>
      <c r="W235" s="29">
        <v>95</v>
      </c>
      <c r="X235" s="29">
        <v>10</v>
      </c>
      <c r="Y235" s="29">
        <v>1</v>
      </c>
      <c r="Z235" s="29">
        <v>1</v>
      </c>
      <c r="AA235" s="29">
        <v>0</v>
      </c>
      <c r="AB235" s="29">
        <v>0</v>
      </c>
      <c r="AC235" s="29">
        <v>9</v>
      </c>
      <c r="AD235" s="29">
        <v>0</v>
      </c>
      <c r="AE235" s="29">
        <v>0</v>
      </c>
      <c r="AF235" s="29">
        <v>39</v>
      </c>
      <c r="AG235" s="29">
        <v>0</v>
      </c>
      <c r="AH235" s="29">
        <v>0</v>
      </c>
      <c r="AI235" s="29">
        <v>10</v>
      </c>
      <c r="AJ235" s="29">
        <v>0</v>
      </c>
      <c r="AK235" s="29">
        <v>0</v>
      </c>
      <c r="AL235" s="29">
        <v>218</v>
      </c>
      <c r="AM235" s="29">
        <v>10</v>
      </c>
      <c r="AN235" s="29">
        <v>1</v>
      </c>
      <c r="AO235" s="29">
        <v>0</v>
      </c>
      <c r="AP235" s="29">
        <v>0</v>
      </c>
    </row>
    <row r="236" spans="1:42" x14ac:dyDescent="0.25">
      <c r="A236" s="29">
        <v>16</v>
      </c>
      <c r="B236" s="29">
        <v>24604</v>
      </c>
      <c r="C236" s="29">
        <v>1</v>
      </c>
      <c r="D236" s="29" t="s">
        <v>650</v>
      </c>
      <c r="E236" s="29" t="s">
        <v>1067</v>
      </c>
      <c r="F236" s="29">
        <v>0.50199997425079346</v>
      </c>
      <c r="G236" s="29">
        <v>2.562999963760376</v>
      </c>
      <c r="H236" s="29">
        <v>0</v>
      </c>
      <c r="I236" s="29">
        <v>0</v>
      </c>
      <c r="J236" s="29">
        <v>3.065000057220459</v>
      </c>
      <c r="K236" s="29">
        <v>35.099998474121094</v>
      </c>
      <c r="L236" s="19" t="str">
        <f t="shared" si="24"/>
        <v>Уширение</v>
      </c>
      <c r="M236" s="12">
        <f t="shared" si="25"/>
        <v>12</v>
      </c>
      <c r="N236" s="12">
        <f t="shared" si="26"/>
        <v>5</v>
      </c>
      <c r="O236" s="12">
        <f t="shared" si="27"/>
        <v>12</v>
      </c>
      <c r="P236" s="12">
        <f t="shared" si="28"/>
        <v>0</v>
      </c>
      <c r="Q236" s="12">
        <f t="shared" si="29"/>
        <v>1</v>
      </c>
      <c r="R236" s="12">
        <f t="shared" si="30"/>
        <v>11</v>
      </c>
      <c r="S236" s="12">
        <f t="shared" si="31"/>
        <v>0</v>
      </c>
      <c r="T236" s="29">
        <v>5</v>
      </c>
      <c r="U236" s="29">
        <v>0</v>
      </c>
      <c r="V236" s="29">
        <v>0</v>
      </c>
      <c r="W236" s="29">
        <v>12</v>
      </c>
      <c r="X236" s="29">
        <v>0</v>
      </c>
      <c r="Y236" s="29">
        <v>0</v>
      </c>
      <c r="Z236" s="29">
        <v>0</v>
      </c>
      <c r="AA236" s="29">
        <v>0</v>
      </c>
      <c r="AB236" s="29">
        <v>0</v>
      </c>
      <c r="AC236" s="29">
        <v>1</v>
      </c>
      <c r="AD236" s="29">
        <v>0</v>
      </c>
      <c r="AE236" s="29">
        <v>0</v>
      </c>
      <c r="AF236" s="29">
        <v>11</v>
      </c>
      <c r="AG236" s="29">
        <v>0</v>
      </c>
      <c r="AH236" s="29">
        <v>0</v>
      </c>
      <c r="AI236" s="29">
        <v>0</v>
      </c>
      <c r="AJ236" s="29">
        <v>0</v>
      </c>
      <c r="AK236" s="29">
        <v>0</v>
      </c>
      <c r="AL236" s="29">
        <v>29</v>
      </c>
      <c r="AM236" s="29">
        <v>0</v>
      </c>
      <c r="AN236" s="29">
        <v>0</v>
      </c>
      <c r="AO236" s="29">
        <v>0</v>
      </c>
      <c r="AP236" s="29">
        <v>0</v>
      </c>
    </row>
    <row r="237" spans="1:42" x14ac:dyDescent="0.25">
      <c r="A237" s="29">
        <v>16</v>
      </c>
      <c r="B237" s="29">
        <v>24645</v>
      </c>
      <c r="C237" s="29" t="s">
        <v>213</v>
      </c>
      <c r="D237" s="29" t="s">
        <v>651</v>
      </c>
      <c r="E237" s="29"/>
      <c r="F237" s="29">
        <v>0</v>
      </c>
      <c r="G237" s="29">
        <v>0</v>
      </c>
      <c r="H237" s="29">
        <v>0</v>
      </c>
      <c r="I237" s="29">
        <v>0</v>
      </c>
      <c r="J237" s="29">
        <v>0</v>
      </c>
      <c r="K237" s="29" t="s">
        <v>882</v>
      </c>
      <c r="L237" s="19" t="str">
        <f t="shared" si="24"/>
        <v>Рихтовка</v>
      </c>
      <c r="M237" s="12">
        <f t="shared" si="25"/>
        <v>0</v>
      </c>
      <c r="N237" s="12">
        <f t="shared" si="26"/>
        <v>0</v>
      </c>
      <c r="O237" s="12">
        <f t="shared" si="27"/>
        <v>0</v>
      </c>
      <c r="P237" s="12">
        <f t="shared" si="28"/>
        <v>0</v>
      </c>
      <c r="Q237" s="12">
        <f t="shared" si="29"/>
        <v>0</v>
      </c>
      <c r="R237" s="12">
        <f t="shared" si="30"/>
        <v>0</v>
      </c>
      <c r="S237" s="12">
        <f t="shared" si="31"/>
        <v>0</v>
      </c>
      <c r="T237" s="29">
        <v>0</v>
      </c>
      <c r="U237" s="29">
        <v>0</v>
      </c>
      <c r="V237" s="29">
        <v>0</v>
      </c>
      <c r="W237" s="29">
        <v>0</v>
      </c>
      <c r="X237" s="29">
        <v>0</v>
      </c>
      <c r="Y237" s="29">
        <v>0</v>
      </c>
      <c r="Z237" s="29">
        <v>0</v>
      </c>
      <c r="AA237" s="29">
        <v>0</v>
      </c>
      <c r="AB237" s="29">
        <v>0</v>
      </c>
      <c r="AC237" s="29">
        <v>0</v>
      </c>
      <c r="AD237" s="29">
        <v>0</v>
      </c>
      <c r="AE237" s="29">
        <v>0</v>
      </c>
      <c r="AF237" s="29">
        <v>0</v>
      </c>
      <c r="AG237" s="29">
        <v>0</v>
      </c>
      <c r="AH237" s="29">
        <v>0</v>
      </c>
      <c r="AI237" s="29">
        <v>0</v>
      </c>
      <c r="AJ237" s="29">
        <v>0</v>
      </c>
      <c r="AK237" s="29">
        <v>0</v>
      </c>
      <c r="AL237" s="29">
        <v>0</v>
      </c>
      <c r="AM237" s="29">
        <v>0</v>
      </c>
      <c r="AN237" s="29">
        <v>0</v>
      </c>
      <c r="AO237" s="29">
        <v>0</v>
      </c>
      <c r="AP237" s="29">
        <v>0</v>
      </c>
    </row>
    <row r="238" spans="1:42" x14ac:dyDescent="0.25">
      <c r="A238" s="29">
        <v>15</v>
      </c>
      <c r="B238" s="29">
        <v>13875</v>
      </c>
      <c r="C238" s="29" t="s">
        <v>421</v>
      </c>
      <c r="D238" s="29" t="s">
        <v>652</v>
      </c>
      <c r="E238" s="29">
        <v>1</v>
      </c>
      <c r="F238" s="29">
        <v>2.8559999465942383</v>
      </c>
      <c r="G238" s="29">
        <v>2.2999999523162842</v>
      </c>
      <c r="H238" s="29">
        <v>0</v>
      </c>
      <c r="I238" s="29">
        <v>0</v>
      </c>
      <c r="J238" s="29">
        <v>5.1560001373291016</v>
      </c>
      <c r="K238" s="29">
        <v>23.399999618530273</v>
      </c>
      <c r="L238" s="19" t="str">
        <f t="shared" si="24"/>
        <v>Рихтовка</v>
      </c>
      <c r="M238" s="12">
        <f t="shared" si="25"/>
        <v>8</v>
      </c>
      <c r="N238" s="12">
        <f t="shared" si="26"/>
        <v>8</v>
      </c>
      <c r="O238" s="12">
        <f t="shared" si="27"/>
        <v>2</v>
      </c>
      <c r="P238" s="12">
        <f t="shared" si="28"/>
        <v>0</v>
      </c>
      <c r="Q238" s="12">
        <f t="shared" si="29"/>
        <v>5</v>
      </c>
      <c r="R238" s="12">
        <f t="shared" si="30"/>
        <v>6</v>
      </c>
      <c r="S238" s="12">
        <f t="shared" si="31"/>
        <v>4</v>
      </c>
      <c r="T238" s="29">
        <v>8</v>
      </c>
      <c r="U238" s="29">
        <v>0</v>
      </c>
      <c r="V238" s="29">
        <v>0</v>
      </c>
      <c r="W238" s="29">
        <v>2</v>
      </c>
      <c r="X238" s="29">
        <v>0</v>
      </c>
      <c r="Y238" s="29">
        <v>0</v>
      </c>
      <c r="Z238" s="29">
        <v>0</v>
      </c>
      <c r="AA238" s="29">
        <v>0</v>
      </c>
      <c r="AB238" s="29">
        <v>0</v>
      </c>
      <c r="AC238" s="29">
        <v>5</v>
      </c>
      <c r="AD238" s="29">
        <v>0</v>
      </c>
      <c r="AE238" s="29">
        <v>0</v>
      </c>
      <c r="AF238" s="29">
        <v>6</v>
      </c>
      <c r="AG238" s="29">
        <v>0</v>
      </c>
      <c r="AH238" s="29">
        <v>0</v>
      </c>
      <c r="AI238" s="29">
        <v>4</v>
      </c>
      <c r="AJ238" s="29">
        <v>0</v>
      </c>
      <c r="AK238" s="29">
        <v>0</v>
      </c>
      <c r="AL238" s="29">
        <v>25</v>
      </c>
      <c r="AM238" s="29">
        <v>0</v>
      </c>
      <c r="AN238" s="29">
        <v>0</v>
      </c>
      <c r="AO238" s="29">
        <v>0</v>
      </c>
      <c r="AP238" s="29">
        <v>0</v>
      </c>
    </row>
    <row r="239" spans="1:42" x14ac:dyDescent="0.25">
      <c r="A239" s="29">
        <v>5</v>
      </c>
      <c r="B239" s="29">
        <v>25001</v>
      </c>
      <c r="C239" s="29" t="s">
        <v>421</v>
      </c>
      <c r="D239" s="29" t="s">
        <v>653</v>
      </c>
      <c r="E239" s="29">
        <v>1</v>
      </c>
      <c r="F239" s="29">
        <v>0.15099999308586121</v>
      </c>
      <c r="G239" s="29">
        <v>0</v>
      </c>
      <c r="H239" s="29">
        <v>0</v>
      </c>
      <c r="I239" s="29">
        <v>0</v>
      </c>
      <c r="J239" s="29">
        <v>0.15099999308586121</v>
      </c>
      <c r="K239" s="29">
        <v>10</v>
      </c>
      <c r="L239" s="19" t="str">
        <f t="shared" si="24"/>
        <v>Перекос</v>
      </c>
      <c r="M239" s="12">
        <f t="shared" si="25"/>
        <v>1</v>
      </c>
      <c r="N239" s="12">
        <f t="shared" si="26"/>
        <v>0</v>
      </c>
      <c r="O239" s="12">
        <f t="shared" si="27"/>
        <v>0</v>
      </c>
      <c r="P239" s="12">
        <f t="shared" si="28"/>
        <v>0</v>
      </c>
      <c r="Q239" s="12">
        <f t="shared" si="29"/>
        <v>0</v>
      </c>
      <c r="R239" s="12">
        <f t="shared" si="30"/>
        <v>1</v>
      </c>
      <c r="S239" s="12">
        <f t="shared" si="31"/>
        <v>0</v>
      </c>
      <c r="T239" s="29">
        <v>0</v>
      </c>
      <c r="U239" s="29">
        <v>0</v>
      </c>
      <c r="V239" s="29">
        <v>0</v>
      </c>
      <c r="W239" s="29">
        <v>0</v>
      </c>
      <c r="X239" s="29">
        <v>0</v>
      </c>
      <c r="Y239" s="29">
        <v>0</v>
      </c>
      <c r="Z239" s="29">
        <v>0</v>
      </c>
      <c r="AA239" s="29">
        <v>0</v>
      </c>
      <c r="AB239" s="29">
        <v>0</v>
      </c>
      <c r="AC239" s="29">
        <v>0</v>
      </c>
      <c r="AD239" s="29">
        <v>0</v>
      </c>
      <c r="AE239" s="29">
        <v>0</v>
      </c>
      <c r="AF239" s="29">
        <v>1</v>
      </c>
      <c r="AG239" s="29">
        <v>0</v>
      </c>
      <c r="AH239" s="29">
        <v>0</v>
      </c>
      <c r="AI239" s="29">
        <v>0</v>
      </c>
      <c r="AJ239" s="29">
        <v>0</v>
      </c>
      <c r="AK239" s="29">
        <v>0</v>
      </c>
      <c r="AL239" s="29">
        <v>1</v>
      </c>
      <c r="AM239" s="29">
        <v>0</v>
      </c>
      <c r="AN239" s="29">
        <v>0</v>
      </c>
      <c r="AO239" s="29">
        <v>0</v>
      </c>
      <c r="AP239" s="29">
        <v>0</v>
      </c>
    </row>
    <row r="240" spans="1:42" x14ac:dyDescent="0.25">
      <c r="A240" s="29">
        <v>15</v>
      </c>
      <c r="B240" s="29">
        <v>25001</v>
      </c>
      <c r="C240" s="29" t="s">
        <v>421</v>
      </c>
      <c r="D240" s="29" t="s">
        <v>653</v>
      </c>
      <c r="E240" s="29">
        <v>1</v>
      </c>
      <c r="F240" s="29">
        <v>1.3250000476837158</v>
      </c>
      <c r="G240" s="29">
        <v>1</v>
      </c>
      <c r="H240" s="29">
        <v>0</v>
      </c>
      <c r="I240" s="29">
        <v>0</v>
      </c>
      <c r="J240" s="29">
        <v>2.3250000476837158</v>
      </c>
      <c r="K240" s="29">
        <v>22.899999618530273</v>
      </c>
      <c r="L240" s="19" t="str">
        <f t="shared" si="24"/>
        <v>Рихтовка</v>
      </c>
      <c r="M240" s="12">
        <f t="shared" si="25"/>
        <v>6</v>
      </c>
      <c r="N240" s="12">
        <f t="shared" si="26"/>
        <v>6</v>
      </c>
      <c r="O240" s="12">
        <f t="shared" si="27"/>
        <v>1</v>
      </c>
      <c r="P240" s="12">
        <f t="shared" si="28"/>
        <v>0</v>
      </c>
      <c r="Q240" s="12">
        <f t="shared" si="29"/>
        <v>1</v>
      </c>
      <c r="R240" s="12">
        <f t="shared" si="30"/>
        <v>6</v>
      </c>
      <c r="S240" s="12">
        <f t="shared" si="31"/>
        <v>1</v>
      </c>
      <c r="T240" s="29">
        <v>6</v>
      </c>
      <c r="U240" s="29">
        <v>0</v>
      </c>
      <c r="V240" s="29">
        <v>0</v>
      </c>
      <c r="W240" s="29">
        <v>1</v>
      </c>
      <c r="X240" s="29">
        <v>0</v>
      </c>
      <c r="Y240" s="29">
        <v>0</v>
      </c>
      <c r="Z240" s="29">
        <v>0</v>
      </c>
      <c r="AA240" s="29">
        <v>0</v>
      </c>
      <c r="AB240" s="29">
        <v>0</v>
      </c>
      <c r="AC240" s="29">
        <v>1</v>
      </c>
      <c r="AD240" s="29">
        <v>0</v>
      </c>
      <c r="AE240" s="29">
        <v>0</v>
      </c>
      <c r="AF240" s="29">
        <v>6</v>
      </c>
      <c r="AG240" s="29">
        <v>0</v>
      </c>
      <c r="AH240" s="29">
        <v>0</v>
      </c>
      <c r="AI240" s="29">
        <v>1</v>
      </c>
      <c r="AJ240" s="29">
        <v>0</v>
      </c>
      <c r="AK240" s="29">
        <v>0</v>
      </c>
      <c r="AL240" s="29">
        <v>15</v>
      </c>
      <c r="AM240" s="29">
        <v>0</v>
      </c>
      <c r="AN240" s="29">
        <v>0</v>
      </c>
      <c r="AO240" s="29">
        <v>0</v>
      </c>
      <c r="AP240" s="29">
        <v>0</v>
      </c>
    </row>
    <row r="241" spans="1:42" x14ac:dyDescent="0.25">
      <c r="A241" s="29">
        <v>15</v>
      </c>
      <c r="B241" s="29">
        <v>25001</v>
      </c>
      <c r="C241" s="29" t="s">
        <v>421</v>
      </c>
      <c r="D241" s="29" t="s">
        <v>654</v>
      </c>
      <c r="E241" s="29" t="s">
        <v>881</v>
      </c>
      <c r="F241" s="29">
        <v>8.2239999771118164</v>
      </c>
      <c r="G241" s="29">
        <v>1</v>
      </c>
      <c r="H241" s="29">
        <v>0</v>
      </c>
      <c r="I241" s="29">
        <v>0</v>
      </c>
      <c r="J241" s="29">
        <v>9.2239999771118164</v>
      </c>
      <c r="K241" s="29">
        <v>13.300000190734863</v>
      </c>
      <c r="L241" s="19" t="str">
        <f t="shared" si="24"/>
        <v>Перекос</v>
      </c>
      <c r="M241" s="12">
        <f t="shared" si="25"/>
        <v>13</v>
      </c>
      <c r="N241" s="12">
        <f t="shared" si="26"/>
        <v>3</v>
      </c>
      <c r="O241" s="12">
        <f t="shared" si="27"/>
        <v>1</v>
      </c>
      <c r="P241" s="12">
        <f t="shared" si="28"/>
        <v>0</v>
      </c>
      <c r="Q241" s="12">
        <f t="shared" si="29"/>
        <v>2</v>
      </c>
      <c r="R241" s="12">
        <f t="shared" si="30"/>
        <v>13</v>
      </c>
      <c r="S241" s="12">
        <f t="shared" si="31"/>
        <v>7</v>
      </c>
      <c r="T241" s="29">
        <v>3</v>
      </c>
      <c r="U241" s="29">
        <v>0</v>
      </c>
      <c r="V241" s="29">
        <v>0</v>
      </c>
      <c r="W241" s="29">
        <v>1</v>
      </c>
      <c r="X241" s="29">
        <v>0</v>
      </c>
      <c r="Y241" s="29">
        <v>0</v>
      </c>
      <c r="Z241" s="29">
        <v>0</v>
      </c>
      <c r="AA241" s="29">
        <v>0</v>
      </c>
      <c r="AB241" s="29">
        <v>0</v>
      </c>
      <c r="AC241" s="29">
        <v>2</v>
      </c>
      <c r="AD241" s="29">
        <v>0</v>
      </c>
      <c r="AE241" s="29">
        <v>0</v>
      </c>
      <c r="AF241" s="29">
        <v>13</v>
      </c>
      <c r="AG241" s="29">
        <v>0</v>
      </c>
      <c r="AH241" s="29">
        <v>0</v>
      </c>
      <c r="AI241" s="29">
        <v>7</v>
      </c>
      <c r="AJ241" s="29">
        <v>0</v>
      </c>
      <c r="AK241" s="29">
        <v>0</v>
      </c>
      <c r="AL241" s="29">
        <v>26</v>
      </c>
      <c r="AM241" s="29">
        <v>0</v>
      </c>
      <c r="AN241" s="29">
        <v>0</v>
      </c>
      <c r="AO241" s="29">
        <v>0</v>
      </c>
      <c r="AP241" s="29">
        <v>0</v>
      </c>
    </row>
    <row r="242" spans="1:42" x14ac:dyDescent="0.25">
      <c r="A242" s="29">
        <v>15</v>
      </c>
      <c r="B242" s="29">
        <v>25001</v>
      </c>
      <c r="C242" s="29" t="s">
        <v>421</v>
      </c>
      <c r="D242" s="29" t="s">
        <v>655</v>
      </c>
      <c r="E242" s="29">
        <v>2</v>
      </c>
      <c r="F242" s="29">
        <v>7</v>
      </c>
      <c r="G242" s="29">
        <v>3</v>
      </c>
      <c r="H242" s="29">
        <v>0</v>
      </c>
      <c r="I242" s="29">
        <v>0</v>
      </c>
      <c r="J242" s="29">
        <v>10</v>
      </c>
      <c r="K242" s="29">
        <v>19</v>
      </c>
      <c r="L242" s="19" t="str">
        <f t="shared" si="24"/>
        <v>Просадка</v>
      </c>
      <c r="M242" s="12">
        <f t="shared" si="25"/>
        <v>12</v>
      </c>
      <c r="N242" s="12">
        <f t="shared" si="26"/>
        <v>10</v>
      </c>
      <c r="O242" s="12">
        <f t="shared" si="27"/>
        <v>4</v>
      </c>
      <c r="P242" s="12">
        <f t="shared" si="28"/>
        <v>0</v>
      </c>
      <c r="Q242" s="12">
        <f t="shared" si="29"/>
        <v>5</v>
      </c>
      <c r="R242" s="12">
        <f t="shared" si="30"/>
        <v>9</v>
      </c>
      <c r="S242" s="12">
        <f t="shared" si="31"/>
        <v>12</v>
      </c>
      <c r="T242" s="29">
        <v>10</v>
      </c>
      <c r="U242" s="29">
        <v>0</v>
      </c>
      <c r="V242" s="29">
        <v>0</v>
      </c>
      <c r="W242" s="29">
        <v>4</v>
      </c>
      <c r="X242" s="29">
        <v>0</v>
      </c>
      <c r="Y242" s="29">
        <v>0</v>
      </c>
      <c r="Z242" s="29">
        <v>0</v>
      </c>
      <c r="AA242" s="29">
        <v>0</v>
      </c>
      <c r="AB242" s="29">
        <v>0</v>
      </c>
      <c r="AC242" s="29">
        <v>5</v>
      </c>
      <c r="AD242" s="29">
        <v>0</v>
      </c>
      <c r="AE242" s="29">
        <v>0</v>
      </c>
      <c r="AF242" s="29">
        <v>9</v>
      </c>
      <c r="AG242" s="29">
        <v>0</v>
      </c>
      <c r="AH242" s="29">
        <v>0</v>
      </c>
      <c r="AI242" s="29">
        <v>12</v>
      </c>
      <c r="AJ242" s="29">
        <v>0</v>
      </c>
      <c r="AK242" s="29">
        <v>0</v>
      </c>
      <c r="AL242" s="29">
        <v>40</v>
      </c>
      <c r="AM242" s="29">
        <v>0</v>
      </c>
      <c r="AN242" s="29">
        <v>0</v>
      </c>
      <c r="AO242" s="29">
        <v>0</v>
      </c>
      <c r="AP242" s="29">
        <v>0</v>
      </c>
    </row>
    <row r="243" spans="1:42" x14ac:dyDescent="0.25">
      <c r="A243" s="29">
        <v>15</v>
      </c>
      <c r="B243" s="29">
        <v>25001</v>
      </c>
      <c r="C243" s="29" t="s">
        <v>421</v>
      </c>
      <c r="D243" s="29" t="s">
        <v>656</v>
      </c>
      <c r="E243" s="29" t="s">
        <v>883</v>
      </c>
      <c r="F243" s="29">
        <v>11</v>
      </c>
      <c r="G243" s="29">
        <v>7</v>
      </c>
      <c r="H243" s="29">
        <v>0</v>
      </c>
      <c r="I243" s="29">
        <v>0</v>
      </c>
      <c r="J243" s="29">
        <v>18</v>
      </c>
      <c r="K243" s="29">
        <v>21.700000762939453</v>
      </c>
      <c r="L243" s="19" t="str">
        <f t="shared" si="24"/>
        <v>Просадка</v>
      </c>
      <c r="M243" s="12">
        <f t="shared" si="25"/>
        <v>36</v>
      </c>
      <c r="N243" s="12">
        <f t="shared" si="26"/>
        <v>10</v>
      </c>
      <c r="O243" s="12">
        <f t="shared" si="27"/>
        <v>3</v>
      </c>
      <c r="P243" s="12">
        <f t="shared" si="28"/>
        <v>0</v>
      </c>
      <c r="Q243" s="12">
        <f t="shared" si="29"/>
        <v>20</v>
      </c>
      <c r="R243" s="12">
        <f t="shared" si="30"/>
        <v>28</v>
      </c>
      <c r="S243" s="12">
        <f t="shared" si="31"/>
        <v>36</v>
      </c>
      <c r="T243" s="29">
        <v>10</v>
      </c>
      <c r="U243" s="29">
        <v>0</v>
      </c>
      <c r="V243" s="29">
        <v>0</v>
      </c>
      <c r="W243" s="29">
        <v>3</v>
      </c>
      <c r="X243" s="29">
        <v>0</v>
      </c>
      <c r="Y243" s="29">
        <v>0</v>
      </c>
      <c r="Z243" s="29">
        <v>0</v>
      </c>
      <c r="AA243" s="29">
        <v>0</v>
      </c>
      <c r="AB243" s="29">
        <v>0</v>
      </c>
      <c r="AC243" s="29">
        <v>20</v>
      </c>
      <c r="AD243" s="29">
        <v>0</v>
      </c>
      <c r="AE243" s="29">
        <v>0</v>
      </c>
      <c r="AF243" s="29">
        <v>28</v>
      </c>
      <c r="AG243" s="29">
        <v>0</v>
      </c>
      <c r="AH243" s="29">
        <v>0</v>
      </c>
      <c r="AI243" s="29">
        <v>36</v>
      </c>
      <c r="AJ243" s="29">
        <v>0</v>
      </c>
      <c r="AK243" s="29">
        <v>0</v>
      </c>
      <c r="AL243" s="29">
        <v>97</v>
      </c>
      <c r="AM243" s="29">
        <v>0</v>
      </c>
      <c r="AN243" s="29">
        <v>0</v>
      </c>
      <c r="AO243" s="29">
        <v>0</v>
      </c>
      <c r="AP243" s="29">
        <v>0</v>
      </c>
    </row>
    <row r="244" spans="1:42" x14ac:dyDescent="0.25">
      <c r="A244" s="29">
        <v>15</v>
      </c>
      <c r="B244" s="29">
        <v>25001</v>
      </c>
      <c r="C244" s="29" t="s">
        <v>421</v>
      </c>
      <c r="D244" s="29" t="s">
        <v>657</v>
      </c>
      <c r="E244" s="29">
        <v>3</v>
      </c>
      <c r="F244" s="29">
        <v>10</v>
      </c>
      <c r="G244" s="29">
        <v>7</v>
      </c>
      <c r="H244" s="29">
        <v>0</v>
      </c>
      <c r="I244" s="29">
        <v>0</v>
      </c>
      <c r="J244" s="29">
        <v>17</v>
      </c>
      <c r="K244" s="29">
        <v>22.399999618530273</v>
      </c>
      <c r="L244" s="19" t="str">
        <f t="shared" si="24"/>
        <v>Перекос</v>
      </c>
      <c r="M244" s="12">
        <f t="shared" si="25"/>
        <v>32</v>
      </c>
      <c r="N244" s="12">
        <f t="shared" si="26"/>
        <v>25</v>
      </c>
      <c r="O244" s="12">
        <f t="shared" si="27"/>
        <v>6</v>
      </c>
      <c r="P244" s="12">
        <f t="shared" si="28"/>
        <v>0</v>
      </c>
      <c r="Q244" s="12">
        <f t="shared" si="29"/>
        <v>9</v>
      </c>
      <c r="R244" s="12">
        <f t="shared" si="30"/>
        <v>32</v>
      </c>
      <c r="S244" s="12">
        <f t="shared" si="31"/>
        <v>11</v>
      </c>
      <c r="T244" s="29">
        <v>25</v>
      </c>
      <c r="U244" s="29">
        <v>0</v>
      </c>
      <c r="V244" s="29">
        <v>0</v>
      </c>
      <c r="W244" s="29">
        <v>6</v>
      </c>
      <c r="X244" s="29">
        <v>0</v>
      </c>
      <c r="Y244" s="29">
        <v>0</v>
      </c>
      <c r="Z244" s="29">
        <v>0</v>
      </c>
      <c r="AA244" s="29">
        <v>0</v>
      </c>
      <c r="AB244" s="29">
        <v>0</v>
      </c>
      <c r="AC244" s="29">
        <v>9</v>
      </c>
      <c r="AD244" s="29">
        <v>0</v>
      </c>
      <c r="AE244" s="29">
        <v>0</v>
      </c>
      <c r="AF244" s="29">
        <v>32</v>
      </c>
      <c r="AG244" s="29">
        <v>0</v>
      </c>
      <c r="AH244" s="29">
        <v>0</v>
      </c>
      <c r="AI244" s="29">
        <v>11</v>
      </c>
      <c r="AJ244" s="29">
        <v>0</v>
      </c>
      <c r="AK244" s="29">
        <v>0</v>
      </c>
      <c r="AL244" s="29">
        <v>83</v>
      </c>
      <c r="AM244" s="29">
        <v>0</v>
      </c>
      <c r="AN244" s="29">
        <v>0</v>
      </c>
      <c r="AO244" s="29">
        <v>0</v>
      </c>
      <c r="AP244" s="29">
        <v>0</v>
      </c>
    </row>
    <row r="245" spans="1:42" x14ac:dyDescent="0.25">
      <c r="A245" s="29">
        <v>15</v>
      </c>
      <c r="B245" s="29">
        <v>25001</v>
      </c>
      <c r="C245" s="29" t="s">
        <v>421</v>
      </c>
      <c r="D245" s="29" t="s">
        <v>658</v>
      </c>
      <c r="E245" s="29" t="s">
        <v>884</v>
      </c>
      <c r="F245" s="29">
        <v>5.0019998550415039</v>
      </c>
      <c r="G245" s="29">
        <v>8</v>
      </c>
      <c r="H245" s="29">
        <v>1.9980000257492065</v>
      </c>
      <c r="I245" s="29">
        <v>0</v>
      </c>
      <c r="J245" s="29">
        <v>15</v>
      </c>
      <c r="K245" s="29">
        <v>44.599998474121094</v>
      </c>
      <c r="L245" s="19" t="str">
        <f t="shared" si="24"/>
        <v>Перекос</v>
      </c>
      <c r="M245" s="12">
        <f t="shared" si="25"/>
        <v>62</v>
      </c>
      <c r="N245" s="12">
        <f t="shared" si="26"/>
        <v>9</v>
      </c>
      <c r="O245" s="12">
        <f t="shared" si="27"/>
        <v>4</v>
      </c>
      <c r="P245" s="12">
        <f t="shared" si="28"/>
        <v>0</v>
      </c>
      <c r="Q245" s="12">
        <f t="shared" si="29"/>
        <v>8</v>
      </c>
      <c r="R245" s="12">
        <f t="shared" si="30"/>
        <v>62</v>
      </c>
      <c r="S245" s="12">
        <f t="shared" si="31"/>
        <v>59</v>
      </c>
      <c r="T245" s="29">
        <v>9</v>
      </c>
      <c r="U245" s="29">
        <v>0</v>
      </c>
      <c r="V245" s="29">
        <v>0</v>
      </c>
      <c r="W245" s="29">
        <v>4</v>
      </c>
      <c r="X245" s="29">
        <v>0</v>
      </c>
      <c r="Y245" s="29">
        <v>0</v>
      </c>
      <c r="Z245" s="29">
        <v>0</v>
      </c>
      <c r="AA245" s="29">
        <v>0</v>
      </c>
      <c r="AB245" s="29">
        <v>0</v>
      </c>
      <c r="AC245" s="29">
        <v>8</v>
      </c>
      <c r="AD245" s="29">
        <v>0</v>
      </c>
      <c r="AE245" s="29">
        <v>0</v>
      </c>
      <c r="AF245" s="29">
        <v>59</v>
      </c>
      <c r="AG245" s="29">
        <v>3</v>
      </c>
      <c r="AH245" s="29">
        <v>0</v>
      </c>
      <c r="AI245" s="29">
        <v>59</v>
      </c>
      <c r="AJ245" s="29">
        <v>0</v>
      </c>
      <c r="AK245" s="29">
        <v>0</v>
      </c>
      <c r="AL245" s="29">
        <v>139</v>
      </c>
      <c r="AM245" s="29">
        <v>3</v>
      </c>
      <c r="AN245" s="29">
        <v>0</v>
      </c>
      <c r="AO245" s="29">
        <v>0</v>
      </c>
      <c r="AP245" s="29">
        <v>0</v>
      </c>
    </row>
    <row r="246" spans="1:42" x14ac:dyDescent="0.25">
      <c r="A246" s="29">
        <v>15</v>
      </c>
      <c r="B246" s="29">
        <v>25001</v>
      </c>
      <c r="C246" s="29" t="s">
        <v>421</v>
      </c>
      <c r="D246" s="29" t="s">
        <v>659</v>
      </c>
      <c r="E246" s="29">
        <v>4</v>
      </c>
      <c r="F246" s="29">
        <v>3.000999927520752</v>
      </c>
      <c r="G246" s="29">
        <v>11.99899959564209</v>
      </c>
      <c r="H246" s="29">
        <v>1</v>
      </c>
      <c r="I246" s="29">
        <v>0</v>
      </c>
      <c r="J246" s="29">
        <v>16</v>
      </c>
      <c r="K246" s="29">
        <v>41.200000762939453</v>
      </c>
      <c r="L246" s="19" t="str">
        <f t="shared" si="24"/>
        <v>Перекос</v>
      </c>
      <c r="M246" s="12">
        <f t="shared" si="25"/>
        <v>42</v>
      </c>
      <c r="N246" s="12">
        <f t="shared" si="26"/>
        <v>26</v>
      </c>
      <c r="O246" s="12">
        <f t="shared" si="27"/>
        <v>17</v>
      </c>
      <c r="P246" s="12">
        <f t="shared" si="28"/>
        <v>4</v>
      </c>
      <c r="Q246" s="12">
        <f t="shared" si="29"/>
        <v>7</v>
      </c>
      <c r="R246" s="12">
        <f t="shared" si="30"/>
        <v>42</v>
      </c>
      <c r="S246" s="12">
        <f t="shared" si="31"/>
        <v>19</v>
      </c>
      <c r="T246" s="29">
        <v>26</v>
      </c>
      <c r="U246" s="29">
        <v>0</v>
      </c>
      <c r="V246" s="29">
        <v>0</v>
      </c>
      <c r="W246" s="29">
        <v>17</v>
      </c>
      <c r="X246" s="29">
        <v>0</v>
      </c>
      <c r="Y246" s="29">
        <v>0</v>
      </c>
      <c r="Z246" s="29">
        <v>4</v>
      </c>
      <c r="AA246" s="29">
        <v>0</v>
      </c>
      <c r="AB246" s="29">
        <v>0</v>
      </c>
      <c r="AC246" s="29">
        <v>7</v>
      </c>
      <c r="AD246" s="29">
        <v>0</v>
      </c>
      <c r="AE246" s="29">
        <v>0</v>
      </c>
      <c r="AF246" s="29">
        <v>42</v>
      </c>
      <c r="AG246" s="29">
        <v>0</v>
      </c>
      <c r="AH246" s="29">
        <v>0</v>
      </c>
      <c r="AI246" s="29">
        <v>19</v>
      </c>
      <c r="AJ246" s="29">
        <v>0</v>
      </c>
      <c r="AK246" s="29">
        <v>0</v>
      </c>
      <c r="AL246" s="29">
        <v>115</v>
      </c>
      <c r="AM246" s="29">
        <v>0</v>
      </c>
      <c r="AN246" s="29">
        <v>0</v>
      </c>
      <c r="AO246" s="29">
        <v>0</v>
      </c>
      <c r="AP246" s="29">
        <v>0</v>
      </c>
    </row>
    <row r="247" spans="1:42" x14ac:dyDescent="0.25">
      <c r="A247" s="29">
        <v>15</v>
      </c>
      <c r="B247" s="29">
        <v>25001</v>
      </c>
      <c r="C247" s="29" t="s">
        <v>421</v>
      </c>
      <c r="D247" s="29" t="s">
        <v>660</v>
      </c>
      <c r="E247" s="29" t="s">
        <v>885</v>
      </c>
      <c r="F247" s="29">
        <v>2</v>
      </c>
      <c r="G247" s="29">
        <v>11</v>
      </c>
      <c r="H247" s="29">
        <v>1</v>
      </c>
      <c r="I247" s="29">
        <v>0</v>
      </c>
      <c r="J247" s="29">
        <v>14</v>
      </c>
      <c r="K247" s="29">
        <v>43.599998474121094</v>
      </c>
      <c r="L247" s="19" t="str">
        <f t="shared" si="24"/>
        <v>Рихтовка</v>
      </c>
      <c r="M247" s="12">
        <f t="shared" si="25"/>
        <v>43</v>
      </c>
      <c r="N247" s="12">
        <f t="shared" si="26"/>
        <v>43</v>
      </c>
      <c r="O247" s="12">
        <f t="shared" si="27"/>
        <v>7</v>
      </c>
      <c r="P247" s="12">
        <f t="shared" si="28"/>
        <v>10</v>
      </c>
      <c r="Q247" s="12">
        <f t="shared" si="29"/>
        <v>3</v>
      </c>
      <c r="R247" s="12">
        <f t="shared" si="30"/>
        <v>24</v>
      </c>
      <c r="S247" s="12">
        <f t="shared" si="31"/>
        <v>15</v>
      </c>
      <c r="T247" s="29">
        <v>43</v>
      </c>
      <c r="U247" s="29">
        <v>0</v>
      </c>
      <c r="V247" s="29">
        <v>0</v>
      </c>
      <c r="W247" s="29">
        <v>7</v>
      </c>
      <c r="X247" s="29">
        <v>0</v>
      </c>
      <c r="Y247" s="29">
        <v>0</v>
      </c>
      <c r="Z247" s="29">
        <v>10</v>
      </c>
      <c r="AA247" s="29">
        <v>0</v>
      </c>
      <c r="AB247" s="29">
        <v>0</v>
      </c>
      <c r="AC247" s="29">
        <v>3</v>
      </c>
      <c r="AD247" s="29">
        <v>0</v>
      </c>
      <c r="AE247" s="29">
        <v>0</v>
      </c>
      <c r="AF247" s="29">
        <v>24</v>
      </c>
      <c r="AG247" s="29">
        <v>0</v>
      </c>
      <c r="AH247" s="29">
        <v>0</v>
      </c>
      <c r="AI247" s="29">
        <v>15</v>
      </c>
      <c r="AJ247" s="29">
        <v>0</v>
      </c>
      <c r="AK247" s="29">
        <v>0</v>
      </c>
      <c r="AL247" s="29">
        <v>102</v>
      </c>
      <c r="AM247" s="29">
        <v>0</v>
      </c>
      <c r="AN247" s="29">
        <v>0</v>
      </c>
      <c r="AO247" s="29">
        <v>0</v>
      </c>
      <c r="AP247" s="29">
        <v>0</v>
      </c>
    </row>
    <row r="248" spans="1:42" x14ac:dyDescent="0.25">
      <c r="A248" s="29">
        <v>15</v>
      </c>
      <c r="B248" s="29">
        <v>25001</v>
      </c>
      <c r="C248" s="29" t="s">
        <v>421</v>
      </c>
      <c r="D248" s="29" t="s">
        <v>661</v>
      </c>
      <c r="E248" s="29">
        <v>5</v>
      </c>
      <c r="F248" s="29">
        <v>4</v>
      </c>
      <c r="G248" s="29">
        <v>4</v>
      </c>
      <c r="H248" s="29">
        <v>1</v>
      </c>
      <c r="I248" s="29">
        <v>0</v>
      </c>
      <c r="J248" s="29">
        <v>9</v>
      </c>
      <c r="K248" s="29">
        <v>38.900001525878906</v>
      </c>
      <c r="L248" s="19" t="str">
        <f t="shared" si="24"/>
        <v>Перекос</v>
      </c>
      <c r="M248" s="12">
        <f t="shared" si="25"/>
        <v>18</v>
      </c>
      <c r="N248" s="12">
        <f t="shared" si="26"/>
        <v>13</v>
      </c>
      <c r="O248" s="12">
        <f t="shared" si="27"/>
        <v>0</v>
      </c>
      <c r="P248" s="12">
        <f t="shared" si="28"/>
        <v>0</v>
      </c>
      <c r="Q248" s="12">
        <f t="shared" si="29"/>
        <v>1</v>
      </c>
      <c r="R248" s="12">
        <f t="shared" si="30"/>
        <v>18</v>
      </c>
      <c r="S248" s="12">
        <f t="shared" si="31"/>
        <v>8</v>
      </c>
      <c r="T248" s="29">
        <v>13</v>
      </c>
      <c r="U248" s="29">
        <v>0</v>
      </c>
      <c r="V248" s="29">
        <v>0</v>
      </c>
      <c r="W248" s="29">
        <v>0</v>
      </c>
      <c r="X248" s="29">
        <v>0</v>
      </c>
      <c r="Y248" s="29">
        <v>0</v>
      </c>
      <c r="Z248" s="29">
        <v>0</v>
      </c>
      <c r="AA248" s="29">
        <v>0</v>
      </c>
      <c r="AB248" s="29">
        <v>0</v>
      </c>
      <c r="AC248" s="29">
        <v>1</v>
      </c>
      <c r="AD248" s="29">
        <v>0</v>
      </c>
      <c r="AE248" s="29">
        <v>0</v>
      </c>
      <c r="AF248" s="29">
        <v>17</v>
      </c>
      <c r="AG248" s="29">
        <v>1</v>
      </c>
      <c r="AH248" s="29">
        <v>0</v>
      </c>
      <c r="AI248" s="29">
        <v>8</v>
      </c>
      <c r="AJ248" s="29">
        <v>0</v>
      </c>
      <c r="AK248" s="29">
        <v>0</v>
      </c>
      <c r="AL248" s="29">
        <v>39</v>
      </c>
      <c r="AM248" s="29">
        <v>1</v>
      </c>
      <c r="AN248" s="29">
        <v>0</v>
      </c>
      <c r="AO248" s="29">
        <v>0</v>
      </c>
      <c r="AP248" s="29">
        <v>0</v>
      </c>
    </row>
    <row r="249" spans="1:42" x14ac:dyDescent="0.25">
      <c r="A249" s="29">
        <v>15</v>
      </c>
      <c r="B249" s="29">
        <v>25001</v>
      </c>
      <c r="C249" s="29" t="s">
        <v>421</v>
      </c>
      <c r="D249" s="29" t="s">
        <v>662</v>
      </c>
      <c r="E249" s="29" t="s">
        <v>886</v>
      </c>
      <c r="F249" s="29">
        <v>6</v>
      </c>
      <c r="G249" s="29">
        <v>11</v>
      </c>
      <c r="H249" s="29">
        <v>2</v>
      </c>
      <c r="I249" s="29">
        <v>0</v>
      </c>
      <c r="J249" s="29">
        <v>19</v>
      </c>
      <c r="K249" s="29">
        <v>42.099998474121094</v>
      </c>
      <c r="L249" s="19" t="str">
        <f t="shared" si="24"/>
        <v>Рихтовка</v>
      </c>
      <c r="M249" s="12">
        <f t="shared" si="25"/>
        <v>54</v>
      </c>
      <c r="N249" s="12">
        <f t="shared" si="26"/>
        <v>54</v>
      </c>
      <c r="O249" s="12">
        <f t="shared" si="27"/>
        <v>1</v>
      </c>
      <c r="P249" s="12">
        <f t="shared" si="28"/>
        <v>0</v>
      </c>
      <c r="Q249" s="12">
        <f t="shared" si="29"/>
        <v>13</v>
      </c>
      <c r="R249" s="12">
        <f t="shared" si="30"/>
        <v>27</v>
      </c>
      <c r="S249" s="12">
        <f t="shared" si="31"/>
        <v>20</v>
      </c>
      <c r="T249" s="29">
        <v>53</v>
      </c>
      <c r="U249" s="29">
        <v>1</v>
      </c>
      <c r="V249" s="29">
        <v>0</v>
      </c>
      <c r="W249" s="29">
        <v>1</v>
      </c>
      <c r="X249" s="29">
        <v>0</v>
      </c>
      <c r="Y249" s="29">
        <v>0</v>
      </c>
      <c r="Z249" s="29">
        <v>0</v>
      </c>
      <c r="AA249" s="29">
        <v>0</v>
      </c>
      <c r="AB249" s="29">
        <v>0</v>
      </c>
      <c r="AC249" s="29">
        <v>13</v>
      </c>
      <c r="AD249" s="29">
        <v>0</v>
      </c>
      <c r="AE249" s="29">
        <v>0</v>
      </c>
      <c r="AF249" s="29">
        <v>26</v>
      </c>
      <c r="AG249" s="29">
        <v>1</v>
      </c>
      <c r="AH249" s="29">
        <v>0</v>
      </c>
      <c r="AI249" s="29">
        <v>20</v>
      </c>
      <c r="AJ249" s="29">
        <v>0</v>
      </c>
      <c r="AK249" s="29">
        <v>0</v>
      </c>
      <c r="AL249" s="29">
        <v>113</v>
      </c>
      <c r="AM249" s="29">
        <v>2</v>
      </c>
      <c r="AN249" s="29">
        <v>0</v>
      </c>
      <c r="AO249" s="29">
        <v>0</v>
      </c>
      <c r="AP249" s="29">
        <v>0</v>
      </c>
    </row>
    <row r="250" spans="1:42" x14ac:dyDescent="0.25">
      <c r="A250" s="29">
        <v>15</v>
      </c>
      <c r="B250" s="29">
        <v>25001</v>
      </c>
      <c r="C250" s="29" t="s">
        <v>421</v>
      </c>
      <c r="D250" s="29" t="s">
        <v>663</v>
      </c>
      <c r="E250" s="29" t="s">
        <v>887</v>
      </c>
      <c r="F250" s="29">
        <v>6</v>
      </c>
      <c r="G250" s="29">
        <v>11</v>
      </c>
      <c r="H250" s="29">
        <v>1</v>
      </c>
      <c r="I250" s="29">
        <v>0</v>
      </c>
      <c r="J250" s="29">
        <v>18</v>
      </c>
      <c r="K250" s="29">
        <v>36.099998474121094</v>
      </c>
      <c r="L250" s="19" t="str">
        <f t="shared" si="24"/>
        <v>Рихтовка</v>
      </c>
      <c r="M250" s="12">
        <f t="shared" si="25"/>
        <v>32</v>
      </c>
      <c r="N250" s="12">
        <f t="shared" si="26"/>
        <v>32</v>
      </c>
      <c r="O250" s="12">
        <f t="shared" si="27"/>
        <v>1</v>
      </c>
      <c r="P250" s="12">
        <f t="shared" si="28"/>
        <v>0</v>
      </c>
      <c r="Q250" s="12">
        <f t="shared" si="29"/>
        <v>5</v>
      </c>
      <c r="R250" s="12">
        <f t="shared" si="30"/>
        <v>17</v>
      </c>
      <c r="S250" s="12">
        <f t="shared" si="31"/>
        <v>23</v>
      </c>
      <c r="T250" s="29">
        <v>32</v>
      </c>
      <c r="U250" s="29">
        <v>0</v>
      </c>
      <c r="V250" s="29">
        <v>0</v>
      </c>
      <c r="W250" s="29">
        <v>1</v>
      </c>
      <c r="X250" s="29">
        <v>0</v>
      </c>
      <c r="Y250" s="29">
        <v>0</v>
      </c>
      <c r="Z250" s="29">
        <v>0</v>
      </c>
      <c r="AA250" s="29">
        <v>0</v>
      </c>
      <c r="AB250" s="29">
        <v>0</v>
      </c>
      <c r="AC250" s="29">
        <v>5</v>
      </c>
      <c r="AD250" s="29">
        <v>0</v>
      </c>
      <c r="AE250" s="29">
        <v>0</v>
      </c>
      <c r="AF250" s="29">
        <v>16</v>
      </c>
      <c r="AG250" s="29">
        <v>1</v>
      </c>
      <c r="AH250" s="29">
        <v>0</v>
      </c>
      <c r="AI250" s="29">
        <v>23</v>
      </c>
      <c r="AJ250" s="29">
        <v>0</v>
      </c>
      <c r="AK250" s="29">
        <v>0</v>
      </c>
      <c r="AL250" s="29">
        <v>77</v>
      </c>
      <c r="AM250" s="29">
        <v>1</v>
      </c>
      <c r="AN250" s="29">
        <v>0</v>
      </c>
      <c r="AO250" s="29">
        <v>0</v>
      </c>
      <c r="AP250" s="29">
        <v>0</v>
      </c>
    </row>
    <row r="251" spans="1:42" x14ac:dyDescent="0.25">
      <c r="A251" s="29">
        <v>15</v>
      </c>
      <c r="B251" s="29">
        <v>25001</v>
      </c>
      <c r="C251" s="29" t="s">
        <v>421</v>
      </c>
      <c r="D251" s="29" t="s">
        <v>664</v>
      </c>
      <c r="E251" s="29">
        <v>7</v>
      </c>
      <c r="F251" s="29">
        <v>4</v>
      </c>
      <c r="G251" s="29">
        <v>11</v>
      </c>
      <c r="H251" s="29">
        <v>0</v>
      </c>
      <c r="I251" s="29">
        <v>0</v>
      </c>
      <c r="J251" s="29">
        <v>15</v>
      </c>
      <c r="K251" s="29">
        <v>32</v>
      </c>
      <c r="L251" s="19" t="str">
        <f t="shared" si="24"/>
        <v>Перекос</v>
      </c>
      <c r="M251" s="12">
        <f t="shared" si="25"/>
        <v>39</v>
      </c>
      <c r="N251" s="12">
        <f t="shared" si="26"/>
        <v>23</v>
      </c>
      <c r="O251" s="12">
        <f t="shared" si="27"/>
        <v>2</v>
      </c>
      <c r="P251" s="12">
        <f t="shared" si="28"/>
        <v>0</v>
      </c>
      <c r="Q251" s="12">
        <f t="shared" si="29"/>
        <v>16</v>
      </c>
      <c r="R251" s="12">
        <f t="shared" si="30"/>
        <v>39</v>
      </c>
      <c r="S251" s="12">
        <f t="shared" si="31"/>
        <v>11</v>
      </c>
      <c r="T251" s="29">
        <v>23</v>
      </c>
      <c r="U251" s="29">
        <v>0</v>
      </c>
      <c r="V251" s="29">
        <v>0</v>
      </c>
      <c r="W251" s="29">
        <v>2</v>
      </c>
      <c r="X251" s="29">
        <v>0</v>
      </c>
      <c r="Y251" s="29">
        <v>0</v>
      </c>
      <c r="Z251" s="29">
        <v>0</v>
      </c>
      <c r="AA251" s="29">
        <v>0</v>
      </c>
      <c r="AB251" s="29">
        <v>0</v>
      </c>
      <c r="AC251" s="29">
        <v>16</v>
      </c>
      <c r="AD251" s="29">
        <v>0</v>
      </c>
      <c r="AE251" s="29">
        <v>0</v>
      </c>
      <c r="AF251" s="29">
        <v>39</v>
      </c>
      <c r="AG251" s="29">
        <v>0</v>
      </c>
      <c r="AH251" s="29">
        <v>0</v>
      </c>
      <c r="AI251" s="29">
        <v>11</v>
      </c>
      <c r="AJ251" s="29">
        <v>0</v>
      </c>
      <c r="AK251" s="29">
        <v>0</v>
      </c>
      <c r="AL251" s="29">
        <v>91</v>
      </c>
      <c r="AM251" s="29">
        <v>0</v>
      </c>
      <c r="AN251" s="29">
        <v>0</v>
      </c>
      <c r="AO251" s="29">
        <v>0</v>
      </c>
      <c r="AP251" s="29">
        <v>0</v>
      </c>
    </row>
    <row r="252" spans="1:42" x14ac:dyDescent="0.25">
      <c r="A252" s="29">
        <v>15</v>
      </c>
      <c r="B252" s="29">
        <v>25001</v>
      </c>
      <c r="C252" s="29" t="s">
        <v>421</v>
      </c>
      <c r="D252" s="29" t="s">
        <v>951</v>
      </c>
      <c r="E252" s="29" t="s">
        <v>891</v>
      </c>
      <c r="F252" s="29">
        <v>10</v>
      </c>
      <c r="G252" s="29">
        <v>9</v>
      </c>
      <c r="H252" s="29">
        <v>2</v>
      </c>
      <c r="I252" s="29">
        <v>0</v>
      </c>
      <c r="J252" s="29">
        <v>21</v>
      </c>
      <c r="K252" s="29">
        <v>36.200000762939453</v>
      </c>
      <c r="L252" s="19" t="str">
        <f t="shared" si="24"/>
        <v>Рихтовка</v>
      </c>
      <c r="M252" s="12">
        <f t="shared" si="25"/>
        <v>40</v>
      </c>
      <c r="N252" s="12">
        <f t="shared" si="26"/>
        <v>40</v>
      </c>
      <c r="O252" s="12">
        <f t="shared" si="27"/>
        <v>2</v>
      </c>
      <c r="P252" s="12">
        <f t="shared" si="28"/>
        <v>2</v>
      </c>
      <c r="Q252" s="12">
        <f t="shared" si="29"/>
        <v>7</v>
      </c>
      <c r="R252" s="12">
        <f t="shared" si="30"/>
        <v>31</v>
      </c>
      <c r="S252" s="12">
        <f t="shared" si="31"/>
        <v>30</v>
      </c>
      <c r="T252" s="29">
        <v>39</v>
      </c>
      <c r="U252" s="29">
        <v>1</v>
      </c>
      <c r="V252" s="29">
        <v>0</v>
      </c>
      <c r="W252" s="29">
        <v>2</v>
      </c>
      <c r="X252" s="29">
        <v>0</v>
      </c>
      <c r="Y252" s="29">
        <v>0</v>
      </c>
      <c r="Z252" s="29">
        <v>2</v>
      </c>
      <c r="AA252" s="29">
        <v>0</v>
      </c>
      <c r="AB252" s="29">
        <v>0</v>
      </c>
      <c r="AC252" s="29">
        <v>7</v>
      </c>
      <c r="AD252" s="29">
        <v>0</v>
      </c>
      <c r="AE252" s="29">
        <v>0</v>
      </c>
      <c r="AF252" s="29">
        <v>29</v>
      </c>
      <c r="AG252" s="29">
        <v>2</v>
      </c>
      <c r="AH252" s="29">
        <v>0</v>
      </c>
      <c r="AI252" s="29">
        <v>30</v>
      </c>
      <c r="AJ252" s="29">
        <v>0</v>
      </c>
      <c r="AK252" s="29">
        <v>0</v>
      </c>
      <c r="AL252" s="29">
        <v>109</v>
      </c>
      <c r="AM252" s="29">
        <v>3</v>
      </c>
      <c r="AN252" s="29">
        <v>0</v>
      </c>
      <c r="AO252" s="29">
        <v>0</v>
      </c>
      <c r="AP252" s="29">
        <v>0</v>
      </c>
    </row>
    <row r="253" spans="1:42" x14ac:dyDescent="0.25">
      <c r="A253" s="29">
        <v>15</v>
      </c>
      <c r="B253" s="29">
        <v>25001</v>
      </c>
      <c r="C253" s="29" t="s">
        <v>421</v>
      </c>
      <c r="D253" s="29" t="s">
        <v>952</v>
      </c>
      <c r="E253" s="29" t="s">
        <v>888</v>
      </c>
      <c r="F253" s="29">
        <v>4</v>
      </c>
      <c r="G253" s="29">
        <v>7</v>
      </c>
      <c r="H253" s="29">
        <v>0</v>
      </c>
      <c r="I253" s="29">
        <v>0</v>
      </c>
      <c r="J253" s="29">
        <v>11</v>
      </c>
      <c r="K253" s="29">
        <v>29.100000381469727</v>
      </c>
      <c r="L253" s="19" t="str">
        <f t="shared" si="24"/>
        <v>Рихтовка</v>
      </c>
      <c r="M253" s="12">
        <f t="shared" si="25"/>
        <v>33</v>
      </c>
      <c r="N253" s="12">
        <f t="shared" si="26"/>
        <v>33</v>
      </c>
      <c r="O253" s="12">
        <f t="shared" si="27"/>
        <v>2</v>
      </c>
      <c r="P253" s="12">
        <f t="shared" si="28"/>
        <v>0</v>
      </c>
      <c r="Q253" s="12">
        <f t="shared" si="29"/>
        <v>6</v>
      </c>
      <c r="R253" s="12">
        <f t="shared" si="30"/>
        <v>19</v>
      </c>
      <c r="S253" s="12">
        <f t="shared" si="31"/>
        <v>8</v>
      </c>
      <c r="T253" s="29">
        <v>33</v>
      </c>
      <c r="U253" s="29">
        <v>0</v>
      </c>
      <c r="V253" s="29">
        <v>0</v>
      </c>
      <c r="W253" s="29">
        <v>2</v>
      </c>
      <c r="X253" s="29">
        <v>0</v>
      </c>
      <c r="Y253" s="29">
        <v>0</v>
      </c>
      <c r="Z253" s="29">
        <v>0</v>
      </c>
      <c r="AA253" s="29">
        <v>0</v>
      </c>
      <c r="AB253" s="29">
        <v>0</v>
      </c>
      <c r="AC253" s="29">
        <v>6</v>
      </c>
      <c r="AD253" s="29">
        <v>0</v>
      </c>
      <c r="AE253" s="29">
        <v>0</v>
      </c>
      <c r="AF253" s="29">
        <v>19</v>
      </c>
      <c r="AG253" s="29">
        <v>0</v>
      </c>
      <c r="AH253" s="29">
        <v>0</v>
      </c>
      <c r="AI253" s="29">
        <v>8</v>
      </c>
      <c r="AJ253" s="29">
        <v>0</v>
      </c>
      <c r="AK253" s="29">
        <v>0</v>
      </c>
      <c r="AL253" s="29">
        <v>68</v>
      </c>
      <c r="AM253" s="29">
        <v>0</v>
      </c>
      <c r="AN253" s="29">
        <v>0</v>
      </c>
      <c r="AO253" s="29">
        <v>0</v>
      </c>
      <c r="AP253" s="29">
        <v>0</v>
      </c>
    </row>
    <row r="254" spans="1:42" x14ac:dyDescent="0.25">
      <c r="A254" s="29">
        <v>15</v>
      </c>
      <c r="B254" s="29">
        <v>25001</v>
      </c>
      <c r="C254" s="29" t="s">
        <v>421</v>
      </c>
      <c r="D254" s="29" t="s">
        <v>665</v>
      </c>
      <c r="E254" s="29">
        <v>9</v>
      </c>
      <c r="F254" s="29">
        <v>6.000999927520752</v>
      </c>
      <c r="G254" s="29">
        <v>12</v>
      </c>
      <c r="H254" s="29">
        <v>1.9989999532699585</v>
      </c>
      <c r="I254" s="29">
        <v>0</v>
      </c>
      <c r="J254" s="29">
        <v>20</v>
      </c>
      <c r="K254" s="29">
        <v>42</v>
      </c>
      <c r="L254" s="19" t="str">
        <f t="shared" si="24"/>
        <v>Перекос</v>
      </c>
      <c r="M254" s="12">
        <f t="shared" si="25"/>
        <v>59</v>
      </c>
      <c r="N254" s="12">
        <f t="shared" si="26"/>
        <v>46</v>
      </c>
      <c r="O254" s="12">
        <f t="shared" si="27"/>
        <v>3</v>
      </c>
      <c r="P254" s="12">
        <f t="shared" si="28"/>
        <v>0</v>
      </c>
      <c r="Q254" s="12">
        <f t="shared" si="29"/>
        <v>7</v>
      </c>
      <c r="R254" s="12">
        <f t="shared" si="30"/>
        <v>59</v>
      </c>
      <c r="S254" s="12">
        <f t="shared" si="31"/>
        <v>27</v>
      </c>
      <c r="T254" s="29">
        <v>46</v>
      </c>
      <c r="U254" s="29">
        <v>0</v>
      </c>
      <c r="V254" s="29">
        <v>0</v>
      </c>
      <c r="W254" s="29">
        <v>3</v>
      </c>
      <c r="X254" s="29">
        <v>0</v>
      </c>
      <c r="Y254" s="29">
        <v>0</v>
      </c>
      <c r="Z254" s="29">
        <v>0</v>
      </c>
      <c r="AA254" s="29">
        <v>0</v>
      </c>
      <c r="AB254" s="29">
        <v>0</v>
      </c>
      <c r="AC254" s="29">
        <v>7</v>
      </c>
      <c r="AD254" s="29">
        <v>0</v>
      </c>
      <c r="AE254" s="29">
        <v>0</v>
      </c>
      <c r="AF254" s="29">
        <v>57</v>
      </c>
      <c r="AG254" s="29">
        <v>2</v>
      </c>
      <c r="AH254" s="29">
        <v>0</v>
      </c>
      <c r="AI254" s="29">
        <v>27</v>
      </c>
      <c r="AJ254" s="29">
        <v>0</v>
      </c>
      <c r="AK254" s="29">
        <v>0</v>
      </c>
      <c r="AL254" s="29">
        <v>140</v>
      </c>
      <c r="AM254" s="29">
        <v>2</v>
      </c>
      <c r="AN254" s="29">
        <v>0</v>
      </c>
      <c r="AO254" s="29">
        <v>0</v>
      </c>
      <c r="AP254" s="29">
        <v>0</v>
      </c>
    </row>
    <row r="255" spans="1:42" x14ac:dyDescent="0.25">
      <c r="A255" s="29">
        <v>15</v>
      </c>
      <c r="B255" s="29">
        <v>25001</v>
      </c>
      <c r="C255" s="29" t="s">
        <v>421</v>
      </c>
      <c r="D255" s="29" t="s">
        <v>666</v>
      </c>
      <c r="E255" s="29">
        <v>9</v>
      </c>
      <c r="F255" s="29">
        <v>1</v>
      </c>
      <c r="G255" s="29">
        <v>3</v>
      </c>
      <c r="H255" s="29">
        <v>0</v>
      </c>
      <c r="I255" s="29">
        <v>0</v>
      </c>
      <c r="J255" s="29">
        <v>4</v>
      </c>
      <c r="K255" s="29">
        <v>32.5</v>
      </c>
      <c r="L255" s="19" t="str">
        <f t="shared" si="24"/>
        <v>Рихтовка</v>
      </c>
      <c r="M255" s="12">
        <f t="shared" si="25"/>
        <v>15</v>
      </c>
      <c r="N255" s="12">
        <f t="shared" si="26"/>
        <v>15</v>
      </c>
      <c r="O255" s="12">
        <f t="shared" si="27"/>
        <v>0</v>
      </c>
      <c r="P255" s="12">
        <f t="shared" si="28"/>
        <v>0</v>
      </c>
      <c r="Q255" s="12">
        <f t="shared" si="29"/>
        <v>6</v>
      </c>
      <c r="R255" s="12">
        <f t="shared" si="30"/>
        <v>5</v>
      </c>
      <c r="S255" s="12">
        <f t="shared" si="31"/>
        <v>10</v>
      </c>
      <c r="T255" s="29">
        <v>15</v>
      </c>
      <c r="U255" s="29">
        <v>0</v>
      </c>
      <c r="V255" s="29">
        <v>0</v>
      </c>
      <c r="W255" s="29">
        <v>0</v>
      </c>
      <c r="X255" s="29">
        <v>0</v>
      </c>
      <c r="Y255" s="29">
        <v>0</v>
      </c>
      <c r="Z255" s="29">
        <v>0</v>
      </c>
      <c r="AA255" s="29">
        <v>0</v>
      </c>
      <c r="AB255" s="29">
        <v>0</v>
      </c>
      <c r="AC255" s="29">
        <v>6</v>
      </c>
      <c r="AD255" s="29">
        <v>0</v>
      </c>
      <c r="AE255" s="29">
        <v>0</v>
      </c>
      <c r="AF255" s="29">
        <v>5</v>
      </c>
      <c r="AG255" s="29">
        <v>0</v>
      </c>
      <c r="AH255" s="29">
        <v>0</v>
      </c>
      <c r="AI255" s="29">
        <v>10</v>
      </c>
      <c r="AJ255" s="29">
        <v>0</v>
      </c>
      <c r="AK255" s="29">
        <v>0</v>
      </c>
      <c r="AL255" s="29">
        <v>36</v>
      </c>
      <c r="AM255" s="29">
        <v>0</v>
      </c>
      <c r="AN255" s="29">
        <v>0</v>
      </c>
      <c r="AO255" s="29">
        <v>0</v>
      </c>
      <c r="AP255" s="29">
        <v>0</v>
      </c>
    </row>
    <row r="256" spans="1:42" x14ac:dyDescent="0.25">
      <c r="A256" s="29">
        <v>16</v>
      </c>
      <c r="B256" s="29">
        <v>25001</v>
      </c>
      <c r="C256" s="29" t="s">
        <v>421</v>
      </c>
      <c r="D256" s="29" t="s">
        <v>666</v>
      </c>
      <c r="E256" s="29">
        <v>1</v>
      </c>
      <c r="F256" s="29">
        <v>6</v>
      </c>
      <c r="G256" s="29">
        <v>4</v>
      </c>
      <c r="H256" s="29">
        <v>1</v>
      </c>
      <c r="I256" s="29">
        <v>2</v>
      </c>
      <c r="J256" s="29">
        <v>13</v>
      </c>
      <c r="K256" s="29">
        <v>105.40000152587891</v>
      </c>
      <c r="L256" s="19" t="str">
        <f t="shared" si="24"/>
        <v>Рихтовка</v>
      </c>
      <c r="M256" s="12">
        <f t="shared" si="25"/>
        <v>35</v>
      </c>
      <c r="N256" s="12">
        <f t="shared" si="26"/>
        <v>35</v>
      </c>
      <c r="O256" s="12">
        <f t="shared" si="27"/>
        <v>1</v>
      </c>
      <c r="P256" s="12">
        <f t="shared" si="28"/>
        <v>0</v>
      </c>
      <c r="Q256" s="12">
        <f t="shared" si="29"/>
        <v>21</v>
      </c>
      <c r="R256" s="12">
        <f t="shared" si="30"/>
        <v>35</v>
      </c>
      <c r="S256" s="12">
        <f t="shared" si="31"/>
        <v>22</v>
      </c>
      <c r="T256" s="29">
        <v>34</v>
      </c>
      <c r="U256" s="29">
        <v>1</v>
      </c>
      <c r="V256" s="29">
        <v>0</v>
      </c>
      <c r="W256" s="29">
        <v>1</v>
      </c>
      <c r="X256" s="29">
        <v>0</v>
      </c>
      <c r="Y256" s="29">
        <v>0</v>
      </c>
      <c r="Z256" s="29">
        <v>0</v>
      </c>
      <c r="AA256" s="29">
        <v>0</v>
      </c>
      <c r="AB256" s="29">
        <v>0</v>
      </c>
      <c r="AC256" s="29">
        <v>21</v>
      </c>
      <c r="AD256" s="29">
        <v>0</v>
      </c>
      <c r="AE256" s="29">
        <v>0</v>
      </c>
      <c r="AF256" s="29">
        <v>34</v>
      </c>
      <c r="AG256" s="29">
        <v>0</v>
      </c>
      <c r="AH256" s="29">
        <v>1</v>
      </c>
      <c r="AI256" s="29">
        <v>22</v>
      </c>
      <c r="AJ256" s="29">
        <v>0</v>
      </c>
      <c r="AK256" s="29">
        <v>0</v>
      </c>
      <c r="AL256" s="29">
        <v>112</v>
      </c>
      <c r="AM256" s="29">
        <v>1</v>
      </c>
      <c r="AN256" s="29">
        <v>1</v>
      </c>
      <c r="AO256" s="29">
        <v>1</v>
      </c>
      <c r="AP256" s="29">
        <v>1</v>
      </c>
    </row>
    <row r="257" spans="1:42" x14ac:dyDescent="0.25">
      <c r="A257" s="29">
        <v>16</v>
      </c>
      <c r="B257" s="29">
        <v>25001</v>
      </c>
      <c r="C257" s="29" t="s">
        <v>421</v>
      </c>
      <c r="D257" s="29" t="s">
        <v>667</v>
      </c>
      <c r="E257" s="29" t="s">
        <v>881</v>
      </c>
      <c r="F257" s="29">
        <v>3</v>
      </c>
      <c r="G257" s="29">
        <v>14</v>
      </c>
      <c r="H257" s="29">
        <v>1</v>
      </c>
      <c r="I257" s="29">
        <v>1</v>
      </c>
      <c r="J257" s="29">
        <v>19</v>
      </c>
      <c r="K257" s="29">
        <v>65.300003051757812</v>
      </c>
      <c r="L257" s="19" t="str">
        <f t="shared" si="24"/>
        <v>Рихтовка</v>
      </c>
      <c r="M257" s="12">
        <f t="shared" si="25"/>
        <v>73</v>
      </c>
      <c r="N257" s="12">
        <f t="shared" si="26"/>
        <v>73</v>
      </c>
      <c r="O257" s="12">
        <f t="shared" si="27"/>
        <v>2</v>
      </c>
      <c r="P257" s="12">
        <f t="shared" si="28"/>
        <v>0</v>
      </c>
      <c r="Q257" s="12">
        <f t="shared" si="29"/>
        <v>24</v>
      </c>
      <c r="R257" s="12">
        <f t="shared" si="30"/>
        <v>62</v>
      </c>
      <c r="S257" s="12">
        <f t="shared" si="31"/>
        <v>60</v>
      </c>
      <c r="T257" s="29">
        <v>72</v>
      </c>
      <c r="U257" s="29">
        <v>1</v>
      </c>
      <c r="V257" s="29">
        <v>0</v>
      </c>
      <c r="W257" s="29">
        <v>2</v>
      </c>
      <c r="X257" s="29">
        <v>0</v>
      </c>
      <c r="Y257" s="29">
        <v>0</v>
      </c>
      <c r="Z257" s="29">
        <v>0</v>
      </c>
      <c r="AA257" s="29">
        <v>0</v>
      </c>
      <c r="AB257" s="29">
        <v>0</v>
      </c>
      <c r="AC257" s="29">
        <v>24</v>
      </c>
      <c r="AD257" s="29">
        <v>0</v>
      </c>
      <c r="AE257" s="29">
        <v>0</v>
      </c>
      <c r="AF257" s="29">
        <v>62</v>
      </c>
      <c r="AG257" s="29">
        <v>0</v>
      </c>
      <c r="AH257" s="29">
        <v>0</v>
      </c>
      <c r="AI257" s="29">
        <v>60</v>
      </c>
      <c r="AJ257" s="29">
        <v>0</v>
      </c>
      <c r="AK257" s="29">
        <v>0</v>
      </c>
      <c r="AL257" s="29">
        <v>220</v>
      </c>
      <c r="AM257" s="29">
        <v>1</v>
      </c>
      <c r="AN257" s="29">
        <v>0</v>
      </c>
      <c r="AO257" s="29">
        <v>2</v>
      </c>
      <c r="AP257" s="29">
        <v>2</v>
      </c>
    </row>
    <row r="258" spans="1:42" x14ac:dyDescent="0.25">
      <c r="A258" s="29">
        <v>16</v>
      </c>
      <c r="B258" s="29">
        <v>25001</v>
      </c>
      <c r="C258" s="29" t="s">
        <v>421</v>
      </c>
      <c r="D258" s="29" t="s">
        <v>668</v>
      </c>
      <c r="E258" s="29">
        <v>2</v>
      </c>
      <c r="F258" s="29">
        <v>1.0010000467300415</v>
      </c>
      <c r="G258" s="29">
        <v>6.999000072479248</v>
      </c>
      <c r="H258" s="29">
        <v>0</v>
      </c>
      <c r="I258" s="29">
        <v>0</v>
      </c>
      <c r="J258" s="29">
        <v>8</v>
      </c>
      <c r="K258" s="29">
        <v>36.200000762939453</v>
      </c>
      <c r="L258" s="19" t="str">
        <f t="shared" ref="L258:L321" si="32">IF($M258=N258,$N$1,IF($M258=O258,$O$1,IF($M258=P258,$P$1,IF($M258=Q258,$Q$1,IF($M258=R258,$R$1,$S$1)))))</f>
        <v>Просадка</v>
      </c>
      <c r="M258" s="12">
        <f t="shared" si="25"/>
        <v>32</v>
      </c>
      <c r="N258" s="12">
        <f t="shared" si="26"/>
        <v>12</v>
      </c>
      <c r="O258" s="12">
        <f t="shared" si="27"/>
        <v>0</v>
      </c>
      <c r="P258" s="12">
        <f t="shared" si="28"/>
        <v>0</v>
      </c>
      <c r="Q258" s="12">
        <f t="shared" si="29"/>
        <v>15</v>
      </c>
      <c r="R258" s="12">
        <f t="shared" si="30"/>
        <v>13</v>
      </c>
      <c r="S258" s="12">
        <f t="shared" si="31"/>
        <v>32</v>
      </c>
      <c r="T258" s="29">
        <v>12</v>
      </c>
      <c r="U258" s="29">
        <v>0</v>
      </c>
      <c r="V258" s="29">
        <v>0</v>
      </c>
      <c r="W258" s="29">
        <v>0</v>
      </c>
      <c r="X258" s="29">
        <v>0</v>
      </c>
      <c r="Y258" s="29">
        <v>0</v>
      </c>
      <c r="Z258" s="29">
        <v>0</v>
      </c>
      <c r="AA258" s="29">
        <v>0</v>
      </c>
      <c r="AB258" s="29">
        <v>0</v>
      </c>
      <c r="AC258" s="29">
        <v>15</v>
      </c>
      <c r="AD258" s="29">
        <v>0</v>
      </c>
      <c r="AE258" s="29">
        <v>0</v>
      </c>
      <c r="AF258" s="29">
        <v>13</v>
      </c>
      <c r="AG258" s="29">
        <v>0</v>
      </c>
      <c r="AH258" s="29">
        <v>0</v>
      </c>
      <c r="AI258" s="29">
        <v>32</v>
      </c>
      <c r="AJ258" s="29">
        <v>0</v>
      </c>
      <c r="AK258" s="29">
        <v>0</v>
      </c>
      <c r="AL258" s="29">
        <v>72</v>
      </c>
      <c r="AM258" s="29">
        <v>0</v>
      </c>
      <c r="AN258" s="29">
        <v>0</v>
      </c>
      <c r="AO258" s="29">
        <v>0</v>
      </c>
      <c r="AP258" s="29">
        <v>0</v>
      </c>
    </row>
    <row r="259" spans="1:42" x14ac:dyDescent="0.25">
      <c r="A259" s="29">
        <v>16</v>
      </c>
      <c r="B259" s="29">
        <v>25001</v>
      </c>
      <c r="C259" s="29" t="s">
        <v>421</v>
      </c>
      <c r="D259" s="29" t="s">
        <v>669</v>
      </c>
      <c r="E259" s="29" t="s">
        <v>883</v>
      </c>
      <c r="F259" s="29">
        <v>3</v>
      </c>
      <c r="G259" s="29">
        <v>5</v>
      </c>
      <c r="H259" s="29">
        <v>1</v>
      </c>
      <c r="I259" s="29">
        <v>0</v>
      </c>
      <c r="J259" s="29">
        <v>9</v>
      </c>
      <c r="K259" s="29">
        <v>42.200000762939453</v>
      </c>
      <c r="L259" s="19" t="str">
        <f t="shared" si="32"/>
        <v>Перекос</v>
      </c>
      <c r="M259" s="12">
        <f t="shared" ref="M259:M322" si="33">MAX(N259,O259,P259,Q259,R259,S259)</f>
        <v>33</v>
      </c>
      <c r="N259" s="12">
        <f t="shared" ref="N259:N322" si="34">T259+U259+V259</f>
        <v>28</v>
      </c>
      <c r="O259" s="12">
        <f t="shared" ref="O259:O322" si="35">W259+X259+Y259</f>
        <v>10</v>
      </c>
      <c r="P259" s="12">
        <f t="shared" ref="P259:P322" si="36">Z259+AA259+AB259</f>
        <v>0</v>
      </c>
      <c r="Q259" s="12">
        <f t="shared" ref="Q259:Q322" si="37">AC259+AD259+AE259</f>
        <v>5</v>
      </c>
      <c r="R259" s="12">
        <f t="shared" ref="R259:R322" si="38">AF259+AG259+AH259</f>
        <v>33</v>
      </c>
      <c r="S259" s="12">
        <f t="shared" ref="S259:S322" si="39">AI259+AJ259+AK259</f>
        <v>19</v>
      </c>
      <c r="T259" s="29">
        <v>28</v>
      </c>
      <c r="U259" s="29">
        <v>0</v>
      </c>
      <c r="V259" s="29">
        <v>0</v>
      </c>
      <c r="W259" s="29">
        <v>10</v>
      </c>
      <c r="X259" s="29">
        <v>0</v>
      </c>
      <c r="Y259" s="29">
        <v>0</v>
      </c>
      <c r="Z259" s="29">
        <v>0</v>
      </c>
      <c r="AA259" s="29">
        <v>0</v>
      </c>
      <c r="AB259" s="29">
        <v>0</v>
      </c>
      <c r="AC259" s="29">
        <v>5</v>
      </c>
      <c r="AD259" s="29">
        <v>0</v>
      </c>
      <c r="AE259" s="29">
        <v>0</v>
      </c>
      <c r="AF259" s="29">
        <v>33</v>
      </c>
      <c r="AG259" s="29">
        <v>0</v>
      </c>
      <c r="AH259" s="29">
        <v>0</v>
      </c>
      <c r="AI259" s="29">
        <v>19</v>
      </c>
      <c r="AJ259" s="29">
        <v>0</v>
      </c>
      <c r="AK259" s="29">
        <v>0</v>
      </c>
      <c r="AL259" s="29">
        <v>95</v>
      </c>
      <c r="AM259" s="29">
        <v>0</v>
      </c>
      <c r="AN259" s="29">
        <v>0</v>
      </c>
      <c r="AO259" s="29">
        <v>0</v>
      </c>
      <c r="AP259" s="29">
        <v>0</v>
      </c>
    </row>
    <row r="260" spans="1:42" x14ac:dyDescent="0.25">
      <c r="A260" s="29">
        <v>16</v>
      </c>
      <c r="B260" s="29">
        <v>25001</v>
      </c>
      <c r="C260" s="29" t="s">
        <v>421</v>
      </c>
      <c r="D260" s="29" t="s">
        <v>670</v>
      </c>
      <c r="E260" s="29" t="s">
        <v>884</v>
      </c>
      <c r="F260" s="29">
        <v>2</v>
      </c>
      <c r="G260" s="29">
        <v>16</v>
      </c>
      <c r="H260" s="29">
        <v>3</v>
      </c>
      <c r="I260" s="29">
        <v>0</v>
      </c>
      <c r="J260" s="29">
        <v>21</v>
      </c>
      <c r="K260" s="29">
        <v>52.900001525878906</v>
      </c>
      <c r="L260" s="19" t="str">
        <f t="shared" si="32"/>
        <v>Просадка</v>
      </c>
      <c r="M260" s="12">
        <f t="shared" si="33"/>
        <v>85</v>
      </c>
      <c r="N260" s="12">
        <f t="shared" si="34"/>
        <v>59</v>
      </c>
      <c r="O260" s="12">
        <f t="shared" si="35"/>
        <v>4</v>
      </c>
      <c r="P260" s="12">
        <f t="shared" si="36"/>
        <v>0</v>
      </c>
      <c r="Q260" s="12">
        <f t="shared" si="37"/>
        <v>36</v>
      </c>
      <c r="R260" s="12">
        <f t="shared" si="38"/>
        <v>61</v>
      </c>
      <c r="S260" s="12">
        <f t="shared" si="39"/>
        <v>85</v>
      </c>
      <c r="T260" s="29">
        <v>58</v>
      </c>
      <c r="U260" s="29">
        <v>1</v>
      </c>
      <c r="V260" s="29">
        <v>0</v>
      </c>
      <c r="W260" s="29">
        <v>4</v>
      </c>
      <c r="X260" s="29">
        <v>0</v>
      </c>
      <c r="Y260" s="29">
        <v>0</v>
      </c>
      <c r="Z260" s="29">
        <v>0</v>
      </c>
      <c r="AA260" s="29">
        <v>0</v>
      </c>
      <c r="AB260" s="29">
        <v>0</v>
      </c>
      <c r="AC260" s="29">
        <v>36</v>
      </c>
      <c r="AD260" s="29">
        <v>0</v>
      </c>
      <c r="AE260" s="29">
        <v>0</v>
      </c>
      <c r="AF260" s="29">
        <v>60</v>
      </c>
      <c r="AG260" s="29">
        <v>1</v>
      </c>
      <c r="AH260" s="29">
        <v>0</v>
      </c>
      <c r="AI260" s="29">
        <v>85</v>
      </c>
      <c r="AJ260" s="29">
        <v>0</v>
      </c>
      <c r="AK260" s="29">
        <v>0</v>
      </c>
      <c r="AL260" s="29">
        <v>243</v>
      </c>
      <c r="AM260" s="29">
        <v>2</v>
      </c>
      <c r="AN260" s="29">
        <v>0</v>
      </c>
      <c r="AO260" s="29">
        <v>0</v>
      </c>
      <c r="AP260" s="29">
        <v>0</v>
      </c>
    </row>
    <row r="261" spans="1:42" x14ac:dyDescent="0.25">
      <c r="A261" s="29">
        <v>16</v>
      </c>
      <c r="B261" s="29">
        <v>25001</v>
      </c>
      <c r="C261" s="29" t="s">
        <v>421</v>
      </c>
      <c r="D261" s="29" t="s">
        <v>671</v>
      </c>
      <c r="E261" s="29">
        <v>4</v>
      </c>
      <c r="F261" s="29">
        <v>7</v>
      </c>
      <c r="G261" s="29">
        <v>0</v>
      </c>
      <c r="H261" s="29">
        <v>0</v>
      </c>
      <c r="I261" s="29">
        <v>0</v>
      </c>
      <c r="J261" s="29">
        <v>7</v>
      </c>
      <c r="K261" s="29">
        <v>10</v>
      </c>
      <c r="L261" s="19" t="str">
        <f t="shared" si="32"/>
        <v>Перекос</v>
      </c>
      <c r="M261" s="12">
        <f t="shared" si="33"/>
        <v>2</v>
      </c>
      <c r="N261" s="12">
        <f t="shared" si="34"/>
        <v>1</v>
      </c>
      <c r="O261" s="12">
        <f t="shared" si="35"/>
        <v>1</v>
      </c>
      <c r="P261" s="12">
        <f t="shared" si="36"/>
        <v>0</v>
      </c>
      <c r="Q261" s="12">
        <f t="shared" si="37"/>
        <v>1</v>
      </c>
      <c r="R261" s="12">
        <f t="shared" si="38"/>
        <v>2</v>
      </c>
      <c r="S261" s="12">
        <f t="shared" si="39"/>
        <v>1</v>
      </c>
      <c r="T261" s="29">
        <v>1</v>
      </c>
      <c r="U261" s="29">
        <v>0</v>
      </c>
      <c r="V261" s="29">
        <v>0</v>
      </c>
      <c r="W261" s="29">
        <v>1</v>
      </c>
      <c r="X261" s="29">
        <v>0</v>
      </c>
      <c r="Y261" s="29">
        <v>0</v>
      </c>
      <c r="Z261" s="29">
        <v>0</v>
      </c>
      <c r="AA261" s="29">
        <v>0</v>
      </c>
      <c r="AB261" s="29">
        <v>0</v>
      </c>
      <c r="AC261" s="29">
        <v>1</v>
      </c>
      <c r="AD261" s="29">
        <v>0</v>
      </c>
      <c r="AE261" s="29">
        <v>0</v>
      </c>
      <c r="AF261" s="29">
        <v>2</v>
      </c>
      <c r="AG261" s="29">
        <v>0</v>
      </c>
      <c r="AH261" s="29">
        <v>0</v>
      </c>
      <c r="AI261" s="29">
        <v>1</v>
      </c>
      <c r="AJ261" s="29">
        <v>0</v>
      </c>
      <c r="AK261" s="29">
        <v>0</v>
      </c>
      <c r="AL261" s="29">
        <v>6</v>
      </c>
      <c r="AM261" s="29">
        <v>0</v>
      </c>
      <c r="AN261" s="29">
        <v>0</v>
      </c>
      <c r="AO261" s="29">
        <v>0</v>
      </c>
      <c r="AP261" s="29">
        <v>0</v>
      </c>
    </row>
    <row r="262" spans="1:42" x14ac:dyDescent="0.25">
      <c r="A262" s="29">
        <v>16</v>
      </c>
      <c r="B262" s="29">
        <v>25001</v>
      </c>
      <c r="C262" s="29" t="s">
        <v>421</v>
      </c>
      <c r="D262" s="29" t="s">
        <v>672</v>
      </c>
      <c r="E262" s="29" t="s">
        <v>885</v>
      </c>
      <c r="F262" s="29">
        <v>14</v>
      </c>
      <c r="G262" s="29">
        <v>0</v>
      </c>
      <c r="H262" s="29">
        <v>0</v>
      </c>
      <c r="I262" s="29">
        <v>0</v>
      </c>
      <c r="J262" s="29">
        <v>14</v>
      </c>
      <c r="K262" s="29">
        <v>10</v>
      </c>
      <c r="L262" s="19" t="str">
        <f t="shared" si="32"/>
        <v>Перекос</v>
      </c>
      <c r="M262" s="12">
        <f t="shared" si="33"/>
        <v>4</v>
      </c>
      <c r="N262" s="12">
        <f t="shared" si="34"/>
        <v>1</v>
      </c>
      <c r="O262" s="12">
        <f t="shared" si="35"/>
        <v>3</v>
      </c>
      <c r="P262" s="12">
        <f t="shared" si="36"/>
        <v>0</v>
      </c>
      <c r="Q262" s="12">
        <f t="shared" si="37"/>
        <v>2</v>
      </c>
      <c r="R262" s="12">
        <f t="shared" si="38"/>
        <v>4</v>
      </c>
      <c r="S262" s="12">
        <f t="shared" si="39"/>
        <v>0</v>
      </c>
      <c r="T262" s="29">
        <v>1</v>
      </c>
      <c r="U262" s="29">
        <v>0</v>
      </c>
      <c r="V262" s="29">
        <v>0</v>
      </c>
      <c r="W262" s="29">
        <v>3</v>
      </c>
      <c r="X262" s="29">
        <v>0</v>
      </c>
      <c r="Y262" s="29">
        <v>0</v>
      </c>
      <c r="Z262" s="29">
        <v>0</v>
      </c>
      <c r="AA262" s="29">
        <v>0</v>
      </c>
      <c r="AB262" s="29">
        <v>0</v>
      </c>
      <c r="AC262" s="29">
        <v>2</v>
      </c>
      <c r="AD262" s="29">
        <v>0</v>
      </c>
      <c r="AE262" s="29">
        <v>0</v>
      </c>
      <c r="AF262" s="29">
        <v>4</v>
      </c>
      <c r="AG262" s="29">
        <v>0</v>
      </c>
      <c r="AH262" s="29">
        <v>0</v>
      </c>
      <c r="AI262" s="29">
        <v>0</v>
      </c>
      <c r="AJ262" s="29">
        <v>0</v>
      </c>
      <c r="AK262" s="29">
        <v>0</v>
      </c>
      <c r="AL262" s="29">
        <v>10</v>
      </c>
      <c r="AM262" s="29">
        <v>0</v>
      </c>
      <c r="AN262" s="29">
        <v>0</v>
      </c>
      <c r="AO262" s="29">
        <v>0</v>
      </c>
      <c r="AP262" s="29">
        <v>0</v>
      </c>
    </row>
    <row r="263" spans="1:42" x14ac:dyDescent="0.25">
      <c r="A263" s="29">
        <v>16</v>
      </c>
      <c r="B263" s="29">
        <v>25001</v>
      </c>
      <c r="C263" s="29" t="s">
        <v>421</v>
      </c>
      <c r="D263" s="29" t="s">
        <v>673</v>
      </c>
      <c r="E263" s="29">
        <v>5</v>
      </c>
      <c r="F263" s="29">
        <v>9</v>
      </c>
      <c r="G263" s="29">
        <v>4.9169998168945313</v>
      </c>
      <c r="H263" s="29">
        <v>0</v>
      </c>
      <c r="I263" s="29">
        <v>0</v>
      </c>
      <c r="J263" s="29">
        <v>13.916999816894531</v>
      </c>
      <c r="K263" s="29">
        <v>20.600000381469727</v>
      </c>
      <c r="L263" s="19" t="str">
        <f t="shared" si="32"/>
        <v>Перекос</v>
      </c>
      <c r="M263" s="12">
        <f t="shared" si="33"/>
        <v>21</v>
      </c>
      <c r="N263" s="12">
        <f t="shared" si="34"/>
        <v>18</v>
      </c>
      <c r="O263" s="12">
        <f t="shared" si="35"/>
        <v>1</v>
      </c>
      <c r="P263" s="12">
        <f t="shared" si="36"/>
        <v>0</v>
      </c>
      <c r="Q263" s="12">
        <f t="shared" si="37"/>
        <v>13</v>
      </c>
      <c r="R263" s="12">
        <f t="shared" si="38"/>
        <v>21</v>
      </c>
      <c r="S263" s="12">
        <f t="shared" si="39"/>
        <v>6</v>
      </c>
      <c r="T263" s="29">
        <v>18</v>
      </c>
      <c r="U263" s="29">
        <v>0</v>
      </c>
      <c r="V263" s="29">
        <v>0</v>
      </c>
      <c r="W263" s="29">
        <v>1</v>
      </c>
      <c r="X263" s="29">
        <v>0</v>
      </c>
      <c r="Y263" s="29">
        <v>0</v>
      </c>
      <c r="Z263" s="29">
        <v>0</v>
      </c>
      <c r="AA263" s="29">
        <v>0</v>
      </c>
      <c r="AB263" s="29">
        <v>0</v>
      </c>
      <c r="AC263" s="29">
        <v>13</v>
      </c>
      <c r="AD263" s="29">
        <v>0</v>
      </c>
      <c r="AE263" s="29">
        <v>0</v>
      </c>
      <c r="AF263" s="29">
        <v>21</v>
      </c>
      <c r="AG263" s="29">
        <v>0</v>
      </c>
      <c r="AH263" s="29">
        <v>0</v>
      </c>
      <c r="AI263" s="29">
        <v>6</v>
      </c>
      <c r="AJ263" s="29">
        <v>0</v>
      </c>
      <c r="AK263" s="29">
        <v>0</v>
      </c>
      <c r="AL263" s="29">
        <v>59</v>
      </c>
      <c r="AM263" s="29">
        <v>0</v>
      </c>
      <c r="AN263" s="29">
        <v>0</v>
      </c>
      <c r="AO263" s="29">
        <v>0</v>
      </c>
      <c r="AP263" s="29">
        <v>0</v>
      </c>
    </row>
    <row r="264" spans="1:42" x14ac:dyDescent="0.25">
      <c r="A264" s="29">
        <v>16</v>
      </c>
      <c r="B264" s="29">
        <v>25001</v>
      </c>
      <c r="C264" s="29" t="s">
        <v>239</v>
      </c>
      <c r="D264" s="29" t="s">
        <v>674</v>
      </c>
      <c r="E264" s="29" t="s">
        <v>908</v>
      </c>
      <c r="F264" s="29">
        <v>6.4479999542236328</v>
      </c>
      <c r="G264" s="29">
        <v>2.6429998874664307</v>
      </c>
      <c r="H264" s="29">
        <v>0</v>
      </c>
      <c r="I264" s="29">
        <v>0</v>
      </c>
      <c r="J264" s="29">
        <v>9.0909996032714844</v>
      </c>
      <c r="K264" s="29">
        <v>18.700000762939453</v>
      </c>
      <c r="L264" s="19" t="str">
        <f t="shared" si="32"/>
        <v>Рихтовка</v>
      </c>
      <c r="M264" s="12">
        <f t="shared" si="33"/>
        <v>10</v>
      </c>
      <c r="N264" s="12">
        <f t="shared" si="34"/>
        <v>10</v>
      </c>
      <c r="O264" s="12">
        <f t="shared" si="35"/>
        <v>9</v>
      </c>
      <c r="P264" s="12">
        <f t="shared" si="36"/>
        <v>0</v>
      </c>
      <c r="Q264" s="12">
        <f t="shared" si="37"/>
        <v>3</v>
      </c>
      <c r="R264" s="12">
        <f t="shared" si="38"/>
        <v>7</v>
      </c>
      <c r="S264" s="12">
        <f t="shared" si="39"/>
        <v>5</v>
      </c>
      <c r="T264" s="29">
        <v>10</v>
      </c>
      <c r="U264" s="29">
        <v>0</v>
      </c>
      <c r="V264" s="29">
        <v>0</v>
      </c>
      <c r="W264" s="29">
        <v>9</v>
      </c>
      <c r="X264" s="29">
        <v>0</v>
      </c>
      <c r="Y264" s="29">
        <v>0</v>
      </c>
      <c r="Z264" s="29">
        <v>0</v>
      </c>
      <c r="AA264" s="29">
        <v>0</v>
      </c>
      <c r="AB264" s="29">
        <v>0</v>
      </c>
      <c r="AC264" s="29">
        <v>3</v>
      </c>
      <c r="AD264" s="29">
        <v>0</v>
      </c>
      <c r="AE264" s="29">
        <v>0</v>
      </c>
      <c r="AF264" s="29">
        <v>7</v>
      </c>
      <c r="AG264" s="29">
        <v>0</v>
      </c>
      <c r="AH264" s="29">
        <v>0</v>
      </c>
      <c r="AI264" s="29">
        <v>5</v>
      </c>
      <c r="AJ264" s="29">
        <v>0</v>
      </c>
      <c r="AK264" s="29">
        <v>0</v>
      </c>
      <c r="AL264" s="29">
        <v>34</v>
      </c>
      <c r="AM264" s="29">
        <v>0</v>
      </c>
      <c r="AN264" s="29">
        <v>0</v>
      </c>
      <c r="AO264" s="29">
        <v>0</v>
      </c>
      <c r="AP264" s="29">
        <v>0</v>
      </c>
    </row>
    <row r="265" spans="1:42" x14ac:dyDescent="0.25">
      <c r="A265" s="29">
        <v>16</v>
      </c>
      <c r="B265" s="29">
        <v>25001</v>
      </c>
      <c r="C265" s="29" t="s">
        <v>239</v>
      </c>
      <c r="D265" s="29" t="s">
        <v>675</v>
      </c>
      <c r="E265" s="29" t="s">
        <v>907</v>
      </c>
      <c r="F265" s="29">
        <v>4.000999927520752</v>
      </c>
      <c r="G265" s="29">
        <v>6.999000072479248</v>
      </c>
      <c r="H265" s="29">
        <v>0</v>
      </c>
      <c r="I265" s="29">
        <v>0</v>
      </c>
      <c r="J265" s="29">
        <v>11</v>
      </c>
      <c r="K265" s="29">
        <v>29.100000381469727</v>
      </c>
      <c r="L265" s="19" t="str">
        <f t="shared" si="32"/>
        <v>Рихтовка</v>
      </c>
      <c r="M265" s="12">
        <f t="shared" si="33"/>
        <v>35</v>
      </c>
      <c r="N265" s="12">
        <f t="shared" si="34"/>
        <v>35</v>
      </c>
      <c r="O265" s="12">
        <f t="shared" si="35"/>
        <v>7</v>
      </c>
      <c r="P265" s="12">
        <f t="shared" si="36"/>
        <v>1</v>
      </c>
      <c r="Q265" s="12">
        <f t="shared" si="37"/>
        <v>11</v>
      </c>
      <c r="R265" s="12">
        <f t="shared" si="38"/>
        <v>12</v>
      </c>
      <c r="S265" s="12">
        <f t="shared" si="39"/>
        <v>5</v>
      </c>
      <c r="T265" s="29">
        <v>35</v>
      </c>
      <c r="U265" s="29">
        <v>0</v>
      </c>
      <c r="V265" s="29">
        <v>0</v>
      </c>
      <c r="W265" s="29">
        <v>7</v>
      </c>
      <c r="X265" s="29">
        <v>0</v>
      </c>
      <c r="Y265" s="29">
        <v>0</v>
      </c>
      <c r="Z265" s="29">
        <v>1</v>
      </c>
      <c r="AA265" s="29">
        <v>0</v>
      </c>
      <c r="AB265" s="29">
        <v>0</v>
      </c>
      <c r="AC265" s="29">
        <v>11</v>
      </c>
      <c r="AD265" s="29">
        <v>0</v>
      </c>
      <c r="AE265" s="29">
        <v>0</v>
      </c>
      <c r="AF265" s="29">
        <v>12</v>
      </c>
      <c r="AG265" s="29">
        <v>0</v>
      </c>
      <c r="AH265" s="29">
        <v>0</v>
      </c>
      <c r="AI265" s="29">
        <v>5</v>
      </c>
      <c r="AJ265" s="29">
        <v>0</v>
      </c>
      <c r="AK265" s="29">
        <v>0</v>
      </c>
      <c r="AL265" s="29">
        <v>71</v>
      </c>
      <c r="AM265" s="29">
        <v>0</v>
      </c>
      <c r="AN265" s="29">
        <v>0</v>
      </c>
      <c r="AO265" s="29">
        <v>0</v>
      </c>
      <c r="AP265" s="29">
        <v>0</v>
      </c>
    </row>
    <row r="266" spans="1:42" x14ac:dyDescent="0.25">
      <c r="A266" s="29">
        <v>16</v>
      </c>
      <c r="B266" s="29">
        <v>25001</v>
      </c>
      <c r="C266" s="29" t="s">
        <v>239</v>
      </c>
      <c r="D266" s="29" t="s">
        <v>676</v>
      </c>
      <c r="E266" s="29">
        <v>9</v>
      </c>
      <c r="F266" s="29">
        <v>1.4040000438690186</v>
      </c>
      <c r="G266" s="29">
        <v>1.5019999742507935</v>
      </c>
      <c r="H266" s="29">
        <v>0</v>
      </c>
      <c r="I266" s="29">
        <v>0</v>
      </c>
      <c r="J266" s="29">
        <v>2.9059998989105225</v>
      </c>
      <c r="K266" s="29">
        <v>25.5</v>
      </c>
      <c r="L266" s="19" t="str">
        <f t="shared" si="32"/>
        <v>Рихтовка</v>
      </c>
      <c r="M266" s="12">
        <f t="shared" si="33"/>
        <v>12</v>
      </c>
      <c r="N266" s="12">
        <f t="shared" si="34"/>
        <v>12</v>
      </c>
      <c r="O266" s="12">
        <f t="shared" si="35"/>
        <v>2</v>
      </c>
      <c r="P266" s="12">
        <f t="shared" si="36"/>
        <v>0</v>
      </c>
      <c r="Q266" s="12">
        <f t="shared" si="37"/>
        <v>0</v>
      </c>
      <c r="R266" s="12">
        <f t="shared" si="38"/>
        <v>6</v>
      </c>
      <c r="S266" s="12">
        <f t="shared" si="39"/>
        <v>0</v>
      </c>
      <c r="T266" s="29">
        <v>12</v>
      </c>
      <c r="U266" s="29">
        <v>0</v>
      </c>
      <c r="V266" s="29">
        <v>0</v>
      </c>
      <c r="W266" s="29">
        <v>2</v>
      </c>
      <c r="X266" s="29">
        <v>0</v>
      </c>
      <c r="Y266" s="29">
        <v>0</v>
      </c>
      <c r="Z266" s="29">
        <v>0</v>
      </c>
      <c r="AA266" s="29">
        <v>0</v>
      </c>
      <c r="AB266" s="29">
        <v>0</v>
      </c>
      <c r="AC266" s="29">
        <v>0</v>
      </c>
      <c r="AD266" s="29">
        <v>0</v>
      </c>
      <c r="AE266" s="29">
        <v>0</v>
      </c>
      <c r="AF266" s="29">
        <v>6</v>
      </c>
      <c r="AG266" s="29">
        <v>0</v>
      </c>
      <c r="AH266" s="29">
        <v>0</v>
      </c>
      <c r="AI266" s="29">
        <v>0</v>
      </c>
      <c r="AJ266" s="29">
        <v>0</v>
      </c>
      <c r="AK266" s="29">
        <v>0</v>
      </c>
      <c r="AL266" s="29">
        <v>20</v>
      </c>
      <c r="AM266" s="29">
        <v>0</v>
      </c>
      <c r="AN266" s="29">
        <v>0</v>
      </c>
      <c r="AO266" s="29">
        <v>0</v>
      </c>
      <c r="AP266" s="29">
        <v>0</v>
      </c>
    </row>
    <row r="267" spans="1:42" x14ac:dyDescent="0.25">
      <c r="A267" s="29">
        <v>16</v>
      </c>
      <c r="B267" s="29">
        <v>25001</v>
      </c>
      <c r="C267" s="29" t="s">
        <v>399</v>
      </c>
      <c r="D267" s="29" t="s">
        <v>674</v>
      </c>
      <c r="E267" s="29" t="s">
        <v>908</v>
      </c>
      <c r="F267" s="29">
        <v>5.3889999389648437</v>
      </c>
      <c r="G267" s="29">
        <v>3.7009999752044678</v>
      </c>
      <c r="H267" s="29">
        <v>0</v>
      </c>
      <c r="I267" s="29">
        <v>0</v>
      </c>
      <c r="J267" s="29">
        <v>9.0900001525878906</v>
      </c>
      <c r="K267" s="29">
        <v>22.200000762939453</v>
      </c>
      <c r="L267" s="19" t="str">
        <f t="shared" si="32"/>
        <v>Рихтовка</v>
      </c>
      <c r="M267" s="12">
        <f t="shared" si="33"/>
        <v>11</v>
      </c>
      <c r="N267" s="12">
        <f t="shared" si="34"/>
        <v>11</v>
      </c>
      <c r="O267" s="12">
        <f t="shared" si="35"/>
        <v>6</v>
      </c>
      <c r="P267" s="12">
        <f t="shared" si="36"/>
        <v>2</v>
      </c>
      <c r="Q267" s="12">
        <f t="shared" si="37"/>
        <v>4</v>
      </c>
      <c r="R267" s="12">
        <f t="shared" si="38"/>
        <v>10</v>
      </c>
      <c r="S267" s="12">
        <f t="shared" si="39"/>
        <v>9</v>
      </c>
      <c r="T267" s="29">
        <v>11</v>
      </c>
      <c r="U267" s="29">
        <v>0</v>
      </c>
      <c r="V267" s="29">
        <v>0</v>
      </c>
      <c r="W267" s="29">
        <v>6</v>
      </c>
      <c r="X267" s="29">
        <v>0</v>
      </c>
      <c r="Y267" s="29">
        <v>0</v>
      </c>
      <c r="Z267" s="29">
        <v>2</v>
      </c>
      <c r="AA267" s="29">
        <v>0</v>
      </c>
      <c r="AB267" s="29">
        <v>0</v>
      </c>
      <c r="AC267" s="29">
        <v>4</v>
      </c>
      <c r="AD267" s="29">
        <v>0</v>
      </c>
      <c r="AE267" s="29">
        <v>0</v>
      </c>
      <c r="AF267" s="29">
        <v>10</v>
      </c>
      <c r="AG267" s="29">
        <v>0</v>
      </c>
      <c r="AH267" s="29">
        <v>0</v>
      </c>
      <c r="AI267" s="29">
        <v>9</v>
      </c>
      <c r="AJ267" s="29">
        <v>0</v>
      </c>
      <c r="AK267" s="29">
        <v>0</v>
      </c>
      <c r="AL267" s="29">
        <v>42</v>
      </c>
      <c r="AM267" s="29">
        <v>0</v>
      </c>
      <c r="AN267" s="29">
        <v>0</v>
      </c>
      <c r="AO267" s="29">
        <v>0</v>
      </c>
      <c r="AP267" s="29">
        <v>0</v>
      </c>
    </row>
    <row r="268" spans="1:42" x14ac:dyDescent="0.25">
      <c r="A268" s="29">
        <v>16</v>
      </c>
      <c r="B268" s="29">
        <v>25001</v>
      </c>
      <c r="C268" s="29" t="s">
        <v>399</v>
      </c>
      <c r="D268" s="29" t="s">
        <v>675</v>
      </c>
      <c r="E268" s="29" t="s">
        <v>907</v>
      </c>
      <c r="F268" s="29">
        <v>8.7250003814697266</v>
      </c>
      <c r="G268" s="29">
        <v>2.2960000038146973</v>
      </c>
      <c r="H268" s="29">
        <v>0</v>
      </c>
      <c r="I268" s="29">
        <v>0</v>
      </c>
      <c r="J268" s="29">
        <v>11.020999908447266</v>
      </c>
      <c r="K268" s="29">
        <v>16.200000762939453</v>
      </c>
      <c r="L268" s="19" t="str">
        <f t="shared" si="32"/>
        <v>Перекос</v>
      </c>
      <c r="M268" s="12">
        <f t="shared" si="33"/>
        <v>16</v>
      </c>
      <c r="N268" s="12">
        <f t="shared" si="34"/>
        <v>13</v>
      </c>
      <c r="O268" s="12">
        <f t="shared" si="35"/>
        <v>4</v>
      </c>
      <c r="P268" s="12">
        <f t="shared" si="36"/>
        <v>0</v>
      </c>
      <c r="Q268" s="12">
        <f t="shared" si="37"/>
        <v>13</v>
      </c>
      <c r="R268" s="12">
        <f t="shared" si="38"/>
        <v>16</v>
      </c>
      <c r="S268" s="12">
        <f t="shared" si="39"/>
        <v>6</v>
      </c>
      <c r="T268" s="29">
        <v>13</v>
      </c>
      <c r="U268" s="29">
        <v>0</v>
      </c>
      <c r="V268" s="29">
        <v>0</v>
      </c>
      <c r="W268" s="29">
        <v>4</v>
      </c>
      <c r="X268" s="29">
        <v>0</v>
      </c>
      <c r="Y268" s="29">
        <v>0</v>
      </c>
      <c r="Z268" s="29">
        <v>0</v>
      </c>
      <c r="AA268" s="29">
        <v>0</v>
      </c>
      <c r="AB268" s="29">
        <v>0</v>
      </c>
      <c r="AC268" s="29">
        <v>13</v>
      </c>
      <c r="AD268" s="29">
        <v>0</v>
      </c>
      <c r="AE268" s="29">
        <v>0</v>
      </c>
      <c r="AF268" s="29">
        <v>16</v>
      </c>
      <c r="AG268" s="29">
        <v>0</v>
      </c>
      <c r="AH268" s="29">
        <v>0</v>
      </c>
      <c r="AI268" s="29">
        <v>6</v>
      </c>
      <c r="AJ268" s="29">
        <v>0</v>
      </c>
      <c r="AK268" s="29">
        <v>0</v>
      </c>
      <c r="AL268" s="29">
        <v>52</v>
      </c>
      <c r="AM268" s="29">
        <v>0</v>
      </c>
      <c r="AN268" s="29">
        <v>0</v>
      </c>
      <c r="AO268" s="29">
        <v>0</v>
      </c>
      <c r="AP268" s="29">
        <v>0</v>
      </c>
    </row>
    <row r="269" spans="1:42" x14ac:dyDescent="0.25">
      <c r="A269" s="29">
        <v>16</v>
      </c>
      <c r="B269" s="29">
        <v>25001</v>
      </c>
      <c r="C269" s="29" t="s">
        <v>402</v>
      </c>
      <c r="D269" s="29" t="s">
        <v>677</v>
      </c>
      <c r="E269" s="29" t="s">
        <v>889</v>
      </c>
      <c r="F269" s="29">
        <v>4</v>
      </c>
      <c r="G269" s="29">
        <v>3.8389999866485596</v>
      </c>
      <c r="H269" s="29">
        <v>1</v>
      </c>
      <c r="I269" s="29">
        <v>0</v>
      </c>
      <c r="J269" s="29">
        <v>8.8389997482299805</v>
      </c>
      <c r="K269" s="29">
        <v>38.900001525878906</v>
      </c>
      <c r="L269" s="19" t="str">
        <f t="shared" si="32"/>
        <v>Рихтовка</v>
      </c>
      <c r="M269" s="12">
        <f t="shared" si="33"/>
        <v>20</v>
      </c>
      <c r="N269" s="12">
        <f t="shared" si="34"/>
        <v>20</v>
      </c>
      <c r="O269" s="12">
        <f t="shared" si="35"/>
        <v>12</v>
      </c>
      <c r="P269" s="12">
        <f t="shared" si="36"/>
        <v>0</v>
      </c>
      <c r="Q269" s="12">
        <f t="shared" si="37"/>
        <v>0</v>
      </c>
      <c r="R269" s="12">
        <f t="shared" si="38"/>
        <v>10</v>
      </c>
      <c r="S269" s="12">
        <f t="shared" si="39"/>
        <v>5</v>
      </c>
      <c r="T269" s="29">
        <v>20</v>
      </c>
      <c r="U269" s="29">
        <v>0</v>
      </c>
      <c r="V269" s="29">
        <v>0</v>
      </c>
      <c r="W269" s="29">
        <v>12</v>
      </c>
      <c r="X269" s="29">
        <v>0</v>
      </c>
      <c r="Y269" s="29">
        <v>0</v>
      </c>
      <c r="Z269" s="29">
        <v>0</v>
      </c>
      <c r="AA269" s="29">
        <v>0</v>
      </c>
      <c r="AB269" s="29">
        <v>0</v>
      </c>
      <c r="AC269" s="29">
        <v>0</v>
      </c>
      <c r="AD269" s="29">
        <v>0</v>
      </c>
      <c r="AE269" s="29">
        <v>0</v>
      </c>
      <c r="AF269" s="29">
        <v>10</v>
      </c>
      <c r="AG269" s="29">
        <v>0</v>
      </c>
      <c r="AH269" s="29">
        <v>0</v>
      </c>
      <c r="AI269" s="29">
        <v>5</v>
      </c>
      <c r="AJ269" s="29">
        <v>0</v>
      </c>
      <c r="AK269" s="29">
        <v>0</v>
      </c>
      <c r="AL269" s="29">
        <v>47</v>
      </c>
      <c r="AM269" s="29">
        <v>0</v>
      </c>
      <c r="AN269" s="29">
        <v>0</v>
      </c>
      <c r="AO269" s="29">
        <v>0</v>
      </c>
      <c r="AP269" s="29">
        <v>0</v>
      </c>
    </row>
    <row r="270" spans="1:42" x14ac:dyDescent="0.25">
      <c r="A270" s="29">
        <v>16</v>
      </c>
      <c r="B270" s="29">
        <v>25001</v>
      </c>
      <c r="C270" s="29" t="s">
        <v>402</v>
      </c>
      <c r="D270" s="29" t="s">
        <v>678</v>
      </c>
      <c r="E270" s="29">
        <v>10</v>
      </c>
      <c r="F270" s="29">
        <v>2.0539999008178711</v>
      </c>
      <c r="G270" s="29">
        <v>0</v>
      </c>
      <c r="H270" s="29">
        <v>0</v>
      </c>
      <c r="I270" s="29">
        <v>0</v>
      </c>
      <c r="J270" s="29">
        <v>2.0539999008178711</v>
      </c>
      <c r="K270" s="29">
        <v>10</v>
      </c>
      <c r="L270" s="19" t="str">
        <f t="shared" si="32"/>
        <v>Уширение</v>
      </c>
      <c r="M270" s="12">
        <f t="shared" si="33"/>
        <v>4</v>
      </c>
      <c r="N270" s="12">
        <f t="shared" si="34"/>
        <v>0</v>
      </c>
      <c r="O270" s="12">
        <f t="shared" si="35"/>
        <v>4</v>
      </c>
      <c r="P270" s="12">
        <f t="shared" si="36"/>
        <v>0</v>
      </c>
      <c r="Q270" s="12">
        <f t="shared" si="37"/>
        <v>1</v>
      </c>
      <c r="R270" s="12">
        <f t="shared" si="38"/>
        <v>0</v>
      </c>
      <c r="S270" s="12">
        <f t="shared" si="39"/>
        <v>0</v>
      </c>
      <c r="T270" s="29">
        <v>0</v>
      </c>
      <c r="U270" s="29">
        <v>0</v>
      </c>
      <c r="V270" s="29">
        <v>0</v>
      </c>
      <c r="W270" s="29">
        <v>4</v>
      </c>
      <c r="X270" s="29">
        <v>0</v>
      </c>
      <c r="Y270" s="29">
        <v>0</v>
      </c>
      <c r="Z270" s="29">
        <v>0</v>
      </c>
      <c r="AA270" s="29">
        <v>0</v>
      </c>
      <c r="AB270" s="29">
        <v>0</v>
      </c>
      <c r="AC270" s="29">
        <v>1</v>
      </c>
      <c r="AD270" s="29">
        <v>0</v>
      </c>
      <c r="AE270" s="29">
        <v>0</v>
      </c>
      <c r="AF270" s="29">
        <v>0</v>
      </c>
      <c r="AG270" s="29">
        <v>0</v>
      </c>
      <c r="AH270" s="29">
        <v>0</v>
      </c>
      <c r="AI270" s="29">
        <v>0</v>
      </c>
      <c r="AJ270" s="29">
        <v>0</v>
      </c>
      <c r="AK270" s="29">
        <v>0</v>
      </c>
      <c r="AL270" s="29">
        <v>5</v>
      </c>
      <c r="AM270" s="29">
        <v>0</v>
      </c>
      <c r="AN270" s="29">
        <v>0</v>
      </c>
      <c r="AO270" s="29">
        <v>0</v>
      </c>
      <c r="AP270" s="29">
        <v>0</v>
      </c>
    </row>
    <row r="271" spans="1:42" x14ac:dyDescent="0.25">
      <c r="A271" s="29">
        <v>16</v>
      </c>
      <c r="B271" s="29">
        <v>24605</v>
      </c>
      <c r="C271" s="29" t="s">
        <v>404</v>
      </c>
      <c r="D271" s="29" t="s">
        <v>674</v>
      </c>
      <c r="E271" s="29"/>
      <c r="F271" s="29">
        <v>0</v>
      </c>
      <c r="G271" s="29">
        <v>0</v>
      </c>
      <c r="H271" s="29">
        <v>0</v>
      </c>
      <c r="I271" s="29">
        <v>0</v>
      </c>
      <c r="J271" s="29">
        <v>0</v>
      </c>
      <c r="K271" s="29" t="s">
        <v>882</v>
      </c>
      <c r="L271" s="19" t="str">
        <f t="shared" si="32"/>
        <v>Рихтовка</v>
      </c>
      <c r="M271" s="12">
        <f t="shared" si="33"/>
        <v>0</v>
      </c>
      <c r="N271" s="12">
        <f t="shared" si="34"/>
        <v>0</v>
      </c>
      <c r="O271" s="12">
        <f t="shared" si="35"/>
        <v>0</v>
      </c>
      <c r="P271" s="12">
        <f t="shared" si="36"/>
        <v>0</v>
      </c>
      <c r="Q271" s="12">
        <f t="shared" si="37"/>
        <v>0</v>
      </c>
      <c r="R271" s="12">
        <f t="shared" si="38"/>
        <v>0</v>
      </c>
      <c r="S271" s="12">
        <f t="shared" si="39"/>
        <v>0</v>
      </c>
      <c r="T271" s="29">
        <v>0</v>
      </c>
      <c r="U271" s="29">
        <v>0</v>
      </c>
      <c r="V271" s="29">
        <v>0</v>
      </c>
      <c r="W271" s="29">
        <v>0</v>
      </c>
      <c r="X271" s="29">
        <v>0</v>
      </c>
      <c r="Y271" s="29">
        <v>0</v>
      </c>
      <c r="Z271" s="29">
        <v>0</v>
      </c>
      <c r="AA271" s="29">
        <v>0</v>
      </c>
      <c r="AB271" s="29">
        <v>0</v>
      </c>
      <c r="AC271" s="29">
        <v>0</v>
      </c>
      <c r="AD271" s="29">
        <v>0</v>
      </c>
      <c r="AE271" s="29">
        <v>0</v>
      </c>
      <c r="AF271" s="29">
        <v>0</v>
      </c>
      <c r="AG271" s="29">
        <v>0</v>
      </c>
      <c r="AH271" s="29">
        <v>0</v>
      </c>
      <c r="AI271" s="29">
        <v>0</v>
      </c>
      <c r="AJ271" s="29">
        <v>0</v>
      </c>
      <c r="AK271" s="29">
        <v>0</v>
      </c>
      <c r="AL271" s="29">
        <v>0</v>
      </c>
      <c r="AM271" s="29">
        <v>0</v>
      </c>
      <c r="AN271" s="29">
        <v>0</v>
      </c>
      <c r="AO271" s="29">
        <v>0</v>
      </c>
      <c r="AP271" s="29">
        <v>0</v>
      </c>
    </row>
    <row r="272" spans="1:42" x14ac:dyDescent="0.25">
      <c r="A272" s="29">
        <v>16</v>
      </c>
      <c r="B272" s="29">
        <v>24605</v>
      </c>
      <c r="C272" s="29">
        <v>1</v>
      </c>
      <c r="D272" s="29" t="s">
        <v>679</v>
      </c>
      <c r="E272" s="29"/>
      <c r="F272" s="29">
        <v>0</v>
      </c>
      <c r="G272" s="29">
        <v>0</v>
      </c>
      <c r="H272" s="29">
        <v>0</v>
      </c>
      <c r="I272" s="29">
        <v>0</v>
      </c>
      <c r="J272" s="29">
        <v>0</v>
      </c>
      <c r="K272" s="29" t="s">
        <v>882</v>
      </c>
      <c r="L272" s="19" t="str">
        <f t="shared" si="32"/>
        <v>Рихтовка</v>
      </c>
      <c r="M272" s="12">
        <f t="shared" si="33"/>
        <v>0</v>
      </c>
      <c r="N272" s="12">
        <f t="shared" si="34"/>
        <v>0</v>
      </c>
      <c r="O272" s="12">
        <f t="shared" si="35"/>
        <v>0</v>
      </c>
      <c r="P272" s="12">
        <f t="shared" si="36"/>
        <v>0</v>
      </c>
      <c r="Q272" s="12">
        <f t="shared" si="37"/>
        <v>0</v>
      </c>
      <c r="R272" s="12">
        <f t="shared" si="38"/>
        <v>0</v>
      </c>
      <c r="S272" s="12">
        <f t="shared" si="39"/>
        <v>0</v>
      </c>
      <c r="T272" s="29">
        <v>0</v>
      </c>
      <c r="U272" s="29">
        <v>0</v>
      </c>
      <c r="V272" s="29">
        <v>0</v>
      </c>
      <c r="W272" s="29">
        <v>0</v>
      </c>
      <c r="X272" s="29">
        <v>0</v>
      </c>
      <c r="Y272" s="29">
        <v>0</v>
      </c>
      <c r="Z272" s="29">
        <v>0</v>
      </c>
      <c r="AA272" s="29">
        <v>0</v>
      </c>
      <c r="AB272" s="29">
        <v>0</v>
      </c>
      <c r="AC272" s="29">
        <v>0</v>
      </c>
      <c r="AD272" s="29">
        <v>0</v>
      </c>
      <c r="AE272" s="29">
        <v>0</v>
      </c>
      <c r="AF272" s="29">
        <v>0</v>
      </c>
      <c r="AG272" s="29">
        <v>0</v>
      </c>
      <c r="AH272" s="29">
        <v>0</v>
      </c>
      <c r="AI272" s="29">
        <v>0</v>
      </c>
      <c r="AJ272" s="29">
        <v>0</v>
      </c>
      <c r="AK272" s="29">
        <v>0</v>
      </c>
      <c r="AL272" s="29">
        <v>0</v>
      </c>
      <c r="AM272" s="29">
        <v>0</v>
      </c>
      <c r="AN272" s="29">
        <v>0</v>
      </c>
      <c r="AO272" s="29">
        <v>0</v>
      </c>
      <c r="AP272" s="29">
        <v>0</v>
      </c>
    </row>
    <row r="273" spans="1:42" x14ac:dyDescent="0.25">
      <c r="A273" s="29">
        <v>16</v>
      </c>
      <c r="B273" s="29">
        <v>24605</v>
      </c>
      <c r="C273" s="29">
        <v>1</v>
      </c>
      <c r="D273" s="29" t="s">
        <v>680</v>
      </c>
      <c r="E273" s="29"/>
      <c r="F273" s="29">
        <v>0</v>
      </c>
      <c r="G273" s="29">
        <v>0</v>
      </c>
      <c r="H273" s="29">
        <v>0</v>
      </c>
      <c r="I273" s="29">
        <v>0</v>
      </c>
      <c r="J273" s="29">
        <v>0</v>
      </c>
      <c r="K273" s="29" t="s">
        <v>882</v>
      </c>
      <c r="L273" s="19" t="str">
        <f t="shared" si="32"/>
        <v>Рихтовка</v>
      </c>
      <c r="M273" s="12">
        <f t="shared" si="33"/>
        <v>0</v>
      </c>
      <c r="N273" s="12">
        <f t="shared" si="34"/>
        <v>0</v>
      </c>
      <c r="O273" s="12">
        <f t="shared" si="35"/>
        <v>0</v>
      </c>
      <c r="P273" s="12">
        <f t="shared" si="36"/>
        <v>0</v>
      </c>
      <c r="Q273" s="12">
        <f t="shared" si="37"/>
        <v>0</v>
      </c>
      <c r="R273" s="12">
        <f t="shared" si="38"/>
        <v>0</v>
      </c>
      <c r="S273" s="12">
        <f t="shared" si="39"/>
        <v>0</v>
      </c>
      <c r="T273" s="29">
        <v>0</v>
      </c>
      <c r="U273" s="29">
        <v>0</v>
      </c>
      <c r="V273" s="29">
        <v>0</v>
      </c>
      <c r="W273" s="29">
        <v>0</v>
      </c>
      <c r="X273" s="29">
        <v>0</v>
      </c>
      <c r="Y273" s="29">
        <v>0</v>
      </c>
      <c r="Z273" s="29">
        <v>0</v>
      </c>
      <c r="AA273" s="29">
        <v>0</v>
      </c>
      <c r="AB273" s="29">
        <v>0</v>
      </c>
      <c r="AC273" s="29">
        <v>0</v>
      </c>
      <c r="AD273" s="29">
        <v>0</v>
      </c>
      <c r="AE273" s="29">
        <v>0</v>
      </c>
      <c r="AF273" s="29">
        <v>0</v>
      </c>
      <c r="AG273" s="29">
        <v>0</v>
      </c>
      <c r="AH273" s="29">
        <v>0</v>
      </c>
      <c r="AI273" s="29">
        <v>0</v>
      </c>
      <c r="AJ273" s="29">
        <v>0</v>
      </c>
      <c r="AK273" s="29">
        <v>0</v>
      </c>
      <c r="AL273" s="29">
        <v>0</v>
      </c>
      <c r="AM273" s="29">
        <v>0</v>
      </c>
      <c r="AN273" s="29">
        <v>0</v>
      </c>
      <c r="AO273" s="29">
        <v>0</v>
      </c>
      <c r="AP273" s="29">
        <v>0</v>
      </c>
    </row>
    <row r="274" spans="1:42" x14ac:dyDescent="0.25">
      <c r="A274" s="29">
        <v>16</v>
      </c>
      <c r="B274" s="29">
        <v>24605</v>
      </c>
      <c r="C274" s="29">
        <v>1</v>
      </c>
      <c r="D274" s="29" t="s">
        <v>681</v>
      </c>
      <c r="E274" s="29"/>
      <c r="F274" s="29">
        <v>0</v>
      </c>
      <c r="G274" s="29">
        <v>0</v>
      </c>
      <c r="H274" s="29">
        <v>0</v>
      </c>
      <c r="I274" s="29">
        <v>0</v>
      </c>
      <c r="J274" s="29">
        <v>0</v>
      </c>
      <c r="K274" s="29" t="s">
        <v>882</v>
      </c>
      <c r="L274" s="19" t="str">
        <f t="shared" si="32"/>
        <v>Рихтовка</v>
      </c>
      <c r="M274" s="12">
        <f t="shared" si="33"/>
        <v>0</v>
      </c>
      <c r="N274" s="12">
        <f t="shared" si="34"/>
        <v>0</v>
      </c>
      <c r="O274" s="12">
        <f t="shared" si="35"/>
        <v>0</v>
      </c>
      <c r="P274" s="12">
        <f t="shared" si="36"/>
        <v>0</v>
      </c>
      <c r="Q274" s="12">
        <f t="shared" si="37"/>
        <v>0</v>
      </c>
      <c r="R274" s="12">
        <f t="shared" si="38"/>
        <v>0</v>
      </c>
      <c r="S274" s="12">
        <f t="shared" si="39"/>
        <v>0</v>
      </c>
      <c r="T274" s="29">
        <v>0</v>
      </c>
      <c r="U274" s="29">
        <v>0</v>
      </c>
      <c r="V274" s="29">
        <v>0</v>
      </c>
      <c r="W274" s="29">
        <v>0</v>
      </c>
      <c r="X274" s="29">
        <v>0</v>
      </c>
      <c r="Y274" s="29">
        <v>0</v>
      </c>
      <c r="Z274" s="29">
        <v>0</v>
      </c>
      <c r="AA274" s="29">
        <v>0</v>
      </c>
      <c r="AB274" s="29">
        <v>0</v>
      </c>
      <c r="AC274" s="29">
        <v>0</v>
      </c>
      <c r="AD274" s="29">
        <v>0</v>
      </c>
      <c r="AE274" s="29">
        <v>0</v>
      </c>
      <c r="AF274" s="29">
        <v>0</v>
      </c>
      <c r="AG274" s="29">
        <v>0</v>
      </c>
      <c r="AH274" s="29">
        <v>0</v>
      </c>
      <c r="AI274" s="29">
        <v>0</v>
      </c>
      <c r="AJ274" s="29">
        <v>0</v>
      </c>
      <c r="AK274" s="29">
        <v>0</v>
      </c>
      <c r="AL274" s="29">
        <v>0</v>
      </c>
      <c r="AM274" s="29">
        <v>0</v>
      </c>
      <c r="AN274" s="29">
        <v>0</v>
      </c>
      <c r="AO274" s="29">
        <v>0</v>
      </c>
      <c r="AP274" s="29">
        <v>0</v>
      </c>
    </row>
    <row r="275" spans="1:42" x14ac:dyDescent="0.25">
      <c r="A275" s="29">
        <v>16</v>
      </c>
      <c r="B275" s="29">
        <v>24605</v>
      </c>
      <c r="C275" s="29">
        <v>2</v>
      </c>
      <c r="D275" s="29" t="s">
        <v>682</v>
      </c>
      <c r="E275" s="29"/>
      <c r="F275" s="29">
        <v>0</v>
      </c>
      <c r="G275" s="29">
        <v>0</v>
      </c>
      <c r="H275" s="29">
        <v>0</v>
      </c>
      <c r="I275" s="29">
        <v>0</v>
      </c>
      <c r="J275" s="29">
        <v>0</v>
      </c>
      <c r="K275" s="29" t="s">
        <v>882</v>
      </c>
      <c r="L275" s="19" t="str">
        <f t="shared" si="32"/>
        <v>Рихтовка</v>
      </c>
      <c r="M275" s="12">
        <f t="shared" si="33"/>
        <v>0</v>
      </c>
      <c r="N275" s="12">
        <f t="shared" si="34"/>
        <v>0</v>
      </c>
      <c r="O275" s="12">
        <f t="shared" si="35"/>
        <v>0</v>
      </c>
      <c r="P275" s="12">
        <f t="shared" si="36"/>
        <v>0</v>
      </c>
      <c r="Q275" s="12">
        <f t="shared" si="37"/>
        <v>0</v>
      </c>
      <c r="R275" s="12">
        <f t="shared" si="38"/>
        <v>0</v>
      </c>
      <c r="S275" s="12">
        <f t="shared" si="39"/>
        <v>0</v>
      </c>
      <c r="T275" s="29">
        <v>0</v>
      </c>
      <c r="U275" s="29">
        <v>0</v>
      </c>
      <c r="V275" s="29">
        <v>0</v>
      </c>
      <c r="W275" s="29">
        <v>0</v>
      </c>
      <c r="X275" s="29">
        <v>0</v>
      </c>
      <c r="Y275" s="29">
        <v>0</v>
      </c>
      <c r="Z275" s="29">
        <v>0</v>
      </c>
      <c r="AA275" s="29">
        <v>0</v>
      </c>
      <c r="AB275" s="29">
        <v>0</v>
      </c>
      <c r="AC275" s="29">
        <v>0</v>
      </c>
      <c r="AD275" s="29">
        <v>0</v>
      </c>
      <c r="AE275" s="29">
        <v>0</v>
      </c>
      <c r="AF275" s="29">
        <v>0</v>
      </c>
      <c r="AG275" s="29">
        <v>0</v>
      </c>
      <c r="AH275" s="29">
        <v>0</v>
      </c>
      <c r="AI275" s="29">
        <v>0</v>
      </c>
      <c r="AJ275" s="29">
        <v>0</v>
      </c>
      <c r="AK275" s="29">
        <v>0</v>
      </c>
      <c r="AL275" s="29">
        <v>0</v>
      </c>
      <c r="AM275" s="29">
        <v>0</v>
      </c>
      <c r="AN275" s="29">
        <v>0</v>
      </c>
      <c r="AO275" s="29">
        <v>0</v>
      </c>
      <c r="AP275" s="29">
        <v>0</v>
      </c>
    </row>
    <row r="276" spans="1:42" x14ac:dyDescent="0.25">
      <c r="A276" s="29">
        <v>16</v>
      </c>
      <c r="B276" s="29">
        <v>24606</v>
      </c>
      <c r="C276" s="29">
        <v>2</v>
      </c>
      <c r="D276" s="29" t="s">
        <v>683</v>
      </c>
      <c r="E276" s="29" t="s">
        <v>909</v>
      </c>
      <c r="F276" s="29">
        <v>1</v>
      </c>
      <c r="G276" s="29">
        <v>6</v>
      </c>
      <c r="H276" s="29">
        <v>1.687000036239624</v>
      </c>
      <c r="I276" s="29">
        <v>0</v>
      </c>
      <c r="J276" s="29">
        <v>8.6870002746582031</v>
      </c>
      <c r="K276" s="29">
        <v>57.900001525878906</v>
      </c>
      <c r="L276" s="19" t="str">
        <f t="shared" si="32"/>
        <v>Рихтовка</v>
      </c>
      <c r="M276" s="12">
        <f t="shared" si="33"/>
        <v>28</v>
      </c>
      <c r="N276" s="12">
        <f t="shared" si="34"/>
        <v>28</v>
      </c>
      <c r="O276" s="12">
        <f t="shared" si="35"/>
        <v>11</v>
      </c>
      <c r="P276" s="12">
        <f t="shared" si="36"/>
        <v>4</v>
      </c>
      <c r="Q276" s="12">
        <f t="shared" si="37"/>
        <v>9</v>
      </c>
      <c r="R276" s="12">
        <f t="shared" si="38"/>
        <v>24</v>
      </c>
      <c r="S276" s="12">
        <f t="shared" si="39"/>
        <v>7</v>
      </c>
      <c r="T276" s="29">
        <v>28</v>
      </c>
      <c r="U276" s="29">
        <v>0</v>
      </c>
      <c r="V276" s="29">
        <v>0</v>
      </c>
      <c r="W276" s="29">
        <v>11</v>
      </c>
      <c r="X276" s="29">
        <v>0</v>
      </c>
      <c r="Y276" s="29">
        <v>0</v>
      </c>
      <c r="Z276" s="29">
        <v>4</v>
      </c>
      <c r="AA276" s="29">
        <v>0</v>
      </c>
      <c r="AB276" s="29">
        <v>0</v>
      </c>
      <c r="AC276" s="29">
        <v>9</v>
      </c>
      <c r="AD276" s="29">
        <v>0</v>
      </c>
      <c r="AE276" s="29">
        <v>0</v>
      </c>
      <c r="AF276" s="29">
        <v>24</v>
      </c>
      <c r="AG276" s="29">
        <v>0</v>
      </c>
      <c r="AH276" s="29">
        <v>0</v>
      </c>
      <c r="AI276" s="29">
        <v>7</v>
      </c>
      <c r="AJ276" s="29">
        <v>0</v>
      </c>
      <c r="AK276" s="29">
        <v>0</v>
      </c>
      <c r="AL276" s="29">
        <v>83</v>
      </c>
      <c r="AM276" s="29">
        <v>0</v>
      </c>
      <c r="AN276" s="29">
        <v>0</v>
      </c>
      <c r="AO276" s="29">
        <v>0</v>
      </c>
      <c r="AP276" s="29">
        <v>0</v>
      </c>
    </row>
    <row r="277" spans="1:42" x14ac:dyDescent="0.25">
      <c r="A277" s="29">
        <v>16</v>
      </c>
      <c r="B277" s="29">
        <v>24606</v>
      </c>
      <c r="C277" s="29">
        <v>1</v>
      </c>
      <c r="D277" s="29" t="s">
        <v>683</v>
      </c>
      <c r="E277" s="29" t="s">
        <v>909</v>
      </c>
      <c r="F277" s="29">
        <v>5</v>
      </c>
      <c r="G277" s="29">
        <v>4</v>
      </c>
      <c r="H277" s="29">
        <v>0</v>
      </c>
      <c r="I277" s="29">
        <v>0</v>
      </c>
      <c r="J277" s="29">
        <v>9</v>
      </c>
      <c r="K277" s="29">
        <v>23.299999237060547</v>
      </c>
      <c r="L277" s="19" t="str">
        <f t="shared" si="32"/>
        <v>Рихтовка</v>
      </c>
      <c r="M277" s="12">
        <f t="shared" si="33"/>
        <v>20</v>
      </c>
      <c r="N277" s="12">
        <f t="shared" si="34"/>
        <v>20</v>
      </c>
      <c r="O277" s="12">
        <f t="shared" si="35"/>
        <v>4</v>
      </c>
      <c r="P277" s="12">
        <f t="shared" si="36"/>
        <v>0</v>
      </c>
      <c r="Q277" s="12">
        <f t="shared" si="37"/>
        <v>3</v>
      </c>
      <c r="R277" s="12">
        <f t="shared" si="38"/>
        <v>14</v>
      </c>
      <c r="S277" s="12">
        <f t="shared" si="39"/>
        <v>4</v>
      </c>
      <c r="T277" s="29">
        <v>20</v>
      </c>
      <c r="U277" s="29">
        <v>0</v>
      </c>
      <c r="V277" s="29">
        <v>0</v>
      </c>
      <c r="W277" s="29">
        <v>4</v>
      </c>
      <c r="X277" s="29">
        <v>0</v>
      </c>
      <c r="Y277" s="29">
        <v>0</v>
      </c>
      <c r="Z277" s="29">
        <v>0</v>
      </c>
      <c r="AA277" s="29">
        <v>0</v>
      </c>
      <c r="AB277" s="29">
        <v>0</v>
      </c>
      <c r="AC277" s="29">
        <v>3</v>
      </c>
      <c r="AD277" s="29">
        <v>0</v>
      </c>
      <c r="AE277" s="29">
        <v>0</v>
      </c>
      <c r="AF277" s="29">
        <v>14</v>
      </c>
      <c r="AG277" s="29">
        <v>0</v>
      </c>
      <c r="AH277" s="29">
        <v>0</v>
      </c>
      <c r="AI277" s="29">
        <v>4</v>
      </c>
      <c r="AJ277" s="29">
        <v>0</v>
      </c>
      <c r="AK277" s="29">
        <v>0</v>
      </c>
      <c r="AL277" s="29">
        <v>45</v>
      </c>
      <c r="AM277" s="29">
        <v>0</v>
      </c>
      <c r="AN277" s="29">
        <v>0</v>
      </c>
      <c r="AO277" s="29">
        <v>0</v>
      </c>
      <c r="AP277" s="29">
        <v>0</v>
      </c>
    </row>
    <row r="278" spans="1:42" x14ac:dyDescent="0.25">
      <c r="A278" s="29">
        <v>16</v>
      </c>
      <c r="B278" s="29">
        <v>24606</v>
      </c>
      <c r="C278" s="29">
        <v>1</v>
      </c>
      <c r="D278" s="29" t="s">
        <v>953</v>
      </c>
      <c r="E278" s="29">
        <v>13</v>
      </c>
      <c r="F278" s="29">
        <v>2</v>
      </c>
      <c r="G278" s="29">
        <v>8</v>
      </c>
      <c r="H278" s="29">
        <v>0</v>
      </c>
      <c r="I278" s="29">
        <v>0</v>
      </c>
      <c r="J278" s="29">
        <v>10</v>
      </c>
      <c r="K278" s="29">
        <v>34</v>
      </c>
      <c r="L278" s="19" t="str">
        <f t="shared" si="32"/>
        <v>Перекос</v>
      </c>
      <c r="M278" s="12">
        <f t="shared" si="33"/>
        <v>27</v>
      </c>
      <c r="N278" s="12">
        <f t="shared" si="34"/>
        <v>7</v>
      </c>
      <c r="O278" s="12">
        <f t="shared" si="35"/>
        <v>9</v>
      </c>
      <c r="P278" s="12">
        <f t="shared" si="36"/>
        <v>0</v>
      </c>
      <c r="Q278" s="12">
        <f t="shared" si="37"/>
        <v>12</v>
      </c>
      <c r="R278" s="12">
        <f t="shared" si="38"/>
        <v>27</v>
      </c>
      <c r="S278" s="12">
        <f t="shared" si="39"/>
        <v>14</v>
      </c>
      <c r="T278" s="29">
        <v>7</v>
      </c>
      <c r="U278" s="29">
        <v>0</v>
      </c>
      <c r="V278" s="29">
        <v>0</v>
      </c>
      <c r="W278" s="29">
        <v>9</v>
      </c>
      <c r="X278" s="29">
        <v>0</v>
      </c>
      <c r="Y278" s="29">
        <v>0</v>
      </c>
      <c r="Z278" s="29">
        <v>0</v>
      </c>
      <c r="AA278" s="29">
        <v>0</v>
      </c>
      <c r="AB278" s="29">
        <v>0</v>
      </c>
      <c r="AC278" s="29">
        <v>12</v>
      </c>
      <c r="AD278" s="29">
        <v>0</v>
      </c>
      <c r="AE278" s="29">
        <v>0</v>
      </c>
      <c r="AF278" s="29">
        <v>27</v>
      </c>
      <c r="AG278" s="29">
        <v>0</v>
      </c>
      <c r="AH278" s="29">
        <v>0</v>
      </c>
      <c r="AI278" s="29">
        <v>14</v>
      </c>
      <c r="AJ278" s="29">
        <v>0</v>
      </c>
      <c r="AK278" s="29">
        <v>0</v>
      </c>
      <c r="AL278" s="29">
        <v>69</v>
      </c>
      <c r="AM278" s="29">
        <v>0</v>
      </c>
      <c r="AN278" s="29">
        <v>0</v>
      </c>
      <c r="AO278" s="29">
        <v>0</v>
      </c>
      <c r="AP278" s="29">
        <v>0</v>
      </c>
    </row>
    <row r="279" spans="1:42" x14ac:dyDescent="0.25">
      <c r="A279" s="29">
        <v>16</v>
      </c>
      <c r="B279" s="29">
        <v>24606</v>
      </c>
      <c r="C279" s="29">
        <v>1</v>
      </c>
      <c r="D279" s="29" t="s">
        <v>684</v>
      </c>
      <c r="E279" s="29" t="s">
        <v>890</v>
      </c>
      <c r="F279" s="29">
        <v>1</v>
      </c>
      <c r="G279" s="29">
        <v>4</v>
      </c>
      <c r="H279" s="29">
        <v>5</v>
      </c>
      <c r="I279" s="29">
        <v>0</v>
      </c>
      <c r="J279" s="29">
        <v>10</v>
      </c>
      <c r="K279" s="29">
        <v>92</v>
      </c>
      <c r="L279" s="19" t="str">
        <f t="shared" si="32"/>
        <v>Уширение</v>
      </c>
      <c r="M279" s="12">
        <f t="shared" si="33"/>
        <v>315</v>
      </c>
      <c r="N279" s="12">
        <f t="shared" si="34"/>
        <v>16</v>
      </c>
      <c r="O279" s="12">
        <f t="shared" si="35"/>
        <v>315</v>
      </c>
      <c r="P279" s="12">
        <f t="shared" si="36"/>
        <v>0</v>
      </c>
      <c r="Q279" s="12">
        <f t="shared" si="37"/>
        <v>16</v>
      </c>
      <c r="R279" s="12">
        <f t="shared" si="38"/>
        <v>35</v>
      </c>
      <c r="S279" s="12">
        <f t="shared" si="39"/>
        <v>18</v>
      </c>
      <c r="T279" s="29">
        <v>16</v>
      </c>
      <c r="U279" s="29">
        <v>0</v>
      </c>
      <c r="V279" s="29">
        <v>0</v>
      </c>
      <c r="W279" s="29">
        <v>315</v>
      </c>
      <c r="X279" s="29">
        <v>0</v>
      </c>
      <c r="Y279" s="29">
        <v>0</v>
      </c>
      <c r="Z279" s="29">
        <v>0</v>
      </c>
      <c r="AA279" s="29">
        <v>0</v>
      </c>
      <c r="AB279" s="29">
        <v>0</v>
      </c>
      <c r="AC279" s="29">
        <v>15</v>
      </c>
      <c r="AD279" s="29">
        <v>1</v>
      </c>
      <c r="AE279" s="29">
        <v>0</v>
      </c>
      <c r="AF279" s="29">
        <v>34</v>
      </c>
      <c r="AG279" s="29">
        <v>1</v>
      </c>
      <c r="AH279" s="29">
        <v>0</v>
      </c>
      <c r="AI279" s="29">
        <v>18</v>
      </c>
      <c r="AJ279" s="29">
        <v>0</v>
      </c>
      <c r="AK279" s="29">
        <v>0</v>
      </c>
      <c r="AL279" s="29">
        <v>398</v>
      </c>
      <c r="AM279" s="29">
        <v>2</v>
      </c>
      <c r="AN279" s="29">
        <v>0</v>
      </c>
      <c r="AO279" s="29">
        <v>0</v>
      </c>
      <c r="AP279" s="29">
        <v>0</v>
      </c>
    </row>
    <row r="280" spans="1:42" x14ac:dyDescent="0.25">
      <c r="A280" s="29">
        <v>16</v>
      </c>
      <c r="B280" s="29">
        <v>24606</v>
      </c>
      <c r="C280" s="29">
        <v>1</v>
      </c>
      <c r="D280" s="29" t="s">
        <v>685</v>
      </c>
      <c r="E280" s="29">
        <v>14</v>
      </c>
      <c r="F280" s="29">
        <v>8</v>
      </c>
      <c r="G280" s="29">
        <v>4</v>
      </c>
      <c r="H280" s="29">
        <v>0</v>
      </c>
      <c r="I280" s="29">
        <v>0</v>
      </c>
      <c r="J280" s="29">
        <v>12</v>
      </c>
      <c r="K280" s="29">
        <v>20</v>
      </c>
      <c r="L280" s="19" t="str">
        <f t="shared" si="32"/>
        <v>Перекос</v>
      </c>
      <c r="M280" s="12">
        <f t="shared" si="33"/>
        <v>22</v>
      </c>
      <c r="N280" s="12">
        <f t="shared" si="34"/>
        <v>4</v>
      </c>
      <c r="O280" s="12">
        <f t="shared" si="35"/>
        <v>5</v>
      </c>
      <c r="P280" s="12">
        <f t="shared" si="36"/>
        <v>0</v>
      </c>
      <c r="Q280" s="12">
        <f t="shared" si="37"/>
        <v>20</v>
      </c>
      <c r="R280" s="12">
        <f t="shared" si="38"/>
        <v>22</v>
      </c>
      <c r="S280" s="12">
        <f t="shared" si="39"/>
        <v>8</v>
      </c>
      <c r="T280" s="29">
        <v>4</v>
      </c>
      <c r="U280" s="29">
        <v>0</v>
      </c>
      <c r="V280" s="29">
        <v>0</v>
      </c>
      <c r="W280" s="29">
        <v>5</v>
      </c>
      <c r="X280" s="29">
        <v>0</v>
      </c>
      <c r="Y280" s="29">
        <v>0</v>
      </c>
      <c r="Z280" s="29">
        <v>0</v>
      </c>
      <c r="AA280" s="29">
        <v>0</v>
      </c>
      <c r="AB280" s="29">
        <v>0</v>
      </c>
      <c r="AC280" s="29">
        <v>20</v>
      </c>
      <c r="AD280" s="29">
        <v>0</v>
      </c>
      <c r="AE280" s="29">
        <v>0</v>
      </c>
      <c r="AF280" s="29">
        <v>22</v>
      </c>
      <c r="AG280" s="29">
        <v>0</v>
      </c>
      <c r="AH280" s="29">
        <v>0</v>
      </c>
      <c r="AI280" s="29">
        <v>8</v>
      </c>
      <c r="AJ280" s="29">
        <v>0</v>
      </c>
      <c r="AK280" s="29">
        <v>0</v>
      </c>
      <c r="AL280" s="29">
        <v>59</v>
      </c>
      <c r="AM280" s="29">
        <v>0</v>
      </c>
      <c r="AN280" s="29">
        <v>0</v>
      </c>
      <c r="AO280" s="29">
        <v>0</v>
      </c>
      <c r="AP280" s="29">
        <v>0</v>
      </c>
    </row>
    <row r="281" spans="1:42" x14ac:dyDescent="0.25">
      <c r="A281" s="29">
        <v>16</v>
      </c>
      <c r="B281" s="29">
        <v>24606</v>
      </c>
      <c r="C281" s="29">
        <v>1</v>
      </c>
      <c r="D281" s="29" t="s">
        <v>686</v>
      </c>
      <c r="E281" s="29" t="s">
        <v>910</v>
      </c>
      <c r="F281" s="29">
        <v>3</v>
      </c>
      <c r="G281" s="29">
        <v>7</v>
      </c>
      <c r="H281" s="29">
        <v>1</v>
      </c>
      <c r="I281" s="29">
        <v>0</v>
      </c>
      <c r="J281" s="29">
        <v>11</v>
      </c>
      <c r="K281" s="29">
        <v>41.799999237060547</v>
      </c>
      <c r="L281" s="19" t="str">
        <f t="shared" si="32"/>
        <v>Рихтовка</v>
      </c>
      <c r="M281" s="12">
        <f t="shared" si="33"/>
        <v>26</v>
      </c>
      <c r="N281" s="12">
        <f t="shared" si="34"/>
        <v>26</v>
      </c>
      <c r="O281" s="12">
        <f t="shared" si="35"/>
        <v>4</v>
      </c>
      <c r="P281" s="12">
        <f t="shared" si="36"/>
        <v>0</v>
      </c>
      <c r="Q281" s="12">
        <f t="shared" si="37"/>
        <v>11</v>
      </c>
      <c r="R281" s="12">
        <f t="shared" si="38"/>
        <v>21</v>
      </c>
      <c r="S281" s="12">
        <f t="shared" si="39"/>
        <v>11</v>
      </c>
      <c r="T281" s="29">
        <v>25</v>
      </c>
      <c r="U281" s="29">
        <v>1</v>
      </c>
      <c r="V281" s="29">
        <v>0</v>
      </c>
      <c r="W281" s="29">
        <v>4</v>
      </c>
      <c r="X281" s="29">
        <v>0</v>
      </c>
      <c r="Y281" s="29">
        <v>0</v>
      </c>
      <c r="Z281" s="29">
        <v>0</v>
      </c>
      <c r="AA281" s="29">
        <v>0</v>
      </c>
      <c r="AB281" s="29">
        <v>0</v>
      </c>
      <c r="AC281" s="29">
        <v>11</v>
      </c>
      <c r="AD281" s="29">
        <v>0</v>
      </c>
      <c r="AE281" s="29">
        <v>0</v>
      </c>
      <c r="AF281" s="29">
        <v>21</v>
      </c>
      <c r="AG281" s="29">
        <v>0</v>
      </c>
      <c r="AH281" s="29">
        <v>0</v>
      </c>
      <c r="AI281" s="29">
        <v>11</v>
      </c>
      <c r="AJ281" s="29">
        <v>0</v>
      </c>
      <c r="AK281" s="29">
        <v>0</v>
      </c>
      <c r="AL281" s="29">
        <v>72</v>
      </c>
      <c r="AM281" s="29">
        <v>1</v>
      </c>
      <c r="AN281" s="29">
        <v>0</v>
      </c>
      <c r="AO281" s="29">
        <v>0</v>
      </c>
      <c r="AP281" s="29">
        <v>0</v>
      </c>
    </row>
    <row r="282" spans="1:42" x14ac:dyDescent="0.25">
      <c r="A282" s="29">
        <v>16</v>
      </c>
      <c r="B282" s="29">
        <v>24606</v>
      </c>
      <c r="C282" s="29">
        <v>1</v>
      </c>
      <c r="D282" s="29" t="s">
        <v>687</v>
      </c>
      <c r="E282" s="29">
        <v>15</v>
      </c>
      <c r="F282" s="29">
        <v>2</v>
      </c>
      <c r="G282" s="29">
        <v>5</v>
      </c>
      <c r="H282" s="29">
        <v>4</v>
      </c>
      <c r="I282" s="29">
        <v>0</v>
      </c>
      <c r="J282" s="29">
        <v>11</v>
      </c>
      <c r="K282" s="29">
        <v>74.5</v>
      </c>
      <c r="L282" s="19" t="str">
        <f t="shared" si="32"/>
        <v>Уширение</v>
      </c>
      <c r="M282" s="12">
        <f t="shared" si="33"/>
        <v>86</v>
      </c>
      <c r="N282" s="12">
        <f t="shared" si="34"/>
        <v>17</v>
      </c>
      <c r="O282" s="12">
        <f t="shared" si="35"/>
        <v>86</v>
      </c>
      <c r="P282" s="12">
        <f t="shared" si="36"/>
        <v>0</v>
      </c>
      <c r="Q282" s="12">
        <f t="shared" si="37"/>
        <v>17</v>
      </c>
      <c r="R282" s="12">
        <f t="shared" si="38"/>
        <v>27</v>
      </c>
      <c r="S282" s="12">
        <f t="shared" si="39"/>
        <v>3</v>
      </c>
      <c r="T282" s="29">
        <v>17</v>
      </c>
      <c r="U282" s="29">
        <v>0</v>
      </c>
      <c r="V282" s="29">
        <v>0</v>
      </c>
      <c r="W282" s="29">
        <v>86</v>
      </c>
      <c r="X282" s="29">
        <v>0</v>
      </c>
      <c r="Y282" s="29">
        <v>0</v>
      </c>
      <c r="Z282" s="29">
        <v>0</v>
      </c>
      <c r="AA282" s="29">
        <v>0</v>
      </c>
      <c r="AB282" s="29">
        <v>0</v>
      </c>
      <c r="AC282" s="29">
        <v>17</v>
      </c>
      <c r="AD282" s="29">
        <v>0</v>
      </c>
      <c r="AE282" s="29">
        <v>0</v>
      </c>
      <c r="AF282" s="29">
        <v>26</v>
      </c>
      <c r="AG282" s="29">
        <v>1</v>
      </c>
      <c r="AH282" s="29">
        <v>0</v>
      </c>
      <c r="AI282" s="29">
        <v>3</v>
      </c>
      <c r="AJ282" s="29">
        <v>0</v>
      </c>
      <c r="AK282" s="29">
        <v>0</v>
      </c>
      <c r="AL282" s="29">
        <v>149</v>
      </c>
      <c r="AM282" s="29">
        <v>1</v>
      </c>
      <c r="AN282" s="29">
        <v>0</v>
      </c>
      <c r="AO282" s="29">
        <v>0</v>
      </c>
      <c r="AP282" s="29">
        <v>0</v>
      </c>
    </row>
    <row r="283" spans="1:42" x14ac:dyDescent="0.25">
      <c r="A283" s="29">
        <v>16</v>
      </c>
      <c r="B283" s="29">
        <v>24606</v>
      </c>
      <c r="C283" s="29">
        <v>1</v>
      </c>
      <c r="D283" s="29" t="s">
        <v>688</v>
      </c>
      <c r="E283" s="29">
        <v>15</v>
      </c>
      <c r="F283" s="29">
        <v>1</v>
      </c>
      <c r="G283" s="29">
        <v>6</v>
      </c>
      <c r="H283" s="29">
        <v>3</v>
      </c>
      <c r="I283" s="29">
        <v>0</v>
      </c>
      <c r="J283" s="29">
        <v>10</v>
      </c>
      <c r="K283" s="29">
        <v>70</v>
      </c>
      <c r="L283" s="19" t="str">
        <f t="shared" si="32"/>
        <v>Перекос</v>
      </c>
      <c r="M283" s="12">
        <f t="shared" si="33"/>
        <v>46</v>
      </c>
      <c r="N283" s="12">
        <f t="shared" si="34"/>
        <v>16</v>
      </c>
      <c r="O283" s="12">
        <f t="shared" si="35"/>
        <v>7</v>
      </c>
      <c r="P283" s="12">
        <f t="shared" si="36"/>
        <v>26</v>
      </c>
      <c r="Q283" s="12">
        <f t="shared" si="37"/>
        <v>15</v>
      </c>
      <c r="R283" s="12">
        <f t="shared" si="38"/>
        <v>46</v>
      </c>
      <c r="S283" s="12">
        <f t="shared" si="39"/>
        <v>17</v>
      </c>
      <c r="T283" s="29">
        <v>16</v>
      </c>
      <c r="U283" s="29">
        <v>0</v>
      </c>
      <c r="V283" s="29">
        <v>0</v>
      </c>
      <c r="W283" s="29">
        <v>7</v>
      </c>
      <c r="X283" s="29">
        <v>0</v>
      </c>
      <c r="Y283" s="29">
        <v>0</v>
      </c>
      <c r="Z283" s="29">
        <v>26</v>
      </c>
      <c r="AA283" s="29">
        <v>0</v>
      </c>
      <c r="AB283" s="29">
        <v>0</v>
      </c>
      <c r="AC283" s="29">
        <v>15</v>
      </c>
      <c r="AD283" s="29">
        <v>0</v>
      </c>
      <c r="AE283" s="29">
        <v>0</v>
      </c>
      <c r="AF283" s="29">
        <v>46</v>
      </c>
      <c r="AG283" s="29">
        <v>0</v>
      </c>
      <c r="AH283" s="29">
        <v>0</v>
      </c>
      <c r="AI283" s="29">
        <v>17</v>
      </c>
      <c r="AJ283" s="29">
        <v>0</v>
      </c>
      <c r="AK283" s="29">
        <v>0</v>
      </c>
      <c r="AL283" s="29">
        <v>127</v>
      </c>
      <c r="AM283" s="29">
        <v>0</v>
      </c>
      <c r="AN283" s="29">
        <v>0</v>
      </c>
      <c r="AO283" s="29">
        <v>0</v>
      </c>
      <c r="AP283" s="29">
        <v>0</v>
      </c>
    </row>
    <row r="284" spans="1:42" x14ac:dyDescent="0.25">
      <c r="A284" s="29">
        <v>16</v>
      </c>
      <c r="B284" s="29">
        <v>24606</v>
      </c>
      <c r="C284" s="29">
        <v>1</v>
      </c>
      <c r="D284" s="29" t="s">
        <v>689</v>
      </c>
      <c r="E284" s="29" t="s">
        <v>911</v>
      </c>
      <c r="F284" s="29">
        <v>0</v>
      </c>
      <c r="G284" s="29">
        <v>9</v>
      </c>
      <c r="H284" s="29">
        <v>0</v>
      </c>
      <c r="I284" s="29">
        <v>0</v>
      </c>
      <c r="J284" s="29">
        <v>9</v>
      </c>
      <c r="K284" s="29">
        <v>40</v>
      </c>
      <c r="L284" s="19" t="str">
        <f t="shared" si="32"/>
        <v>Уровень</v>
      </c>
      <c r="M284" s="12">
        <f t="shared" si="33"/>
        <v>37</v>
      </c>
      <c r="N284" s="12">
        <f t="shared" si="34"/>
        <v>14</v>
      </c>
      <c r="O284" s="12">
        <f t="shared" si="35"/>
        <v>5</v>
      </c>
      <c r="P284" s="12">
        <f t="shared" si="36"/>
        <v>4</v>
      </c>
      <c r="Q284" s="12">
        <f t="shared" si="37"/>
        <v>37</v>
      </c>
      <c r="R284" s="12">
        <f t="shared" si="38"/>
        <v>22</v>
      </c>
      <c r="S284" s="12">
        <f t="shared" si="39"/>
        <v>30</v>
      </c>
      <c r="T284" s="29">
        <v>14</v>
      </c>
      <c r="U284" s="29">
        <v>0</v>
      </c>
      <c r="V284" s="29">
        <v>0</v>
      </c>
      <c r="W284" s="29">
        <v>5</v>
      </c>
      <c r="X284" s="29">
        <v>0</v>
      </c>
      <c r="Y284" s="29">
        <v>0</v>
      </c>
      <c r="Z284" s="29">
        <v>4</v>
      </c>
      <c r="AA284" s="29">
        <v>0</v>
      </c>
      <c r="AB284" s="29">
        <v>0</v>
      </c>
      <c r="AC284" s="29">
        <v>37</v>
      </c>
      <c r="AD284" s="29">
        <v>0</v>
      </c>
      <c r="AE284" s="29">
        <v>0</v>
      </c>
      <c r="AF284" s="29">
        <v>22</v>
      </c>
      <c r="AG284" s="29">
        <v>0</v>
      </c>
      <c r="AH284" s="29">
        <v>0</v>
      </c>
      <c r="AI284" s="29">
        <v>30</v>
      </c>
      <c r="AJ284" s="29">
        <v>0</v>
      </c>
      <c r="AK284" s="29">
        <v>0</v>
      </c>
      <c r="AL284" s="29">
        <v>112</v>
      </c>
      <c r="AM284" s="29">
        <v>0</v>
      </c>
      <c r="AN284" s="29">
        <v>0</v>
      </c>
      <c r="AO284" s="29">
        <v>0</v>
      </c>
      <c r="AP284" s="29">
        <v>0</v>
      </c>
    </row>
    <row r="285" spans="1:42" x14ac:dyDescent="0.25">
      <c r="A285" s="29">
        <v>16</v>
      </c>
      <c r="B285" s="29">
        <v>24606</v>
      </c>
      <c r="C285" s="29">
        <v>1</v>
      </c>
      <c r="D285" s="29" t="s">
        <v>690</v>
      </c>
      <c r="E285" s="29">
        <v>16</v>
      </c>
      <c r="F285" s="29">
        <v>4</v>
      </c>
      <c r="G285" s="29">
        <v>5</v>
      </c>
      <c r="H285" s="29">
        <v>1</v>
      </c>
      <c r="I285" s="29">
        <v>0</v>
      </c>
      <c r="J285" s="29">
        <v>10</v>
      </c>
      <c r="K285" s="29">
        <v>39</v>
      </c>
      <c r="L285" s="19" t="str">
        <f t="shared" si="32"/>
        <v>Перекос</v>
      </c>
      <c r="M285" s="12">
        <f t="shared" si="33"/>
        <v>39</v>
      </c>
      <c r="N285" s="12">
        <f t="shared" si="34"/>
        <v>28</v>
      </c>
      <c r="O285" s="12">
        <f t="shared" si="35"/>
        <v>11</v>
      </c>
      <c r="P285" s="12">
        <f t="shared" si="36"/>
        <v>0</v>
      </c>
      <c r="Q285" s="12">
        <f t="shared" si="37"/>
        <v>17</v>
      </c>
      <c r="R285" s="12">
        <f t="shared" si="38"/>
        <v>39</v>
      </c>
      <c r="S285" s="12">
        <f t="shared" si="39"/>
        <v>20</v>
      </c>
      <c r="T285" s="29">
        <v>28</v>
      </c>
      <c r="U285" s="29">
        <v>0</v>
      </c>
      <c r="V285" s="29">
        <v>0</v>
      </c>
      <c r="W285" s="29">
        <v>11</v>
      </c>
      <c r="X285" s="29">
        <v>0</v>
      </c>
      <c r="Y285" s="29">
        <v>0</v>
      </c>
      <c r="Z285" s="29">
        <v>0</v>
      </c>
      <c r="AA285" s="29">
        <v>0</v>
      </c>
      <c r="AB285" s="29">
        <v>0</v>
      </c>
      <c r="AC285" s="29">
        <v>17</v>
      </c>
      <c r="AD285" s="29">
        <v>0</v>
      </c>
      <c r="AE285" s="29">
        <v>0</v>
      </c>
      <c r="AF285" s="29">
        <v>39</v>
      </c>
      <c r="AG285" s="29">
        <v>0</v>
      </c>
      <c r="AH285" s="29">
        <v>0</v>
      </c>
      <c r="AI285" s="29">
        <v>20</v>
      </c>
      <c r="AJ285" s="29">
        <v>0</v>
      </c>
      <c r="AK285" s="29">
        <v>0</v>
      </c>
      <c r="AL285" s="29">
        <v>115</v>
      </c>
      <c r="AM285" s="29">
        <v>0</v>
      </c>
      <c r="AN285" s="29">
        <v>0</v>
      </c>
      <c r="AO285" s="29">
        <v>0</v>
      </c>
      <c r="AP285" s="29">
        <v>0</v>
      </c>
    </row>
    <row r="286" spans="1:42" x14ac:dyDescent="0.25">
      <c r="A286" s="29">
        <v>16</v>
      </c>
      <c r="B286" s="29">
        <v>24606</v>
      </c>
      <c r="C286" s="29">
        <v>2</v>
      </c>
      <c r="D286" s="29" t="s">
        <v>690</v>
      </c>
      <c r="E286" s="29">
        <v>16</v>
      </c>
      <c r="F286" s="29">
        <v>2</v>
      </c>
      <c r="G286" s="29">
        <v>9.0220003128051758</v>
      </c>
      <c r="H286" s="29">
        <v>1</v>
      </c>
      <c r="I286" s="29">
        <v>0</v>
      </c>
      <c r="J286" s="29">
        <v>12.022000312805176</v>
      </c>
      <c r="K286" s="29">
        <v>44.200000762939453</v>
      </c>
      <c r="L286" s="19" t="str">
        <f t="shared" si="32"/>
        <v>Перекос</v>
      </c>
      <c r="M286" s="12">
        <f t="shared" si="33"/>
        <v>38</v>
      </c>
      <c r="N286" s="12">
        <f t="shared" si="34"/>
        <v>23</v>
      </c>
      <c r="O286" s="12">
        <f t="shared" si="35"/>
        <v>9</v>
      </c>
      <c r="P286" s="12">
        <f t="shared" si="36"/>
        <v>3</v>
      </c>
      <c r="Q286" s="12">
        <f t="shared" si="37"/>
        <v>23</v>
      </c>
      <c r="R286" s="12">
        <f t="shared" si="38"/>
        <v>38</v>
      </c>
      <c r="S286" s="12">
        <f t="shared" si="39"/>
        <v>33</v>
      </c>
      <c r="T286" s="29">
        <v>23</v>
      </c>
      <c r="U286" s="29">
        <v>0</v>
      </c>
      <c r="V286" s="29">
        <v>0</v>
      </c>
      <c r="W286" s="29">
        <v>9</v>
      </c>
      <c r="X286" s="29">
        <v>0</v>
      </c>
      <c r="Y286" s="29">
        <v>0</v>
      </c>
      <c r="Z286" s="29">
        <v>3</v>
      </c>
      <c r="AA286" s="29">
        <v>0</v>
      </c>
      <c r="AB286" s="29">
        <v>0</v>
      </c>
      <c r="AC286" s="29">
        <v>23</v>
      </c>
      <c r="AD286" s="29">
        <v>0</v>
      </c>
      <c r="AE286" s="29">
        <v>0</v>
      </c>
      <c r="AF286" s="29">
        <v>37</v>
      </c>
      <c r="AG286" s="29">
        <v>1</v>
      </c>
      <c r="AH286" s="29">
        <v>0</v>
      </c>
      <c r="AI286" s="29">
        <v>33</v>
      </c>
      <c r="AJ286" s="29">
        <v>0</v>
      </c>
      <c r="AK286" s="29">
        <v>0</v>
      </c>
      <c r="AL286" s="29">
        <v>128</v>
      </c>
      <c r="AM286" s="29">
        <v>1</v>
      </c>
      <c r="AN286" s="29">
        <v>0</v>
      </c>
      <c r="AO286" s="29">
        <v>0</v>
      </c>
      <c r="AP286" s="29">
        <v>0</v>
      </c>
    </row>
    <row r="287" spans="1:42" x14ac:dyDescent="0.25">
      <c r="A287" s="29">
        <v>16</v>
      </c>
      <c r="B287" s="29">
        <v>24606</v>
      </c>
      <c r="C287" s="29">
        <v>1</v>
      </c>
      <c r="D287" s="29" t="s">
        <v>691</v>
      </c>
      <c r="E287" s="29">
        <v>16</v>
      </c>
      <c r="F287" s="29">
        <v>0</v>
      </c>
      <c r="G287" s="29">
        <v>1</v>
      </c>
      <c r="H287" s="29">
        <v>1</v>
      </c>
      <c r="I287" s="29">
        <v>0</v>
      </c>
      <c r="J287" s="29">
        <v>2</v>
      </c>
      <c r="K287" s="29">
        <v>95</v>
      </c>
      <c r="L287" s="19" t="str">
        <f t="shared" si="32"/>
        <v>Уровень</v>
      </c>
      <c r="M287" s="12">
        <f t="shared" si="33"/>
        <v>7</v>
      </c>
      <c r="N287" s="12">
        <f t="shared" si="34"/>
        <v>5</v>
      </c>
      <c r="O287" s="12">
        <f t="shared" si="35"/>
        <v>3</v>
      </c>
      <c r="P287" s="12">
        <f t="shared" si="36"/>
        <v>0</v>
      </c>
      <c r="Q287" s="12">
        <f t="shared" si="37"/>
        <v>7</v>
      </c>
      <c r="R287" s="12">
        <f t="shared" si="38"/>
        <v>4</v>
      </c>
      <c r="S287" s="12">
        <f t="shared" si="39"/>
        <v>2</v>
      </c>
      <c r="T287" s="29">
        <v>5</v>
      </c>
      <c r="U287" s="29">
        <v>0</v>
      </c>
      <c r="V287" s="29">
        <v>0</v>
      </c>
      <c r="W287" s="29">
        <v>3</v>
      </c>
      <c r="X287" s="29">
        <v>0</v>
      </c>
      <c r="Y287" s="29">
        <v>0</v>
      </c>
      <c r="Z287" s="29">
        <v>0</v>
      </c>
      <c r="AA287" s="29">
        <v>0</v>
      </c>
      <c r="AB287" s="29">
        <v>0</v>
      </c>
      <c r="AC287" s="29">
        <v>7</v>
      </c>
      <c r="AD287" s="29">
        <v>0</v>
      </c>
      <c r="AE287" s="29">
        <v>0</v>
      </c>
      <c r="AF287" s="29">
        <v>4</v>
      </c>
      <c r="AG287" s="29">
        <v>0</v>
      </c>
      <c r="AH287" s="29">
        <v>0</v>
      </c>
      <c r="AI287" s="29">
        <v>2</v>
      </c>
      <c r="AJ287" s="29">
        <v>0</v>
      </c>
      <c r="AK287" s="29">
        <v>0</v>
      </c>
      <c r="AL287" s="29">
        <v>21</v>
      </c>
      <c r="AM287" s="29">
        <v>0</v>
      </c>
      <c r="AN287" s="29">
        <v>0</v>
      </c>
      <c r="AO287" s="29">
        <v>0</v>
      </c>
      <c r="AP287" s="29">
        <v>0</v>
      </c>
    </row>
    <row r="288" spans="1:42" x14ac:dyDescent="0.25">
      <c r="A288" s="29">
        <v>18</v>
      </c>
      <c r="B288" s="29">
        <v>24606</v>
      </c>
      <c r="C288" s="29">
        <v>1</v>
      </c>
      <c r="D288" s="29" t="s">
        <v>691</v>
      </c>
      <c r="E288" s="29">
        <v>1</v>
      </c>
      <c r="F288" s="29">
        <v>4</v>
      </c>
      <c r="G288" s="29">
        <v>2</v>
      </c>
      <c r="H288" s="29">
        <v>2</v>
      </c>
      <c r="I288" s="29">
        <v>0</v>
      </c>
      <c r="J288" s="29">
        <v>8</v>
      </c>
      <c r="K288" s="29">
        <v>52.5</v>
      </c>
      <c r="L288" s="19" t="str">
        <f t="shared" si="32"/>
        <v>Сужение</v>
      </c>
      <c r="M288" s="12">
        <f t="shared" si="33"/>
        <v>96</v>
      </c>
      <c r="N288" s="12">
        <f t="shared" si="34"/>
        <v>22</v>
      </c>
      <c r="O288" s="12">
        <f t="shared" si="35"/>
        <v>1</v>
      </c>
      <c r="P288" s="12">
        <f t="shared" si="36"/>
        <v>96</v>
      </c>
      <c r="Q288" s="12">
        <f t="shared" si="37"/>
        <v>5</v>
      </c>
      <c r="R288" s="12">
        <f t="shared" si="38"/>
        <v>18</v>
      </c>
      <c r="S288" s="12">
        <f t="shared" si="39"/>
        <v>3</v>
      </c>
      <c r="T288" s="29">
        <v>22</v>
      </c>
      <c r="U288" s="29">
        <v>0</v>
      </c>
      <c r="V288" s="29">
        <v>0</v>
      </c>
      <c r="W288" s="29">
        <v>1</v>
      </c>
      <c r="X288" s="29">
        <v>0</v>
      </c>
      <c r="Y288" s="29">
        <v>0</v>
      </c>
      <c r="Z288" s="29">
        <v>96</v>
      </c>
      <c r="AA288" s="29">
        <v>0</v>
      </c>
      <c r="AB288" s="29">
        <v>0</v>
      </c>
      <c r="AC288" s="29">
        <v>5</v>
      </c>
      <c r="AD288" s="29">
        <v>0</v>
      </c>
      <c r="AE288" s="29">
        <v>0</v>
      </c>
      <c r="AF288" s="29">
        <v>18</v>
      </c>
      <c r="AG288" s="29">
        <v>0</v>
      </c>
      <c r="AH288" s="29">
        <v>0</v>
      </c>
      <c r="AI288" s="29">
        <v>3</v>
      </c>
      <c r="AJ288" s="29">
        <v>0</v>
      </c>
      <c r="AK288" s="29">
        <v>0</v>
      </c>
      <c r="AL288" s="29">
        <v>145</v>
      </c>
      <c r="AM288" s="29">
        <v>0</v>
      </c>
      <c r="AN288" s="29">
        <v>0</v>
      </c>
      <c r="AO288" s="29">
        <v>0</v>
      </c>
      <c r="AP288" s="29">
        <v>0</v>
      </c>
    </row>
    <row r="289" spans="1:42" x14ac:dyDescent="0.25">
      <c r="A289" s="29">
        <v>18</v>
      </c>
      <c r="B289" s="29">
        <v>24606</v>
      </c>
      <c r="C289" s="29">
        <v>1</v>
      </c>
      <c r="D289" s="29" t="s">
        <v>692</v>
      </c>
      <c r="E289" s="29">
        <v>1</v>
      </c>
      <c r="F289" s="29">
        <v>4</v>
      </c>
      <c r="G289" s="29">
        <v>4</v>
      </c>
      <c r="H289" s="29">
        <v>0</v>
      </c>
      <c r="I289" s="29">
        <v>0</v>
      </c>
      <c r="J289" s="29">
        <v>8</v>
      </c>
      <c r="K289" s="29">
        <v>25</v>
      </c>
      <c r="L289" s="19" t="str">
        <f t="shared" si="32"/>
        <v>Перекос</v>
      </c>
      <c r="M289" s="12">
        <f t="shared" si="33"/>
        <v>15</v>
      </c>
      <c r="N289" s="12">
        <f t="shared" si="34"/>
        <v>6</v>
      </c>
      <c r="O289" s="12">
        <f t="shared" si="35"/>
        <v>1</v>
      </c>
      <c r="P289" s="12">
        <f t="shared" si="36"/>
        <v>2</v>
      </c>
      <c r="Q289" s="12">
        <f t="shared" si="37"/>
        <v>12</v>
      </c>
      <c r="R289" s="12">
        <f t="shared" si="38"/>
        <v>15</v>
      </c>
      <c r="S289" s="12">
        <f t="shared" si="39"/>
        <v>8</v>
      </c>
      <c r="T289" s="29">
        <v>6</v>
      </c>
      <c r="U289" s="29">
        <v>0</v>
      </c>
      <c r="V289" s="29">
        <v>0</v>
      </c>
      <c r="W289" s="29">
        <v>1</v>
      </c>
      <c r="X289" s="29">
        <v>0</v>
      </c>
      <c r="Y289" s="29">
        <v>0</v>
      </c>
      <c r="Z289" s="29">
        <v>2</v>
      </c>
      <c r="AA289" s="29">
        <v>0</v>
      </c>
      <c r="AB289" s="29">
        <v>0</v>
      </c>
      <c r="AC289" s="29">
        <v>12</v>
      </c>
      <c r="AD289" s="29">
        <v>0</v>
      </c>
      <c r="AE289" s="29">
        <v>0</v>
      </c>
      <c r="AF289" s="29">
        <v>15</v>
      </c>
      <c r="AG289" s="29">
        <v>0</v>
      </c>
      <c r="AH289" s="29">
        <v>0</v>
      </c>
      <c r="AI289" s="29">
        <v>8</v>
      </c>
      <c r="AJ289" s="29">
        <v>0</v>
      </c>
      <c r="AK289" s="29">
        <v>0</v>
      </c>
      <c r="AL289" s="29">
        <v>44</v>
      </c>
      <c r="AM289" s="29">
        <v>0</v>
      </c>
      <c r="AN289" s="29">
        <v>0</v>
      </c>
      <c r="AO289" s="29">
        <v>0</v>
      </c>
      <c r="AP289" s="29">
        <v>0</v>
      </c>
    </row>
    <row r="290" spans="1:42" x14ac:dyDescent="0.25">
      <c r="A290" s="29">
        <v>18</v>
      </c>
      <c r="B290" s="29">
        <v>24606</v>
      </c>
      <c r="C290" s="29">
        <v>1</v>
      </c>
      <c r="D290" s="29" t="s">
        <v>693</v>
      </c>
      <c r="E290" s="29">
        <v>1</v>
      </c>
      <c r="F290" s="29">
        <v>6</v>
      </c>
      <c r="G290" s="29">
        <v>4</v>
      </c>
      <c r="H290" s="29">
        <v>2</v>
      </c>
      <c r="I290" s="29">
        <v>0</v>
      </c>
      <c r="J290" s="29">
        <v>12</v>
      </c>
      <c r="K290" s="29">
        <v>43.299999237060547</v>
      </c>
      <c r="L290" s="19" t="str">
        <f t="shared" si="32"/>
        <v>Рихтовка</v>
      </c>
      <c r="M290" s="12">
        <f t="shared" si="33"/>
        <v>25</v>
      </c>
      <c r="N290" s="12">
        <f t="shared" si="34"/>
        <v>25</v>
      </c>
      <c r="O290" s="12">
        <f t="shared" si="35"/>
        <v>5</v>
      </c>
      <c r="P290" s="12">
        <f t="shared" si="36"/>
        <v>11</v>
      </c>
      <c r="Q290" s="12">
        <f t="shared" si="37"/>
        <v>8</v>
      </c>
      <c r="R290" s="12">
        <f t="shared" si="38"/>
        <v>19</v>
      </c>
      <c r="S290" s="12">
        <f t="shared" si="39"/>
        <v>12</v>
      </c>
      <c r="T290" s="29">
        <v>25</v>
      </c>
      <c r="U290" s="29">
        <v>0</v>
      </c>
      <c r="V290" s="29">
        <v>0</v>
      </c>
      <c r="W290" s="29">
        <v>5</v>
      </c>
      <c r="X290" s="29">
        <v>0</v>
      </c>
      <c r="Y290" s="29">
        <v>0</v>
      </c>
      <c r="Z290" s="29">
        <v>11</v>
      </c>
      <c r="AA290" s="29">
        <v>0</v>
      </c>
      <c r="AB290" s="29">
        <v>0</v>
      </c>
      <c r="AC290" s="29">
        <v>8</v>
      </c>
      <c r="AD290" s="29">
        <v>0</v>
      </c>
      <c r="AE290" s="29">
        <v>0</v>
      </c>
      <c r="AF290" s="29">
        <v>19</v>
      </c>
      <c r="AG290" s="29">
        <v>0</v>
      </c>
      <c r="AH290" s="29">
        <v>0</v>
      </c>
      <c r="AI290" s="29">
        <v>12</v>
      </c>
      <c r="AJ290" s="29">
        <v>0</v>
      </c>
      <c r="AK290" s="29">
        <v>0</v>
      </c>
      <c r="AL290" s="29">
        <v>80</v>
      </c>
      <c r="AM290" s="29">
        <v>0</v>
      </c>
      <c r="AN290" s="29">
        <v>0</v>
      </c>
      <c r="AO290" s="29">
        <v>0</v>
      </c>
      <c r="AP290" s="29">
        <v>0</v>
      </c>
    </row>
    <row r="291" spans="1:42" x14ac:dyDescent="0.25">
      <c r="A291" s="29">
        <v>18</v>
      </c>
      <c r="B291" s="29">
        <v>24606</v>
      </c>
      <c r="C291" s="29">
        <v>1</v>
      </c>
      <c r="D291" s="29" t="s">
        <v>694</v>
      </c>
      <c r="E291" s="29" t="s">
        <v>881</v>
      </c>
      <c r="F291" s="29">
        <v>7</v>
      </c>
      <c r="G291" s="29">
        <v>0</v>
      </c>
      <c r="H291" s="29">
        <v>0</v>
      </c>
      <c r="I291" s="29">
        <v>0</v>
      </c>
      <c r="J291" s="29">
        <v>7</v>
      </c>
      <c r="K291" s="29">
        <v>10</v>
      </c>
      <c r="L291" s="19" t="str">
        <f t="shared" si="32"/>
        <v>Перекос</v>
      </c>
      <c r="M291" s="12">
        <f t="shared" si="33"/>
        <v>7</v>
      </c>
      <c r="N291" s="12">
        <f t="shared" si="34"/>
        <v>5</v>
      </c>
      <c r="O291" s="12">
        <f t="shared" si="35"/>
        <v>0</v>
      </c>
      <c r="P291" s="12">
        <f t="shared" si="36"/>
        <v>0</v>
      </c>
      <c r="Q291" s="12">
        <f t="shared" si="37"/>
        <v>6</v>
      </c>
      <c r="R291" s="12">
        <f t="shared" si="38"/>
        <v>7</v>
      </c>
      <c r="S291" s="12">
        <f t="shared" si="39"/>
        <v>1</v>
      </c>
      <c r="T291" s="29">
        <v>5</v>
      </c>
      <c r="U291" s="29">
        <v>0</v>
      </c>
      <c r="V291" s="29">
        <v>0</v>
      </c>
      <c r="W291" s="29">
        <v>0</v>
      </c>
      <c r="X291" s="29">
        <v>0</v>
      </c>
      <c r="Y291" s="29">
        <v>0</v>
      </c>
      <c r="Z291" s="29">
        <v>0</v>
      </c>
      <c r="AA291" s="29">
        <v>0</v>
      </c>
      <c r="AB291" s="29">
        <v>0</v>
      </c>
      <c r="AC291" s="29">
        <v>6</v>
      </c>
      <c r="AD291" s="29">
        <v>0</v>
      </c>
      <c r="AE291" s="29">
        <v>0</v>
      </c>
      <c r="AF291" s="29">
        <v>7</v>
      </c>
      <c r="AG291" s="29">
        <v>0</v>
      </c>
      <c r="AH291" s="29">
        <v>0</v>
      </c>
      <c r="AI291" s="29">
        <v>1</v>
      </c>
      <c r="AJ291" s="29">
        <v>0</v>
      </c>
      <c r="AK291" s="29">
        <v>0</v>
      </c>
      <c r="AL291" s="29">
        <v>19</v>
      </c>
      <c r="AM291" s="29">
        <v>0</v>
      </c>
      <c r="AN291" s="29">
        <v>0</v>
      </c>
      <c r="AO291" s="29">
        <v>0</v>
      </c>
      <c r="AP291" s="29">
        <v>0</v>
      </c>
    </row>
    <row r="292" spans="1:42" x14ac:dyDescent="0.25">
      <c r="A292" s="29">
        <v>18</v>
      </c>
      <c r="B292" s="29">
        <v>24606</v>
      </c>
      <c r="C292" s="29">
        <v>1</v>
      </c>
      <c r="D292" s="29" t="s">
        <v>695</v>
      </c>
      <c r="E292" s="29">
        <v>2</v>
      </c>
      <c r="F292" s="29">
        <v>7</v>
      </c>
      <c r="G292" s="29">
        <v>0</v>
      </c>
      <c r="H292" s="29">
        <v>0</v>
      </c>
      <c r="I292" s="29">
        <v>0</v>
      </c>
      <c r="J292" s="29">
        <v>7</v>
      </c>
      <c r="K292" s="29">
        <v>10</v>
      </c>
      <c r="L292" s="19" t="str">
        <f t="shared" si="32"/>
        <v>Перекос</v>
      </c>
      <c r="M292" s="12">
        <f t="shared" si="33"/>
        <v>9</v>
      </c>
      <c r="N292" s="12">
        <f t="shared" si="34"/>
        <v>5</v>
      </c>
      <c r="O292" s="12">
        <f t="shared" si="35"/>
        <v>0</v>
      </c>
      <c r="P292" s="12">
        <f t="shared" si="36"/>
        <v>0</v>
      </c>
      <c r="Q292" s="12">
        <f t="shared" si="37"/>
        <v>7</v>
      </c>
      <c r="R292" s="12">
        <f t="shared" si="38"/>
        <v>9</v>
      </c>
      <c r="S292" s="12">
        <f t="shared" si="39"/>
        <v>0</v>
      </c>
      <c r="T292" s="29">
        <v>5</v>
      </c>
      <c r="U292" s="29">
        <v>0</v>
      </c>
      <c r="V292" s="29">
        <v>0</v>
      </c>
      <c r="W292" s="29">
        <v>0</v>
      </c>
      <c r="X292" s="29">
        <v>0</v>
      </c>
      <c r="Y292" s="29">
        <v>0</v>
      </c>
      <c r="Z292" s="29">
        <v>0</v>
      </c>
      <c r="AA292" s="29">
        <v>0</v>
      </c>
      <c r="AB292" s="29">
        <v>0</v>
      </c>
      <c r="AC292" s="29">
        <v>7</v>
      </c>
      <c r="AD292" s="29">
        <v>0</v>
      </c>
      <c r="AE292" s="29">
        <v>0</v>
      </c>
      <c r="AF292" s="29">
        <v>9</v>
      </c>
      <c r="AG292" s="29">
        <v>0</v>
      </c>
      <c r="AH292" s="29">
        <v>0</v>
      </c>
      <c r="AI292" s="29">
        <v>0</v>
      </c>
      <c r="AJ292" s="29">
        <v>0</v>
      </c>
      <c r="AK292" s="29">
        <v>0</v>
      </c>
      <c r="AL292" s="29">
        <v>21</v>
      </c>
      <c r="AM292" s="29">
        <v>0</v>
      </c>
      <c r="AN292" s="29">
        <v>0</v>
      </c>
      <c r="AO292" s="29">
        <v>0</v>
      </c>
      <c r="AP292" s="29">
        <v>0</v>
      </c>
    </row>
    <row r="293" spans="1:42" x14ac:dyDescent="0.25">
      <c r="A293" s="29">
        <v>18</v>
      </c>
      <c r="B293" s="29">
        <v>24606</v>
      </c>
      <c r="C293" s="29">
        <v>1</v>
      </c>
      <c r="D293" s="29" t="s">
        <v>696</v>
      </c>
      <c r="E293" s="29">
        <v>2</v>
      </c>
      <c r="F293" s="29">
        <v>5</v>
      </c>
      <c r="G293" s="29">
        <v>3</v>
      </c>
      <c r="H293" s="29">
        <v>1</v>
      </c>
      <c r="I293" s="29">
        <v>0</v>
      </c>
      <c r="J293" s="29">
        <v>9</v>
      </c>
      <c r="K293" s="29">
        <v>35.599998474121094</v>
      </c>
      <c r="L293" s="19" t="str">
        <f t="shared" si="32"/>
        <v>Уровень</v>
      </c>
      <c r="M293" s="12">
        <f t="shared" si="33"/>
        <v>9</v>
      </c>
      <c r="N293" s="12">
        <f t="shared" si="34"/>
        <v>3</v>
      </c>
      <c r="O293" s="12">
        <f t="shared" si="35"/>
        <v>3</v>
      </c>
      <c r="P293" s="12">
        <f t="shared" si="36"/>
        <v>2</v>
      </c>
      <c r="Q293" s="12">
        <f t="shared" si="37"/>
        <v>9</v>
      </c>
      <c r="R293" s="12">
        <f t="shared" si="38"/>
        <v>7</v>
      </c>
      <c r="S293" s="12">
        <f t="shared" si="39"/>
        <v>8</v>
      </c>
      <c r="T293" s="29">
        <v>2</v>
      </c>
      <c r="U293" s="29">
        <v>1</v>
      </c>
      <c r="V293" s="29">
        <v>0</v>
      </c>
      <c r="W293" s="29">
        <v>3</v>
      </c>
      <c r="X293" s="29">
        <v>0</v>
      </c>
      <c r="Y293" s="29">
        <v>0</v>
      </c>
      <c r="Z293" s="29">
        <v>2</v>
      </c>
      <c r="AA293" s="29">
        <v>0</v>
      </c>
      <c r="AB293" s="29">
        <v>0</v>
      </c>
      <c r="AC293" s="29">
        <v>9</v>
      </c>
      <c r="AD293" s="29">
        <v>0</v>
      </c>
      <c r="AE293" s="29">
        <v>0</v>
      </c>
      <c r="AF293" s="29">
        <v>7</v>
      </c>
      <c r="AG293" s="29">
        <v>0</v>
      </c>
      <c r="AH293" s="29">
        <v>0</v>
      </c>
      <c r="AI293" s="29">
        <v>8</v>
      </c>
      <c r="AJ293" s="29">
        <v>0</v>
      </c>
      <c r="AK293" s="29">
        <v>0</v>
      </c>
      <c r="AL293" s="29">
        <v>31</v>
      </c>
      <c r="AM293" s="29">
        <v>1</v>
      </c>
      <c r="AN293" s="29">
        <v>0</v>
      </c>
      <c r="AO293" s="29">
        <v>0</v>
      </c>
      <c r="AP293" s="29">
        <v>0</v>
      </c>
    </row>
    <row r="294" spans="1:42" x14ac:dyDescent="0.25">
      <c r="A294" s="29">
        <v>18</v>
      </c>
      <c r="B294" s="29">
        <v>24606</v>
      </c>
      <c r="C294" s="29">
        <v>1</v>
      </c>
      <c r="D294" s="29" t="s">
        <v>697</v>
      </c>
      <c r="E294" s="29" t="s">
        <v>883</v>
      </c>
      <c r="F294" s="29">
        <v>3</v>
      </c>
      <c r="G294" s="29">
        <v>4</v>
      </c>
      <c r="H294" s="29">
        <v>0</v>
      </c>
      <c r="I294" s="29">
        <v>0</v>
      </c>
      <c r="J294" s="29">
        <v>7</v>
      </c>
      <c r="K294" s="29">
        <v>27.100000381469727</v>
      </c>
      <c r="L294" s="19" t="str">
        <f t="shared" si="32"/>
        <v>Рихтовка</v>
      </c>
      <c r="M294" s="12">
        <f t="shared" si="33"/>
        <v>9</v>
      </c>
      <c r="N294" s="12">
        <f t="shared" si="34"/>
        <v>9</v>
      </c>
      <c r="O294" s="12">
        <f t="shared" si="35"/>
        <v>0</v>
      </c>
      <c r="P294" s="12">
        <f t="shared" si="36"/>
        <v>0</v>
      </c>
      <c r="Q294" s="12">
        <f t="shared" si="37"/>
        <v>3</v>
      </c>
      <c r="R294" s="12">
        <f t="shared" si="38"/>
        <v>9</v>
      </c>
      <c r="S294" s="12">
        <f t="shared" si="39"/>
        <v>6</v>
      </c>
      <c r="T294" s="29">
        <v>9</v>
      </c>
      <c r="U294" s="29">
        <v>0</v>
      </c>
      <c r="V294" s="29">
        <v>0</v>
      </c>
      <c r="W294" s="29">
        <v>0</v>
      </c>
      <c r="X294" s="29">
        <v>0</v>
      </c>
      <c r="Y294" s="29">
        <v>0</v>
      </c>
      <c r="Z294" s="29">
        <v>0</v>
      </c>
      <c r="AA294" s="29">
        <v>0</v>
      </c>
      <c r="AB294" s="29">
        <v>0</v>
      </c>
      <c r="AC294" s="29">
        <v>3</v>
      </c>
      <c r="AD294" s="29">
        <v>0</v>
      </c>
      <c r="AE294" s="29">
        <v>0</v>
      </c>
      <c r="AF294" s="29">
        <v>9</v>
      </c>
      <c r="AG294" s="29">
        <v>0</v>
      </c>
      <c r="AH294" s="29">
        <v>0</v>
      </c>
      <c r="AI294" s="29">
        <v>6</v>
      </c>
      <c r="AJ294" s="29">
        <v>0</v>
      </c>
      <c r="AK294" s="29">
        <v>0</v>
      </c>
      <c r="AL294" s="29">
        <v>27</v>
      </c>
      <c r="AM294" s="29">
        <v>0</v>
      </c>
      <c r="AN294" s="29">
        <v>0</v>
      </c>
      <c r="AO294" s="29">
        <v>0</v>
      </c>
      <c r="AP294" s="29">
        <v>0</v>
      </c>
    </row>
    <row r="295" spans="1:42" x14ac:dyDescent="0.25">
      <c r="A295" s="29">
        <v>18</v>
      </c>
      <c r="B295" s="29">
        <v>24606</v>
      </c>
      <c r="C295" s="29">
        <v>1</v>
      </c>
      <c r="D295" s="29" t="s">
        <v>698</v>
      </c>
      <c r="E295" s="29">
        <v>3</v>
      </c>
      <c r="F295" s="29">
        <v>7</v>
      </c>
      <c r="G295" s="29">
        <v>1</v>
      </c>
      <c r="H295" s="29">
        <v>0</v>
      </c>
      <c r="I295" s="29">
        <v>0</v>
      </c>
      <c r="J295" s="29">
        <v>8</v>
      </c>
      <c r="K295" s="29">
        <v>13.800000190734863</v>
      </c>
      <c r="L295" s="19" t="str">
        <f t="shared" si="32"/>
        <v>Уширение</v>
      </c>
      <c r="M295" s="12">
        <f t="shared" si="33"/>
        <v>7</v>
      </c>
      <c r="N295" s="12">
        <f t="shared" si="34"/>
        <v>3</v>
      </c>
      <c r="O295" s="12">
        <f t="shared" si="35"/>
        <v>7</v>
      </c>
      <c r="P295" s="12">
        <f t="shared" si="36"/>
        <v>0</v>
      </c>
      <c r="Q295" s="12">
        <f t="shared" si="37"/>
        <v>2</v>
      </c>
      <c r="R295" s="12">
        <f t="shared" si="38"/>
        <v>2</v>
      </c>
      <c r="S295" s="12">
        <f t="shared" si="39"/>
        <v>2</v>
      </c>
      <c r="T295" s="29">
        <v>3</v>
      </c>
      <c r="U295" s="29">
        <v>0</v>
      </c>
      <c r="V295" s="29">
        <v>0</v>
      </c>
      <c r="W295" s="29">
        <v>7</v>
      </c>
      <c r="X295" s="29">
        <v>0</v>
      </c>
      <c r="Y295" s="29">
        <v>0</v>
      </c>
      <c r="Z295" s="29">
        <v>0</v>
      </c>
      <c r="AA295" s="29">
        <v>0</v>
      </c>
      <c r="AB295" s="29">
        <v>0</v>
      </c>
      <c r="AC295" s="29">
        <v>2</v>
      </c>
      <c r="AD295" s="29">
        <v>0</v>
      </c>
      <c r="AE295" s="29">
        <v>0</v>
      </c>
      <c r="AF295" s="29">
        <v>2</v>
      </c>
      <c r="AG295" s="29">
        <v>0</v>
      </c>
      <c r="AH295" s="29">
        <v>0</v>
      </c>
      <c r="AI295" s="29">
        <v>2</v>
      </c>
      <c r="AJ295" s="29">
        <v>0</v>
      </c>
      <c r="AK295" s="29">
        <v>0</v>
      </c>
      <c r="AL295" s="29">
        <v>16</v>
      </c>
      <c r="AM295" s="29">
        <v>0</v>
      </c>
      <c r="AN295" s="29">
        <v>0</v>
      </c>
      <c r="AO295" s="29">
        <v>0</v>
      </c>
      <c r="AP295" s="29">
        <v>0</v>
      </c>
    </row>
    <row r="296" spans="1:42" x14ac:dyDescent="0.25">
      <c r="A296" s="29">
        <v>18</v>
      </c>
      <c r="B296" s="29">
        <v>24606</v>
      </c>
      <c r="C296" s="29">
        <v>1</v>
      </c>
      <c r="D296" s="29" t="s">
        <v>699</v>
      </c>
      <c r="E296" s="29">
        <v>3</v>
      </c>
      <c r="F296" s="29">
        <v>9</v>
      </c>
      <c r="G296" s="29">
        <v>2</v>
      </c>
      <c r="H296" s="29">
        <v>0</v>
      </c>
      <c r="I296" s="29">
        <v>0</v>
      </c>
      <c r="J296" s="29">
        <v>11</v>
      </c>
      <c r="K296" s="29">
        <v>15.5</v>
      </c>
      <c r="L296" s="19" t="str">
        <f t="shared" si="32"/>
        <v>Перекос</v>
      </c>
      <c r="M296" s="12">
        <f t="shared" si="33"/>
        <v>10</v>
      </c>
      <c r="N296" s="12">
        <f t="shared" si="34"/>
        <v>8</v>
      </c>
      <c r="O296" s="12">
        <f t="shared" si="35"/>
        <v>0</v>
      </c>
      <c r="P296" s="12">
        <f t="shared" si="36"/>
        <v>0</v>
      </c>
      <c r="Q296" s="12">
        <f t="shared" si="37"/>
        <v>3</v>
      </c>
      <c r="R296" s="12">
        <f t="shared" si="38"/>
        <v>10</v>
      </c>
      <c r="S296" s="12">
        <f t="shared" si="39"/>
        <v>4</v>
      </c>
      <c r="T296" s="29">
        <v>8</v>
      </c>
      <c r="U296" s="29">
        <v>0</v>
      </c>
      <c r="V296" s="29">
        <v>0</v>
      </c>
      <c r="W296" s="29">
        <v>0</v>
      </c>
      <c r="X296" s="29">
        <v>0</v>
      </c>
      <c r="Y296" s="29">
        <v>0</v>
      </c>
      <c r="Z296" s="29">
        <v>0</v>
      </c>
      <c r="AA296" s="29">
        <v>0</v>
      </c>
      <c r="AB296" s="29">
        <v>0</v>
      </c>
      <c r="AC296" s="29">
        <v>3</v>
      </c>
      <c r="AD296" s="29">
        <v>0</v>
      </c>
      <c r="AE296" s="29">
        <v>0</v>
      </c>
      <c r="AF296" s="29">
        <v>10</v>
      </c>
      <c r="AG296" s="29">
        <v>0</v>
      </c>
      <c r="AH296" s="29">
        <v>0</v>
      </c>
      <c r="AI296" s="29">
        <v>4</v>
      </c>
      <c r="AJ296" s="29">
        <v>0</v>
      </c>
      <c r="AK296" s="29">
        <v>0</v>
      </c>
      <c r="AL296" s="29">
        <v>25</v>
      </c>
      <c r="AM296" s="29">
        <v>0</v>
      </c>
      <c r="AN296" s="29">
        <v>0</v>
      </c>
      <c r="AO296" s="29">
        <v>0</v>
      </c>
      <c r="AP296" s="29">
        <v>0</v>
      </c>
    </row>
    <row r="297" spans="1:42" x14ac:dyDescent="0.25">
      <c r="A297" s="29">
        <v>18</v>
      </c>
      <c r="B297" s="29">
        <v>24606</v>
      </c>
      <c r="C297" s="29">
        <v>1</v>
      </c>
      <c r="D297" s="29" t="s">
        <v>700</v>
      </c>
      <c r="E297" s="29" t="s">
        <v>884</v>
      </c>
      <c r="F297" s="29">
        <v>4</v>
      </c>
      <c r="G297" s="29">
        <v>4</v>
      </c>
      <c r="H297" s="29">
        <v>1</v>
      </c>
      <c r="I297" s="29">
        <v>0</v>
      </c>
      <c r="J297" s="29">
        <v>9</v>
      </c>
      <c r="K297" s="29">
        <v>38.900001525878906</v>
      </c>
      <c r="L297" s="19" t="str">
        <f t="shared" si="32"/>
        <v>Сужение</v>
      </c>
      <c r="M297" s="12">
        <f t="shared" si="33"/>
        <v>30</v>
      </c>
      <c r="N297" s="12">
        <f t="shared" si="34"/>
        <v>4</v>
      </c>
      <c r="O297" s="12">
        <f t="shared" si="35"/>
        <v>7</v>
      </c>
      <c r="P297" s="12">
        <f t="shared" si="36"/>
        <v>30</v>
      </c>
      <c r="Q297" s="12">
        <f t="shared" si="37"/>
        <v>10</v>
      </c>
      <c r="R297" s="12">
        <f t="shared" si="38"/>
        <v>13</v>
      </c>
      <c r="S297" s="12">
        <f t="shared" si="39"/>
        <v>2</v>
      </c>
      <c r="T297" s="29">
        <v>4</v>
      </c>
      <c r="U297" s="29">
        <v>0</v>
      </c>
      <c r="V297" s="29">
        <v>0</v>
      </c>
      <c r="W297" s="29">
        <v>7</v>
      </c>
      <c r="X297" s="29">
        <v>0</v>
      </c>
      <c r="Y297" s="29">
        <v>0</v>
      </c>
      <c r="Z297" s="29">
        <v>30</v>
      </c>
      <c r="AA297" s="29">
        <v>0</v>
      </c>
      <c r="AB297" s="29">
        <v>0</v>
      </c>
      <c r="AC297" s="29">
        <v>10</v>
      </c>
      <c r="AD297" s="29">
        <v>0</v>
      </c>
      <c r="AE297" s="29">
        <v>0</v>
      </c>
      <c r="AF297" s="29">
        <v>13</v>
      </c>
      <c r="AG297" s="29">
        <v>0</v>
      </c>
      <c r="AH297" s="29">
        <v>0</v>
      </c>
      <c r="AI297" s="29">
        <v>2</v>
      </c>
      <c r="AJ297" s="29">
        <v>0</v>
      </c>
      <c r="AK297" s="29">
        <v>0</v>
      </c>
      <c r="AL297" s="29">
        <v>66</v>
      </c>
      <c r="AM297" s="29">
        <v>0</v>
      </c>
      <c r="AN297" s="29">
        <v>0</v>
      </c>
      <c r="AO297" s="29">
        <v>0</v>
      </c>
      <c r="AP297" s="29">
        <v>0</v>
      </c>
    </row>
    <row r="298" spans="1:42" x14ac:dyDescent="0.25">
      <c r="A298" s="29">
        <v>18</v>
      </c>
      <c r="B298" s="29">
        <v>24606</v>
      </c>
      <c r="C298" s="29">
        <v>1</v>
      </c>
      <c r="D298" s="29" t="s">
        <v>701</v>
      </c>
      <c r="E298" s="29">
        <v>4</v>
      </c>
      <c r="F298" s="29">
        <v>2</v>
      </c>
      <c r="G298" s="29">
        <v>4</v>
      </c>
      <c r="H298" s="29">
        <v>0</v>
      </c>
      <c r="I298" s="29">
        <v>0</v>
      </c>
      <c r="J298" s="29">
        <v>6</v>
      </c>
      <c r="K298" s="29">
        <v>30</v>
      </c>
      <c r="L298" s="19" t="str">
        <f t="shared" si="32"/>
        <v>Рихтовка</v>
      </c>
      <c r="M298" s="12">
        <f t="shared" si="33"/>
        <v>12</v>
      </c>
      <c r="N298" s="12">
        <f t="shared" si="34"/>
        <v>12</v>
      </c>
      <c r="O298" s="12">
        <f t="shared" si="35"/>
        <v>1</v>
      </c>
      <c r="P298" s="12">
        <f t="shared" si="36"/>
        <v>0</v>
      </c>
      <c r="Q298" s="12">
        <f t="shared" si="37"/>
        <v>1</v>
      </c>
      <c r="R298" s="12">
        <f t="shared" si="38"/>
        <v>11</v>
      </c>
      <c r="S298" s="12">
        <f t="shared" si="39"/>
        <v>1</v>
      </c>
      <c r="T298" s="29">
        <v>12</v>
      </c>
      <c r="U298" s="29">
        <v>0</v>
      </c>
      <c r="V298" s="29">
        <v>0</v>
      </c>
      <c r="W298" s="29">
        <v>1</v>
      </c>
      <c r="X298" s="29">
        <v>0</v>
      </c>
      <c r="Y298" s="29">
        <v>0</v>
      </c>
      <c r="Z298" s="29">
        <v>0</v>
      </c>
      <c r="AA298" s="29">
        <v>0</v>
      </c>
      <c r="AB298" s="29">
        <v>0</v>
      </c>
      <c r="AC298" s="29">
        <v>1</v>
      </c>
      <c r="AD298" s="29">
        <v>0</v>
      </c>
      <c r="AE298" s="29">
        <v>0</v>
      </c>
      <c r="AF298" s="29">
        <v>11</v>
      </c>
      <c r="AG298" s="29">
        <v>0</v>
      </c>
      <c r="AH298" s="29">
        <v>0</v>
      </c>
      <c r="AI298" s="29">
        <v>1</v>
      </c>
      <c r="AJ298" s="29">
        <v>0</v>
      </c>
      <c r="AK298" s="29">
        <v>0</v>
      </c>
      <c r="AL298" s="29">
        <v>26</v>
      </c>
      <c r="AM298" s="29">
        <v>0</v>
      </c>
      <c r="AN298" s="29">
        <v>0</v>
      </c>
      <c r="AO298" s="29">
        <v>0</v>
      </c>
      <c r="AP298" s="29">
        <v>0</v>
      </c>
    </row>
    <row r="299" spans="1:42" x14ac:dyDescent="0.25">
      <c r="A299" s="29">
        <v>18</v>
      </c>
      <c r="B299" s="29">
        <v>24606</v>
      </c>
      <c r="C299" s="29">
        <v>1</v>
      </c>
      <c r="D299" s="29" t="s">
        <v>702</v>
      </c>
      <c r="E299" s="29">
        <v>4</v>
      </c>
      <c r="F299" s="29">
        <v>2</v>
      </c>
      <c r="G299" s="29">
        <v>5</v>
      </c>
      <c r="H299" s="29">
        <v>0</v>
      </c>
      <c r="I299" s="29">
        <v>0</v>
      </c>
      <c r="J299" s="29">
        <v>7</v>
      </c>
      <c r="K299" s="29">
        <v>31.399999618530273</v>
      </c>
      <c r="L299" s="19" t="str">
        <f t="shared" si="32"/>
        <v>Рихтовка</v>
      </c>
      <c r="M299" s="12">
        <f t="shared" si="33"/>
        <v>14</v>
      </c>
      <c r="N299" s="12">
        <f t="shared" si="34"/>
        <v>14</v>
      </c>
      <c r="O299" s="12">
        <f t="shared" si="35"/>
        <v>1</v>
      </c>
      <c r="P299" s="12">
        <f t="shared" si="36"/>
        <v>2</v>
      </c>
      <c r="Q299" s="12">
        <f t="shared" si="37"/>
        <v>2</v>
      </c>
      <c r="R299" s="12">
        <f t="shared" si="38"/>
        <v>11</v>
      </c>
      <c r="S299" s="12">
        <f t="shared" si="39"/>
        <v>7</v>
      </c>
      <c r="T299" s="29">
        <v>14</v>
      </c>
      <c r="U299" s="29">
        <v>0</v>
      </c>
      <c r="V299" s="29">
        <v>0</v>
      </c>
      <c r="W299" s="29">
        <v>1</v>
      </c>
      <c r="X299" s="29">
        <v>0</v>
      </c>
      <c r="Y299" s="29">
        <v>0</v>
      </c>
      <c r="Z299" s="29">
        <v>2</v>
      </c>
      <c r="AA299" s="29">
        <v>0</v>
      </c>
      <c r="AB299" s="29">
        <v>0</v>
      </c>
      <c r="AC299" s="29">
        <v>2</v>
      </c>
      <c r="AD299" s="29">
        <v>0</v>
      </c>
      <c r="AE299" s="29">
        <v>0</v>
      </c>
      <c r="AF299" s="29">
        <v>11</v>
      </c>
      <c r="AG299" s="29">
        <v>0</v>
      </c>
      <c r="AH299" s="29">
        <v>0</v>
      </c>
      <c r="AI299" s="29">
        <v>7</v>
      </c>
      <c r="AJ299" s="29">
        <v>0</v>
      </c>
      <c r="AK299" s="29">
        <v>0</v>
      </c>
      <c r="AL299" s="29">
        <v>37</v>
      </c>
      <c r="AM299" s="29">
        <v>0</v>
      </c>
      <c r="AN299" s="29">
        <v>0</v>
      </c>
      <c r="AO299" s="29">
        <v>0</v>
      </c>
      <c r="AP299" s="29">
        <v>0</v>
      </c>
    </row>
    <row r="300" spans="1:42" x14ac:dyDescent="0.25">
      <c r="A300" s="29">
        <v>18</v>
      </c>
      <c r="B300" s="29">
        <v>24606</v>
      </c>
      <c r="C300" s="29">
        <v>1</v>
      </c>
      <c r="D300" s="29" t="s">
        <v>703</v>
      </c>
      <c r="E300" s="29" t="s">
        <v>885</v>
      </c>
      <c r="F300" s="29">
        <v>1</v>
      </c>
      <c r="G300" s="29">
        <v>7</v>
      </c>
      <c r="H300" s="29">
        <v>0</v>
      </c>
      <c r="I300" s="29">
        <v>0</v>
      </c>
      <c r="J300" s="29">
        <v>8</v>
      </c>
      <c r="K300" s="29">
        <v>36.200000762939453</v>
      </c>
      <c r="L300" s="19" t="str">
        <f t="shared" si="32"/>
        <v>Рихтовка</v>
      </c>
      <c r="M300" s="12">
        <f t="shared" si="33"/>
        <v>37</v>
      </c>
      <c r="N300" s="12">
        <f t="shared" si="34"/>
        <v>37</v>
      </c>
      <c r="O300" s="12">
        <f t="shared" si="35"/>
        <v>0</v>
      </c>
      <c r="P300" s="12">
        <f t="shared" si="36"/>
        <v>2</v>
      </c>
      <c r="Q300" s="12">
        <f t="shared" si="37"/>
        <v>4</v>
      </c>
      <c r="R300" s="12">
        <f t="shared" si="38"/>
        <v>7</v>
      </c>
      <c r="S300" s="12">
        <f t="shared" si="39"/>
        <v>5</v>
      </c>
      <c r="T300" s="29">
        <v>37</v>
      </c>
      <c r="U300" s="29">
        <v>0</v>
      </c>
      <c r="V300" s="29">
        <v>0</v>
      </c>
      <c r="W300" s="29">
        <v>0</v>
      </c>
      <c r="X300" s="29">
        <v>0</v>
      </c>
      <c r="Y300" s="29">
        <v>0</v>
      </c>
      <c r="Z300" s="29">
        <v>2</v>
      </c>
      <c r="AA300" s="29">
        <v>0</v>
      </c>
      <c r="AB300" s="29">
        <v>0</v>
      </c>
      <c r="AC300" s="29">
        <v>4</v>
      </c>
      <c r="AD300" s="29">
        <v>0</v>
      </c>
      <c r="AE300" s="29">
        <v>0</v>
      </c>
      <c r="AF300" s="29">
        <v>7</v>
      </c>
      <c r="AG300" s="29">
        <v>0</v>
      </c>
      <c r="AH300" s="29">
        <v>0</v>
      </c>
      <c r="AI300" s="29">
        <v>5</v>
      </c>
      <c r="AJ300" s="29">
        <v>0</v>
      </c>
      <c r="AK300" s="29">
        <v>0</v>
      </c>
      <c r="AL300" s="29">
        <v>55</v>
      </c>
      <c r="AM300" s="29">
        <v>0</v>
      </c>
      <c r="AN300" s="29">
        <v>0</v>
      </c>
      <c r="AO300" s="29">
        <v>0</v>
      </c>
      <c r="AP300" s="29">
        <v>0</v>
      </c>
    </row>
    <row r="301" spans="1:42" x14ac:dyDescent="0.25">
      <c r="A301" s="29">
        <v>18</v>
      </c>
      <c r="B301" s="29">
        <v>24606</v>
      </c>
      <c r="C301" s="29">
        <v>1</v>
      </c>
      <c r="D301" s="29" t="s">
        <v>704</v>
      </c>
      <c r="E301" s="29">
        <v>5</v>
      </c>
      <c r="F301" s="29">
        <v>0</v>
      </c>
      <c r="G301" s="29">
        <v>6</v>
      </c>
      <c r="H301" s="29">
        <v>0</v>
      </c>
      <c r="I301" s="29">
        <v>0</v>
      </c>
      <c r="J301" s="29">
        <v>6</v>
      </c>
      <c r="K301" s="29">
        <v>40</v>
      </c>
      <c r="L301" s="19" t="str">
        <f t="shared" si="32"/>
        <v>Рихтовка</v>
      </c>
      <c r="M301" s="12">
        <f t="shared" si="33"/>
        <v>26</v>
      </c>
      <c r="N301" s="12">
        <f t="shared" si="34"/>
        <v>26</v>
      </c>
      <c r="O301" s="12">
        <f t="shared" si="35"/>
        <v>0</v>
      </c>
      <c r="P301" s="12">
        <f t="shared" si="36"/>
        <v>0</v>
      </c>
      <c r="Q301" s="12">
        <f t="shared" si="37"/>
        <v>2</v>
      </c>
      <c r="R301" s="12">
        <f t="shared" si="38"/>
        <v>10</v>
      </c>
      <c r="S301" s="12">
        <f t="shared" si="39"/>
        <v>3</v>
      </c>
      <c r="T301" s="29">
        <v>26</v>
      </c>
      <c r="U301" s="29">
        <v>0</v>
      </c>
      <c r="V301" s="29">
        <v>0</v>
      </c>
      <c r="W301" s="29">
        <v>0</v>
      </c>
      <c r="X301" s="29">
        <v>0</v>
      </c>
      <c r="Y301" s="29">
        <v>0</v>
      </c>
      <c r="Z301" s="29">
        <v>0</v>
      </c>
      <c r="AA301" s="29">
        <v>0</v>
      </c>
      <c r="AB301" s="29">
        <v>0</v>
      </c>
      <c r="AC301" s="29">
        <v>2</v>
      </c>
      <c r="AD301" s="29">
        <v>0</v>
      </c>
      <c r="AE301" s="29">
        <v>0</v>
      </c>
      <c r="AF301" s="29">
        <v>10</v>
      </c>
      <c r="AG301" s="29">
        <v>0</v>
      </c>
      <c r="AH301" s="29">
        <v>0</v>
      </c>
      <c r="AI301" s="29">
        <v>3</v>
      </c>
      <c r="AJ301" s="29">
        <v>0</v>
      </c>
      <c r="AK301" s="29">
        <v>0</v>
      </c>
      <c r="AL301" s="29">
        <v>41</v>
      </c>
      <c r="AM301" s="29">
        <v>0</v>
      </c>
      <c r="AN301" s="29">
        <v>0</v>
      </c>
      <c r="AO301" s="29">
        <v>0</v>
      </c>
      <c r="AP301" s="29">
        <v>0</v>
      </c>
    </row>
    <row r="302" spans="1:42" x14ac:dyDescent="0.25">
      <c r="A302" s="29">
        <v>18</v>
      </c>
      <c r="B302" s="29">
        <v>24606</v>
      </c>
      <c r="C302" s="29">
        <v>1</v>
      </c>
      <c r="D302" s="29" t="s">
        <v>705</v>
      </c>
      <c r="E302" s="29" t="s">
        <v>886</v>
      </c>
      <c r="F302" s="29">
        <v>2</v>
      </c>
      <c r="G302" s="29">
        <v>8</v>
      </c>
      <c r="H302" s="29">
        <v>0</v>
      </c>
      <c r="I302" s="29">
        <v>0</v>
      </c>
      <c r="J302" s="29">
        <v>10</v>
      </c>
      <c r="K302" s="29">
        <v>34</v>
      </c>
      <c r="L302" s="19" t="str">
        <f t="shared" si="32"/>
        <v>Рихтовка</v>
      </c>
      <c r="M302" s="12">
        <f t="shared" si="33"/>
        <v>38</v>
      </c>
      <c r="N302" s="12">
        <f t="shared" si="34"/>
        <v>38</v>
      </c>
      <c r="O302" s="12">
        <f t="shared" si="35"/>
        <v>11</v>
      </c>
      <c r="P302" s="12">
        <f t="shared" si="36"/>
        <v>17</v>
      </c>
      <c r="Q302" s="12">
        <f t="shared" si="37"/>
        <v>9</v>
      </c>
      <c r="R302" s="12">
        <f t="shared" si="38"/>
        <v>18</v>
      </c>
      <c r="S302" s="12">
        <f t="shared" si="39"/>
        <v>3</v>
      </c>
      <c r="T302" s="29">
        <v>38</v>
      </c>
      <c r="U302" s="29">
        <v>0</v>
      </c>
      <c r="V302" s="29">
        <v>0</v>
      </c>
      <c r="W302" s="29">
        <v>11</v>
      </c>
      <c r="X302" s="29">
        <v>0</v>
      </c>
      <c r="Y302" s="29">
        <v>0</v>
      </c>
      <c r="Z302" s="29">
        <v>17</v>
      </c>
      <c r="AA302" s="29">
        <v>0</v>
      </c>
      <c r="AB302" s="29">
        <v>0</v>
      </c>
      <c r="AC302" s="29">
        <v>9</v>
      </c>
      <c r="AD302" s="29">
        <v>0</v>
      </c>
      <c r="AE302" s="29">
        <v>0</v>
      </c>
      <c r="AF302" s="29">
        <v>18</v>
      </c>
      <c r="AG302" s="29">
        <v>0</v>
      </c>
      <c r="AH302" s="29">
        <v>0</v>
      </c>
      <c r="AI302" s="29">
        <v>3</v>
      </c>
      <c r="AJ302" s="29">
        <v>0</v>
      </c>
      <c r="AK302" s="29">
        <v>0</v>
      </c>
      <c r="AL302" s="29">
        <v>96</v>
      </c>
      <c r="AM302" s="29">
        <v>0</v>
      </c>
      <c r="AN302" s="29">
        <v>0</v>
      </c>
      <c r="AO302" s="29">
        <v>0</v>
      </c>
      <c r="AP302" s="29">
        <v>0</v>
      </c>
    </row>
    <row r="303" spans="1:42" x14ac:dyDescent="0.25">
      <c r="A303" s="29">
        <v>18</v>
      </c>
      <c r="B303" s="29">
        <v>24606</v>
      </c>
      <c r="C303" s="29">
        <v>1</v>
      </c>
      <c r="D303" s="29" t="s">
        <v>707</v>
      </c>
      <c r="E303" s="29" t="s">
        <v>887</v>
      </c>
      <c r="F303" s="29">
        <v>3</v>
      </c>
      <c r="G303" s="29">
        <v>5</v>
      </c>
      <c r="H303" s="29">
        <v>0</v>
      </c>
      <c r="I303" s="29">
        <v>0</v>
      </c>
      <c r="J303" s="29">
        <v>8</v>
      </c>
      <c r="K303" s="29">
        <v>28.799999237060547</v>
      </c>
      <c r="L303" s="19" t="str">
        <f t="shared" si="32"/>
        <v>Уровень</v>
      </c>
      <c r="M303" s="12">
        <f t="shared" si="33"/>
        <v>15</v>
      </c>
      <c r="N303" s="12">
        <f t="shared" si="34"/>
        <v>10</v>
      </c>
      <c r="O303" s="12">
        <f t="shared" si="35"/>
        <v>1</v>
      </c>
      <c r="P303" s="12">
        <f t="shared" si="36"/>
        <v>0</v>
      </c>
      <c r="Q303" s="12">
        <f t="shared" si="37"/>
        <v>15</v>
      </c>
      <c r="R303" s="12">
        <f t="shared" si="38"/>
        <v>11</v>
      </c>
      <c r="S303" s="12">
        <f t="shared" si="39"/>
        <v>13</v>
      </c>
      <c r="T303" s="29">
        <v>10</v>
      </c>
      <c r="U303" s="29">
        <v>0</v>
      </c>
      <c r="V303" s="29">
        <v>0</v>
      </c>
      <c r="W303" s="29">
        <v>1</v>
      </c>
      <c r="X303" s="29">
        <v>0</v>
      </c>
      <c r="Y303" s="29">
        <v>0</v>
      </c>
      <c r="Z303" s="29">
        <v>0</v>
      </c>
      <c r="AA303" s="29">
        <v>0</v>
      </c>
      <c r="AB303" s="29">
        <v>0</v>
      </c>
      <c r="AC303" s="29">
        <v>15</v>
      </c>
      <c r="AD303" s="29">
        <v>0</v>
      </c>
      <c r="AE303" s="29">
        <v>0</v>
      </c>
      <c r="AF303" s="29">
        <v>11</v>
      </c>
      <c r="AG303" s="29">
        <v>0</v>
      </c>
      <c r="AH303" s="29">
        <v>0</v>
      </c>
      <c r="AI303" s="29">
        <v>13</v>
      </c>
      <c r="AJ303" s="29">
        <v>0</v>
      </c>
      <c r="AK303" s="29">
        <v>0</v>
      </c>
      <c r="AL303" s="29">
        <v>50</v>
      </c>
      <c r="AM303" s="29">
        <v>0</v>
      </c>
      <c r="AN303" s="29">
        <v>0</v>
      </c>
      <c r="AO303" s="29">
        <v>0</v>
      </c>
      <c r="AP303" s="29">
        <v>0</v>
      </c>
    </row>
    <row r="304" spans="1:42" x14ac:dyDescent="0.25">
      <c r="A304" s="29">
        <v>18</v>
      </c>
      <c r="B304" s="29">
        <v>24606</v>
      </c>
      <c r="C304" s="29">
        <v>1</v>
      </c>
      <c r="D304" s="29" t="s">
        <v>708</v>
      </c>
      <c r="E304" s="29">
        <v>7</v>
      </c>
      <c r="F304" s="29">
        <v>7</v>
      </c>
      <c r="G304" s="29">
        <v>5</v>
      </c>
      <c r="H304" s="29">
        <v>0</v>
      </c>
      <c r="I304" s="29">
        <v>0</v>
      </c>
      <c r="J304" s="29">
        <v>12</v>
      </c>
      <c r="K304" s="29">
        <v>22.5</v>
      </c>
      <c r="L304" s="19" t="str">
        <f t="shared" si="32"/>
        <v>Перекос</v>
      </c>
      <c r="M304" s="12">
        <f t="shared" si="33"/>
        <v>17</v>
      </c>
      <c r="N304" s="12">
        <f t="shared" si="34"/>
        <v>12</v>
      </c>
      <c r="O304" s="12">
        <f t="shared" si="35"/>
        <v>2</v>
      </c>
      <c r="P304" s="12">
        <f t="shared" si="36"/>
        <v>0</v>
      </c>
      <c r="Q304" s="12">
        <f t="shared" si="37"/>
        <v>13</v>
      </c>
      <c r="R304" s="12">
        <f t="shared" si="38"/>
        <v>17</v>
      </c>
      <c r="S304" s="12">
        <f t="shared" si="39"/>
        <v>17</v>
      </c>
      <c r="T304" s="29">
        <v>12</v>
      </c>
      <c r="U304" s="29">
        <v>0</v>
      </c>
      <c r="V304" s="29">
        <v>0</v>
      </c>
      <c r="W304" s="29">
        <v>2</v>
      </c>
      <c r="X304" s="29">
        <v>0</v>
      </c>
      <c r="Y304" s="29">
        <v>0</v>
      </c>
      <c r="Z304" s="29">
        <v>0</v>
      </c>
      <c r="AA304" s="29">
        <v>0</v>
      </c>
      <c r="AB304" s="29">
        <v>0</v>
      </c>
      <c r="AC304" s="29">
        <v>13</v>
      </c>
      <c r="AD304" s="29">
        <v>0</v>
      </c>
      <c r="AE304" s="29">
        <v>0</v>
      </c>
      <c r="AF304" s="29">
        <v>17</v>
      </c>
      <c r="AG304" s="29">
        <v>0</v>
      </c>
      <c r="AH304" s="29">
        <v>0</v>
      </c>
      <c r="AI304" s="29">
        <v>17</v>
      </c>
      <c r="AJ304" s="29">
        <v>0</v>
      </c>
      <c r="AK304" s="29">
        <v>0</v>
      </c>
      <c r="AL304" s="29">
        <v>61</v>
      </c>
      <c r="AM304" s="29">
        <v>0</v>
      </c>
      <c r="AN304" s="29">
        <v>0</v>
      </c>
      <c r="AO304" s="29">
        <v>0</v>
      </c>
      <c r="AP304" s="29">
        <v>0</v>
      </c>
    </row>
    <row r="305" spans="1:42" x14ac:dyDescent="0.25">
      <c r="A305" s="29">
        <v>18</v>
      </c>
      <c r="B305" s="29">
        <v>24606</v>
      </c>
      <c r="C305" s="29">
        <v>1</v>
      </c>
      <c r="D305" s="29" t="s">
        <v>709</v>
      </c>
      <c r="E305" s="29">
        <v>7</v>
      </c>
      <c r="F305" s="29">
        <v>4</v>
      </c>
      <c r="G305" s="29">
        <v>5</v>
      </c>
      <c r="H305" s="29">
        <v>1</v>
      </c>
      <c r="I305" s="29">
        <v>0</v>
      </c>
      <c r="J305" s="29">
        <v>10</v>
      </c>
      <c r="K305" s="29">
        <v>39</v>
      </c>
      <c r="L305" s="19" t="str">
        <f t="shared" si="32"/>
        <v>Рихтовка</v>
      </c>
      <c r="M305" s="12">
        <f t="shared" si="33"/>
        <v>27</v>
      </c>
      <c r="N305" s="12">
        <f t="shared" si="34"/>
        <v>27</v>
      </c>
      <c r="O305" s="12">
        <f t="shared" si="35"/>
        <v>1</v>
      </c>
      <c r="P305" s="12">
        <f t="shared" si="36"/>
        <v>10</v>
      </c>
      <c r="Q305" s="12">
        <f t="shared" si="37"/>
        <v>4</v>
      </c>
      <c r="R305" s="12">
        <f t="shared" si="38"/>
        <v>17</v>
      </c>
      <c r="S305" s="12">
        <f t="shared" si="39"/>
        <v>6</v>
      </c>
      <c r="T305" s="29">
        <v>27</v>
      </c>
      <c r="U305" s="29">
        <v>0</v>
      </c>
      <c r="V305" s="29">
        <v>0</v>
      </c>
      <c r="W305" s="29">
        <v>1</v>
      </c>
      <c r="X305" s="29">
        <v>0</v>
      </c>
      <c r="Y305" s="29">
        <v>0</v>
      </c>
      <c r="Z305" s="29">
        <v>10</v>
      </c>
      <c r="AA305" s="29">
        <v>0</v>
      </c>
      <c r="AB305" s="29">
        <v>0</v>
      </c>
      <c r="AC305" s="29">
        <v>4</v>
      </c>
      <c r="AD305" s="29">
        <v>0</v>
      </c>
      <c r="AE305" s="29">
        <v>0</v>
      </c>
      <c r="AF305" s="29">
        <v>17</v>
      </c>
      <c r="AG305" s="29">
        <v>0</v>
      </c>
      <c r="AH305" s="29">
        <v>0</v>
      </c>
      <c r="AI305" s="29">
        <v>6</v>
      </c>
      <c r="AJ305" s="29">
        <v>0</v>
      </c>
      <c r="AK305" s="29">
        <v>0</v>
      </c>
      <c r="AL305" s="29">
        <v>65</v>
      </c>
      <c r="AM305" s="29">
        <v>0</v>
      </c>
      <c r="AN305" s="29">
        <v>0</v>
      </c>
      <c r="AO305" s="29">
        <v>0</v>
      </c>
      <c r="AP305" s="29">
        <v>0</v>
      </c>
    </row>
    <row r="306" spans="1:42" x14ac:dyDescent="0.25">
      <c r="A306" s="29">
        <v>18</v>
      </c>
      <c r="B306" s="29">
        <v>24606</v>
      </c>
      <c r="C306" s="29">
        <v>1</v>
      </c>
      <c r="D306" s="29" t="s">
        <v>710</v>
      </c>
      <c r="E306" s="29" t="s">
        <v>912</v>
      </c>
      <c r="F306" s="29">
        <v>2</v>
      </c>
      <c r="G306" s="29">
        <v>8</v>
      </c>
      <c r="H306" s="29">
        <v>1</v>
      </c>
      <c r="I306" s="29">
        <v>0</v>
      </c>
      <c r="J306" s="29">
        <v>11</v>
      </c>
      <c r="K306" s="29">
        <v>44.5</v>
      </c>
      <c r="L306" s="19" t="str">
        <f t="shared" si="32"/>
        <v>Рихтовка</v>
      </c>
      <c r="M306" s="12">
        <f t="shared" si="33"/>
        <v>53</v>
      </c>
      <c r="N306" s="12">
        <f t="shared" si="34"/>
        <v>53</v>
      </c>
      <c r="O306" s="12">
        <f t="shared" si="35"/>
        <v>3</v>
      </c>
      <c r="P306" s="12">
        <f t="shared" si="36"/>
        <v>5</v>
      </c>
      <c r="Q306" s="12">
        <f t="shared" si="37"/>
        <v>4</v>
      </c>
      <c r="R306" s="12">
        <f t="shared" si="38"/>
        <v>19</v>
      </c>
      <c r="S306" s="12">
        <f t="shared" si="39"/>
        <v>2</v>
      </c>
      <c r="T306" s="29">
        <v>53</v>
      </c>
      <c r="U306" s="29">
        <v>0</v>
      </c>
      <c r="V306" s="29">
        <v>0</v>
      </c>
      <c r="W306" s="29">
        <v>3</v>
      </c>
      <c r="X306" s="29">
        <v>0</v>
      </c>
      <c r="Y306" s="29">
        <v>0</v>
      </c>
      <c r="Z306" s="29">
        <v>5</v>
      </c>
      <c r="AA306" s="29">
        <v>0</v>
      </c>
      <c r="AB306" s="29">
        <v>0</v>
      </c>
      <c r="AC306" s="29">
        <v>4</v>
      </c>
      <c r="AD306" s="29">
        <v>0</v>
      </c>
      <c r="AE306" s="29">
        <v>0</v>
      </c>
      <c r="AF306" s="29">
        <v>19</v>
      </c>
      <c r="AG306" s="29">
        <v>0</v>
      </c>
      <c r="AH306" s="29">
        <v>0</v>
      </c>
      <c r="AI306" s="29">
        <v>2</v>
      </c>
      <c r="AJ306" s="29">
        <v>0</v>
      </c>
      <c r="AK306" s="29">
        <v>0</v>
      </c>
      <c r="AL306" s="29">
        <v>86</v>
      </c>
      <c r="AM306" s="29">
        <v>0</v>
      </c>
      <c r="AN306" s="29">
        <v>0</v>
      </c>
      <c r="AO306" s="29">
        <v>0</v>
      </c>
      <c r="AP306" s="29">
        <v>0</v>
      </c>
    </row>
    <row r="307" spans="1:42" x14ac:dyDescent="0.25">
      <c r="A307" s="29">
        <v>18</v>
      </c>
      <c r="B307" s="29">
        <v>24606</v>
      </c>
      <c r="C307" s="29">
        <v>1</v>
      </c>
      <c r="D307" s="29" t="s">
        <v>711</v>
      </c>
      <c r="E307" s="29">
        <v>9</v>
      </c>
      <c r="F307" s="29">
        <v>1</v>
      </c>
      <c r="G307" s="29">
        <v>9</v>
      </c>
      <c r="H307" s="29">
        <v>3</v>
      </c>
      <c r="I307" s="29">
        <v>0</v>
      </c>
      <c r="J307" s="29">
        <v>13</v>
      </c>
      <c r="K307" s="29">
        <v>63.099998474121094</v>
      </c>
      <c r="L307" s="19" t="str">
        <f t="shared" si="32"/>
        <v>Сужение</v>
      </c>
      <c r="M307" s="12">
        <f t="shared" si="33"/>
        <v>68</v>
      </c>
      <c r="N307" s="12">
        <f t="shared" si="34"/>
        <v>61</v>
      </c>
      <c r="O307" s="12">
        <f t="shared" si="35"/>
        <v>0</v>
      </c>
      <c r="P307" s="12">
        <f t="shared" si="36"/>
        <v>68</v>
      </c>
      <c r="Q307" s="12">
        <f t="shared" si="37"/>
        <v>6</v>
      </c>
      <c r="R307" s="12">
        <f t="shared" si="38"/>
        <v>23</v>
      </c>
      <c r="S307" s="12">
        <f t="shared" si="39"/>
        <v>11</v>
      </c>
      <c r="T307" s="29">
        <v>61</v>
      </c>
      <c r="U307" s="29">
        <v>0</v>
      </c>
      <c r="V307" s="29">
        <v>0</v>
      </c>
      <c r="W307" s="29">
        <v>0</v>
      </c>
      <c r="X307" s="29">
        <v>0</v>
      </c>
      <c r="Y307" s="29">
        <v>0</v>
      </c>
      <c r="Z307" s="29">
        <v>66</v>
      </c>
      <c r="AA307" s="29">
        <v>2</v>
      </c>
      <c r="AB307" s="29">
        <v>0</v>
      </c>
      <c r="AC307" s="29">
        <v>6</v>
      </c>
      <c r="AD307" s="29">
        <v>0</v>
      </c>
      <c r="AE307" s="29">
        <v>0</v>
      </c>
      <c r="AF307" s="29">
        <v>23</v>
      </c>
      <c r="AG307" s="29">
        <v>0</v>
      </c>
      <c r="AH307" s="29">
        <v>0</v>
      </c>
      <c r="AI307" s="29">
        <v>11</v>
      </c>
      <c r="AJ307" s="29">
        <v>0</v>
      </c>
      <c r="AK307" s="29">
        <v>0</v>
      </c>
      <c r="AL307" s="29">
        <v>167</v>
      </c>
      <c r="AM307" s="29">
        <v>2</v>
      </c>
      <c r="AN307" s="29">
        <v>0</v>
      </c>
      <c r="AO307" s="29">
        <v>0</v>
      </c>
      <c r="AP307" s="29">
        <v>0</v>
      </c>
    </row>
    <row r="308" spans="1:42" x14ac:dyDescent="0.25">
      <c r="A308" s="29">
        <v>18</v>
      </c>
      <c r="B308" s="29">
        <v>24606</v>
      </c>
      <c r="C308" s="29">
        <v>1</v>
      </c>
      <c r="D308" s="29" t="s">
        <v>712</v>
      </c>
      <c r="E308" s="29" t="s">
        <v>889</v>
      </c>
      <c r="F308" s="29">
        <v>1.0019999742507935</v>
      </c>
      <c r="G308" s="29">
        <v>9.9989995956420898</v>
      </c>
      <c r="H308" s="29">
        <v>2.997999906539917</v>
      </c>
      <c r="I308" s="29">
        <v>0</v>
      </c>
      <c r="J308" s="29">
        <v>13.99899959564209</v>
      </c>
      <c r="K308" s="29">
        <v>61.400001525878906</v>
      </c>
      <c r="L308" s="19" t="str">
        <f t="shared" si="32"/>
        <v>Рихтовка</v>
      </c>
      <c r="M308" s="12">
        <f t="shared" si="33"/>
        <v>92</v>
      </c>
      <c r="N308" s="12">
        <f t="shared" si="34"/>
        <v>92</v>
      </c>
      <c r="O308" s="12">
        <f t="shared" si="35"/>
        <v>6</v>
      </c>
      <c r="P308" s="12">
        <f t="shared" si="36"/>
        <v>67</v>
      </c>
      <c r="Q308" s="12">
        <f t="shared" si="37"/>
        <v>11</v>
      </c>
      <c r="R308" s="12">
        <f t="shared" si="38"/>
        <v>23</v>
      </c>
      <c r="S308" s="12">
        <f t="shared" si="39"/>
        <v>3</v>
      </c>
      <c r="T308" s="29">
        <v>92</v>
      </c>
      <c r="U308" s="29">
        <v>0</v>
      </c>
      <c r="V308" s="29">
        <v>0</v>
      </c>
      <c r="W308" s="29">
        <v>6</v>
      </c>
      <c r="X308" s="29">
        <v>0</v>
      </c>
      <c r="Y308" s="29">
        <v>0</v>
      </c>
      <c r="Z308" s="29">
        <v>64</v>
      </c>
      <c r="AA308" s="29">
        <v>3</v>
      </c>
      <c r="AB308" s="29">
        <v>0</v>
      </c>
      <c r="AC308" s="29">
        <v>11</v>
      </c>
      <c r="AD308" s="29">
        <v>0</v>
      </c>
      <c r="AE308" s="29">
        <v>0</v>
      </c>
      <c r="AF308" s="29">
        <v>23</v>
      </c>
      <c r="AG308" s="29">
        <v>0</v>
      </c>
      <c r="AH308" s="29">
        <v>0</v>
      </c>
      <c r="AI308" s="29">
        <v>3</v>
      </c>
      <c r="AJ308" s="29">
        <v>0</v>
      </c>
      <c r="AK308" s="29">
        <v>0</v>
      </c>
      <c r="AL308" s="29">
        <v>199</v>
      </c>
      <c r="AM308" s="29">
        <v>3</v>
      </c>
      <c r="AN308" s="29">
        <v>0</v>
      </c>
      <c r="AO308" s="29">
        <v>0</v>
      </c>
      <c r="AP308" s="29">
        <v>0</v>
      </c>
    </row>
    <row r="309" spans="1:42" x14ac:dyDescent="0.25">
      <c r="A309" s="29">
        <v>18</v>
      </c>
      <c r="B309" s="29">
        <v>24606</v>
      </c>
      <c r="C309" s="29">
        <v>1</v>
      </c>
      <c r="D309" s="29" t="s">
        <v>713</v>
      </c>
      <c r="E309" s="29">
        <v>10</v>
      </c>
      <c r="F309" s="29">
        <v>2</v>
      </c>
      <c r="G309" s="29">
        <v>5</v>
      </c>
      <c r="H309" s="29">
        <v>0</v>
      </c>
      <c r="I309" s="29">
        <v>0</v>
      </c>
      <c r="J309" s="29">
        <v>7</v>
      </c>
      <c r="K309" s="29">
        <v>31.399999618530273</v>
      </c>
      <c r="L309" s="19" t="str">
        <f t="shared" si="32"/>
        <v>Просадка</v>
      </c>
      <c r="M309" s="12">
        <f t="shared" si="33"/>
        <v>16</v>
      </c>
      <c r="N309" s="12">
        <f t="shared" si="34"/>
        <v>6</v>
      </c>
      <c r="O309" s="12">
        <f t="shared" si="35"/>
        <v>0</v>
      </c>
      <c r="P309" s="12">
        <f t="shared" si="36"/>
        <v>0</v>
      </c>
      <c r="Q309" s="12">
        <f t="shared" si="37"/>
        <v>4</v>
      </c>
      <c r="R309" s="12">
        <f t="shared" si="38"/>
        <v>7</v>
      </c>
      <c r="S309" s="12">
        <f t="shared" si="39"/>
        <v>16</v>
      </c>
      <c r="T309" s="29">
        <v>6</v>
      </c>
      <c r="U309" s="29">
        <v>0</v>
      </c>
      <c r="V309" s="29">
        <v>0</v>
      </c>
      <c r="W309" s="29">
        <v>0</v>
      </c>
      <c r="X309" s="29">
        <v>0</v>
      </c>
      <c r="Y309" s="29">
        <v>0</v>
      </c>
      <c r="Z309" s="29">
        <v>0</v>
      </c>
      <c r="AA309" s="29">
        <v>0</v>
      </c>
      <c r="AB309" s="29">
        <v>0</v>
      </c>
      <c r="AC309" s="29">
        <v>4</v>
      </c>
      <c r="AD309" s="29">
        <v>0</v>
      </c>
      <c r="AE309" s="29">
        <v>0</v>
      </c>
      <c r="AF309" s="29">
        <v>7</v>
      </c>
      <c r="AG309" s="29">
        <v>0</v>
      </c>
      <c r="AH309" s="29">
        <v>0</v>
      </c>
      <c r="AI309" s="29">
        <v>16</v>
      </c>
      <c r="AJ309" s="29">
        <v>0</v>
      </c>
      <c r="AK309" s="29">
        <v>0</v>
      </c>
      <c r="AL309" s="29">
        <v>33</v>
      </c>
      <c r="AM309" s="29">
        <v>0</v>
      </c>
      <c r="AN309" s="29">
        <v>0</v>
      </c>
      <c r="AO309" s="29">
        <v>0</v>
      </c>
      <c r="AP309" s="29">
        <v>0</v>
      </c>
    </row>
    <row r="310" spans="1:42" x14ac:dyDescent="0.25">
      <c r="A310" s="29">
        <v>18</v>
      </c>
      <c r="B310" s="29">
        <v>24606</v>
      </c>
      <c r="C310" s="29">
        <v>1</v>
      </c>
      <c r="D310" s="29" t="s">
        <v>714</v>
      </c>
      <c r="E310" s="29">
        <v>10</v>
      </c>
      <c r="F310" s="29">
        <v>6</v>
      </c>
      <c r="G310" s="29">
        <v>3</v>
      </c>
      <c r="H310" s="29">
        <v>0</v>
      </c>
      <c r="I310" s="29">
        <v>0</v>
      </c>
      <c r="J310" s="29">
        <v>9</v>
      </c>
      <c r="K310" s="29">
        <v>20</v>
      </c>
      <c r="L310" s="19" t="str">
        <f t="shared" si="32"/>
        <v>Просадка</v>
      </c>
      <c r="M310" s="12">
        <f t="shared" si="33"/>
        <v>10</v>
      </c>
      <c r="N310" s="12">
        <f t="shared" si="34"/>
        <v>5</v>
      </c>
      <c r="O310" s="12">
        <f t="shared" si="35"/>
        <v>0</v>
      </c>
      <c r="P310" s="12">
        <f t="shared" si="36"/>
        <v>1</v>
      </c>
      <c r="Q310" s="12">
        <f t="shared" si="37"/>
        <v>2</v>
      </c>
      <c r="R310" s="12">
        <f t="shared" si="38"/>
        <v>1</v>
      </c>
      <c r="S310" s="12">
        <f t="shared" si="39"/>
        <v>10</v>
      </c>
      <c r="T310" s="29">
        <v>5</v>
      </c>
      <c r="U310" s="29">
        <v>0</v>
      </c>
      <c r="V310" s="29">
        <v>0</v>
      </c>
      <c r="W310" s="29">
        <v>0</v>
      </c>
      <c r="X310" s="29">
        <v>0</v>
      </c>
      <c r="Y310" s="29">
        <v>0</v>
      </c>
      <c r="Z310" s="29">
        <v>1</v>
      </c>
      <c r="AA310" s="29">
        <v>0</v>
      </c>
      <c r="AB310" s="29">
        <v>0</v>
      </c>
      <c r="AC310" s="29">
        <v>2</v>
      </c>
      <c r="AD310" s="29">
        <v>0</v>
      </c>
      <c r="AE310" s="29">
        <v>0</v>
      </c>
      <c r="AF310" s="29">
        <v>1</v>
      </c>
      <c r="AG310" s="29">
        <v>0</v>
      </c>
      <c r="AH310" s="29">
        <v>0</v>
      </c>
      <c r="AI310" s="29">
        <v>10</v>
      </c>
      <c r="AJ310" s="29">
        <v>0</v>
      </c>
      <c r="AK310" s="29">
        <v>0</v>
      </c>
      <c r="AL310" s="29">
        <v>19</v>
      </c>
      <c r="AM310" s="29">
        <v>0</v>
      </c>
      <c r="AN310" s="29">
        <v>0</v>
      </c>
      <c r="AO310" s="29">
        <v>0</v>
      </c>
      <c r="AP310" s="29">
        <v>0</v>
      </c>
    </row>
    <row r="311" spans="1:42" x14ac:dyDescent="0.25">
      <c r="A311" s="29">
        <v>18</v>
      </c>
      <c r="B311" s="29">
        <v>24606</v>
      </c>
      <c r="C311" s="29">
        <v>1</v>
      </c>
      <c r="D311" s="29" t="s">
        <v>715</v>
      </c>
      <c r="E311" s="29" t="s">
        <v>913</v>
      </c>
      <c r="F311" s="29">
        <v>9</v>
      </c>
      <c r="G311" s="29">
        <v>4</v>
      </c>
      <c r="H311" s="29">
        <v>1</v>
      </c>
      <c r="I311" s="29">
        <v>0</v>
      </c>
      <c r="J311" s="29">
        <v>14</v>
      </c>
      <c r="K311" s="29">
        <v>28.600000381469727</v>
      </c>
      <c r="L311" s="19" t="str">
        <f t="shared" si="32"/>
        <v>Рихтовка</v>
      </c>
      <c r="M311" s="12">
        <f t="shared" si="33"/>
        <v>23</v>
      </c>
      <c r="N311" s="12">
        <f t="shared" si="34"/>
        <v>23</v>
      </c>
      <c r="O311" s="12">
        <f t="shared" si="35"/>
        <v>5</v>
      </c>
      <c r="P311" s="12">
        <f t="shared" si="36"/>
        <v>22</v>
      </c>
      <c r="Q311" s="12">
        <f t="shared" si="37"/>
        <v>11</v>
      </c>
      <c r="R311" s="12">
        <f t="shared" si="38"/>
        <v>10</v>
      </c>
      <c r="S311" s="12">
        <f t="shared" si="39"/>
        <v>7</v>
      </c>
      <c r="T311" s="29">
        <v>23</v>
      </c>
      <c r="U311" s="29">
        <v>0</v>
      </c>
      <c r="V311" s="29">
        <v>0</v>
      </c>
      <c r="W311" s="29">
        <v>5</v>
      </c>
      <c r="X311" s="29">
        <v>0</v>
      </c>
      <c r="Y311" s="29">
        <v>0</v>
      </c>
      <c r="Z311" s="29">
        <v>22</v>
      </c>
      <c r="AA311" s="29">
        <v>0</v>
      </c>
      <c r="AB311" s="29">
        <v>0</v>
      </c>
      <c r="AC311" s="29">
        <v>11</v>
      </c>
      <c r="AD311" s="29">
        <v>0</v>
      </c>
      <c r="AE311" s="29">
        <v>0</v>
      </c>
      <c r="AF311" s="29">
        <v>10</v>
      </c>
      <c r="AG311" s="29">
        <v>0</v>
      </c>
      <c r="AH311" s="29">
        <v>0</v>
      </c>
      <c r="AI311" s="29">
        <v>7</v>
      </c>
      <c r="AJ311" s="29">
        <v>0</v>
      </c>
      <c r="AK311" s="29">
        <v>0</v>
      </c>
      <c r="AL311" s="29">
        <v>78</v>
      </c>
      <c r="AM311" s="29">
        <v>0</v>
      </c>
      <c r="AN311" s="29">
        <v>0</v>
      </c>
      <c r="AO311" s="29">
        <v>0</v>
      </c>
      <c r="AP311" s="29">
        <v>0</v>
      </c>
    </row>
    <row r="312" spans="1:42" x14ac:dyDescent="0.25">
      <c r="A312" s="29">
        <v>18</v>
      </c>
      <c r="B312" s="29">
        <v>24606</v>
      </c>
      <c r="C312" s="29">
        <v>1</v>
      </c>
      <c r="D312" s="29" t="s">
        <v>716</v>
      </c>
      <c r="E312" s="29">
        <v>12</v>
      </c>
      <c r="F312" s="29">
        <v>4</v>
      </c>
      <c r="G312" s="29">
        <v>1</v>
      </c>
      <c r="H312" s="29">
        <v>0</v>
      </c>
      <c r="I312" s="29">
        <v>1</v>
      </c>
      <c r="J312" s="29">
        <v>6</v>
      </c>
      <c r="K312" s="29">
        <v>96.699996948242188</v>
      </c>
      <c r="L312" s="19" t="str">
        <f t="shared" si="32"/>
        <v>Рихтовка</v>
      </c>
      <c r="M312" s="12">
        <f t="shared" si="33"/>
        <v>10</v>
      </c>
      <c r="N312" s="12">
        <f t="shared" si="34"/>
        <v>10</v>
      </c>
      <c r="O312" s="12">
        <f t="shared" si="35"/>
        <v>0</v>
      </c>
      <c r="P312" s="12">
        <f t="shared" si="36"/>
        <v>4</v>
      </c>
      <c r="Q312" s="12">
        <f t="shared" si="37"/>
        <v>3</v>
      </c>
      <c r="R312" s="12">
        <f t="shared" si="38"/>
        <v>6</v>
      </c>
      <c r="S312" s="12">
        <f t="shared" si="39"/>
        <v>4</v>
      </c>
      <c r="T312" s="29">
        <v>9</v>
      </c>
      <c r="U312" s="29">
        <v>0</v>
      </c>
      <c r="V312" s="29">
        <v>1</v>
      </c>
      <c r="W312" s="29">
        <v>0</v>
      </c>
      <c r="X312" s="29">
        <v>0</v>
      </c>
      <c r="Y312" s="29">
        <v>0</v>
      </c>
      <c r="Z312" s="29">
        <v>4</v>
      </c>
      <c r="AA312" s="29">
        <v>0</v>
      </c>
      <c r="AB312" s="29">
        <v>0</v>
      </c>
      <c r="AC312" s="29">
        <v>3</v>
      </c>
      <c r="AD312" s="29">
        <v>0</v>
      </c>
      <c r="AE312" s="29">
        <v>0</v>
      </c>
      <c r="AF312" s="29">
        <v>6</v>
      </c>
      <c r="AG312" s="29">
        <v>0</v>
      </c>
      <c r="AH312" s="29">
        <v>0</v>
      </c>
      <c r="AI312" s="29">
        <v>4</v>
      </c>
      <c r="AJ312" s="29">
        <v>0</v>
      </c>
      <c r="AK312" s="29">
        <v>0</v>
      </c>
      <c r="AL312" s="29">
        <v>26</v>
      </c>
      <c r="AM312" s="29">
        <v>0</v>
      </c>
      <c r="AN312" s="29">
        <v>1</v>
      </c>
      <c r="AO312" s="29">
        <v>0</v>
      </c>
      <c r="AP312" s="29">
        <v>0</v>
      </c>
    </row>
    <row r="313" spans="1:42" x14ac:dyDescent="0.25">
      <c r="A313" s="29">
        <v>18</v>
      </c>
      <c r="B313" s="29">
        <v>24606</v>
      </c>
      <c r="C313" s="29">
        <v>1</v>
      </c>
      <c r="D313" s="29" t="s">
        <v>717</v>
      </c>
      <c r="E313" s="29">
        <v>12</v>
      </c>
      <c r="F313" s="29">
        <v>7</v>
      </c>
      <c r="G313" s="29">
        <v>3</v>
      </c>
      <c r="H313" s="29">
        <v>0</v>
      </c>
      <c r="I313" s="29">
        <v>0</v>
      </c>
      <c r="J313" s="29">
        <v>10</v>
      </c>
      <c r="K313" s="29">
        <v>19</v>
      </c>
      <c r="L313" s="19" t="str">
        <f t="shared" si="32"/>
        <v>Рихтовка</v>
      </c>
      <c r="M313" s="12">
        <f t="shared" si="33"/>
        <v>16</v>
      </c>
      <c r="N313" s="12">
        <f t="shared" si="34"/>
        <v>16</v>
      </c>
      <c r="O313" s="12">
        <f t="shared" si="35"/>
        <v>0</v>
      </c>
      <c r="P313" s="12">
        <f t="shared" si="36"/>
        <v>0</v>
      </c>
      <c r="Q313" s="12">
        <f t="shared" si="37"/>
        <v>0</v>
      </c>
      <c r="R313" s="12">
        <f t="shared" si="38"/>
        <v>11</v>
      </c>
      <c r="S313" s="12">
        <f t="shared" si="39"/>
        <v>1</v>
      </c>
      <c r="T313" s="29">
        <v>16</v>
      </c>
      <c r="U313" s="29">
        <v>0</v>
      </c>
      <c r="V313" s="29">
        <v>0</v>
      </c>
      <c r="W313" s="29">
        <v>0</v>
      </c>
      <c r="X313" s="29">
        <v>0</v>
      </c>
      <c r="Y313" s="29">
        <v>0</v>
      </c>
      <c r="Z313" s="29">
        <v>0</v>
      </c>
      <c r="AA313" s="29">
        <v>0</v>
      </c>
      <c r="AB313" s="29">
        <v>0</v>
      </c>
      <c r="AC313" s="29">
        <v>0</v>
      </c>
      <c r="AD313" s="29">
        <v>0</v>
      </c>
      <c r="AE313" s="29">
        <v>0</v>
      </c>
      <c r="AF313" s="29">
        <v>11</v>
      </c>
      <c r="AG313" s="29">
        <v>0</v>
      </c>
      <c r="AH313" s="29">
        <v>0</v>
      </c>
      <c r="AI313" s="29">
        <v>1</v>
      </c>
      <c r="AJ313" s="29">
        <v>0</v>
      </c>
      <c r="AK313" s="29">
        <v>0</v>
      </c>
      <c r="AL313" s="29">
        <v>28</v>
      </c>
      <c r="AM313" s="29">
        <v>0</v>
      </c>
      <c r="AN313" s="29">
        <v>0</v>
      </c>
      <c r="AO313" s="29">
        <v>0</v>
      </c>
      <c r="AP313" s="29">
        <v>0</v>
      </c>
    </row>
    <row r="314" spans="1:42" x14ac:dyDescent="0.25">
      <c r="A314" s="29">
        <v>18</v>
      </c>
      <c r="B314" s="29">
        <v>24607</v>
      </c>
      <c r="C314" s="29">
        <v>1</v>
      </c>
      <c r="D314" s="29" t="s">
        <v>718</v>
      </c>
      <c r="E314" s="29"/>
      <c r="F314" s="29">
        <v>0</v>
      </c>
      <c r="G314" s="29">
        <v>0</v>
      </c>
      <c r="H314" s="29">
        <v>0</v>
      </c>
      <c r="I314" s="29">
        <v>0</v>
      </c>
      <c r="J314" s="29">
        <v>0</v>
      </c>
      <c r="K314" s="29" t="s">
        <v>882</v>
      </c>
      <c r="L314" s="19" t="str">
        <f t="shared" si="32"/>
        <v>Рихтовка</v>
      </c>
      <c r="M314" s="12">
        <f t="shared" si="33"/>
        <v>0</v>
      </c>
      <c r="N314" s="12">
        <f t="shared" si="34"/>
        <v>0</v>
      </c>
      <c r="O314" s="12">
        <f t="shared" si="35"/>
        <v>0</v>
      </c>
      <c r="P314" s="12">
        <f t="shared" si="36"/>
        <v>0</v>
      </c>
      <c r="Q314" s="12">
        <f t="shared" si="37"/>
        <v>0</v>
      </c>
      <c r="R314" s="12">
        <f t="shared" si="38"/>
        <v>0</v>
      </c>
      <c r="S314" s="12">
        <f t="shared" si="39"/>
        <v>0</v>
      </c>
      <c r="T314" s="29">
        <v>0</v>
      </c>
      <c r="U314" s="29">
        <v>0</v>
      </c>
      <c r="V314" s="29">
        <v>0</v>
      </c>
      <c r="W314" s="29">
        <v>0</v>
      </c>
      <c r="X314" s="29">
        <v>0</v>
      </c>
      <c r="Y314" s="29">
        <v>0</v>
      </c>
      <c r="Z314" s="29">
        <v>0</v>
      </c>
      <c r="AA314" s="29">
        <v>0</v>
      </c>
      <c r="AB314" s="29">
        <v>0</v>
      </c>
      <c r="AC314" s="29">
        <v>0</v>
      </c>
      <c r="AD314" s="29">
        <v>0</v>
      </c>
      <c r="AE314" s="29">
        <v>0</v>
      </c>
      <c r="AF314" s="29">
        <v>0</v>
      </c>
      <c r="AG314" s="29">
        <v>0</v>
      </c>
      <c r="AH314" s="29">
        <v>0</v>
      </c>
      <c r="AI314" s="29">
        <v>0</v>
      </c>
      <c r="AJ314" s="29">
        <v>0</v>
      </c>
      <c r="AK314" s="29">
        <v>0</v>
      </c>
      <c r="AL314" s="29">
        <v>0</v>
      </c>
      <c r="AM314" s="29">
        <v>0</v>
      </c>
      <c r="AN314" s="29">
        <v>0</v>
      </c>
      <c r="AO314" s="29">
        <v>0</v>
      </c>
      <c r="AP314" s="29">
        <v>0</v>
      </c>
    </row>
    <row r="315" spans="1:42" x14ac:dyDescent="0.25">
      <c r="A315" s="29">
        <v>18</v>
      </c>
      <c r="B315" s="29">
        <v>24607</v>
      </c>
      <c r="C315" s="29">
        <v>1</v>
      </c>
      <c r="D315" s="29" t="s">
        <v>719</v>
      </c>
      <c r="E315" s="29"/>
      <c r="F315" s="29">
        <v>0</v>
      </c>
      <c r="G315" s="29">
        <v>0</v>
      </c>
      <c r="H315" s="29">
        <v>0</v>
      </c>
      <c r="I315" s="29">
        <v>0</v>
      </c>
      <c r="J315" s="29">
        <v>0</v>
      </c>
      <c r="K315" s="29" t="s">
        <v>882</v>
      </c>
      <c r="L315" s="19" t="str">
        <f t="shared" si="32"/>
        <v>Рихтовка</v>
      </c>
      <c r="M315" s="12">
        <f t="shared" si="33"/>
        <v>0</v>
      </c>
      <c r="N315" s="12">
        <f t="shared" si="34"/>
        <v>0</v>
      </c>
      <c r="O315" s="12">
        <f t="shared" si="35"/>
        <v>0</v>
      </c>
      <c r="P315" s="12">
        <f t="shared" si="36"/>
        <v>0</v>
      </c>
      <c r="Q315" s="12">
        <f t="shared" si="37"/>
        <v>0</v>
      </c>
      <c r="R315" s="12">
        <f t="shared" si="38"/>
        <v>0</v>
      </c>
      <c r="S315" s="12">
        <f t="shared" si="39"/>
        <v>0</v>
      </c>
      <c r="T315" s="29">
        <v>0</v>
      </c>
      <c r="U315" s="29">
        <v>0</v>
      </c>
      <c r="V315" s="29">
        <v>0</v>
      </c>
      <c r="W315" s="29">
        <v>0</v>
      </c>
      <c r="X315" s="29">
        <v>0</v>
      </c>
      <c r="Y315" s="29">
        <v>0</v>
      </c>
      <c r="Z315" s="29">
        <v>0</v>
      </c>
      <c r="AA315" s="29">
        <v>0</v>
      </c>
      <c r="AB315" s="29">
        <v>0</v>
      </c>
      <c r="AC315" s="29">
        <v>0</v>
      </c>
      <c r="AD315" s="29">
        <v>0</v>
      </c>
      <c r="AE315" s="29">
        <v>0</v>
      </c>
      <c r="AF315" s="29">
        <v>0</v>
      </c>
      <c r="AG315" s="29">
        <v>0</v>
      </c>
      <c r="AH315" s="29">
        <v>0</v>
      </c>
      <c r="AI315" s="29">
        <v>0</v>
      </c>
      <c r="AJ315" s="29">
        <v>0</v>
      </c>
      <c r="AK315" s="29">
        <v>0</v>
      </c>
      <c r="AL315" s="29">
        <v>0</v>
      </c>
      <c r="AM315" s="29">
        <v>0</v>
      </c>
      <c r="AN315" s="29">
        <v>0</v>
      </c>
      <c r="AO315" s="29">
        <v>0</v>
      </c>
      <c r="AP315" s="29">
        <v>0</v>
      </c>
    </row>
    <row r="316" spans="1:42" x14ac:dyDescent="0.25">
      <c r="A316" s="29">
        <v>18</v>
      </c>
      <c r="B316" s="29">
        <v>24607</v>
      </c>
      <c r="C316" s="29">
        <v>2</v>
      </c>
      <c r="D316" s="29" t="s">
        <v>720</v>
      </c>
      <c r="E316" s="29" t="s">
        <v>914</v>
      </c>
      <c r="F316" s="29">
        <v>6.0190000534057617</v>
      </c>
      <c r="G316" s="29">
        <v>4</v>
      </c>
      <c r="H316" s="29">
        <v>0</v>
      </c>
      <c r="I316" s="29">
        <v>0</v>
      </c>
      <c r="J316" s="29">
        <v>10.019000053405762</v>
      </c>
      <c r="K316" s="29">
        <v>22</v>
      </c>
      <c r="L316" s="19" t="str">
        <f t="shared" si="32"/>
        <v>Перекос</v>
      </c>
      <c r="M316" s="12">
        <f t="shared" si="33"/>
        <v>12</v>
      </c>
      <c r="N316" s="12">
        <f t="shared" si="34"/>
        <v>7</v>
      </c>
      <c r="O316" s="12">
        <f t="shared" si="35"/>
        <v>8</v>
      </c>
      <c r="P316" s="12">
        <f t="shared" si="36"/>
        <v>0</v>
      </c>
      <c r="Q316" s="12">
        <f t="shared" si="37"/>
        <v>6</v>
      </c>
      <c r="R316" s="12">
        <f t="shared" si="38"/>
        <v>12</v>
      </c>
      <c r="S316" s="12">
        <f t="shared" si="39"/>
        <v>5</v>
      </c>
      <c r="T316" s="29">
        <v>7</v>
      </c>
      <c r="U316" s="29">
        <v>0</v>
      </c>
      <c r="V316" s="29">
        <v>0</v>
      </c>
      <c r="W316" s="29">
        <v>8</v>
      </c>
      <c r="X316" s="29">
        <v>0</v>
      </c>
      <c r="Y316" s="29">
        <v>0</v>
      </c>
      <c r="Z316" s="29">
        <v>0</v>
      </c>
      <c r="AA316" s="29">
        <v>0</v>
      </c>
      <c r="AB316" s="29">
        <v>0</v>
      </c>
      <c r="AC316" s="29">
        <v>6</v>
      </c>
      <c r="AD316" s="29">
        <v>0</v>
      </c>
      <c r="AE316" s="29">
        <v>0</v>
      </c>
      <c r="AF316" s="29">
        <v>12</v>
      </c>
      <c r="AG316" s="29">
        <v>0</v>
      </c>
      <c r="AH316" s="29">
        <v>0</v>
      </c>
      <c r="AI316" s="29">
        <v>5</v>
      </c>
      <c r="AJ316" s="29">
        <v>0</v>
      </c>
      <c r="AK316" s="29">
        <v>0</v>
      </c>
      <c r="AL316" s="29">
        <v>38</v>
      </c>
      <c r="AM316" s="29">
        <v>0</v>
      </c>
      <c r="AN316" s="29">
        <v>0</v>
      </c>
      <c r="AO316" s="29">
        <v>0</v>
      </c>
      <c r="AP316" s="29">
        <v>0</v>
      </c>
    </row>
    <row r="317" spans="1:42" x14ac:dyDescent="0.25">
      <c r="A317" s="29">
        <v>18</v>
      </c>
      <c r="B317" s="29">
        <v>24607</v>
      </c>
      <c r="C317" s="29">
        <v>2</v>
      </c>
      <c r="D317" s="29" t="s">
        <v>718</v>
      </c>
      <c r="E317" s="29">
        <v>13</v>
      </c>
      <c r="F317" s="29">
        <v>6</v>
      </c>
      <c r="G317" s="29">
        <v>0</v>
      </c>
      <c r="H317" s="29">
        <v>0</v>
      </c>
      <c r="I317" s="29">
        <v>0</v>
      </c>
      <c r="J317" s="29">
        <v>6</v>
      </c>
      <c r="K317" s="29">
        <v>10</v>
      </c>
      <c r="L317" s="19" t="str">
        <f t="shared" si="32"/>
        <v>Уширение</v>
      </c>
      <c r="M317" s="12">
        <f t="shared" si="33"/>
        <v>3</v>
      </c>
      <c r="N317" s="12">
        <f t="shared" si="34"/>
        <v>2</v>
      </c>
      <c r="O317" s="12">
        <f t="shared" si="35"/>
        <v>3</v>
      </c>
      <c r="P317" s="12">
        <f t="shared" si="36"/>
        <v>0</v>
      </c>
      <c r="Q317" s="12">
        <f t="shared" si="37"/>
        <v>0</v>
      </c>
      <c r="R317" s="12">
        <f t="shared" si="38"/>
        <v>1</v>
      </c>
      <c r="S317" s="12">
        <f t="shared" si="39"/>
        <v>2</v>
      </c>
      <c r="T317" s="29">
        <v>2</v>
      </c>
      <c r="U317" s="29">
        <v>0</v>
      </c>
      <c r="V317" s="29">
        <v>0</v>
      </c>
      <c r="W317" s="29">
        <v>3</v>
      </c>
      <c r="X317" s="29">
        <v>0</v>
      </c>
      <c r="Y317" s="29">
        <v>0</v>
      </c>
      <c r="Z317" s="29">
        <v>0</v>
      </c>
      <c r="AA317" s="29">
        <v>0</v>
      </c>
      <c r="AB317" s="29">
        <v>0</v>
      </c>
      <c r="AC317" s="29">
        <v>0</v>
      </c>
      <c r="AD317" s="29">
        <v>0</v>
      </c>
      <c r="AE317" s="29">
        <v>0</v>
      </c>
      <c r="AF317" s="29">
        <v>1</v>
      </c>
      <c r="AG317" s="29">
        <v>0</v>
      </c>
      <c r="AH317" s="29">
        <v>0</v>
      </c>
      <c r="AI317" s="29">
        <v>2</v>
      </c>
      <c r="AJ317" s="29">
        <v>0</v>
      </c>
      <c r="AK317" s="29">
        <v>0</v>
      </c>
      <c r="AL317" s="29">
        <v>8</v>
      </c>
      <c r="AM317" s="29">
        <v>0</v>
      </c>
      <c r="AN317" s="29">
        <v>0</v>
      </c>
      <c r="AO317" s="29">
        <v>0</v>
      </c>
      <c r="AP317" s="29">
        <v>0</v>
      </c>
    </row>
    <row r="318" spans="1:42" x14ac:dyDescent="0.25">
      <c r="A318" s="29">
        <v>18</v>
      </c>
      <c r="B318" s="29">
        <v>24607</v>
      </c>
      <c r="C318" s="29">
        <v>2</v>
      </c>
      <c r="D318" s="29" t="s">
        <v>955</v>
      </c>
      <c r="E318" s="29">
        <v>13</v>
      </c>
      <c r="F318" s="29">
        <v>4</v>
      </c>
      <c r="G318" s="29">
        <v>1</v>
      </c>
      <c r="H318" s="29">
        <v>0</v>
      </c>
      <c r="I318" s="29">
        <v>0</v>
      </c>
      <c r="J318" s="29">
        <v>5</v>
      </c>
      <c r="K318" s="29">
        <v>16</v>
      </c>
      <c r="L318" s="19" t="str">
        <f t="shared" si="32"/>
        <v>Уширение</v>
      </c>
      <c r="M318" s="12">
        <f t="shared" si="33"/>
        <v>5</v>
      </c>
      <c r="N318" s="12">
        <f t="shared" si="34"/>
        <v>1</v>
      </c>
      <c r="O318" s="12">
        <f t="shared" si="35"/>
        <v>5</v>
      </c>
      <c r="P318" s="12">
        <f t="shared" si="36"/>
        <v>0</v>
      </c>
      <c r="Q318" s="12">
        <f t="shared" si="37"/>
        <v>1</v>
      </c>
      <c r="R318" s="12">
        <f t="shared" si="38"/>
        <v>0</v>
      </c>
      <c r="S318" s="12">
        <f t="shared" si="39"/>
        <v>2</v>
      </c>
      <c r="T318" s="29">
        <v>1</v>
      </c>
      <c r="U318" s="29">
        <v>0</v>
      </c>
      <c r="V318" s="29">
        <v>0</v>
      </c>
      <c r="W318" s="29">
        <v>5</v>
      </c>
      <c r="X318" s="29">
        <v>0</v>
      </c>
      <c r="Y318" s="29">
        <v>0</v>
      </c>
      <c r="Z318" s="29">
        <v>0</v>
      </c>
      <c r="AA318" s="29">
        <v>0</v>
      </c>
      <c r="AB318" s="29">
        <v>0</v>
      </c>
      <c r="AC318" s="29">
        <v>1</v>
      </c>
      <c r="AD318" s="29">
        <v>0</v>
      </c>
      <c r="AE318" s="29">
        <v>0</v>
      </c>
      <c r="AF318" s="29">
        <v>0</v>
      </c>
      <c r="AG318" s="29">
        <v>0</v>
      </c>
      <c r="AH318" s="29">
        <v>0</v>
      </c>
      <c r="AI318" s="29">
        <v>2</v>
      </c>
      <c r="AJ318" s="29">
        <v>0</v>
      </c>
      <c r="AK318" s="29">
        <v>0</v>
      </c>
      <c r="AL318" s="29">
        <v>9</v>
      </c>
      <c r="AM318" s="29">
        <v>0</v>
      </c>
      <c r="AN318" s="29">
        <v>0</v>
      </c>
      <c r="AO318" s="29">
        <v>0</v>
      </c>
      <c r="AP318" s="29">
        <v>0</v>
      </c>
    </row>
    <row r="319" spans="1:42" x14ac:dyDescent="0.25">
      <c r="A319" s="29">
        <v>18</v>
      </c>
      <c r="B319" s="29">
        <v>24607</v>
      </c>
      <c r="C319" s="29">
        <v>2</v>
      </c>
      <c r="D319" s="29" t="s">
        <v>719</v>
      </c>
      <c r="E319" s="29" t="s">
        <v>954</v>
      </c>
      <c r="F319" s="29">
        <v>5.249000072479248</v>
      </c>
      <c r="G319" s="29">
        <v>0</v>
      </c>
      <c r="H319" s="29">
        <v>0</v>
      </c>
      <c r="I319" s="29">
        <v>0</v>
      </c>
      <c r="J319" s="29">
        <v>5.249000072479248</v>
      </c>
      <c r="K319" s="29">
        <v>10</v>
      </c>
      <c r="L319" s="19" t="str">
        <f t="shared" si="32"/>
        <v>Уширение</v>
      </c>
      <c r="M319" s="12">
        <f t="shared" si="33"/>
        <v>6</v>
      </c>
      <c r="N319" s="12">
        <f t="shared" si="34"/>
        <v>1</v>
      </c>
      <c r="O319" s="12">
        <f t="shared" si="35"/>
        <v>6</v>
      </c>
      <c r="P319" s="12">
        <f t="shared" si="36"/>
        <v>0</v>
      </c>
      <c r="Q319" s="12">
        <f t="shared" si="37"/>
        <v>0</v>
      </c>
      <c r="R319" s="12">
        <f t="shared" si="38"/>
        <v>3</v>
      </c>
      <c r="S319" s="12">
        <f t="shared" si="39"/>
        <v>2</v>
      </c>
      <c r="T319" s="29">
        <v>1</v>
      </c>
      <c r="U319" s="29">
        <v>0</v>
      </c>
      <c r="V319" s="29">
        <v>0</v>
      </c>
      <c r="W319" s="29">
        <v>6</v>
      </c>
      <c r="X319" s="29">
        <v>0</v>
      </c>
      <c r="Y319" s="29">
        <v>0</v>
      </c>
      <c r="Z319" s="29">
        <v>0</v>
      </c>
      <c r="AA319" s="29">
        <v>0</v>
      </c>
      <c r="AB319" s="29">
        <v>0</v>
      </c>
      <c r="AC319" s="29">
        <v>0</v>
      </c>
      <c r="AD319" s="29">
        <v>0</v>
      </c>
      <c r="AE319" s="29">
        <v>0</v>
      </c>
      <c r="AF319" s="29">
        <v>3</v>
      </c>
      <c r="AG319" s="29">
        <v>0</v>
      </c>
      <c r="AH319" s="29">
        <v>0</v>
      </c>
      <c r="AI319" s="29">
        <v>2</v>
      </c>
      <c r="AJ319" s="29">
        <v>0</v>
      </c>
      <c r="AK319" s="29">
        <v>0</v>
      </c>
      <c r="AL319" s="29">
        <v>12</v>
      </c>
      <c r="AM319" s="29">
        <v>0</v>
      </c>
      <c r="AN319" s="29">
        <v>0</v>
      </c>
      <c r="AO319" s="29">
        <v>0</v>
      </c>
      <c r="AP319" s="29">
        <v>0</v>
      </c>
    </row>
    <row r="320" spans="1:42" x14ac:dyDescent="0.25">
      <c r="A320" s="29">
        <v>18</v>
      </c>
      <c r="B320" s="29">
        <v>24607</v>
      </c>
      <c r="C320" s="29">
        <v>3</v>
      </c>
      <c r="D320" s="29" t="s">
        <v>706</v>
      </c>
      <c r="E320" s="29"/>
      <c r="F320" s="29">
        <v>0</v>
      </c>
      <c r="G320" s="29">
        <v>0</v>
      </c>
      <c r="H320" s="29">
        <v>0</v>
      </c>
      <c r="I320" s="29">
        <v>0</v>
      </c>
      <c r="J320" s="29">
        <v>0</v>
      </c>
      <c r="K320" s="29" t="s">
        <v>882</v>
      </c>
      <c r="L320" s="19" t="str">
        <f t="shared" si="32"/>
        <v>Рихтовка</v>
      </c>
      <c r="M320" s="12">
        <f t="shared" si="33"/>
        <v>0</v>
      </c>
      <c r="N320" s="12">
        <f t="shared" si="34"/>
        <v>0</v>
      </c>
      <c r="O320" s="12">
        <f t="shared" si="35"/>
        <v>0</v>
      </c>
      <c r="P320" s="12">
        <f t="shared" si="36"/>
        <v>0</v>
      </c>
      <c r="Q320" s="12">
        <f t="shared" si="37"/>
        <v>0</v>
      </c>
      <c r="R320" s="12">
        <f t="shared" si="38"/>
        <v>0</v>
      </c>
      <c r="S320" s="12">
        <f t="shared" si="39"/>
        <v>0</v>
      </c>
      <c r="T320" s="29">
        <v>0</v>
      </c>
      <c r="U320" s="29">
        <v>0</v>
      </c>
      <c r="V320" s="29">
        <v>0</v>
      </c>
      <c r="W320" s="29">
        <v>0</v>
      </c>
      <c r="X320" s="29">
        <v>0</v>
      </c>
      <c r="Y320" s="29">
        <v>0</v>
      </c>
      <c r="Z320" s="29">
        <v>0</v>
      </c>
      <c r="AA320" s="29">
        <v>0</v>
      </c>
      <c r="AB320" s="29">
        <v>0</v>
      </c>
      <c r="AC320" s="29">
        <v>0</v>
      </c>
      <c r="AD320" s="29">
        <v>0</v>
      </c>
      <c r="AE320" s="29">
        <v>0</v>
      </c>
      <c r="AF320" s="29">
        <v>0</v>
      </c>
      <c r="AG320" s="29">
        <v>0</v>
      </c>
      <c r="AH320" s="29">
        <v>0</v>
      </c>
      <c r="AI320" s="29">
        <v>0</v>
      </c>
      <c r="AJ320" s="29">
        <v>0</v>
      </c>
      <c r="AK320" s="29">
        <v>0</v>
      </c>
      <c r="AL320" s="29">
        <v>0</v>
      </c>
      <c r="AM320" s="29">
        <v>0</v>
      </c>
      <c r="AN320" s="29">
        <v>0</v>
      </c>
      <c r="AO320" s="29">
        <v>0</v>
      </c>
      <c r="AP320" s="29">
        <v>0</v>
      </c>
    </row>
    <row r="321" spans="1:42" x14ac:dyDescent="0.25">
      <c r="A321" s="29">
        <v>19</v>
      </c>
      <c r="B321" s="29">
        <v>24606</v>
      </c>
      <c r="C321" s="29">
        <v>1</v>
      </c>
      <c r="D321" s="29" t="s">
        <v>721</v>
      </c>
      <c r="E321" s="29">
        <v>1</v>
      </c>
      <c r="F321" s="29">
        <v>2</v>
      </c>
      <c r="G321" s="29">
        <v>4</v>
      </c>
      <c r="H321" s="29">
        <v>1</v>
      </c>
      <c r="I321" s="29">
        <v>0</v>
      </c>
      <c r="J321" s="29">
        <v>7</v>
      </c>
      <c r="K321" s="29">
        <v>47.099998474121094</v>
      </c>
      <c r="L321" s="19" t="str">
        <f t="shared" si="32"/>
        <v>Перекос</v>
      </c>
      <c r="M321" s="12">
        <f t="shared" si="33"/>
        <v>22</v>
      </c>
      <c r="N321" s="12">
        <f t="shared" si="34"/>
        <v>16</v>
      </c>
      <c r="O321" s="12">
        <f t="shared" si="35"/>
        <v>9</v>
      </c>
      <c r="P321" s="12">
        <f t="shared" si="36"/>
        <v>0</v>
      </c>
      <c r="Q321" s="12">
        <f t="shared" si="37"/>
        <v>10</v>
      </c>
      <c r="R321" s="12">
        <f t="shared" si="38"/>
        <v>22</v>
      </c>
      <c r="S321" s="12">
        <f t="shared" si="39"/>
        <v>18</v>
      </c>
      <c r="T321" s="29">
        <v>15</v>
      </c>
      <c r="U321" s="29">
        <v>1</v>
      </c>
      <c r="V321" s="29">
        <v>0</v>
      </c>
      <c r="W321" s="29">
        <v>9</v>
      </c>
      <c r="X321" s="29">
        <v>0</v>
      </c>
      <c r="Y321" s="29">
        <v>0</v>
      </c>
      <c r="Z321" s="29">
        <v>0</v>
      </c>
      <c r="AA321" s="29">
        <v>0</v>
      </c>
      <c r="AB321" s="29">
        <v>0</v>
      </c>
      <c r="AC321" s="29">
        <v>10</v>
      </c>
      <c r="AD321" s="29">
        <v>0</v>
      </c>
      <c r="AE321" s="29">
        <v>0</v>
      </c>
      <c r="AF321" s="29">
        <v>22</v>
      </c>
      <c r="AG321" s="29">
        <v>0</v>
      </c>
      <c r="AH321" s="29">
        <v>0</v>
      </c>
      <c r="AI321" s="29">
        <v>18</v>
      </c>
      <c r="AJ321" s="29">
        <v>0</v>
      </c>
      <c r="AK321" s="29">
        <v>0</v>
      </c>
      <c r="AL321" s="29">
        <v>74</v>
      </c>
      <c r="AM321" s="29">
        <v>1</v>
      </c>
      <c r="AN321" s="29">
        <v>0</v>
      </c>
      <c r="AO321" s="29">
        <v>0</v>
      </c>
      <c r="AP321" s="29">
        <v>0</v>
      </c>
    </row>
    <row r="322" spans="1:42" x14ac:dyDescent="0.25">
      <c r="A322" s="29">
        <v>19</v>
      </c>
      <c r="B322" s="29">
        <v>24606</v>
      </c>
      <c r="C322" s="29">
        <v>1</v>
      </c>
      <c r="D322" s="29" t="s">
        <v>722</v>
      </c>
      <c r="E322" s="29">
        <v>1</v>
      </c>
      <c r="F322" s="29">
        <v>6</v>
      </c>
      <c r="G322" s="29">
        <v>7</v>
      </c>
      <c r="H322" s="29">
        <v>0</v>
      </c>
      <c r="I322" s="29">
        <v>0</v>
      </c>
      <c r="J322" s="29">
        <v>13</v>
      </c>
      <c r="K322" s="29">
        <v>26.200000762939453</v>
      </c>
      <c r="L322" s="19" t="str">
        <f t="shared" ref="L322:L385" si="40">IF($M322=N322,$N$1,IF($M322=O322,$O$1,IF($M322=P322,$P$1,IF($M322=Q322,$Q$1,IF($M322=R322,$R$1,$S$1)))))</f>
        <v>Просадка</v>
      </c>
      <c r="M322" s="12">
        <f t="shared" si="33"/>
        <v>27</v>
      </c>
      <c r="N322" s="12">
        <f t="shared" si="34"/>
        <v>10</v>
      </c>
      <c r="O322" s="12">
        <f t="shared" si="35"/>
        <v>5</v>
      </c>
      <c r="P322" s="12">
        <f t="shared" si="36"/>
        <v>0</v>
      </c>
      <c r="Q322" s="12">
        <f t="shared" si="37"/>
        <v>19</v>
      </c>
      <c r="R322" s="12">
        <f t="shared" si="38"/>
        <v>15</v>
      </c>
      <c r="S322" s="12">
        <f t="shared" si="39"/>
        <v>27</v>
      </c>
      <c r="T322" s="29">
        <v>10</v>
      </c>
      <c r="U322" s="29">
        <v>0</v>
      </c>
      <c r="V322" s="29">
        <v>0</v>
      </c>
      <c r="W322" s="29">
        <v>5</v>
      </c>
      <c r="X322" s="29">
        <v>0</v>
      </c>
      <c r="Y322" s="29">
        <v>0</v>
      </c>
      <c r="Z322" s="29">
        <v>0</v>
      </c>
      <c r="AA322" s="29">
        <v>0</v>
      </c>
      <c r="AB322" s="29">
        <v>0</v>
      </c>
      <c r="AC322" s="29">
        <v>19</v>
      </c>
      <c r="AD322" s="29">
        <v>0</v>
      </c>
      <c r="AE322" s="29">
        <v>0</v>
      </c>
      <c r="AF322" s="29">
        <v>15</v>
      </c>
      <c r="AG322" s="29">
        <v>0</v>
      </c>
      <c r="AH322" s="29">
        <v>0</v>
      </c>
      <c r="AI322" s="29">
        <v>27</v>
      </c>
      <c r="AJ322" s="29">
        <v>0</v>
      </c>
      <c r="AK322" s="29">
        <v>0</v>
      </c>
      <c r="AL322" s="29">
        <v>76</v>
      </c>
      <c r="AM322" s="29">
        <v>0</v>
      </c>
      <c r="AN322" s="29">
        <v>0</v>
      </c>
      <c r="AO322" s="29">
        <v>0</v>
      </c>
      <c r="AP322" s="29">
        <v>0</v>
      </c>
    </row>
    <row r="323" spans="1:42" x14ac:dyDescent="0.25">
      <c r="A323" s="29">
        <v>19</v>
      </c>
      <c r="B323" s="29">
        <v>24606</v>
      </c>
      <c r="C323" s="29">
        <v>1</v>
      </c>
      <c r="D323" s="29" t="s">
        <v>723</v>
      </c>
      <c r="E323" s="29" t="s">
        <v>881</v>
      </c>
      <c r="F323" s="29">
        <v>2</v>
      </c>
      <c r="G323" s="29">
        <v>6</v>
      </c>
      <c r="H323" s="29">
        <v>4</v>
      </c>
      <c r="I323" s="29">
        <v>0</v>
      </c>
      <c r="J323" s="29">
        <v>12</v>
      </c>
      <c r="K323" s="29">
        <v>71.699996948242188</v>
      </c>
      <c r="L323" s="19" t="str">
        <f t="shared" si="40"/>
        <v>Рихтовка</v>
      </c>
      <c r="M323" s="12">
        <f t="shared" ref="M323:M386" si="41">MAX(N323,O323,P323,Q323,R323,S323)</f>
        <v>44</v>
      </c>
      <c r="N323" s="12">
        <f t="shared" ref="N323:N386" si="42">T323+U323+V323</f>
        <v>44</v>
      </c>
      <c r="O323" s="12">
        <f t="shared" ref="O323:O386" si="43">W323+X323+Y323</f>
        <v>6</v>
      </c>
      <c r="P323" s="12">
        <f t="shared" ref="P323:P386" si="44">Z323+AA323+AB323</f>
        <v>0</v>
      </c>
      <c r="Q323" s="12">
        <f t="shared" ref="Q323:Q386" si="45">AC323+AD323+AE323</f>
        <v>25</v>
      </c>
      <c r="R323" s="12">
        <f t="shared" ref="R323:R386" si="46">AF323+AG323+AH323</f>
        <v>37</v>
      </c>
      <c r="S323" s="12">
        <f t="shared" ref="S323:S386" si="47">AI323+AJ323+AK323</f>
        <v>28</v>
      </c>
      <c r="T323" s="29">
        <v>42</v>
      </c>
      <c r="U323" s="29">
        <v>2</v>
      </c>
      <c r="V323" s="29">
        <v>0</v>
      </c>
      <c r="W323" s="29">
        <v>6</v>
      </c>
      <c r="X323" s="29">
        <v>0</v>
      </c>
      <c r="Y323" s="29">
        <v>0</v>
      </c>
      <c r="Z323" s="29">
        <v>0</v>
      </c>
      <c r="AA323" s="29">
        <v>0</v>
      </c>
      <c r="AB323" s="29">
        <v>0</v>
      </c>
      <c r="AC323" s="29">
        <v>25</v>
      </c>
      <c r="AD323" s="29">
        <v>0</v>
      </c>
      <c r="AE323" s="29">
        <v>0</v>
      </c>
      <c r="AF323" s="29">
        <v>36</v>
      </c>
      <c r="AG323" s="29">
        <v>1</v>
      </c>
      <c r="AH323" s="29">
        <v>0</v>
      </c>
      <c r="AI323" s="29">
        <v>28</v>
      </c>
      <c r="AJ323" s="29">
        <v>0</v>
      </c>
      <c r="AK323" s="29">
        <v>0</v>
      </c>
      <c r="AL323" s="29">
        <v>137</v>
      </c>
      <c r="AM323" s="29">
        <v>3</v>
      </c>
      <c r="AN323" s="29">
        <v>0</v>
      </c>
      <c r="AO323" s="29">
        <v>0</v>
      </c>
      <c r="AP323" s="29">
        <v>0</v>
      </c>
    </row>
    <row r="324" spans="1:42" x14ac:dyDescent="0.25">
      <c r="A324" s="29">
        <v>19</v>
      </c>
      <c r="B324" s="29">
        <v>24606</v>
      </c>
      <c r="C324" s="29">
        <v>1</v>
      </c>
      <c r="D324" s="29" t="s">
        <v>724</v>
      </c>
      <c r="E324" s="29">
        <v>2</v>
      </c>
      <c r="F324" s="29">
        <v>2</v>
      </c>
      <c r="G324" s="29">
        <v>6</v>
      </c>
      <c r="H324" s="29">
        <v>2</v>
      </c>
      <c r="I324" s="29">
        <v>0</v>
      </c>
      <c r="J324" s="29">
        <v>10</v>
      </c>
      <c r="K324" s="29">
        <v>56</v>
      </c>
      <c r="L324" s="19" t="str">
        <f t="shared" si="40"/>
        <v>Просадка</v>
      </c>
      <c r="M324" s="12">
        <f t="shared" si="41"/>
        <v>40</v>
      </c>
      <c r="N324" s="12">
        <f t="shared" si="42"/>
        <v>34</v>
      </c>
      <c r="O324" s="12">
        <f t="shared" si="43"/>
        <v>9</v>
      </c>
      <c r="P324" s="12">
        <f t="shared" si="44"/>
        <v>0</v>
      </c>
      <c r="Q324" s="12">
        <f t="shared" si="45"/>
        <v>10</v>
      </c>
      <c r="R324" s="12">
        <f t="shared" si="46"/>
        <v>15</v>
      </c>
      <c r="S324" s="12">
        <f t="shared" si="47"/>
        <v>40</v>
      </c>
      <c r="T324" s="29">
        <v>32</v>
      </c>
      <c r="U324" s="29">
        <v>2</v>
      </c>
      <c r="V324" s="29">
        <v>0</v>
      </c>
      <c r="W324" s="29">
        <v>9</v>
      </c>
      <c r="X324" s="29">
        <v>0</v>
      </c>
      <c r="Y324" s="29">
        <v>0</v>
      </c>
      <c r="Z324" s="29">
        <v>0</v>
      </c>
      <c r="AA324" s="29">
        <v>0</v>
      </c>
      <c r="AB324" s="29">
        <v>0</v>
      </c>
      <c r="AC324" s="29">
        <v>10</v>
      </c>
      <c r="AD324" s="29">
        <v>0</v>
      </c>
      <c r="AE324" s="29">
        <v>0</v>
      </c>
      <c r="AF324" s="29">
        <v>15</v>
      </c>
      <c r="AG324" s="29">
        <v>0</v>
      </c>
      <c r="AH324" s="29">
        <v>0</v>
      </c>
      <c r="AI324" s="29">
        <v>40</v>
      </c>
      <c r="AJ324" s="29">
        <v>0</v>
      </c>
      <c r="AK324" s="29">
        <v>0</v>
      </c>
      <c r="AL324" s="29">
        <v>106</v>
      </c>
      <c r="AM324" s="29">
        <v>2</v>
      </c>
      <c r="AN324" s="29">
        <v>0</v>
      </c>
      <c r="AO324" s="29">
        <v>0</v>
      </c>
      <c r="AP324" s="29">
        <v>0</v>
      </c>
    </row>
    <row r="325" spans="1:42" x14ac:dyDescent="0.25">
      <c r="A325" s="29">
        <v>19</v>
      </c>
      <c r="B325" s="29">
        <v>24606</v>
      </c>
      <c r="C325" s="29">
        <v>1</v>
      </c>
      <c r="D325" s="29" t="s">
        <v>725</v>
      </c>
      <c r="E325" s="29" t="s">
        <v>883</v>
      </c>
      <c r="F325" s="29">
        <v>2</v>
      </c>
      <c r="G325" s="29">
        <v>2.999000072479248</v>
      </c>
      <c r="H325" s="29">
        <v>0</v>
      </c>
      <c r="I325" s="29">
        <v>0</v>
      </c>
      <c r="J325" s="29">
        <v>4.999000072479248</v>
      </c>
      <c r="K325" s="29">
        <v>28</v>
      </c>
      <c r="L325" s="19" t="str">
        <f t="shared" si="40"/>
        <v>Рихтовка</v>
      </c>
      <c r="M325" s="12">
        <f t="shared" si="41"/>
        <v>8</v>
      </c>
      <c r="N325" s="12">
        <f t="shared" si="42"/>
        <v>8</v>
      </c>
      <c r="O325" s="12">
        <f t="shared" si="43"/>
        <v>5</v>
      </c>
      <c r="P325" s="12">
        <f t="shared" si="44"/>
        <v>0</v>
      </c>
      <c r="Q325" s="12">
        <f t="shared" si="45"/>
        <v>2</v>
      </c>
      <c r="R325" s="12">
        <f t="shared" si="46"/>
        <v>8</v>
      </c>
      <c r="S325" s="12">
        <f t="shared" si="47"/>
        <v>2</v>
      </c>
      <c r="T325" s="29">
        <v>8</v>
      </c>
      <c r="U325" s="29">
        <v>0</v>
      </c>
      <c r="V325" s="29">
        <v>0</v>
      </c>
      <c r="W325" s="29">
        <v>5</v>
      </c>
      <c r="X325" s="29">
        <v>0</v>
      </c>
      <c r="Y325" s="29">
        <v>0</v>
      </c>
      <c r="Z325" s="29">
        <v>0</v>
      </c>
      <c r="AA325" s="29">
        <v>0</v>
      </c>
      <c r="AB325" s="29">
        <v>0</v>
      </c>
      <c r="AC325" s="29">
        <v>2</v>
      </c>
      <c r="AD325" s="29">
        <v>0</v>
      </c>
      <c r="AE325" s="29">
        <v>0</v>
      </c>
      <c r="AF325" s="29">
        <v>8</v>
      </c>
      <c r="AG325" s="29">
        <v>0</v>
      </c>
      <c r="AH325" s="29">
        <v>0</v>
      </c>
      <c r="AI325" s="29">
        <v>2</v>
      </c>
      <c r="AJ325" s="29">
        <v>0</v>
      </c>
      <c r="AK325" s="29">
        <v>0</v>
      </c>
      <c r="AL325" s="29">
        <v>25</v>
      </c>
      <c r="AM325" s="29">
        <v>0</v>
      </c>
      <c r="AN325" s="29">
        <v>0</v>
      </c>
      <c r="AO325" s="29">
        <v>0</v>
      </c>
      <c r="AP325" s="29">
        <v>0</v>
      </c>
    </row>
    <row r="326" spans="1:42" x14ac:dyDescent="0.25">
      <c r="A326" s="29">
        <v>19</v>
      </c>
      <c r="B326" s="29">
        <v>24606</v>
      </c>
      <c r="C326" s="29">
        <v>1</v>
      </c>
      <c r="D326" s="29" t="s">
        <v>726</v>
      </c>
      <c r="E326" s="29">
        <v>3</v>
      </c>
      <c r="F326" s="29">
        <v>2</v>
      </c>
      <c r="G326" s="29">
        <v>7</v>
      </c>
      <c r="H326" s="29">
        <v>1</v>
      </c>
      <c r="I326" s="29">
        <v>0</v>
      </c>
      <c r="J326" s="29">
        <v>10</v>
      </c>
      <c r="K326" s="29">
        <v>45</v>
      </c>
      <c r="L326" s="19" t="str">
        <f t="shared" si="40"/>
        <v>Перекос</v>
      </c>
      <c r="M326" s="12">
        <f t="shared" si="41"/>
        <v>19</v>
      </c>
      <c r="N326" s="12">
        <f t="shared" si="42"/>
        <v>18</v>
      </c>
      <c r="O326" s="12">
        <f t="shared" si="43"/>
        <v>2</v>
      </c>
      <c r="P326" s="12">
        <f t="shared" si="44"/>
        <v>0</v>
      </c>
      <c r="Q326" s="12">
        <f t="shared" si="45"/>
        <v>6</v>
      </c>
      <c r="R326" s="12">
        <f t="shared" si="46"/>
        <v>19</v>
      </c>
      <c r="S326" s="12">
        <f t="shared" si="47"/>
        <v>6</v>
      </c>
      <c r="T326" s="29">
        <v>18</v>
      </c>
      <c r="U326" s="29">
        <v>0</v>
      </c>
      <c r="V326" s="29">
        <v>0</v>
      </c>
      <c r="W326" s="29">
        <v>2</v>
      </c>
      <c r="X326" s="29">
        <v>0</v>
      </c>
      <c r="Y326" s="29">
        <v>0</v>
      </c>
      <c r="Z326" s="29">
        <v>0</v>
      </c>
      <c r="AA326" s="29">
        <v>0</v>
      </c>
      <c r="AB326" s="29">
        <v>0</v>
      </c>
      <c r="AC326" s="29">
        <v>6</v>
      </c>
      <c r="AD326" s="29">
        <v>0</v>
      </c>
      <c r="AE326" s="29">
        <v>0</v>
      </c>
      <c r="AF326" s="29">
        <v>19</v>
      </c>
      <c r="AG326" s="29">
        <v>0</v>
      </c>
      <c r="AH326" s="29">
        <v>0</v>
      </c>
      <c r="AI326" s="29">
        <v>6</v>
      </c>
      <c r="AJ326" s="29">
        <v>0</v>
      </c>
      <c r="AK326" s="29">
        <v>0</v>
      </c>
      <c r="AL326" s="29">
        <v>51</v>
      </c>
      <c r="AM326" s="29">
        <v>0</v>
      </c>
      <c r="AN326" s="29">
        <v>0</v>
      </c>
      <c r="AO326" s="29">
        <v>0</v>
      </c>
      <c r="AP326" s="29">
        <v>0</v>
      </c>
    </row>
    <row r="327" spans="1:42" x14ac:dyDescent="0.25">
      <c r="A327" s="29">
        <v>19</v>
      </c>
      <c r="B327" s="29">
        <v>24606</v>
      </c>
      <c r="C327" s="29">
        <v>1</v>
      </c>
      <c r="D327" s="29" t="s">
        <v>727</v>
      </c>
      <c r="E327" s="29">
        <v>3</v>
      </c>
      <c r="F327" s="29">
        <v>1</v>
      </c>
      <c r="G327" s="29">
        <v>7</v>
      </c>
      <c r="H327" s="29">
        <v>0</v>
      </c>
      <c r="I327" s="29">
        <v>0</v>
      </c>
      <c r="J327" s="29">
        <v>8</v>
      </c>
      <c r="K327" s="29">
        <v>36.200000762939453</v>
      </c>
      <c r="L327" s="19" t="str">
        <f t="shared" si="40"/>
        <v>Рихтовка</v>
      </c>
      <c r="M327" s="12">
        <f t="shared" si="41"/>
        <v>18</v>
      </c>
      <c r="N327" s="12">
        <f t="shared" si="42"/>
        <v>18</v>
      </c>
      <c r="O327" s="12">
        <f t="shared" si="43"/>
        <v>6</v>
      </c>
      <c r="P327" s="12">
        <f t="shared" si="44"/>
        <v>2</v>
      </c>
      <c r="Q327" s="12">
        <f t="shared" si="45"/>
        <v>8</v>
      </c>
      <c r="R327" s="12">
        <f t="shared" si="46"/>
        <v>16</v>
      </c>
      <c r="S327" s="12">
        <f t="shared" si="47"/>
        <v>4</v>
      </c>
      <c r="T327" s="29">
        <v>18</v>
      </c>
      <c r="U327" s="29">
        <v>0</v>
      </c>
      <c r="V327" s="29">
        <v>0</v>
      </c>
      <c r="W327" s="29">
        <v>6</v>
      </c>
      <c r="X327" s="29">
        <v>0</v>
      </c>
      <c r="Y327" s="29">
        <v>0</v>
      </c>
      <c r="Z327" s="29">
        <v>2</v>
      </c>
      <c r="AA327" s="29">
        <v>0</v>
      </c>
      <c r="AB327" s="29">
        <v>0</v>
      </c>
      <c r="AC327" s="29">
        <v>8</v>
      </c>
      <c r="AD327" s="29">
        <v>0</v>
      </c>
      <c r="AE327" s="29">
        <v>0</v>
      </c>
      <c r="AF327" s="29">
        <v>16</v>
      </c>
      <c r="AG327" s="29">
        <v>0</v>
      </c>
      <c r="AH327" s="29">
        <v>0</v>
      </c>
      <c r="AI327" s="29">
        <v>4</v>
      </c>
      <c r="AJ327" s="29">
        <v>0</v>
      </c>
      <c r="AK327" s="29">
        <v>0</v>
      </c>
      <c r="AL327" s="29">
        <v>54</v>
      </c>
      <c r="AM327" s="29">
        <v>0</v>
      </c>
      <c r="AN327" s="29">
        <v>0</v>
      </c>
      <c r="AO327" s="29">
        <v>0</v>
      </c>
      <c r="AP327" s="29">
        <v>0</v>
      </c>
    </row>
    <row r="328" spans="1:42" x14ac:dyDescent="0.25">
      <c r="A328" s="29">
        <v>19</v>
      </c>
      <c r="B328" s="29">
        <v>24606</v>
      </c>
      <c r="C328" s="29">
        <v>1</v>
      </c>
      <c r="D328" s="29" t="s">
        <v>728</v>
      </c>
      <c r="E328" s="29" t="s">
        <v>884</v>
      </c>
      <c r="F328" s="29">
        <v>1</v>
      </c>
      <c r="G328" s="29">
        <v>4</v>
      </c>
      <c r="H328" s="29">
        <v>0</v>
      </c>
      <c r="I328" s="29">
        <v>0</v>
      </c>
      <c r="J328" s="29">
        <v>5</v>
      </c>
      <c r="K328" s="29">
        <v>34</v>
      </c>
      <c r="L328" s="19" t="str">
        <f t="shared" si="40"/>
        <v>Перекос</v>
      </c>
      <c r="M328" s="12">
        <f t="shared" si="41"/>
        <v>11</v>
      </c>
      <c r="N328" s="12">
        <f t="shared" si="42"/>
        <v>4</v>
      </c>
      <c r="O328" s="12">
        <f t="shared" si="43"/>
        <v>7</v>
      </c>
      <c r="P328" s="12">
        <f t="shared" si="44"/>
        <v>0</v>
      </c>
      <c r="Q328" s="12">
        <f t="shared" si="45"/>
        <v>0</v>
      </c>
      <c r="R328" s="12">
        <f t="shared" si="46"/>
        <v>11</v>
      </c>
      <c r="S328" s="12">
        <f t="shared" si="47"/>
        <v>1</v>
      </c>
      <c r="T328" s="29">
        <v>4</v>
      </c>
      <c r="U328" s="29">
        <v>0</v>
      </c>
      <c r="V328" s="29">
        <v>0</v>
      </c>
      <c r="W328" s="29">
        <v>7</v>
      </c>
      <c r="X328" s="29">
        <v>0</v>
      </c>
      <c r="Y328" s="29">
        <v>0</v>
      </c>
      <c r="Z328" s="29">
        <v>0</v>
      </c>
      <c r="AA328" s="29">
        <v>0</v>
      </c>
      <c r="AB328" s="29">
        <v>0</v>
      </c>
      <c r="AC328" s="29">
        <v>0</v>
      </c>
      <c r="AD328" s="29">
        <v>0</v>
      </c>
      <c r="AE328" s="29">
        <v>0</v>
      </c>
      <c r="AF328" s="29">
        <v>11</v>
      </c>
      <c r="AG328" s="29">
        <v>0</v>
      </c>
      <c r="AH328" s="29">
        <v>0</v>
      </c>
      <c r="AI328" s="29">
        <v>1</v>
      </c>
      <c r="AJ328" s="29">
        <v>0</v>
      </c>
      <c r="AK328" s="29">
        <v>0</v>
      </c>
      <c r="AL328" s="29">
        <v>23</v>
      </c>
      <c r="AM328" s="29">
        <v>0</v>
      </c>
      <c r="AN328" s="29">
        <v>0</v>
      </c>
      <c r="AO328" s="29">
        <v>0</v>
      </c>
      <c r="AP328" s="29">
        <v>0</v>
      </c>
    </row>
    <row r="329" spans="1:42" x14ac:dyDescent="0.25">
      <c r="A329" s="29">
        <v>19</v>
      </c>
      <c r="B329" s="29">
        <v>24606</v>
      </c>
      <c r="C329" s="29">
        <v>2</v>
      </c>
      <c r="D329" s="29" t="s">
        <v>728</v>
      </c>
      <c r="E329" s="29" t="s">
        <v>884</v>
      </c>
      <c r="F329" s="29">
        <v>5.2630000114440918</v>
      </c>
      <c r="G329" s="29">
        <v>0</v>
      </c>
      <c r="H329" s="29">
        <v>0</v>
      </c>
      <c r="I329" s="29">
        <v>0</v>
      </c>
      <c r="J329" s="29">
        <v>5.2630000114440918</v>
      </c>
      <c r="K329" s="29">
        <v>10</v>
      </c>
      <c r="L329" s="19" t="str">
        <f t="shared" si="40"/>
        <v>Перекос</v>
      </c>
      <c r="M329" s="12">
        <f t="shared" si="41"/>
        <v>4</v>
      </c>
      <c r="N329" s="12">
        <f t="shared" si="42"/>
        <v>2</v>
      </c>
      <c r="O329" s="12">
        <f t="shared" si="43"/>
        <v>0</v>
      </c>
      <c r="P329" s="12">
        <f t="shared" si="44"/>
        <v>0</v>
      </c>
      <c r="Q329" s="12">
        <f t="shared" si="45"/>
        <v>0</v>
      </c>
      <c r="R329" s="12">
        <f t="shared" si="46"/>
        <v>4</v>
      </c>
      <c r="S329" s="12">
        <f t="shared" si="47"/>
        <v>0</v>
      </c>
      <c r="T329" s="29">
        <v>2</v>
      </c>
      <c r="U329" s="29">
        <v>0</v>
      </c>
      <c r="V329" s="29">
        <v>0</v>
      </c>
      <c r="W329" s="29">
        <v>0</v>
      </c>
      <c r="X329" s="29">
        <v>0</v>
      </c>
      <c r="Y329" s="29">
        <v>0</v>
      </c>
      <c r="Z329" s="29">
        <v>0</v>
      </c>
      <c r="AA329" s="29">
        <v>0</v>
      </c>
      <c r="AB329" s="29">
        <v>0</v>
      </c>
      <c r="AC329" s="29">
        <v>0</v>
      </c>
      <c r="AD329" s="29">
        <v>0</v>
      </c>
      <c r="AE329" s="29">
        <v>0</v>
      </c>
      <c r="AF329" s="29">
        <v>4</v>
      </c>
      <c r="AG329" s="29">
        <v>0</v>
      </c>
      <c r="AH329" s="29">
        <v>0</v>
      </c>
      <c r="AI329" s="29">
        <v>0</v>
      </c>
      <c r="AJ329" s="29">
        <v>0</v>
      </c>
      <c r="AK329" s="29">
        <v>0</v>
      </c>
      <c r="AL329" s="29">
        <v>6</v>
      </c>
      <c r="AM329" s="29">
        <v>0</v>
      </c>
      <c r="AN329" s="29">
        <v>0</v>
      </c>
      <c r="AO329" s="29">
        <v>0</v>
      </c>
      <c r="AP329" s="29">
        <v>0</v>
      </c>
    </row>
    <row r="330" spans="1:42" x14ac:dyDescent="0.25">
      <c r="A330" s="29">
        <v>19</v>
      </c>
      <c r="B330" s="29">
        <v>77777</v>
      </c>
      <c r="C330" s="29">
        <v>1</v>
      </c>
      <c r="D330" s="29" t="s">
        <v>915</v>
      </c>
      <c r="E330" s="29"/>
      <c r="F330" s="29">
        <v>0</v>
      </c>
      <c r="G330" s="29">
        <v>0</v>
      </c>
      <c r="H330" s="29">
        <v>0</v>
      </c>
      <c r="I330" s="29">
        <v>0</v>
      </c>
      <c r="J330" s="29">
        <v>0</v>
      </c>
      <c r="K330" s="29" t="s">
        <v>882</v>
      </c>
      <c r="L330" s="19" t="str">
        <f t="shared" si="40"/>
        <v>Рихтовка</v>
      </c>
      <c r="M330" s="12">
        <f t="shared" si="41"/>
        <v>0</v>
      </c>
      <c r="N330" s="12">
        <f t="shared" si="42"/>
        <v>0</v>
      </c>
      <c r="O330" s="12">
        <f t="shared" si="43"/>
        <v>0</v>
      </c>
      <c r="P330" s="12">
        <f t="shared" si="44"/>
        <v>0</v>
      </c>
      <c r="Q330" s="12">
        <f t="shared" si="45"/>
        <v>0</v>
      </c>
      <c r="R330" s="12">
        <f t="shared" si="46"/>
        <v>0</v>
      </c>
      <c r="S330" s="12">
        <f t="shared" si="47"/>
        <v>0</v>
      </c>
      <c r="T330" s="29">
        <v>0</v>
      </c>
      <c r="U330" s="29">
        <v>0</v>
      </c>
      <c r="V330" s="29">
        <v>0</v>
      </c>
      <c r="W330" s="29">
        <v>0</v>
      </c>
      <c r="X330" s="29">
        <v>0</v>
      </c>
      <c r="Y330" s="29">
        <v>0</v>
      </c>
      <c r="Z330" s="29">
        <v>0</v>
      </c>
      <c r="AA330" s="29">
        <v>0</v>
      </c>
      <c r="AB330" s="29">
        <v>0</v>
      </c>
      <c r="AC330" s="29">
        <v>0</v>
      </c>
      <c r="AD330" s="29">
        <v>0</v>
      </c>
      <c r="AE330" s="29">
        <v>0</v>
      </c>
      <c r="AF330" s="29">
        <v>0</v>
      </c>
      <c r="AG330" s="29">
        <v>0</v>
      </c>
      <c r="AH330" s="29">
        <v>0</v>
      </c>
      <c r="AI330" s="29">
        <v>0</v>
      </c>
      <c r="AJ330" s="29">
        <v>0</v>
      </c>
      <c r="AK330" s="29">
        <v>0</v>
      </c>
      <c r="AL330" s="29">
        <v>0</v>
      </c>
      <c r="AM330" s="29">
        <v>0</v>
      </c>
      <c r="AN330" s="29">
        <v>0</v>
      </c>
      <c r="AO330" s="29">
        <v>0</v>
      </c>
      <c r="AP330" s="29">
        <v>0</v>
      </c>
    </row>
    <row r="331" spans="1:42" x14ac:dyDescent="0.25">
      <c r="A331" s="29">
        <v>19</v>
      </c>
      <c r="B331" s="29">
        <v>24606</v>
      </c>
      <c r="C331" s="29">
        <v>1</v>
      </c>
      <c r="D331" s="29" t="s">
        <v>729</v>
      </c>
      <c r="E331" s="29">
        <v>4</v>
      </c>
      <c r="F331" s="29">
        <v>1</v>
      </c>
      <c r="G331" s="29">
        <v>1</v>
      </c>
      <c r="H331" s="29">
        <v>7</v>
      </c>
      <c r="I331" s="29">
        <v>0</v>
      </c>
      <c r="J331" s="29">
        <v>9</v>
      </c>
      <c r="K331" s="29">
        <v>122.19999694824219</v>
      </c>
      <c r="L331" s="19" t="str">
        <f t="shared" si="40"/>
        <v>Сужение</v>
      </c>
      <c r="M331" s="12">
        <f t="shared" si="41"/>
        <v>227</v>
      </c>
      <c r="N331" s="12">
        <f t="shared" si="42"/>
        <v>62</v>
      </c>
      <c r="O331" s="12">
        <f t="shared" si="43"/>
        <v>3</v>
      </c>
      <c r="P331" s="12">
        <f t="shared" si="44"/>
        <v>227</v>
      </c>
      <c r="Q331" s="12">
        <f t="shared" si="45"/>
        <v>6</v>
      </c>
      <c r="R331" s="12">
        <f t="shared" si="46"/>
        <v>48</v>
      </c>
      <c r="S331" s="12">
        <f t="shared" si="47"/>
        <v>37</v>
      </c>
      <c r="T331" s="29">
        <v>62</v>
      </c>
      <c r="U331" s="29">
        <v>0</v>
      </c>
      <c r="V331" s="29">
        <v>0</v>
      </c>
      <c r="W331" s="29">
        <v>3</v>
      </c>
      <c r="X331" s="29">
        <v>0</v>
      </c>
      <c r="Y331" s="29">
        <v>0</v>
      </c>
      <c r="Z331" s="29">
        <v>224</v>
      </c>
      <c r="AA331" s="29">
        <v>3</v>
      </c>
      <c r="AB331" s="29">
        <v>0</v>
      </c>
      <c r="AC331" s="29">
        <v>6</v>
      </c>
      <c r="AD331" s="29">
        <v>0</v>
      </c>
      <c r="AE331" s="29">
        <v>0</v>
      </c>
      <c r="AF331" s="29">
        <v>48</v>
      </c>
      <c r="AG331" s="29">
        <v>0</v>
      </c>
      <c r="AH331" s="29">
        <v>0</v>
      </c>
      <c r="AI331" s="29">
        <v>37</v>
      </c>
      <c r="AJ331" s="29">
        <v>0</v>
      </c>
      <c r="AK331" s="29">
        <v>0</v>
      </c>
      <c r="AL331" s="29">
        <v>380</v>
      </c>
      <c r="AM331" s="29">
        <v>3</v>
      </c>
      <c r="AN331" s="29">
        <v>0</v>
      </c>
      <c r="AO331" s="29">
        <v>0</v>
      </c>
      <c r="AP331" s="29">
        <v>0</v>
      </c>
    </row>
    <row r="332" spans="1:42" x14ac:dyDescent="0.25">
      <c r="A332" s="29">
        <v>19</v>
      </c>
      <c r="B332" s="29">
        <v>24606</v>
      </c>
      <c r="C332" s="29">
        <v>1</v>
      </c>
      <c r="D332" s="29" t="s">
        <v>730</v>
      </c>
      <c r="E332" s="29" t="s">
        <v>885</v>
      </c>
      <c r="F332" s="29">
        <v>7</v>
      </c>
      <c r="G332" s="29">
        <v>2</v>
      </c>
      <c r="H332" s="29">
        <v>2</v>
      </c>
      <c r="I332" s="29">
        <v>0</v>
      </c>
      <c r="J332" s="29">
        <v>11</v>
      </c>
      <c r="K332" s="29">
        <v>40.900001525878906</v>
      </c>
      <c r="L332" s="19" t="str">
        <f t="shared" si="40"/>
        <v>Сужение</v>
      </c>
      <c r="M332" s="12">
        <f t="shared" si="41"/>
        <v>23</v>
      </c>
      <c r="N332" s="12">
        <f t="shared" si="42"/>
        <v>15</v>
      </c>
      <c r="O332" s="12">
        <f t="shared" si="43"/>
        <v>4</v>
      </c>
      <c r="P332" s="12">
        <f t="shared" si="44"/>
        <v>23</v>
      </c>
      <c r="Q332" s="12">
        <f t="shared" si="45"/>
        <v>6</v>
      </c>
      <c r="R332" s="12">
        <f t="shared" si="46"/>
        <v>10</v>
      </c>
      <c r="S332" s="12">
        <f t="shared" si="47"/>
        <v>6</v>
      </c>
      <c r="T332" s="29">
        <v>15</v>
      </c>
      <c r="U332" s="29">
        <v>0</v>
      </c>
      <c r="V332" s="29">
        <v>0</v>
      </c>
      <c r="W332" s="29">
        <v>3</v>
      </c>
      <c r="X332" s="29">
        <v>1</v>
      </c>
      <c r="Y332" s="29">
        <v>0</v>
      </c>
      <c r="Z332" s="29">
        <v>23</v>
      </c>
      <c r="AA332" s="29">
        <v>0</v>
      </c>
      <c r="AB332" s="29">
        <v>0</v>
      </c>
      <c r="AC332" s="29">
        <v>6</v>
      </c>
      <c r="AD332" s="29">
        <v>0</v>
      </c>
      <c r="AE332" s="29">
        <v>0</v>
      </c>
      <c r="AF332" s="29">
        <v>10</v>
      </c>
      <c r="AG332" s="29">
        <v>0</v>
      </c>
      <c r="AH332" s="29">
        <v>0</v>
      </c>
      <c r="AI332" s="29">
        <v>6</v>
      </c>
      <c r="AJ332" s="29">
        <v>0</v>
      </c>
      <c r="AK332" s="29">
        <v>0</v>
      </c>
      <c r="AL332" s="29">
        <v>63</v>
      </c>
      <c r="AM332" s="29">
        <v>1</v>
      </c>
      <c r="AN332" s="29">
        <v>0</v>
      </c>
      <c r="AO332" s="29">
        <v>0</v>
      </c>
      <c r="AP332" s="29">
        <v>0</v>
      </c>
    </row>
    <row r="333" spans="1:42" x14ac:dyDescent="0.25">
      <c r="A333" s="29">
        <v>19</v>
      </c>
      <c r="B333" s="29">
        <v>24606</v>
      </c>
      <c r="C333" s="29">
        <v>1</v>
      </c>
      <c r="D333" s="29" t="s">
        <v>731</v>
      </c>
      <c r="E333" s="29" t="s">
        <v>886</v>
      </c>
      <c r="F333" s="29">
        <v>4</v>
      </c>
      <c r="G333" s="29">
        <v>2</v>
      </c>
      <c r="H333" s="29">
        <v>0</v>
      </c>
      <c r="I333" s="29">
        <v>0</v>
      </c>
      <c r="J333" s="29">
        <v>6</v>
      </c>
      <c r="K333" s="29">
        <v>20</v>
      </c>
      <c r="L333" s="19" t="str">
        <f t="shared" si="40"/>
        <v>Рихтовка</v>
      </c>
      <c r="M333" s="12">
        <f t="shared" si="41"/>
        <v>11</v>
      </c>
      <c r="N333" s="12">
        <f t="shared" si="42"/>
        <v>11</v>
      </c>
      <c r="O333" s="12">
        <f t="shared" si="43"/>
        <v>1</v>
      </c>
      <c r="P333" s="12">
        <f t="shared" si="44"/>
        <v>3</v>
      </c>
      <c r="Q333" s="12">
        <f t="shared" si="45"/>
        <v>0</v>
      </c>
      <c r="R333" s="12">
        <f t="shared" si="46"/>
        <v>0</v>
      </c>
      <c r="S333" s="12">
        <f t="shared" si="47"/>
        <v>2</v>
      </c>
      <c r="T333" s="29">
        <v>11</v>
      </c>
      <c r="U333" s="29">
        <v>0</v>
      </c>
      <c r="V333" s="29">
        <v>0</v>
      </c>
      <c r="W333" s="29">
        <v>1</v>
      </c>
      <c r="X333" s="29">
        <v>0</v>
      </c>
      <c r="Y333" s="29">
        <v>0</v>
      </c>
      <c r="Z333" s="29">
        <v>3</v>
      </c>
      <c r="AA333" s="29">
        <v>0</v>
      </c>
      <c r="AB333" s="29">
        <v>0</v>
      </c>
      <c r="AC333" s="29">
        <v>0</v>
      </c>
      <c r="AD333" s="29">
        <v>0</v>
      </c>
      <c r="AE333" s="29">
        <v>0</v>
      </c>
      <c r="AF333" s="29">
        <v>0</v>
      </c>
      <c r="AG333" s="29">
        <v>0</v>
      </c>
      <c r="AH333" s="29">
        <v>0</v>
      </c>
      <c r="AI333" s="29">
        <v>2</v>
      </c>
      <c r="AJ333" s="29">
        <v>0</v>
      </c>
      <c r="AK333" s="29">
        <v>0</v>
      </c>
      <c r="AL333" s="29">
        <v>17</v>
      </c>
      <c r="AM333" s="29">
        <v>0</v>
      </c>
      <c r="AN333" s="29">
        <v>0</v>
      </c>
      <c r="AO333" s="29">
        <v>0</v>
      </c>
      <c r="AP333" s="29">
        <v>0</v>
      </c>
    </row>
    <row r="334" spans="1:42" x14ac:dyDescent="0.25">
      <c r="A334" s="29">
        <v>19</v>
      </c>
      <c r="B334" s="29">
        <v>24606</v>
      </c>
      <c r="C334" s="29">
        <v>1</v>
      </c>
      <c r="D334" s="29" t="s">
        <v>732</v>
      </c>
      <c r="E334" s="29" t="s">
        <v>961</v>
      </c>
      <c r="F334" s="29">
        <v>4</v>
      </c>
      <c r="G334" s="29">
        <v>0</v>
      </c>
      <c r="H334" s="29">
        <v>0</v>
      </c>
      <c r="I334" s="29">
        <v>0</v>
      </c>
      <c r="J334" s="29">
        <v>4</v>
      </c>
      <c r="K334" s="29">
        <v>10</v>
      </c>
      <c r="L334" s="19" t="str">
        <f t="shared" si="40"/>
        <v>Рихтовка</v>
      </c>
      <c r="M334" s="12">
        <f t="shared" si="41"/>
        <v>5</v>
      </c>
      <c r="N334" s="12">
        <f t="shared" si="42"/>
        <v>5</v>
      </c>
      <c r="O334" s="12">
        <f t="shared" si="43"/>
        <v>1</v>
      </c>
      <c r="P334" s="12">
        <f t="shared" si="44"/>
        <v>1</v>
      </c>
      <c r="Q334" s="12">
        <f t="shared" si="45"/>
        <v>0</v>
      </c>
      <c r="R334" s="12">
        <f t="shared" si="46"/>
        <v>1</v>
      </c>
      <c r="S334" s="12">
        <f t="shared" si="47"/>
        <v>1</v>
      </c>
      <c r="T334" s="29">
        <v>5</v>
      </c>
      <c r="U334" s="29">
        <v>0</v>
      </c>
      <c r="V334" s="29">
        <v>0</v>
      </c>
      <c r="W334" s="29">
        <v>1</v>
      </c>
      <c r="X334" s="29">
        <v>0</v>
      </c>
      <c r="Y334" s="29">
        <v>0</v>
      </c>
      <c r="Z334" s="29">
        <v>1</v>
      </c>
      <c r="AA334" s="29">
        <v>0</v>
      </c>
      <c r="AB334" s="29">
        <v>0</v>
      </c>
      <c r="AC334" s="29">
        <v>0</v>
      </c>
      <c r="AD334" s="29">
        <v>0</v>
      </c>
      <c r="AE334" s="29">
        <v>0</v>
      </c>
      <c r="AF334" s="29">
        <v>1</v>
      </c>
      <c r="AG334" s="29">
        <v>0</v>
      </c>
      <c r="AH334" s="29">
        <v>0</v>
      </c>
      <c r="AI334" s="29">
        <v>1</v>
      </c>
      <c r="AJ334" s="29">
        <v>0</v>
      </c>
      <c r="AK334" s="29">
        <v>0</v>
      </c>
      <c r="AL334" s="29">
        <v>9</v>
      </c>
      <c r="AM334" s="29">
        <v>0</v>
      </c>
      <c r="AN334" s="29">
        <v>0</v>
      </c>
      <c r="AO334" s="29">
        <v>0</v>
      </c>
      <c r="AP334" s="29">
        <v>0</v>
      </c>
    </row>
    <row r="335" spans="1:42" x14ac:dyDescent="0.25">
      <c r="A335" s="29">
        <v>19</v>
      </c>
      <c r="B335" s="29">
        <v>24606</v>
      </c>
      <c r="C335" s="29">
        <v>1</v>
      </c>
      <c r="D335" s="29" t="s">
        <v>733</v>
      </c>
      <c r="E335" s="29" t="s">
        <v>962</v>
      </c>
      <c r="F335" s="29">
        <v>4</v>
      </c>
      <c r="G335" s="29">
        <v>3</v>
      </c>
      <c r="H335" s="29">
        <v>1</v>
      </c>
      <c r="I335" s="29">
        <v>0</v>
      </c>
      <c r="J335" s="29">
        <v>8</v>
      </c>
      <c r="K335" s="29">
        <v>38.799999237060547</v>
      </c>
      <c r="L335" s="19" t="str">
        <f t="shared" si="40"/>
        <v>Рихтовка</v>
      </c>
      <c r="M335" s="12">
        <f t="shared" si="41"/>
        <v>21</v>
      </c>
      <c r="N335" s="12">
        <f t="shared" si="42"/>
        <v>21</v>
      </c>
      <c r="O335" s="12">
        <f t="shared" si="43"/>
        <v>3</v>
      </c>
      <c r="P335" s="12">
        <f t="shared" si="44"/>
        <v>18</v>
      </c>
      <c r="Q335" s="12">
        <f t="shared" si="45"/>
        <v>0</v>
      </c>
      <c r="R335" s="12">
        <f t="shared" si="46"/>
        <v>4</v>
      </c>
      <c r="S335" s="12">
        <f t="shared" si="47"/>
        <v>0</v>
      </c>
      <c r="T335" s="29">
        <v>21</v>
      </c>
      <c r="U335" s="29">
        <v>0</v>
      </c>
      <c r="V335" s="29">
        <v>0</v>
      </c>
      <c r="W335" s="29">
        <v>3</v>
      </c>
      <c r="X335" s="29">
        <v>0</v>
      </c>
      <c r="Y335" s="29">
        <v>0</v>
      </c>
      <c r="Z335" s="29">
        <v>18</v>
      </c>
      <c r="AA335" s="29">
        <v>0</v>
      </c>
      <c r="AB335" s="29">
        <v>0</v>
      </c>
      <c r="AC335" s="29">
        <v>0</v>
      </c>
      <c r="AD335" s="29">
        <v>0</v>
      </c>
      <c r="AE335" s="29">
        <v>0</v>
      </c>
      <c r="AF335" s="29">
        <v>4</v>
      </c>
      <c r="AG335" s="29">
        <v>0</v>
      </c>
      <c r="AH335" s="29">
        <v>0</v>
      </c>
      <c r="AI335" s="29">
        <v>0</v>
      </c>
      <c r="AJ335" s="29">
        <v>0</v>
      </c>
      <c r="AK335" s="29">
        <v>0</v>
      </c>
      <c r="AL335" s="29">
        <v>46</v>
      </c>
      <c r="AM335" s="29">
        <v>0</v>
      </c>
      <c r="AN335" s="29">
        <v>0</v>
      </c>
      <c r="AO335" s="29">
        <v>0</v>
      </c>
      <c r="AP335" s="29">
        <v>0</v>
      </c>
    </row>
    <row r="336" spans="1:42" x14ac:dyDescent="0.25">
      <c r="A336" s="29">
        <v>19</v>
      </c>
      <c r="B336" s="29">
        <v>24606</v>
      </c>
      <c r="C336" s="29">
        <v>1</v>
      </c>
      <c r="D336" s="29" t="s">
        <v>916</v>
      </c>
      <c r="E336" s="29" t="s">
        <v>891</v>
      </c>
      <c r="F336" s="29">
        <v>7</v>
      </c>
      <c r="G336" s="29">
        <v>6</v>
      </c>
      <c r="H336" s="29">
        <v>1</v>
      </c>
      <c r="I336" s="29">
        <v>0</v>
      </c>
      <c r="J336" s="29">
        <v>14</v>
      </c>
      <c r="K336" s="29">
        <v>32.900001525878906</v>
      </c>
      <c r="L336" s="19" t="str">
        <f t="shared" si="40"/>
        <v>Рихтовка</v>
      </c>
      <c r="M336" s="12">
        <f t="shared" si="41"/>
        <v>34</v>
      </c>
      <c r="N336" s="12">
        <f t="shared" si="42"/>
        <v>34</v>
      </c>
      <c r="O336" s="12">
        <f t="shared" si="43"/>
        <v>1</v>
      </c>
      <c r="P336" s="12">
        <f t="shared" si="44"/>
        <v>8</v>
      </c>
      <c r="Q336" s="12">
        <f t="shared" si="45"/>
        <v>2</v>
      </c>
      <c r="R336" s="12">
        <f t="shared" si="46"/>
        <v>13</v>
      </c>
      <c r="S336" s="12">
        <f t="shared" si="47"/>
        <v>4</v>
      </c>
      <c r="T336" s="29">
        <v>34</v>
      </c>
      <c r="U336" s="29">
        <v>0</v>
      </c>
      <c r="V336" s="29">
        <v>0</v>
      </c>
      <c r="W336" s="29">
        <v>1</v>
      </c>
      <c r="X336" s="29">
        <v>0</v>
      </c>
      <c r="Y336" s="29">
        <v>0</v>
      </c>
      <c r="Z336" s="29">
        <v>8</v>
      </c>
      <c r="AA336" s="29">
        <v>0</v>
      </c>
      <c r="AB336" s="29">
        <v>0</v>
      </c>
      <c r="AC336" s="29">
        <v>2</v>
      </c>
      <c r="AD336" s="29">
        <v>0</v>
      </c>
      <c r="AE336" s="29">
        <v>0</v>
      </c>
      <c r="AF336" s="29">
        <v>13</v>
      </c>
      <c r="AG336" s="29">
        <v>0</v>
      </c>
      <c r="AH336" s="29">
        <v>0</v>
      </c>
      <c r="AI336" s="29">
        <v>4</v>
      </c>
      <c r="AJ336" s="29">
        <v>0</v>
      </c>
      <c r="AK336" s="29">
        <v>0</v>
      </c>
      <c r="AL336" s="29">
        <v>62</v>
      </c>
      <c r="AM336" s="29">
        <v>0</v>
      </c>
      <c r="AN336" s="29">
        <v>0</v>
      </c>
      <c r="AO336" s="29">
        <v>0</v>
      </c>
      <c r="AP336" s="29">
        <v>0</v>
      </c>
    </row>
    <row r="337" spans="1:42" x14ac:dyDescent="0.25">
      <c r="A337" s="29">
        <v>19</v>
      </c>
      <c r="B337" s="29">
        <v>24606</v>
      </c>
      <c r="C337" s="29">
        <v>1</v>
      </c>
      <c r="D337" s="29" t="s">
        <v>917</v>
      </c>
      <c r="E337" s="29">
        <v>8</v>
      </c>
      <c r="F337" s="29">
        <v>3</v>
      </c>
      <c r="G337" s="29">
        <v>5</v>
      </c>
      <c r="H337" s="29">
        <v>0</v>
      </c>
      <c r="I337" s="29">
        <v>0</v>
      </c>
      <c r="J337" s="29">
        <v>8</v>
      </c>
      <c r="K337" s="29">
        <v>28.799999237060547</v>
      </c>
      <c r="L337" s="19" t="str">
        <f t="shared" si="40"/>
        <v>Рихтовка</v>
      </c>
      <c r="M337" s="12">
        <f t="shared" si="41"/>
        <v>17</v>
      </c>
      <c r="N337" s="12">
        <f t="shared" si="42"/>
        <v>17</v>
      </c>
      <c r="O337" s="12">
        <f t="shared" si="43"/>
        <v>0</v>
      </c>
      <c r="P337" s="12">
        <f t="shared" si="44"/>
        <v>13</v>
      </c>
      <c r="Q337" s="12">
        <f t="shared" si="45"/>
        <v>2</v>
      </c>
      <c r="R337" s="12">
        <f t="shared" si="46"/>
        <v>4</v>
      </c>
      <c r="S337" s="12">
        <f t="shared" si="47"/>
        <v>2</v>
      </c>
      <c r="T337" s="29">
        <v>17</v>
      </c>
      <c r="U337" s="29">
        <v>0</v>
      </c>
      <c r="V337" s="29">
        <v>0</v>
      </c>
      <c r="W337" s="29">
        <v>0</v>
      </c>
      <c r="X337" s="29">
        <v>0</v>
      </c>
      <c r="Y337" s="29">
        <v>0</v>
      </c>
      <c r="Z337" s="29">
        <v>13</v>
      </c>
      <c r="AA337" s="29">
        <v>0</v>
      </c>
      <c r="AB337" s="29">
        <v>0</v>
      </c>
      <c r="AC337" s="29">
        <v>2</v>
      </c>
      <c r="AD337" s="29">
        <v>0</v>
      </c>
      <c r="AE337" s="29">
        <v>0</v>
      </c>
      <c r="AF337" s="29">
        <v>4</v>
      </c>
      <c r="AG337" s="29">
        <v>0</v>
      </c>
      <c r="AH337" s="29">
        <v>0</v>
      </c>
      <c r="AI337" s="29">
        <v>2</v>
      </c>
      <c r="AJ337" s="29">
        <v>0</v>
      </c>
      <c r="AK337" s="29">
        <v>0</v>
      </c>
      <c r="AL337" s="29">
        <v>38</v>
      </c>
      <c r="AM337" s="29">
        <v>0</v>
      </c>
      <c r="AN337" s="29">
        <v>0</v>
      </c>
      <c r="AO337" s="29">
        <v>0</v>
      </c>
      <c r="AP337" s="29">
        <v>0</v>
      </c>
    </row>
    <row r="338" spans="1:42" x14ac:dyDescent="0.25">
      <c r="A338" s="29">
        <v>19</v>
      </c>
      <c r="B338" s="29">
        <v>24606</v>
      </c>
      <c r="C338" s="29">
        <v>1</v>
      </c>
      <c r="D338" s="29" t="s">
        <v>918</v>
      </c>
      <c r="E338" s="29">
        <v>8</v>
      </c>
      <c r="F338" s="29">
        <v>0.99699997901916504</v>
      </c>
      <c r="G338" s="29">
        <v>2</v>
      </c>
      <c r="H338" s="29">
        <v>0</v>
      </c>
      <c r="I338" s="29">
        <v>0</v>
      </c>
      <c r="J338" s="29">
        <v>2.996999979019165</v>
      </c>
      <c r="K338" s="29">
        <v>30</v>
      </c>
      <c r="L338" s="19" t="str">
        <f t="shared" si="40"/>
        <v>Перекос</v>
      </c>
      <c r="M338" s="12">
        <f t="shared" si="41"/>
        <v>5</v>
      </c>
      <c r="N338" s="12">
        <f t="shared" si="42"/>
        <v>2</v>
      </c>
      <c r="O338" s="12">
        <f t="shared" si="43"/>
        <v>0</v>
      </c>
      <c r="P338" s="12">
        <f t="shared" si="44"/>
        <v>2</v>
      </c>
      <c r="Q338" s="12">
        <f t="shared" si="45"/>
        <v>0</v>
      </c>
      <c r="R338" s="12">
        <f t="shared" si="46"/>
        <v>5</v>
      </c>
      <c r="S338" s="12">
        <f t="shared" si="47"/>
        <v>3</v>
      </c>
      <c r="T338" s="29">
        <v>2</v>
      </c>
      <c r="U338" s="29">
        <v>0</v>
      </c>
      <c r="V338" s="29">
        <v>0</v>
      </c>
      <c r="W338" s="29">
        <v>0</v>
      </c>
      <c r="X338" s="29">
        <v>0</v>
      </c>
      <c r="Y338" s="29">
        <v>0</v>
      </c>
      <c r="Z338" s="29">
        <v>2</v>
      </c>
      <c r="AA338" s="29">
        <v>0</v>
      </c>
      <c r="AB338" s="29">
        <v>0</v>
      </c>
      <c r="AC338" s="29">
        <v>0</v>
      </c>
      <c r="AD338" s="29">
        <v>0</v>
      </c>
      <c r="AE338" s="29">
        <v>0</v>
      </c>
      <c r="AF338" s="29">
        <v>5</v>
      </c>
      <c r="AG338" s="29">
        <v>0</v>
      </c>
      <c r="AH338" s="29">
        <v>0</v>
      </c>
      <c r="AI338" s="29">
        <v>3</v>
      </c>
      <c r="AJ338" s="29">
        <v>0</v>
      </c>
      <c r="AK338" s="29">
        <v>0</v>
      </c>
      <c r="AL338" s="29">
        <v>12</v>
      </c>
      <c r="AM338" s="29">
        <v>0</v>
      </c>
      <c r="AN338" s="29">
        <v>0</v>
      </c>
      <c r="AO338" s="29">
        <v>0</v>
      </c>
      <c r="AP338" s="29">
        <v>0</v>
      </c>
    </row>
    <row r="339" spans="1:42" x14ac:dyDescent="0.25">
      <c r="A339" s="29">
        <v>19</v>
      </c>
      <c r="B339" s="29">
        <v>24606</v>
      </c>
      <c r="C339" s="29">
        <v>1</v>
      </c>
      <c r="D339" s="29" t="s">
        <v>919</v>
      </c>
      <c r="E339" s="29">
        <v>8</v>
      </c>
      <c r="F339" s="29">
        <v>0.77100002765655518</v>
      </c>
      <c r="G339" s="29">
        <v>0</v>
      </c>
      <c r="H339" s="29">
        <v>0</v>
      </c>
      <c r="I339" s="29">
        <v>0</v>
      </c>
      <c r="J339" s="29">
        <v>0.77100002765655518</v>
      </c>
      <c r="K339" s="29">
        <v>10</v>
      </c>
      <c r="L339" s="19" t="str">
        <f t="shared" si="40"/>
        <v>Рихтовка</v>
      </c>
      <c r="M339" s="12">
        <f t="shared" si="41"/>
        <v>1</v>
      </c>
      <c r="N339" s="12">
        <f t="shared" si="42"/>
        <v>1</v>
      </c>
      <c r="O339" s="12">
        <f t="shared" si="43"/>
        <v>0</v>
      </c>
      <c r="P339" s="12">
        <f t="shared" si="44"/>
        <v>0</v>
      </c>
      <c r="Q339" s="12">
        <f t="shared" si="45"/>
        <v>0</v>
      </c>
      <c r="R339" s="12">
        <f t="shared" si="46"/>
        <v>1</v>
      </c>
      <c r="S339" s="12">
        <f t="shared" si="47"/>
        <v>0</v>
      </c>
      <c r="T339" s="29">
        <v>1</v>
      </c>
      <c r="U339" s="29">
        <v>0</v>
      </c>
      <c r="V339" s="29">
        <v>0</v>
      </c>
      <c r="W339" s="29">
        <v>0</v>
      </c>
      <c r="X339" s="29">
        <v>0</v>
      </c>
      <c r="Y339" s="29">
        <v>0</v>
      </c>
      <c r="Z339" s="29">
        <v>0</v>
      </c>
      <c r="AA339" s="29">
        <v>0</v>
      </c>
      <c r="AB339" s="29">
        <v>0</v>
      </c>
      <c r="AC339" s="29">
        <v>0</v>
      </c>
      <c r="AD339" s="29">
        <v>0</v>
      </c>
      <c r="AE339" s="29">
        <v>0</v>
      </c>
      <c r="AF339" s="29">
        <v>1</v>
      </c>
      <c r="AG339" s="29">
        <v>0</v>
      </c>
      <c r="AH339" s="29">
        <v>0</v>
      </c>
      <c r="AI339" s="29">
        <v>0</v>
      </c>
      <c r="AJ339" s="29">
        <v>0</v>
      </c>
      <c r="AK339" s="29">
        <v>0</v>
      </c>
      <c r="AL339" s="29">
        <v>2</v>
      </c>
      <c r="AM339" s="29">
        <v>0</v>
      </c>
      <c r="AN339" s="29">
        <v>0</v>
      </c>
      <c r="AO339" s="29">
        <v>0</v>
      </c>
      <c r="AP339" s="29">
        <v>0</v>
      </c>
    </row>
    <row r="340" spans="1:42" x14ac:dyDescent="0.25">
      <c r="A340" s="29">
        <v>19</v>
      </c>
      <c r="B340" s="29">
        <v>24646</v>
      </c>
      <c r="C340" s="29">
        <v>1</v>
      </c>
      <c r="D340" s="29" t="s">
        <v>920</v>
      </c>
      <c r="E340" s="29"/>
      <c r="F340" s="29">
        <v>0</v>
      </c>
      <c r="G340" s="29">
        <v>0</v>
      </c>
      <c r="H340" s="29">
        <v>0</v>
      </c>
      <c r="I340" s="29">
        <v>0</v>
      </c>
      <c r="J340" s="29">
        <v>0</v>
      </c>
      <c r="K340" s="29" t="s">
        <v>882</v>
      </c>
      <c r="L340" s="19" t="str">
        <f t="shared" si="40"/>
        <v>Рихтовка</v>
      </c>
      <c r="M340" s="12">
        <f t="shared" si="41"/>
        <v>0</v>
      </c>
      <c r="N340" s="12">
        <f t="shared" si="42"/>
        <v>0</v>
      </c>
      <c r="O340" s="12">
        <f t="shared" si="43"/>
        <v>0</v>
      </c>
      <c r="P340" s="12">
        <f t="shared" si="44"/>
        <v>0</v>
      </c>
      <c r="Q340" s="12">
        <f t="shared" si="45"/>
        <v>0</v>
      </c>
      <c r="R340" s="12">
        <f t="shared" si="46"/>
        <v>0</v>
      </c>
      <c r="S340" s="12">
        <f t="shared" si="47"/>
        <v>0</v>
      </c>
      <c r="T340" s="29">
        <v>0</v>
      </c>
      <c r="U340" s="29">
        <v>0</v>
      </c>
      <c r="V340" s="29">
        <v>0</v>
      </c>
      <c r="W340" s="29">
        <v>0</v>
      </c>
      <c r="X340" s="29">
        <v>0</v>
      </c>
      <c r="Y340" s="29">
        <v>0</v>
      </c>
      <c r="Z340" s="29">
        <v>0</v>
      </c>
      <c r="AA340" s="29">
        <v>0</v>
      </c>
      <c r="AB340" s="29">
        <v>0</v>
      </c>
      <c r="AC340" s="29">
        <v>0</v>
      </c>
      <c r="AD340" s="29">
        <v>0</v>
      </c>
      <c r="AE340" s="29">
        <v>0</v>
      </c>
      <c r="AF340" s="29">
        <v>0</v>
      </c>
      <c r="AG340" s="29">
        <v>0</v>
      </c>
      <c r="AH340" s="29">
        <v>0</v>
      </c>
      <c r="AI340" s="29">
        <v>0</v>
      </c>
      <c r="AJ340" s="29">
        <v>0</v>
      </c>
      <c r="AK340" s="29">
        <v>0</v>
      </c>
      <c r="AL340" s="29">
        <v>0</v>
      </c>
      <c r="AM340" s="29">
        <v>0</v>
      </c>
      <c r="AN340" s="29">
        <v>0</v>
      </c>
      <c r="AO340" s="29">
        <v>0</v>
      </c>
      <c r="AP340" s="29">
        <v>0</v>
      </c>
    </row>
    <row r="341" spans="1:42" x14ac:dyDescent="0.25">
      <c r="A341" s="29">
        <v>19</v>
      </c>
      <c r="B341" s="29">
        <v>24646</v>
      </c>
      <c r="C341" s="29">
        <v>1</v>
      </c>
      <c r="D341" s="29" t="s">
        <v>731</v>
      </c>
      <c r="E341" s="29"/>
      <c r="F341" s="29">
        <v>0</v>
      </c>
      <c r="G341" s="29">
        <v>0</v>
      </c>
      <c r="H341" s="29">
        <v>0</v>
      </c>
      <c r="I341" s="29">
        <v>0</v>
      </c>
      <c r="J341" s="29">
        <v>0</v>
      </c>
      <c r="K341" s="29" t="s">
        <v>882</v>
      </c>
      <c r="L341" s="19" t="str">
        <f t="shared" si="40"/>
        <v>Рихтовка</v>
      </c>
      <c r="M341" s="12">
        <f t="shared" si="41"/>
        <v>0</v>
      </c>
      <c r="N341" s="12">
        <f t="shared" si="42"/>
        <v>0</v>
      </c>
      <c r="O341" s="12">
        <f t="shared" si="43"/>
        <v>0</v>
      </c>
      <c r="P341" s="12">
        <f t="shared" si="44"/>
        <v>0</v>
      </c>
      <c r="Q341" s="12">
        <f t="shared" si="45"/>
        <v>0</v>
      </c>
      <c r="R341" s="12">
        <f t="shared" si="46"/>
        <v>0</v>
      </c>
      <c r="S341" s="12">
        <f t="shared" si="47"/>
        <v>0</v>
      </c>
      <c r="T341" s="29">
        <v>0</v>
      </c>
      <c r="U341" s="29">
        <v>0</v>
      </c>
      <c r="V341" s="29">
        <v>0</v>
      </c>
      <c r="W341" s="29">
        <v>0</v>
      </c>
      <c r="X341" s="29">
        <v>0</v>
      </c>
      <c r="Y341" s="29">
        <v>0</v>
      </c>
      <c r="Z341" s="29">
        <v>0</v>
      </c>
      <c r="AA341" s="29">
        <v>0</v>
      </c>
      <c r="AB341" s="29">
        <v>0</v>
      </c>
      <c r="AC341" s="29">
        <v>0</v>
      </c>
      <c r="AD341" s="29">
        <v>0</v>
      </c>
      <c r="AE341" s="29">
        <v>0</v>
      </c>
      <c r="AF341" s="29">
        <v>0</v>
      </c>
      <c r="AG341" s="29">
        <v>0</v>
      </c>
      <c r="AH341" s="29">
        <v>0</v>
      </c>
      <c r="AI341" s="29">
        <v>0</v>
      </c>
      <c r="AJ341" s="29">
        <v>0</v>
      </c>
      <c r="AK341" s="29">
        <v>0</v>
      </c>
      <c r="AL341" s="29">
        <v>0</v>
      </c>
      <c r="AM341" s="29">
        <v>0</v>
      </c>
      <c r="AN341" s="29">
        <v>0</v>
      </c>
      <c r="AO341" s="29">
        <v>0</v>
      </c>
      <c r="AP341" s="29">
        <v>0</v>
      </c>
    </row>
    <row r="342" spans="1:42" x14ac:dyDescent="0.25">
      <c r="A342" s="29">
        <v>19</v>
      </c>
      <c r="B342" s="29">
        <v>24646</v>
      </c>
      <c r="C342" s="29">
        <v>1</v>
      </c>
      <c r="D342" s="29" t="s">
        <v>732</v>
      </c>
      <c r="E342" s="29"/>
      <c r="F342" s="29">
        <v>0</v>
      </c>
      <c r="G342" s="29">
        <v>0</v>
      </c>
      <c r="H342" s="29">
        <v>0</v>
      </c>
      <c r="I342" s="29">
        <v>0</v>
      </c>
      <c r="J342" s="29">
        <v>0</v>
      </c>
      <c r="K342" s="29" t="s">
        <v>882</v>
      </c>
      <c r="L342" s="19" t="str">
        <f t="shared" si="40"/>
        <v>Рихтовка</v>
      </c>
      <c r="M342" s="12">
        <f t="shared" si="41"/>
        <v>0</v>
      </c>
      <c r="N342" s="12">
        <f t="shared" si="42"/>
        <v>0</v>
      </c>
      <c r="O342" s="12">
        <f t="shared" si="43"/>
        <v>0</v>
      </c>
      <c r="P342" s="12">
        <f t="shared" si="44"/>
        <v>0</v>
      </c>
      <c r="Q342" s="12">
        <f t="shared" si="45"/>
        <v>0</v>
      </c>
      <c r="R342" s="12">
        <f t="shared" si="46"/>
        <v>0</v>
      </c>
      <c r="S342" s="12">
        <f t="shared" si="47"/>
        <v>0</v>
      </c>
      <c r="T342" s="29">
        <v>0</v>
      </c>
      <c r="U342" s="29">
        <v>0</v>
      </c>
      <c r="V342" s="29">
        <v>0</v>
      </c>
      <c r="W342" s="29">
        <v>0</v>
      </c>
      <c r="X342" s="29">
        <v>0</v>
      </c>
      <c r="Y342" s="29">
        <v>0</v>
      </c>
      <c r="Z342" s="29">
        <v>0</v>
      </c>
      <c r="AA342" s="29">
        <v>0</v>
      </c>
      <c r="AB342" s="29">
        <v>0</v>
      </c>
      <c r="AC342" s="29">
        <v>0</v>
      </c>
      <c r="AD342" s="29">
        <v>0</v>
      </c>
      <c r="AE342" s="29">
        <v>0</v>
      </c>
      <c r="AF342" s="29">
        <v>0</v>
      </c>
      <c r="AG342" s="29">
        <v>0</v>
      </c>
      <c r="AH342" s="29">
        <v>0</v>
      </c>
      <c r="AI342" s="29">
        <v>0</v>
      </c>
      <c r="AJ342" s="29">
        <v>0</v>
      </c>
      <c r="AK342" s="29">
        <v>0</v>
      </c>
      <c r="AL342" s="29">
        <v>0</v>
      </c>
      <c r="AM342" s="29">
        <v>0</v>
      </c>
      <c r="AN342" s="29">
        <v>0</v>
      </c>
      <c r="AO342" s="29">
        <v>0</v>
      </c>
      <c r="AP342" s="29">
        <v>0</v>
      </c>
    </row>
    <row r="343" spans="1:42" x14ac:dyDescent="0.25">
      <c r="A343" s="29">
        <v>5</v>
      </c>
      <c r="B343" s="29">
        <v>13808</v>
      </c>
      <c r="C343" s="29">
        <v>1</v>
      </c>
      <c r="D343" s="29" t="s">
        <v>734</v>
      </c>
      <c r="E343" s="29"/>
      <c r="F343" s="29">
        <v>0</v>
      </c>
      <c r="G343" s="29">
        <v>0</v>
      </c>
      <c r="H343" s="29">
        <v>0</v>
      </c>
      <c r="I343" s="29">
        <v>0</v>
      </c>
      <c r="J343" s="29">
        <v>0</v>
      </c>
      <c r="K343" s="29" t="s">
        <v>882</v>
      </c>
      <c r="L343" s="19" t="str">
        <f t="shared" si="40"/>
        <v>Рихтовка</v>
      </c>
      <c r="M343" s="12">
        <f t="shared" si="41"/>
        <v>0</v>
      </c>
      <c r="N343" s="12">
        <f t="shared" si="42"/>
        <v>0</v>
      </c>
      <c r="O343" s="12">
        <f t="shared" si="43"/>
        <v>0</v>
      </c>
      <c r="P343" s="12">
        <f t="shared" si="44"/>
        <v>0</v>
      </c>
      <c r="Q343" s="12">
        <f t="shared" si="45"/>
        <v>0</v>
      </c>
      <c r="R343" s="12">
        <f t="shared" si="46"/>
        <v>0</v>
      </c>
      <c r="S343" s="12">
        <f t="shared" si="47"/>
        <v>0</v>
      </c>
      <c r="T343" s="29">
        <v>0</v>
      </c>
      <c r="U343" s="29">
        <v>0</v>
      </c>
      <c r="V343" s="29">
        <v>0</v>
      </c>
      <c r="W343" s="29">
        <v>0</v>
      </c>
      <c r="X343" s="29">
        <v>0</v>
      </c>
      <c r="Y343" s="29">
        <v>0</v>
      </c>
      <c r="Z343" s="29">
        <v>0</v>
      </c>
      <c r="AA343" s="29">
        <v>0</v>
      </c>
      <c r="AB343" s="29">
        <v>0</v>
      </c>
      <c r="AC343" s="29">
        <v>0</v>
      </c>
      <c r="AD343" s="29">
        <v>0</v>
      </c>
      <c r="AE343" s="29">
        <v>0</v>
      </c>
      <c r="AF343" s="29">
        <v>0</v>
      </c>
      <c r="AG343" s="29">
        <v>0</v>
      </c>
      <c r="AH343" s="29">
        <v>0</v>
      </c>
      <c r="AI343" s="29">
        <v>0</v>
      </c>
      <c r="AJ343" s="29">
        <v>0</v>
      </c>
      <c r="AK343" s="29">
        <v>0</v>
      </c>
      <c r="AL343" s="29">
        <v>0</v>
      </c>
      <c r="AM343" s="29">
        <v>0</v>
      </c>
      <c r="AN343" s="29">
        <v>0</v>
      </c>
      <c r="AO343" s="29">
        <v>0</v>
      </c>
      <c r="AP343" s="29">
        <v>0</v>
      </c>
    </row>
    <row r="344" spans="1:42" x14ac:dyDescent="0.25">
      <c r="A344" s="29">
        <v>5</v>
      </c>
      <c r="B344" s="29">
        <v>13808</v>
      </c>
      <c r="C344" s="29">
        <v>1</v>
      </c>
      <c r="D344" s="29" t="s">
        <v>735</v>
      </c>
      <c r="E344" s="29"/>
      <c r="F344" s="29">
        <v>0</v>
      </c>
      <c r="G344" s="29">
        <v>0</v>
      </c>
      <c r="H344" s="29">
        <v>0</v>
      </c>
      <c r="I344" s="29">
        <v>0</v>
      </c>
      <c r="J344" s="29">
        <v>0</v>
      </c>
      <c r="K344" s="29" t="s">
        <v>882</v>
      </c>
      <c r="L344" s="19" t="str">
        <f t="shared" si="40"/>
        <v>Рихтовка</v>
      </c>
      <c r="M344" s="12">
        <f t="shared" si="41"/>
        <v>0</v>
      </c>
      <c r="N344" s="12">
        <f t="shared" si="42"/>
        <v>0</v>
      </c>
      <c r="O344" s="12">
        <f t="shared" si="43"/>
        <v>0</v>
      </c>
      <c r="P344" s="12">
        <f t="shared" si="44"/>
        <v>0</v>
      </c>
      <c r="Q344" s="12">
        <f t="shared" si="45"/>
        <v>0</v>
      </c>
      <c r="R344" s="12">
        <f t="shared" si="46"/>
        <v>0</v>
      </c>
      <c r="S344" s="12">
        <f t="shared" si="47"/>
        <v>0</v>
      </c>
      <c r="T344" s="29">
        <v>0</v>
      </c>
      <c r="U344" s="29">
        <v>0</v>
      </c>
      <c r="V344" s="29">
        <v>0</v>
      </c>
      <c r="W344" s="29">
        <v>0</v>
      </c>
      <c r="X344" s="29">
        <v>0</v>
      </c>
      <c r="Y344" s="29">
        <v>0</v>
      </c>
      <c r="Z344" s="29">
        <v>0</v>
      </c>
      <c r="AA344" s="29">
        <v>0</v>
      </c>
      <c r="AB344" s="29">
        <v>0</v>
      </c>
      <c r="AC344" s="29">
        <v>0</v>
      </c>
      <c r="AD344" s="29">
        <v>0</v>
      </c>
      <c r="AE344" s="29">
        <v>0</v>
      </c>
      <c r="AF344" s="29">
        <v>0</v>
      </c>
      <c r="AG344" s="29">
        <v>0</v>
      </c>
      <c r="AH344" s="29">
        <v>0</v>
      </c>
      <c r="AI344" s="29">
        <v>0</v>
      </c>
      <c r="AJ344" s="29">
        <v>0</v>
      </c>
      <c r="AK344" s="29">
        <v>0</v>
      </c>
      <c r="AL344" s="29">
        <v>0</v>
      </c>
      <c r="AM344" s="29">
        <v>0</v>
      </c>
      <c r="AN344" s="29">
        <v>0</v>
      </c>
      <c r="AO344" s="29">
        <v>0</v>
      </c>
      <c r="AP344" s="29">
        <v>0</v>
      </c>
    </row>
    <row r="345" spans="1:42" x14ac:dyDescent="0.25">
      <c r="A345" s="29">
        <v>5</v>
      </c>
      <c r="B345" s="29">
        <v>13808</v>
      </c>
      <c r="C345" s="29">
        <v>1</v>
      </c>
      <c r="D345" s="29" t="s">
        <v>736</v>
      </c>
      <c r="E345" s="29"/>
      <c r="F345" s="29">
        <v>0</v>
      </c>
      <c r="G345" s="29">
        <v>0</v>
      </c>
      <c r="H345" s="29">
        <v>0</v>
      </c>
      <c r="I345" s="29">
        <v>0</v>
      </c>
      <c r="J345" s="29">
        <v>0</v>
      </c>
      <c r="K345" s="29" t="s">
        <v>882</v>
      </c>
      <c r="L345" s="19" t="str">
        <f t="shared" si="40"/>
        <v>Рихтовка</v>
      </c>
      <c r="M345" s="12">
        <f t="shared" si="41"/>
        <v>0</v>
      </c>
      <c r="N345" s="12">
        <f t="shared" si="42"/>
        <v>0</v>
      </c>
      <c r="O345" s="12">
        <f t="shared" si="43"/>
        <v>0</v>
      </c>
      <c r="P345" s="12">
        <f t="shared" si="44"/>
        <v>0</v>
      </c>
      <c r="Q345" s="12">
        <f t="shared" si="45"/>
        <v>0</v>
      </c>
      <c r="R345" s="12">
        <f t="shared" si="46"/>
        <v>0</v>
      </c>
      <c r="S345" s="12">
        <f t="shared" si="47"/>
        <v>0</v>
      </c>
      <c r="T345" s="29">
        <v>0</v>
      </c>
      <c r="U345" s="29">
        <v>0</v>
      </c>
      <c r="V345" s="29">
        <v>0</v>
      </c>
      <c r="W345" s="29">
        <v>0</v>
      </c>
      <c r="X345" s="29">
        <v>0</v>
      </c>
      <c r="Y345" s="29">
        <v>0</v>
      </c>
      <c r="Z345" s="29">
        <v>0</v>
      </c>
      <c r="AA345" s="29">
        <v>0</v>
      </c>
      <c r="AB345" s="29">
        <v>0</v>
      </c>
      <c r="AC345" s="29">
        <v>0</v>
      </c>
      <c r="AD345" s="29">
        <v>0</v>
      </c>
      <c r="AE345" s="29">
        <v>0</v>
      </c>
      <c r="AF345" s="29">
        <v>0</v>
      </c>
      <c r="AG345" s="29">
        <v>0</v>
      </c>
      <c r="AH345" s="29">
        <v>0</v>
      </c>
      <c r="AI345" s="29">
        <v>0</v>
      </c>
      <c r="AJ345" s="29">
        <v>0</v>
      </c>
      <c r="AK345" s="29">
        <v>0</v>
      </c>
      <c r="AL345" s="29">
        <v>0</v>
      </c>
      <c r="AM345" s="29">
        <v>0</v>
      </c>
      <c r="AN345" s="29">
        <v>0</v>
      </c>
      <c r="AO345" s="29">
        <v>0</v>
      </c>
      <c r="AP345" s="29">
        <v>0</v>
      </c>
    </row>
    <row r="346" spans="1:42" x14ac:dyDescent="0.25">
      <c r="A346" s="29">
        <v>5</v>
      </c>
      <c r="B346" s="29">
        <v>13808</v>
      </c>
      <c r="C346" s="29">
        <v>1</v>
      </c>
      <c r="D346" s="29" t="s">
        <v>737</v>
      </c>
      <c r="E346" s="29"/>
      <c r="F346" s="29">
        <v>0</v>
      </c>
      <c r="G346" s="29">
        <v>0</v>
      </c>
      <c r="H346" s="29">
        <v>0</v>
      </c>
      <c r="I346" s="29">
        <v>0</v>
      </c>
      <c r="J346" s="29">
        <v>0</v>
      </c>
      <c r="K346" s="29" t="s">
        <v>882</v>
      </c>
      <c r="L346" s="19" t="str">
        <f t="shared" si="40"/>
        <v>Рихтовка</v>
      </c>
      <c r="M346" s="12">
        <f t="shared" si="41"/>
        <v>0</v>
      </c>
      <c r="N346" s="12">
        <f t="shared" si="42"/>
        <v>0</v>
      </c>
      <c r="O346" s="12">
        <f t="shared" si="43"/>
        <v>0</v>
      </c>
      <c r="P346" s="12">
        <f t="shared" si="44"/>
        <v>0</v>
      </c>
      <c r="Q346" s="12">
        <f t="shared" si="45"/>
        <v>0</v>
      </c>
      <c r="R346" s="12">
        <f t="shared" si="46"/>
        <v>0</v>
      </c>
      <c r="S346" s="12">
        <f t="shared" si="47"/>
        <v>0</v>
      </c>
      <c r="T346" s="29">
        <v>0</v>
      </c>
      <c r="U346" s="29">
        <v>0</v>
      </c>
      <c r="V346" s="29">
        <v>0</v>
      </c>
      <c r="W346" s="29">
        <v>0</v>
      </c>
      <c r="X346" s="29">
        <v>0</v>
      </c>
      <c r="Y346" s="29">
        <v>0</v>
      </c>
      <c r="Z346" s="29">
        <v>0</v>
      </c>
      <c r="AA346" s="29">
        <v>0</v>
      </c>
      <c r="AB346" s="29">
        <v>0</v>
      </c>
      <c r="AC346" s="29">
        <v>0</v>
      </c>
      <c r="AD346" s="29">
        <v>0</v>
      </c>
      <c r="AE346" s="29">
        <v>0</v>
      </c>
      <c r="AF346" s="29">
        <v>0</v>
      </c>
      <c r="AG346" s="29">
        <v>0</v>
      </c>
      <c r="AH346" s="29">
        <v>0</v>
      </c>
      <c r="AI346" s="29">
        <v>0</v>
      </c>
      <c r="AJ346" s="29">
        <v>0</v>
      </c>
      <c r="AK346" s="29">
        <v>0</v>
      </c>
      <c r="AL346" s="29">
        <v>0</v>
      </c>
      <c r="AM346" s="29">
        <v>0</v>
      </c>
      <c r="AN346" s="29">
        <v>0</v>
      </c>
      <c r="AO346" s="29">
        <v>0</v>
      </c>
      <c r="AP346" s="29">
        <v>0</v>
      </c>
    </row>
    <row r="347" spans="1:42" x14ac:dyDescent="0.25">
      <c r="A347" s="29">
        <v>5</v>
      </c>
      <c r="B347" s="29">
        <v>13808</v>
      </c>
      <c r="C347" s="29">
        <v>1</v>
      </c>
      <c r="D347" s="29" t="s">
        <v>738</v>
      </c>
      <c r="E347" s="29"/>
      <c r="F347" s="29">
        <v>0</v>
      </c>
      <c r="G347" s="29">
        <v>0</v>
      </c>
      <c r="H347" s="29">
        <v>0</v>
      </c>
      <c r="I347" s="29">
        <v>0</v>
      </c>
      <c r="J347" s="29">
        <v>0</v>
      </c>
      <c r="K347" s="29" t="s">
        <v>882</v>
      </c>
      <c r="L347" s="19" t="str">
        <f t="shared" si="40"/>
        <v>Рихтовка</v>
      </c>
      <c r="M347" s="12">
        <f t="shared" si="41"/>
        <v>0</v>
      </c>
      <c r="N347" s="12">
        <f t="shared" si="42"/>
        <v>0</v>
      </c>
      <c r="O347" s="12">
        <f t="shared" si="43"/>
        <v>0</v>
      </c>
      <c r="P347" s="12">
        <f t="shared" si="44"/>
        <v>0</v>
      </c>
      <c r="Q347" s="12">
        <f t="shared" si="45"/>
        <v>0</v>
      </c>
      <c r="R347" s="12">
        <f t="shared" si="46"/>
        <v>0</v>
      </c>
      <c r="S347" s="12">
        <f t="shared" si="47"/>
        <v>0</v>
      </c>
      <c r="T347" s="29">
        <v>0</v>
      </c>
      <c r="U347" s="29">
        <v>0</v>
      </c>
      <c r="V347" s="29">
        <v>0</v>
      </c>
      <c r="W347" s="29">
        <v>0</v>
      </c>
      <c r="X347" s="29">
        <v>0</v>
      </c>
      <c r="Y347" s="29">
        <v>0</v>
      </c>
      <c r="Z347" s="29">
        <v>0</v>
      </c>
      <c r="AA347" s="29">
        <v>0</v>
      </c>
      <c r="AB347" s="29">
        <v>0</v>
      </c>
      <c r="AC347" s="29">
        <v>0</v>
      </c>
      <c r="AD347" s="29">
        <v>0</v>
      </c>
      <c r="AE347" s="29">
        <v>0</v>
      </c>
      <c r="AF347" s="29">
        <v>0</v>
      </c>
      <c r="AG347" s="29">
        <v>0</v>
      </c>
      <c r="AH347" s="29">
        <v>0</v>
      </c>
      <c r="AI347" s="29">
        <v>0</v>
      </c>
      <c r="AJ347" s="29">
        <v>0</v>
      </c>
      <c r="AK347" s="29">
        <v>0</v>
      </c>
      <c r="AL347" s="29">
        <v>0</v>
      </c>
      <c r="AM347" s="29">
        <v>0</v>
      </c>
      <c r="AN347" s="29">
        <v>0</v>
      </c>
      <c r="AO347" s="29">
        <v>0</v>
      </c>
      <c r="AP347" s="29">
        <v>0</v>
      </c>
    </row>
    <row r="348" spans="1:42" x14ac:dyDescent="0.25">
      <c r="A348" s="29">
        <v>5</v>
      </c>
      <c r="B348" s="29">
        <v>13808</v>
      </c>
      <c r="C348" s="29">
        <v>1</v>
      </c>
      <c r="D348" s="29" t="s">
        <v>739</v>
      </c>
      <c r="E348" s="29"/>
      <c r="F348" s="29">
        <v>0</v>
      </c>
      <c r="G348" s="29">
        <v>0</v>
      </c>
      <c r="H348" s="29">
        <v>0</v>
      </c>
      <c r="I348" s="29">
        <v>0</v>
      </c>
      <c r="J348" s="29">
        <v>0</v>
      </c>
      <c r="K348" s="29" t="s">
        <v>882</v>
      </c>
      <c r="L348" s="19" t="str">
        <f t="shared" si="40"/>
        <v>Рихтовка</v>
      </c>
      <c r="M348" s="12">
        <f t="shared" si="41"/>
        <v>0</v>
      </c>
      <c r="N348" s="12">
        <f t="shared" si="42"/>
        <v>0</v>
      </c>
      <c r="O348" s="12">
        <f t="shared" si="43"/>
        <v>0</v>
      </c>
      <c r="P348" s="12">
        <f t="shared" si="44"/>
        <v>0</v>
      </c>
      <c r="Q348" s="12">
        <f t="shared" si="45"/>
        <v>0</v>
      </c>
      <c r="R348" s="12">
        <f t="shared" si="46"/>
        <v>0</v>
      </c>
      <c r="S348" s="12">
        <f t="shared" si="47"/>
        <v>0</v>
      </c>
      <c r="T348" s="29">
        <v>0</v>
      </c>
      <c r="U348" s="29">
        <v>0</v>
      </c>
      <c r="V348" s="29">
        <v>0</v>
      </c>
      <c r="W348" s="29">
        <v>0</v>
      </c>
      <c r="X348" s="29">
        <v>0</v>
      </c>
      <c r="Y348" s="29">
        <v>0</v>
      </c>
      <c r="Z348" s="29">
        <v>0</v>
      </c>
      <c r="AA348" s="29">
        <v>0</v>
      </c>
      <c r="AB348" s="29">
        <v>0</v>
      </c>
      <c r="AC348" s="29">
        <v>0</v>
      </c>
      <c r="AD348" s="29">
        <v>0</v>
      </c>
      <c r="AE348" s="29">
        <v>0</v>
      </c>
      <c r="AF348" s="29">
        <v>0</v>
      </c>
      <c r="AG348" s="29">
        <v>0</v>
      </c>
      <c r="AH348" s="29">
        <v>0</v>
      </c>
      <c r="AI348" s="29">
        <v>0</v>
      </c>
      <c r="AJ348" s="29">
        <v>0</v>
      </c>
      <c r="AK348" s="29">
        <v>0</v>
      </c>
      <c r="AL348" s="29">
        <v>0</v>
      </c>
      <c r="AM348" s="29">
        <v>0</v>
      </c>
      <c r="AN348" s="29">
        <v>0</v>
      </c>
      <c r="AO348" s="29">
        <v>0</v>
      </c>
      <c r="AP348" s="29">
        <v>0</v>
      </c>
    </row>
    <row r="349" spans="1:42" x14ac:dyDescent="0.25">
      <c r="A349" s="29">
        <v>5</v>
      </c>
      <c r="B349" s="29">
        <v>13808</v>
      </c>
      <c r="C349" s="29">
        <v>1</v>
      </c>
      <c r="D349" s="29" t="s">
        <v>740</v>
      </c>
      <c r="E349" s="29"/>
      <c r="F349" s="29">
        <v>0</v>
      </c>
      <c r="G349" s="29">
        <v>0</v>
      </c>
      <c r="H349" s="29">
        <v>0</v>
      </c>
      <c r="I349" s="29">
        <v>0</v>
      </c>
      <c r="J349" s="29">
        <v>0</v>
      </c>
      <c r="K349" s="29" t="s">
        <v>882</v>
      </c>
      <c r="L349" s="19" t="str">
        <f t="shared" si="40"/>
        <v>Рихтовка</v>
      </c>
      <c r="M349" s="12">
        <f t="shared" si="41"/>
        <v>0</v>
      </c>
      <c r="N349" s="12">
        <f t="shared" si="42"/>
        <v>0</v>
      </c>
      <c r="O349" s="12">
        <f t="shared" si="43"/>
        <v>0</v>
      </c>
      <c r="P349" s="12">
        <f t="shared" si="44"/>
        <v>0</v>
      </c>
      <c r="Q349" s="12">
        <f t="shared" si="45"/>
        <v>0</v>
      </c>
      <c r="R349" s="12">
        <f t="shared" si="46"/>
        <v>0</v>
      </c>
      <c r="S349" s="12">
        <f t="shared" si="47"/>
        <v>0</v>
      </c>
      <c r="T349" s="29">
        <v>0</v>
      </c>
      <c r="U349" s="29">
        <v>0</v>
      </c>
      <c r="V349" s="29">
        <v>0</v>
      </c>
      <c r="W349" s="29">
        <v>0</v>
      </c>
      <c r="X349" s="29">
        <v>0</v>
      </c>
      <c r="Y349" s="29">
        <v>0</v>
      </c>
      <c r="Z349" s="29">
        <v>0</v>
      </c>
      <c r="AA349" s="29">
        <v>0</v>
      </c>
      <c r="AB349" s="29">
        <v>0</v>
      </c>
      <c r="AC349" s="29">
        <v>0</v>
      </c>
      <c r="AD349" s="29">
        <v>0</v>
      </c>
      <c r="AE349" s="29">
        <v>0</v>
      </c>
      <c r="AF349" s="29">
        <v>0</v>
      </c>
      <c r="AG349" s="29">
        <v>0</v>
      </c>
      <c r="AH349" s="29">
        <v>0</v>
      </c>
      <c r="AI349" s="29">
        <v>0</v>
      </c>
      <c r="AJ349" s="29">
        <v>0</v>
      </c>
      <c r="AK349" s="29">
        <v>0</v>
      </c>
      <c r="AL349" s="29">
        <v>0</v>
      </c>
      <c r="AM349" s="29">
        <v>0</v>
      </c>
      <c r="AN349" s="29">
        <v>0</v>
      </c>
      <c r="AO349" s="29">
        <v>0</v>
      </c>
      <c r="AP349" s="29">
        <v>0</v>
      </c>
    </row>
    <row r="350" spans="1:42" x14ac:dyDescent="0.25">
      <c r="A350" s="29">
        <v>5</v>
      </c>
      <c r="B350" s="29">
        <v>13808</v>
      </c>
      <c r="C350" s="29">
        <v>1</v>
      </c>
      <c r="D350" s="29" t="s">
        <v>741</v>
      </c>
      <c r="E350" s="29"/>
      <c r="F350" s="29">
        <v>0</v>
      </c>
      <c r="G350" s="29">
        <v>0</v>
      </c>
      <c r="H350" s="29">
        <v>0</v>
      </c>
      <c r="I350" s="29">
        <v>0</v>
      </c>
      <c r="J350" s="29">
        <v>0</v>
      </c>
      <c r="K350" s="29" t="s">
        <v>882</v>
      </c>
      <c r="L350" s="19" t="str">
        <f t="shared" si="40"/>
        <v>Рихтовка</v>
      </c>
      <c r="M350" s="12">
        <f t="shared" si="41"/>
        <v>0</v>
      </c>
      <c r="N350" s="12">
        <f t="shared" si="42"/>
        <v>0</v>
      </c>
      <c r="O350" s="12">
        <f t="shared" si="43"/>
        <v>0</v>
      </c>
      <c r="P350" s="12">
        <f t="shared" si="44"/>
        <v>0</v>
      </c>
      <c r="Q350" s="12">
        <f t="shared" si="45"/>
        <v>0</v>
      </c>
      <c r="R350" s="12">
        <f t="shared" si="46"/>
        <v>0</v>
      </c>
      <c r="S350" s="12">
        <f t="shared" si="47"/>
        <v>0</v>
      </c>
      <c r="T350" s="29">
        <v>0</v>
      </c>
      <c r="U350" s="29">
        <v>0</v>
      </c>
      <c r="V350" s="29">
        <v>0</v>
      </c>
      <c r="W350" s="29">
        <v>0</v>
      </c>
      <c r="X350" s="29">
        <v>0</v>
      </c>
      <c r="Y350" s="29">
        <v>0</v>
      </c>
      <c r="Z350" s="29">
        <v>0</v>
      </c>
      <c r="AA350" s="29">
        <v>0</v>
      </c>
      <c r="AB350" s="29">
        <v>0</v>
      </c>
      <c r="AC350" s="29">
        <v>0</v>
      </c>
      <c r="AD350" s="29">
        <v>0</v>
      </c>
      <c r="AE350" s="29">
        <v>0</v>
      </c>
      <c r="AF350" s="29">
        <v>0</v>
      </c>
      <c r="AG350" s="29">
        <v>0</v>
      </c>
      <c r="AH350" s="29">
        <v>0</v>
      </c>
      <c r="AI350" s="29">
        <v>0</v>
      </c>
      <c r="AJ350" s="29">
        <v>0</v>
      </c>
      <c r="AK350" s="29">
        <v>0</v>
      </c>
      <c r="AL350" s="29">
        <v>0</v>
      </c>
      <c r="AM350" s="29">
        <v>0</v>
      </c>
      <c r="AN350" s="29">
        <v>0</v>
      </c>
      <c r="AO350" s="29">
        <v>0</v>
      </c>
      <c r="AP350" s="29">
        <v>0</v>
      </c>
    </row>
    <row r="351" spans="1:42" x14ac:dyDescent="0.25">
      <c r="A351" s="29">
        <v>5</v>
      </c>
      <c r="B351" s="29">
        <v>13808</v>
      </c>
      <c r="C351" s="29">
        <v>1</v>
      </c>
      <c r="D351" s="29" t="s">
        <v>742</v>
      </c>
      <c r="E351" s="29"/>
      <c r="F351" s="29">
        <v>0</v>
      </c>
      <c r="G351" s="29">
        <v>0</v>
      </c>
      <c r="H351" s="29">
        <v>0</v>
      </c>
      <c r="I351" s="29">
        <v>0</v>
      </c>
      <c r="J351" s="29">
        <v>0</v>
      </c>
      <c r="K351" s="29" t="s">
        <v>882</v>
      </c>
      <c r="L351" s="19" t="str">
        <f t="shared" si="40"/>
        <v>Рихтовка</v>
      </c>
      <c r="M351" s="12">
        <f t="shared" si="41"/>
        <v>0</v>
      </c>
      <c r="N351" s="12">
        <f t="shared" si="42"/>
        <v>0</v>
      </c>
      <c r="O351" s="12">
        <f t="shared" si="43"/>
        <v>0</v>
      </c>
      <c r="P351" s="12">
        <f t="shared" si="44"/>
        <v>0</v>
      </c>
      <c r="Q351" s="12">
        <f t="shared" si="45"/>
        <v>0</v>
      </c>
      <c r="R351" s="12">
        <f t="shared" si="46"/>
        <v>0</v>
      </c>
      <c r="S351" s="12">
        <f t="shared" si="47"/>
        <v>0</v>
      </c>
      <c r="T351" s="29">
        <v>0</v>
      </c>
      <c r="U351" s="29">
        <v>0</v>
      </c>
      <c r="V351" s="29">
        <v>0</v>
      </c>
      <c r="W351" s="29">
        <v>0</v>
      </c>
      <c r="X351" s="29">
        <v>0</v>
      </c>
      <c r="Y351" s="29">
        <v>0</v>
      </c>
      <c r="Z351" s="29">
        <v>0</v>
      </c>
      <c r="AA351" s="29">
        <v>0</v>
      </c>
      <c r="AB351" s="29">
        <v>0</v>
      </c>
      <c r="AC351" s="29">
        <v>0</v>
      </c>
      <c r="AD351" s="29">
        <v>0</v>
      </c>
      <c r="AE351" s="29">
        <v>0</v>
      </c>
      <c r="AF351" s="29">
        <v>0</v>
      </c>
      <c r="AG351" s="29">
        <v>0</v>
      </c>
      <c r="AH351" s="29">
        <v>0</v>
      </c>
      <c r="AI351" s="29">
        <v>0</v>
      </c>
      <c r="AJ351" s="29">
        <v>0</v>
      </c>
      <c r="AK351" s="29">
        <v>0</v>
      </c>
      <c r="AL351" s="29">
        <v>0</v>
      </c>
      <c r="AM351" s="29">
        <v>0</v>
      </c>
      <c r="AN351" s="29">
        <v>0</v>
      </c>
      <c r="AO351" s="29">
        <v>0</v>
      </c>
      <c r="AP351" s="29">
        <v>0</v>
      </c>
    </row>
    <row r="352" spans="1:42" x14ac:dyDescent="0.25">
      <c r="A352" s="29">
        <v>5</v>
      </c>
      <c r="B352" s="29">
        <v>13808</v>
      </c>
      <c r="C352" s="29">
        <v>1</v>
      </c>
      <c r="D352" s="29" t="s">
        <v>743</v>
      </c>
      <c r="E352" s="29"/>
      <c r="F352" s="29">
        <v>0</v>
      </c>
      <c r="G352" s="29">
        <v>0</v>
      </c>
      <c r="H352" s="29">
        <v>0</v>
      </c>
      <c r="I352" s="29">
        <v>0</v>
      </c>
      <c r="J352" s="29">
        <v>0</v>
      </c>
      <c r="K352" s="29" t="s">
        <v>882</v>
      </c>
      <c r="L352" s="19" t="str">
        <f t="shared" si="40"/>
        <v>Рихтовка</v>
      </c>
      <c r="M352" s="12">
        <f t="shared" si="41"/>
        <v>0</v>
      </c>
      <c r="N352" s="12">
        <f t="shared" si="42"/>
        <v>0</v>
      </c>
      <c r="O352" s="12">
        <f t="shared" si="43"/>
        <v>0</v>
      </c>
      <c r="P352" s="12">
        <f t="shared" si="44"/>
        <v>0</v>
      </c>
      <c r="Q352" s="12">
        <f t="shared" si="45"/>
        <v>0</v>
      </c>
      <c r="R352" s="12">
        <f t="shared" si="46"/>
        <v>0</v>
      </c>
      <c r="S352" s="12">
        <f t="shared" si="47"/>
        <v>0</v>
      </c>
      <c r="T352" s="29">
        <v>0</v>
      </c>
      <c r="U352" s="29">
        <v>0</v>
      </c>
      <c r="V352" s="29">
        <v>0</v>
      </c>
      <c r="W352" s="29">
        <v>0</v>
      </c>
      <c r="X352" s="29">
        <v>0</v>
      </c>
      <c r="Y352" s="29">
        <v>0</v>
      </c>
      <c r="Z352" s="29">
        <v>0</v>
      </c>
      <c r="AA352" s="29">
        <v>0</v>
      </c>
      <c r="AB352" s="29">
        <v>0</v>
      </c>
      <c r="AC352" s="29">
        <v>0</v>
      </c>
      <c r="AD352" s="29">
        <v>0</v>
      </c>
      <c r="AE352" s="29">
        <v>0</v>
      </c>
      <c r="AF352" s="29">
        <v>0</v>
      </c>
      <c r="AG352" s="29">
        <v>0</v>
      </c>
      <c r="AH352" s="29">
        <v>0</v>
      </c>
      <c r="AI352" s="29">
        <v>0</v>
      </c>
      <c r="AJ352" s="29">
        <v>0</v>
      </c>
      <c r="AK352" s="29">
        <v>0</v>
      </c>
      <c r="AL352" s="29">
        <v>0</v>
      </c>
      <c r="AM352" s="29">
        <v>0</v>
      </c>
      <c r="AN352" s="29">
        <v>0</v>
      </c>
      <c r="AO352" s="29">
        <v>0</v>
      </c>
      <c r="AP352" s="29">
        <v>0</v>
      </c>
    </row>
    <row r="353" spans="1:42" x14ac:dyDescent="0.25">
      <c r="A353" s="29">
        <v>5</v>
      </c>
      <c r="B353" s="29">
        <v>13808</v>
      </c>
      <c r="C353" s="29">
        <v>1</v>
      </c>
      <c r="D353" s="29" t="s">
        <v>744</v>
      </c>
      <c r="E353" s="29"/>
      <c r="F353" s="29">
        <v>0</v>
      </c>
      <c r="G353" s="29">
        <v>0</v>
      </c>
      <c r="H353" s="29">
        <v>0</v>
      </c>
      <c r="I353" s="29">
        <v>0</v>
      </c>
      <c r="J353" s="29">
        <v>0</v>
      </c>
      <c r="K353" s="29" t="s">
        <v>882</v>
      </c>
      <c r="L353" s="19" t="str">
        <f t="shared" si="40"/>
        <v>Рихтовка</v>
      </c>
      <c r="M353" s="12">
        <f t="shared" si="41"/>
        <v>0</v>
      </c>
      <c r="N353" s="12">
        <f t="shared" si="42"/>
        <v>0</v>
      </c>
      <c r="O353" s="12">
        <f t="shared" si="43"/>
        <v>0</v>
      </c>
      <c r="P353" s="12">
        <f t="shared" si="44"/>
        <v>0</v>
      </c>
      <c r="Q353" s="12">
        <f t="shared" si="45"/>
        <v>0</v>
      </c>
      <c r="R353" s="12">
        <f t="shared" si="46"/>
        <v>0</v>
      </c>
      <c r="S353" s="12">
        <f t="shared" si="47"/>
        <v>0</v>
      </c>
      <c r="T353" s="29">
        <v>0</v>
      </c>
      <c r="U353" s="29">
        <v>0</v>
      </c>
      <c r="V353" s="29">
        <v>0</v>
      </c>
      <c r="W353" s="29">
        <v>0</v>
      </c>
      <c r="X353" s="29">
        <v>0</v>
      </c>
      <c r="Y353" s="29">
        <v>0</v>
      </c>
      <c r="Z353" s="29">
        <v>0</v>
      </c>
      <c r="AA353" s="29">
        <v>0</v>
      </c>
      <c r="AB353" s="29">
        <v>0</v>
      </c>
      <c r="AC353" s="29">
        <v>0</v>
      </c>
      <c r="AD353" s="29">
        <v>0</v>
      </c>
      <c r="AE353" s="29">
        <v>0</v>
      </c>
      <c r="AF353" s="29">
        <v>0</v>
      </c>
      <c r="AG353" s="29">
        <v>0</v>
      </c>
      <c r="AH353" s="29">
        <v>0</v>
      </c>
      <c r="AI353" s="29">
        <v>0</v>
      </c>
      <c r="AJ353" s="29">
        <v>0</v>
      </c>
      <c r="AK353" s="29">
        <v>0</v>
      </c>
      <c r="AL353" s="29">
        <v>0</v>
      </c>
      <c r="AM353" s="29">
        <v>0</v>
      </c>
      <c r="AN353" s="29">
        <v>0</v>
      </c>
      <c r="AO353" s="29">
        <v>0</v>
      </c>
      <c r="AP353" s="29">
        <v>0</v>
      </c>
    </row>
    <row r="354" spans="1:42" x14ac:dyDescent="0.25">
      <c r="A354" s="29">
        <v>5</v>
      </c>
      <c r="B354" s="29">
        <v>13808</v>
      </c>
      <c r="C354" s="29">
        <v>1</v>
      </c>
      <c r="D354" s="29" t="s">
        <v>745</v>
      </c>
      <c r="E354" s="29"/>
      <c r="F354" s="29">
        <v>0</v>
      </c>
      <c r="G354" s="29">
        <v>0</v>
      </c>
      <c r="H354" s="29">
        <v>0</v>
      </c>
      <c r="I354" s="29">
        <v>0</v>
      </c>
      <c r="J354" s="29">
        <v>0</v>
      </c>
      <c r="K354" s="29" t="s">
        <v>882</v>
      </c>
      <c r="L354" s="19" t="str">
        <f t="shared" si="40"/>
        <v>Рихтовка</v>
      </c>
      <c r="M354" s="12">
        <f t="shared" si="41"/>
        <v>0</v>
      </c>
      <c r="N354" s="12">
        <f t="shared" si="42"/>
        <v>0</v>
      </c>
      <c r="O354" s="12">
        <f t="shared" si="43"/>
        <v>0</v>
      </c>
      <c r="P354" s="12">
        <f t="shared" si="44"/>
        <v>0</v>
      </c>
      <c r="Q354" s="12">
        <f t="shared" si="45"/>
        <v>0</v>
      </c>
      <c r="R354" s="12">
        <f t="shared" si="46"/>
        <v>0</v>
      </c>
      <c r="S354" s="12">
        <f t="shared" si="47"/>
        <v>0</v>
      </c>
      <c r="T354" s="29">
        <v>0</v>
      </c>
      <c r="U354" s="29">
        <v>0</v>
      </c>
      <c r="V354" s="29">
        <v>0</v>
      </c>
      <c r="W354" s="29">
        <v>0</v>
      </c>
      <c r="X354" s="29">
        <v>0</v>
      </c>
      <c r="Y354" s="29">
        <v>0</v>
      </c>
      <c r="Z354" s="29">
        <v>0</v>
      </c>
      <c r="AA354" s="29">
        <v>0</v>
      </c>
      <c r="AB354" s="29">
        <v>0</v>
      </c>
      <c r="AC354" s="29">
        <v>0</v>
      </c>
      <c r="AD354" s="29">
        <v>0</v>
      </c>
      <c r="AE354" s="29">
        <v>0</v>
      </c>
      <c r="AF354" s="29">
        <v>0</v>
      </c>
      <c r="AG354" s="29">
        <v>0</v>
      </c>
      <c r="AH354" s="29">
        <v>0</v>
      </c>
      <c r="AI354" s="29">
        <v>0</v>
      </c>
      <c r="AJ354" s="29">
        <v>0</v>
      </c>
      <c r="AK354" s="29">
        <v>0</v>
      </c>
      <c r="AL354" s="29">
        <v>0</v>
      </c>
      <c r="AM354" s="29">
        <v>0</v>
      </c>
      <c r="AN354" s="29">
        <v>0</v>
      </c>
      <c r="AO354" s="29">
        <v>0</v>
      </c>
      <c r="AP354" s="29">
        <v>0</v>
      </c>
    </row>
    <row r="355" spans="1:42" x14ac:dyDescent="0.25">
      <c r="A355" s="29">
        <v>5</v>
      </c>
      <c r="B355" s="29">
        <v>13808</v>
      </c>
      <c r="C355" s="29">
        <v>2</v>
      </c>
      <c r="D355" s="29" t="s">
        <v>734</v>
      </c>
      <c r="E355" s="29"/>
      <c r="F355" s="29">
        <v>0</v>
      </c>
      <c r="G355" s="29">
        <v>0</v>
      </c>
      <c r="H355" s="29">
        <v>0</v>
      </c>
      <c r="I355" s="29">
        <v>0</v>
      </c>
      <c r="J355" s="29">
        <v>0</v>
      </c>
      <c r="K355" s="29" t="s">
        <v>882</v>
      </c>
      <c r="L355" s="19" t="str">
        <f t="shared" si="40"/>
        <v>Рихтовка</v>
      </c>
      <c r="M355" s="12">
        <f t="shared" si="41"/>
        <v>0</v>
      </c>
      <c r="N355" s="12">
        <f t="shared" si="42"/>
        <v>0</v>
      </c>
      <c r="O355" s="12">
        <f t="shared" si="43"/>
        <v>0</v>
      </c>
      <c r="P355" s="12">
        <f t="shared" si="44"/>
        <v>0</v>
      </c>
      <c r="Q355" s="12">
        <f t="shared" si="45"/>
        <v>0</v>
      </c>
      <c r="R355" s="12">
        <f t="shared" si="46"/>
        <v>0</v>
      </c>
      <c r="S355" s="12">
        <f t="shared" si="47"/>
        <v>0</v>
      </c>
      <c r="T355" s="29">
        <v>0</v>
      </c>
      <c r="U355" s="29">
        <v>0</v>
      </c>
      <c r="V355" s="29">
        <v>0</v>
      </c>
      <c r="W355" s="29">
        <v>0</v>
      </c>
      <c r="X355" s="29">
        <v>0</v>
      </c>
      <c r="Y355" s="29">
        <v>0</v>
      </c>
      <c r="Z355" s="29">
        <v>0</v>
      </c>
      <c r="AA355" s="29">
        <v>0</v>
      </c>
      <c r="AB355" s="29">
        <v>0</v>
      </c>
      <c r="AC355" s="29">
        <v>0</v>
      </c>
      <c r="AD355" s="29">
        <v>0</v>
      </c>
      <c r="AE355" s="29">
        <v>0</v>
      </c>
      <c r="AF355" s="29">
        <v>0</v>
      </c>
      <c r="AG355" s="29">
        <v>0</v>
      </c>
      <c r="AH355" s="29">
        <v>0</v>
      </c>
      <c r="AI355" s="29">
        <v>0</v>
      </c>
      <c r="AJ355" s="29">
        <v>0</v>
      </c>
      <c r="AK355" s="29">
        <v>0</v>
      </c>
      <c r="AL355" s="29">
        <v>0</v>
      </c>
      <c r="AM355" s="29">
        <v>0</v>
      </c>
      <c r="AN355" s="29">
        <v>0</v>
      </c>
      <c r="AO355" s="29">
        <v>0</v>
      </c>
      <c r="AP355" s="29">
        <v>0</v>
      </c>
    </row>
    <row r="356" spans="1:42" x14ac:dyDescent="0.25">
      <c r="A356" s="29">
        <v>5</v>
      </c>
      <c r="B356" s="29">
        <v>13808</v>
      </c>
      <c r="C356" s="29">
        <v>2</v>
      </c>
      <c r="D356" s="29" t="s">
        <v>735</v>
      </c>
      <c r="E356" s="29"/>
      <c r="F356" s="29">
        <v>0</v>
      </c>
      <c r="G356" s="29">
        <v>0</v>
      </c>
      <c r="H356" s="29">
        <v>0</v>
      </c>
      <c r="I356" s="29">
        <v>0</v>
      </c>
      <c r="J356" s="29">
        <v>0</v>
      </c>
      <c r="K356" s="29" t="s">
        <v>882</v>
      </c>
      <c r="L356" s="19" t="str">
        <f t="shared" si="40"/>
        <v>Рихтовка</v>
      </c>
      <c r="M356" s="12">
        <f t="shared" si="41"/>
        <v>0</v>
      </c>
      <c r="N356" s="12">
        <f t="shared" si="42"/>
        <v>0</v>
      </c>
      <c r="O356" s="12">
        <f t="shared" si="43"/>
        <v>0</v>
      </c>
      <c r="P356" s="12">
        <f t="shared" si="44"/>
        <v>0</v>
      </c>
      <c r="Q356" s="12">
        <f t="shared" si="45"/>
        <v>0</v>
      </c>
      <c r="R356" s="12">
        <f t="shared" si="46"/>
        <v>0</v>
      </c>
      <c r="S356" s="12">
        <f t="shared" si="47"/>
        <v>0</v>
      </c>
      <c r="T356" s="29">
        <v>0</v>
      </c>
      <c r="U356" s="29">
        <v>0</v>
      </c>
      <c r="V356" s="29">
        <v>0</v>
      </c>
      <c r="W356" s="29">
        <v>0</v>
      </c>
      <c r="X356" s="29">
        <v>0</v>
      </c>
      <c r="Y356" s="29">
        <v>0</v>
      </c>
      <c r="Z356" s="29">
        <v>0</v>
      </c>
      <c r="AA356" s="29">
        <v>0</v>
      </c>
      <c r="AB356" s="29">
        <v>0</v>
      </c>
      <c r="AC356" s="29">
        <v>0</v>
      </c>
      <c r="AD356" s="29">
        <v>0</v>
      </c>
      <c r="AE356" s="29">
        <v>0</v>
      </c>
      <c r="AF356" s="29">
        <v>0</v>
      </c>
      <c r="AG356" s="29">
        <v>0</v>
      </c>
      <c r="AH356" s="29">
        <v>0</v>
      </c>
      <c r="AI356" s="29">
        <v>0</v>
      </c>
      <c r="AJ356" s="29">
        <v>0</v>
      </c>
      <c r="AK356" s="29">
        <v>0</v>
      </c>
      <c r="AL356" s="29">
        <v>0</v>
      </c>
      <c r="AM356" s="29">
        <v>0</v>
      </c>
      <c r="AN356" s="29">
        <v>0</v>
      </c>
      <c r="AO356" s="29">
        <v>0</v>
      </c>
      <c r="AP356" s="29">
        <v>0</v>
      </c>
    </row>
    <row r="357" spans="1:42" x14ac:dyDescent="0.25">
      <c r="A357" s="29">
        <v>5</v>
      </c>
      <c r="B357" s="29">
        <v>13808</v>
      </c>
      <c r="C357" s="29">
        <v>2</v>
      </c>
      <c r="D357" s="29" t="s">
        <v>736</v>
      </c>
      <c r="E357" s="29"/>
      <c r="F357" s="29">
        <v>0</v>
      </c>
      <c r="G357" s="29">
        <v>0</v>
      </c>
      <c r="H357" s="29">
        <v>0</v>
      </c>
      <c r="I357" s="29">
        <v>0</v>
      </c>
      <c r="J357" s="29">
        <v>0</v>
      </c>
      <c r="K357" s="29" t="s">
        <v>882</v>
      </c>
      <c r="L357" s="19" t="str">
        <f t="shared" si="40"/>
        <v>Рихтовка</v>
      </c>
      <c r="M357" s="12">
        <f t="shared" si="41"/>
        <v>0</v>
      </c>
      <c r="N357" s="12">
        <f t="shared" si="42"/>
        <v>0</v>
      </c>
      <c r="O357" s="12">
        <f t="shared" si="43"/>
        <v>0</v>
      </c>
      <c r="P357" s="12">
        <f t="shared" si="44"/>
        <v>0</v>
      </c>
      <c r="Q357" s="12">
        <f t="shared" si="45"/>
        <v>0</v>
      </c>
      <c r="R357" s="12">
        <f t="shared" si="46"/>
        <v>0</v>
      </c>
      <c r="S357" s="12">
        <f t="shared" si="47"/>
        <v>0</v>
      </c>
      <c r="T357" s="29">
        <v>0</v>
      </c>
      <c r="U357" s="29">
        <v>0</v>
      </c>
      <c r="V357" s="29">
        <v>0</v>
      </c>
      <c r="W357" s="29">
        <v>0</v>
      </c>
      <c r="X357" s="29">
        <v>0</v>
      </c>
      <c r="Y357" s="29">
        <v>0</v>
      </c>
      <c r="Z357" s="29">
        <v>0</v>
      </c>
      <c r="AA357" s="29">
        <v>0</v>
      </c>
      <c r="AB357" s="29">
        <v>0</v>
      </c>
      <c r="AC357" s="29">
        <v>0</v>
      </c>
      <c r="AD357" s="29">
        <v>0</v>
      </c>
      <c r="AE357" s="29">
        <v>0</v>
      </c>
      <c r="AF357" s="29">
        <v>0</v>
      </c>
      <c r="AG357" s="29">
        <v>0</v>
      </c>
      <c r="AH357" s="29">
        <v>0</v>
      </c>
      <c r="AI357" s="29">
        <v>0</v>
      </c>
      <c r="AJ357" s="29">
        <v>0</v>
      </c>
      <c r="AK357" s="29">
        <v>0</v>
      </c>
      <c r="AL357" s="29">
        <v>0</v>
      </c>
      <c r="AM357" s="29">
        <v>0</v>
      </c>
      <c r="AN357" s="29">
        <v>0</v>
      </c>
      <c r="AO357" s="29">
        <v>0</v>
      </c>
      <c r="AP357" s="29">
        <v>0</v>
      </c>
    </row>
    <row r="358" spans="1:42" x14ac:dyDescent="0.25">
      <c r="A358" s="29">
        <v>5</v>
      </c>
      <c r="B358" s="29">
        <v>13808</v>
      </c>
      <c r="C358" s="29">
        <v>2</v>
      </c>
      <c r="D358" s="29" t="s">
        <v>737</v>
      </c>
      <c r="E358" s="29"/>
      <c r="F358" s="29">
        <v>0</v>
      </c>
      <c r="G358" s="29">
        <v>0</v>
      </c>
      <c r="H358" s="29">
        <v>0</v>
      </c>
      <c r="I358" s="29">
        <v>0</v>
      </c>
      <c r="J358" s="29">
        <v>0</v>
      </c>
      <c r="K358" s="29" t="s">
        <v>882</v>
      </c>
      <c r="L358" s="19" t="str">
        <f t="shared" si="40"/>
        <v>Рихтовка</v>
      </c>
      <c r="M358" s="12">
        <f t="shared" si="41"/>
        <v>0</v>
      </c>
      <c r="N358" s="12">
        <f t="shared" si="42"/>
        <v>0</v>
      </c>
      <c r="O358" s="12">
        <f t="shared" si="43"/>
        <v>0</v>
      </c>
      <c r="P358" s="12">
        <f t="shared" si="44"/>
        <v>0</v>
      </c>
      <c r="Q358" s="12">
        <f t="shared" si="45"/>
        <v>0</v>
      </c>
      <c r="R358" s="12">
        <f t="shared" si="46"/>
        <v>0</v>
      </c>
      <c r="S358" s="12">
        <f t="shared" si="47"/>
        <v>0</v>
      </c>
      <c r="T358" s="29">
        <v>0</v>
      </c>
      <c r="U358" s="29">
        <v>0</v>
      </c>
      <c r="V358" s="29">
        <v>0</v>
      </c>
      <c r="W358" s="29">
        <v>0</v>
      </c>
      <c r="X358" s="29">
        <v>0</v>
      </c>
      <c r="Y358" s="29">
        <v>0</v>
      </c>
      <c r="Z358" s="29">
        <v>0</v>
      </c>
      <c r="AA358" s="29">
        <v>0</v>
      </c>
      <c r="AB358" s="29">
        <v>0</v>
      </c>
      <c r="AC358" s="29">
        <v>0</v>
      </c>
      <c r="AD358" s="29">
        <v>0</v>
      </c>
      <c r="AE358" s="29">
        <v>0</v>
      </c>
      <c r="AF358" s="29">
        <v>0</v>
      </c>
      <c r="AG358" s="29">
        <v>0</v>
      </c>
      <c r="AH358" s="29">
        <v>0</v>
      </c>
      <c r="AI358" s="29">
        <v>0</v>
      </c>
      <c r="AJ358" s="29">
        <v>0</v>
      </c>
      <c r="AK358" s="29">
        <v>0</v>
      </c>
      <c r="AL358" s="29">
        <v>0</v>
      </c>
      <c r="AM358" s="29">
        <v>0</v>
      </c>
      <c r="AN358" s="29">
        <v>0</v>
      </c>
      <c r="AO358" s="29">
        <v>0</v>
      </c>
      <c r="AP358" s="29">
        <v>0</v>
      </c>
    </row>
    <row r="359" spans="1:42" x14ac:dyDescent="0.25">
      <c r="A359" s="29">
        <v>5</v>
      </c>
      <c r="B359" s="29">
        <v>13808</v>
      </c>
      <c r="C359" s="29">
        <v>2</v>
      </c>
      <c r="D359" s="29" t="s">
        <v>738</v>
      </c>
      <c r="E359" s="29"/>
      <c r="F359" s="29">
        <v>0</v>
      </c>
      <c r="G359" s="29">
        <v>0</v>
      </c>
      <c r="H359" s="29">
        <v>0</v>
      </c>
      <c r="I359" s="29">
        <v>0</v>
      </c>
      <c r="J359" s="29">
        <v>0</v>
      </c>
      <c r="K359" s="29" t="s">
        <v>882</v>
      </c>
      <c r="L359" s="19" t="str">
        <f t="shared" si="40"/>
        <v>Рихтовка</v>
      </c>
      <c r="M359" s="12">
        <f t="shared" si="41"/>
        <v>0</v>
      </c>
      <c r="N359" s="12">
        <f t="shared" si="42"/>
        <v>0</v>
      </c>
      <c r="O359" s="12">
        <f t="shared" si="43"/>
        <v>0</v>
      </c>
      <c r="P359" s="12">
        <f t="shared" si="44"/>
        <v>0</v>
      </c>
      <c r="Q359" s="12">
        <f t="shared" si="45"/>
        <v>0</v>
      </c>
      <c r="R359" s="12">
        <f t="shared" si="46"/>
        <v>0</v>
      </c>
      <c r="S359" s="12">
        <f t="shared" si="47"/>
        <v>0</v>
      </c>
      <c r="T359" s="29">
        <v>0</v>
      </c>
      <c r="U359" s="29">
        <v>0</v>
      </c>
      <c r="V359" s="29">
        <v>0</v>
      </c>
      <c r="W359" s="29">
        <v>0</v>
      </c>
      <c r="X359" s="29">
        <v>0</v>
      </c>
      <c r="Y359" s="29">
        <v>0</v>
      </c>
      <c r="Z359" s="29">
        <v>0</v>
      </c>
      <c r="AA359" s="29">
        <v>0</v>
      </c>
      <c r="AB359" s="29">
        <v>0</v>
      </c>
      <c r="AC359" s="29">
        <v>0</v>
      </c>
      <c r="AD359" s="29">
        <v>0</v>
      </c>
      <c r="AE359" s="29">
        <v>0</v>
      </c>
      <c r="AF359" s="29">
        <v>0</v>
      </c>
      <c r="AG359" s="29">
        <v>0</v>
      </c>
      <c r="AH359" s="29">
        <v>0</v>
      </c>
      <c r="AI359" s="29">
        <v>0</v>
      </c>
      <c r="AJ359" s="29">
        <v>0</v>
      </c>
      <c r="AK359" s="29">
        <v>0</v>
      </c>
      <c r="AL359" s="29">
        <v>0</v>
      </c>
      <c r="AM359" s="29">
        <v>0</v>
      </c>
      <c r="AN359" s="29">
        <v>0</v>
      </c>
      <c r="AO359" s="29">
        <v>0</v>
      </c>
      <c r="AP359" s="29">
        <v>0</v>
      </c>
    </row>
    <row r="360" spans="1:42" x14ac:dyDescent="0.25">
      <c r="A360" s="29">
        <v>5</v>
      </c>
      <c r="B360" s="29">
        <v>13808</v>
      </c>
      <c r="C360" s="29">
        <v>2</v>
      </c>
      <c r="D360" s="29" t="s">
        <v>739</v>
      </c>
      <c r="E360" s="29"/>
      <c r="F360" s="29">
        <v>0</v>
      </c>
      <c r="G360" s="29">
        <v>0</v>
      </c>
      <c r="H360" s="29">
        <v>0</v>
      </c>
      <c r="I360" s="29">
        <v>0</v>
      </c>
      <c r="J360" s="29">
        <v>0</v>
      </c>
      <c r="K360" s="29" t="s">
        <v>882</v>
      </c>
      <c r="L360" s="19" t="str">
        <f t="shared" si="40"/>
        <v>Рихтовка</v>
      </c>
      <c r="M360" s="12">
        <f t="shared" si="41"/>
        <v>0</v>
      </c>
      <c r="N360" s="12">
        <f t="shared" si="42"/>
        <v>0</v>
      </c>
      <c r="O360" s="12">
        <f t="shared" si="43"/>
        <v>0</v>
      </c>
      <c r="P360" s="12">
        <f t="shared" si="44"/>
        <v>0</v>
      </c>
      <c r="Q360" s="12">
        <f t="shared" si="45"/>
        <v>0</v>
      </c>
      <c r="R360" s="12">
        <f t="shared" si="46"/>
        <v>0</v>
      </c>
      <c r="S360" s="12">
        <f t="shared" si="47"/>
        <v>0</v>
      </c>
      <c r="T360" s="29">
        <v>0</v>
      </c>
      <c r="U360" s="29">
        <v>0</v>
      </c>
      <c r="V360" s="29">
        <v>0</v>
      </c>
      <c r="W360" s="29">
        <v>0</v>
      </c>
      <c r="X360" s="29">
        <v>0</v>
      </c>
      <c r="Y360" s="29">
        <v>0</v>
      </c>
      <c r="Z360" s="29">
        <v>0</v>
      </c>
      <c r="AA360" s="29">
        <v>0</v>
      </c>
      <c r="AB360" s="29">
        <v>0</v>
      </c>
      <c r="AC360" s="29">
        <v>0</v>
      </c>
      <c r="AD360" s="29">
        <v>0</v>
      </c>
      <c r="AE360" s="29">
        <v>0</v>
      </c>
      <c r="AF360" s="29">
        <v>0</v>
      </c>
      <c r="AG360" s="29">
        <v>0</v>
      </c>
      <c r="AH360" s="29">
        <v>0</v>
      </c>
      <c r="AI360" s="29">
        <v>0</v>
      </c>
      <c r="AJ360" s="29">
        <v>0</v>
      </c>
      <c r="AK360" s="29">
        <v>0</v>
      </c>
      <c r="AL360" s="29">
        <v>0</v>
      </c>
      <c r="AM360" s="29">
        <v>0</v>
      </c>
      <c r="AN360" s="29">
        <v>0</v>
      </c>
      <c r="AO360" s="29">
        <v>0</v>
      </c>
      <c r="AP360" s="29">
        <v>0</v>
      </c>
    </row>
    <row r="361" spans="1:42" x14ac:dyDescent="0.25">
      <c r="A361" s="29">
        <v>5</v>
      </c>
      <c r="B361" s="29">
        <v>13808</v>
      </c>
      <c r="C361" s="29">
        <v>2</v>
      </c>
      <c r="D361" s="29" t="s">
        <v>740</v>
      </c>
      <c r="E361" s="29"/>
      <c r="F361" s="29">
        <v>0</v>
      </c>
      <c r="G361" s="29">
        <v>0</v>
      </c>
      <c r="H361" s="29">
        <v>0</v>
      </c>
      <c r="I361" s="29">
        <v>0</v>
      </c>
      <c r="J361" s="29">
        <v>0</v>
      </c>
      <c r="K361" s="29" t="s">
        <v>882</v>
      </c>
      <c r="L361" s="19" t="str">
        <f t="shared" si="40"/>
        <v>Рихтовка</v>
      </c>
      <c r="M361" s="12">
        <f t="shared" si="41"/>
        <v>0</v>
      </c>
      <c r="N361" s="12">
        <f t="shared" si="42"/>
        <v>0</v>
      </c>
      <c r="O361" s="12">
        <f t="shared" si="43"/>
        <v>0</v>
      </c>
      <c r="P361" s="12">
        <f t="shared" si="44"/>
        <v>0</v>
      </c>
      <c r="Q361" s="12">
        <f t="shared" si="45"/>
        <v>0</v>
      </c>
      <c r="R361" s="12">
        <f t="shared" si="46"/>
        <v>0</v>
      </c>
      <c r="S361" s="12">
        <f t="shared" si="47"/>
        <v>0</v>
      </c>
      <c r="T361" s="29">
        <v>0</v>
      </c>
      <c r="U361" s="29">
        <v>0</v>
      </c>
      <c r="V361" s="29">
        <v>0</v>
      </c>
      <c r="W361" s="29">
        <v>0</v>
      </c>
      <c r="X361" s="29">
        <v>0</v>
      </c>
      <c r="Y361" s="29">
        <v>0</v>
      </c>
      <c r="Z361" s="29">
        <v>0</v>
      </c>
      <c r="AA361" s="29">
        <v>0</v>
      </c>
      <c r="AB361" s="29">
        <v>0</v>
      </c>
      <c r="AC361" s="29">
        <v>0</v>
      </c>
      <c r="AD361" s="29">
        <v>0</v>
      </c>
      <c r="AE361" s="29">
        <v>0</v>
      </c>
      <c r="AF361" s="29">
        <v>0</v>
      </c>
      <c r="AG361" s="29">
        <v>0</v>
      </c>
      <c r="AH361" s="29">
        <v>0</v>
      </c>
      <c r="AI361" s="29">
        <v>0</v>
      </c>
      <c r="AJ361" s="29">
        <v>0</v>
      </c>
      <c r="AK361" s="29">
        <v>0</v>
      </c>
      <c r="AL361" s="29">
        <v>0</v>
      </c>
      <c r="AM361" s="29">
        <v>0</v>
      </c>
      <c r="AN361" s="29">
        <v>0</v>
      </c>
      <c r="AO361" s="29">
        <v>0</v>
      </c>
      <c r="AP361" s="29">
        <v>0</v>
      </c>
    </row>
    <row r="362" spans="1:42" x14ac:dyDescent="0.25">
      <c r="A362" s="29">
        <v>5</v>
      </c>
      <c r="B362" s="29">
        <v>13808</v>
      </c>
      <c r="C362" s="29">
        <v>2</v>
      </c>
      <c r="D362" s="29" t="s">
        <v>741</v>
      </c>
      <c r="E362" s="29"/>
      <c r="F362" s="29">
        <v>0</v>
      </c>
      <c r="G362" s="29">
        <v>0</v>
      </c>
      <c r="H362" s="29">
        <v>0</v>
      </c>
      <c r="I362" s="29">
        <v>0</v>
      </c>
      <c r="J362" s="29">
        <v>0</v>
      </c>
      <c r="K362" s="29" t="s">
        <v>882</v>
      </c>
      <c r="L362" s="19" t="str">
        <f t="shared" si="40"/>
        <v>Рихтовка</v>
      </c>
      <c r="M362" s="12">
        <f t="shared" si="41"/>
        <v>0</v>
      </c>
      <c r="N362" s="12">
        <f t="shared" si="42"/>
        <v>0</v>
      </c>
      <c r="O362" s="12">
        <f t="shared" si="43"/>
        <v>0</v>
      </c>
      <c r="P362" s="12">
        <f t="shared" si="44"/>
        <v>0</v>
      </c>
      <c r="Q362" s="12">
        <f t="shared" si="45"/>
        <v>0</v>
      </c>
      <c r="R362" s="12">
        <f t="shared" si="46"/>
        <v>0</v>
      </c>
      <c r="S362" s="12">
        <f t="shared" si="47"/>
        <v>0</v>
      </c>
      <c r="T362" s="29">
        <v>0</v>
      </c>
      <c r="U362" s="29">
        <v>0</v>
      </c>
      <c r="V362" s="29">
        <v>0</v>
      </c>
      <c r="W362" s="29">
        <v>0</v>
      </c>
      <c r="X362" s="29">
        <v>0</v>
      </c>
      <c r="Y362" s="29">
        <v>0</v>
      </c>
      <c r="Z362" s="29">
        <v>0</v>
      </c>
      <c r="AA362" s="29">
        <v>0</v>
      </c>
      <c r="AB362" s="29">
        <v>0</v>
      </c>
      <c r="AC362" s="29">
        <v>0</v>
      </c>
      <c r="AD362" s="29">
        <v>0</v>
      </c>
      <c r="AE362" s="29">
        <v>0</v>
      </c>
      <c r="AF362" s="29">
        <v>0</v>
      </c>
      <c r="AG362" s="29">
        <v>0</v>
      </c>
      <c r="AH362" s="29">
        <v>0</v>
      </c>
      <c r="AI362" s="29">
        <v>0</v>
      </c>
      <c r="AJ362" s="29">
        <v>0</v>
      </c>
      <c r="AK362" s="29">
        <v>0</v>
      </c>
      <c r="AL362" s="29">
        <v>0</v>
      </c>
      <c r="AM362" s="29">
        <v>0</v>
      </c>
      <c r="AN362" s="29">
        <v>0</v>
      </c>
      <c r="AO362" s="29">
        <v>0</v>
      </c>
      <c r="AP362" s="29">
        <v>0</v>
      </c>
    </row>
    <row r="363" spans="1:42" x14ac:dyDescent="0.25">
      <c r="A363" s="29">
        <v>5</v>
      </c>
      <c r="B363" s="29">
        <v>13808</v>
      </c>
      <c r="C363" s="29">
        <v>2</v>
      </c>
      <c r="D363" s="29" t="s">
        <v>742</v>
      </c>
      <c r="E363" s="29"/>
      <c r="F363" s="29">
        <v>0</v>
      </c>
      <c r="G363" s="29">
        <v>0</v>
      </c>
      <c r="H363" s="29">
        <v>0</v>
      </c>
      <c r="I363" s="29">
        <v>0</v>
      </c>
      <c r="J363" s="29">
        <v>0</v>
      </c>
      <c r="K363" s="29" t="s">
        <v>882</v>
      </c>
      <c r="L363" s="19" t="str">
        <f t="shared" si="40"/>
        <v>Рихтовка</v>
      </c>
      <c r="M363" s="12">
        <f t="shared" si="41"/>
        <v>0</v>
      </c>
      <c r="N363" s="12">
        <f t="shared" si="42"/>
        <v>0</v>
      </c>
      <c r="O363" s="12">
        <f t="shared" si="43"/>
        <v>0</v>
      </c>
      <c r="P363" s="12">
        <f t="shared" si="44"/>
        <v>0</v>
      </c>
      <c r="Q363" s="12">
        <f t="shared" si="45"/>
        <v>0</v>
      </c>
      <c r="R363" s="12">
        <f t="shared" si="46"/>
        <v>0</v>
      </c>
      <c r="S363" s="12">
        <f t="shared" si="47"/>
        <v>0</v>
      </c>
      <c r="T363" s="29">
        <v>0</v>
      </c>
      <c r="U363" s="29">
        <v>0</v>
      </c>
      <c r="V363" s="29">
        <v>0</v>
      </c>
      <c r="W363" s="29">
        <v>0</v>
      </c>
      <c r="X363" s="29">
        <v>0</v>
      </c>
      <c r="Y363" s="29">
        <v>0</v>
      </c>
      <c r="Z363" s="29">
        <v>0</v>
      </c>
      <c r="AA363" s="29">
        <v>0</v>
      </c>
      <c r="AB363" s="29">
        <v>0</v>
      </c>
      <c r="AC363" s="29">
        <v>0</v>
      </c>
      <c r="AD363" s="29">
        <v>0</v>
      </c>
      <c r="AE363" s="29">
        <v>0</v>
      </c>
      <c r="AF363" s="29">
        <v>0</v>
      </c>
      <c r="AG363" s="29">
        <v>0</v>
      </c>
      <c r="AH363" s="29">
        <v>0</v>
      </c>
      <c r="AI363" s="29">
        <v>0</v>
      </c>
      <c r="AJ363" s="29">
        <v>0</v>
      </c>
      <c r="AK363" s="29">
        <v>0</v>
      </c>
      <c r="AL363" s="29">
        <v>0</v>
      </c>
      <c r="AM363" s="29">
        <v>0</v>
      </c>
      <c r="AN363" s="29">
        <v>0</v>
      </c>
      <c r="AO363" s="29">
        <v>0</v>
      </c>
      <c r="AP363" s="29">
        <v>0</v>
      </c>
    </row>
    <row r="364" spans="1:42" x14ac:dyDescent="0.25">
      <c r="A364" s="29">
        <v>5</v>
      </c>
      <c r="B364" s="29">
        <v>13808</v>
      </c>
      <c r="C364" s="29">
        <v>2</v>
      </c>
      <c r="D364" s="29" t="s">
        <v>743</v>
      </c>
      <c r="E364" s="29"/>
      <c r="F364" s="29">
        <v>0</v>
      </c>
      <c r="G364" s="29">
        <v>0</v>
      </c>
      <c r="H364" s="29">
        <v>0</v>
      </c>
      <c r="I364" s="29">
        <v>0</v>
      </c>
      <c r="J364" s="29">
        <v>0</v>
      </c>
      <c r="K364" s="29" t="s">
        <v>882</v>
      </c>
      <c r="L364" s="19" t="str">
        <f t="shared" si="40"/>
        <v>Рихтовка</v>
      </c>
      <c r="M364" s="12">
        <f t="shared" si="41"/>
        <v>0</v>
      </c>
      <c r="N364" s="12">
        <f t="shared" si="42"/>
        <v>0</v>
      </c>
      <c r="O364" s="12">
        <f t="shared" si="43"/>
        <v>0</v>
      </c>
      <c r="P364" s="12">
        <f t="shared" si="44"/>
        <v>0</v>
      </c>
      <c r="Q364" s="12">
        <f t="shared" si="45"/>
        <v>0</v>
      </c>
      <c r="R364" s="12">
        <f t="shared" si="46"/>
        <v>0</v>
      </c>
      <c r="S364" s="12">
        <f t="shared" si="47"/>
        <v>0</v>
      </c>
      <c r="T364" s="29">
        <v>0</v>
      </c>
      <c r="U364" s="29">
        <v>0</v>
      </c>
      <c r="V364" s="29">
        <v>0</v>
      </c>
      <c r="W364" s="29">
        <v>0</v>
      </c>
      <c r="X364" s="29">
        <v>0</v>
      </c>
      <c r="Y364" s="29">
        <v>0</v>
      </c>
      <c r="Z364" s="29">
        <v>0</v>
      </c>
      <c r="AA364" s="29">
        <v>0</v>
      </c>
      <c r="AB364" s="29">
        <v>0</v>
      </c>
      <c r="AC364" s="29">
        <v>0</v>
      </c>
      <c r="AD364" s="29">
        <v>0</v>
      </c>
      <c r="AE364" s="29">
        <v>0</v>
      </c>
      <c r="AF364" s="29">
        <v>0</v>
      </c>
      <c r="AG364" s="29">
        <v>0</v>
      </c>
      <c r="AH364" s="29">
        <v>0</v>
      </c>
      <c r="AI364" s="29">
        <v>0</v>
      </c>
      <c r="AJ364" s="29">
        <v>0</v>
      </c>
      <c r="AK364" s="29">
        <v>0</v>
      </c>
      <c r="AL364" s="29">
        <v>0</v>
      </c>
      <c r="AM364" s="29">
        <v>0</v>
      </c>
      <c r="AN364" s="29">
        <v>0</v>
      </c>
      <c r="AO364" s="29">
        <v>0</v>
      </c>
      <c r="AP364" s="29">
        <v>0</v>
      </c>
    </row>
    <row r="365" spans="1:42" x14ac:dyDescent="0.25">
      <c r="A365" s="29">
        <v>5</v>
      </c>
      <c r="B365" s="29">
        <v>13808</v>
      </c>
      <c r="C365" s="29">
        <v>2</v>
      </c>
      <c r="D365" s="29" t="s">
        <v>744</v>
      </c>
      <c r="E365" s="29"/>
      <c r="F365" s="29">
        <v>0</v>
      </c>
      <c r="G365" s="29">
        <v>0</v>
      </c>
      <c r="H365" s="29">
        <v>0</v>
      </c>
      <c r="I365" s="29">
        <v>0</v>
      </c>
      <c r="J365" s="29">
        <v>0</v>
      </c>
      <c r="K365" s="29" t="s">
        <v>882</v>
      </c>
      <c r="L365" s="19" t="str">
        <f t="shared" si="40"/>
        <v>Рихтовка</v>
      </c>
      <c r="M365" s="12">
        <f t="shared" si="41"/>
        <v>0</v>
      </c>
      <c r="N365" s="12">
        <f t="shared" si="42"/>
        <v>0</v>
      </c>
      <c r="O365" s="12">
        <f t="shared" si="43"/>
        <v>0</v>
      </c>
      <c r="P365" s="12">
        <f t="shared" si="44"/>
        <v>0</v>
      </c>
      <c r="Q365" s="12">
        <f t="shared" si="45"/>
        <v>0</v>
      </c>
      <c r="R365" s="12">
        <f t="shared" si="46"/>
        <v>0</v>
      </c>
      <c r="S365" s="12">
        <f t="shared" si="47"/>
        <v>0</v>
      </c>
      <c r="T365" s="29">
        <v>0</v>
      </c>
      <c r="U365" s="29">
        <v>0</v>
      </c>
      <c r="V365" s="29">
        <v>0</v>
      </c>
      <c r="W365" s="29">
        <v>0</v>
      </c>
      <c r="X365" s="29">
        <v>0</v>
      </c>
      <c r="Y365" s="29">
        <v>0</v>
      </c>
      <c r="Z365" s="29">
        <v>0</v>
      </c>
      <c r="AA365" s="29">
        <v>0</v>
      </c>
      <c r="AB365" s="29">
        <v>0</v>
      </c>
      <c r="AC365" s="29">
        <v>0</v>
      </c>
      <c r="AD365" s="29">
        <v>0</v>
      </c>
      <c r="AE365" s="29">
        <v>0</v>
      </c>
      <c r="AF365" s="29">
        <v>0</v>
      </c>
      <c r="AG365" s="29">
        <v>0</v>
      </c>
      <c r="AH365" s="29">
        <v>0</v>
      </c>
      <c r="AI365" s="29">
        <v>0</v>
      </c>
      <c r="AJ365" s="29">
        <v>0</v>
      </c>
      <c r="AK365" s="29">
        <v>0</v>
      </c>
      <c r="AL365" s="29">
        <v>0</v>
      </c>
      <c r="AM365" s="29">
        <v>0</v>
      </c>
      <c r="AN365" s="29">
        <v>0</v>
      </c>
      <c r="AO365" s="29">
        <v>0</v>
      </c>
      <c r="AP365" s="29">
        <v>0</v>
      </c>
    </row>
    <row r="366" spans="1:42" x14ac:dyDescent="0.25">
      <c r="A366" s="29">
        <v>5</v>
      </c>
      <c r="B366" s="29">
        <v>13808</v>
      </c>
      <c r="C366" s="29">
        <v>2</v>
      </c>
      <c r="D366" s="29" t="s">
        <v>745</v>
      </c>
      <c r="E366" s="29"/>
      <c r="F366" s="29">
        <v>0</v>
      </c>
      <c r="G366" s="29">
        <v>0</v>
      </c>
      <c r="H366" s="29">
        <v>0</v>
      </c>
      <c r="I366" s="29">
        <v>0</v>
      </c>
      <c r="J366" s="29">
        <v>0</v>
      </c>
      <c r="K366" s="29" t="s">
        <v>882</v>
      </c>
      <c r="L366" s="19" t="str">
        <f t="shared" si="40"/>
        <v>Рихтовка</v>
      </c>
      <c r="M366" s="12">
        <f t="shared" si="41"/>
        <v>0</v>
      </c>
      <c r="N366" s="12">
        <f t="shared" si="42"/>
        <v>0</v>
      </c>
      <c r="O366" s="12">
        <f t="shared" si="43"/>
        <v>0</v>
      </c>
      <c r="P366" s="12">
        <f t="shared" si="44"/>
        <v>0</v>
      </c>
      <c r="Q366" s="12">
        <f t="shared" si="45"/>
        <v>0</v>
      </c>
      <c r="R366" s="12">
        <f t="shared" si="46"/>
        <v>0</v>
      </c>
      <c r="S366" s="12">
        <f t="shared" si="47"/>
        <v>0</v>
      </c>
      <c r="T366" s="29">
        <v>0</v>
      </c>
      <c r="U366" s="29">
        <v>0</v>
      </c>
      <c r="V366" s="29">
        <v>0</v>
      </c>
      <c r="W366" s="29">
        <v>0</v>
      </c>
      <c r="X366" s="29">
        <v>0</v>
      </c>
      <c r="Y366" s="29">
        <v>0</v>
      </c>
      <c r="Z366" s="29">
        <v>0</v>
      </c>
      <c r="AA366" s="29">
        <v>0</v>
      </c>
      <c r="AB366" s="29">
        <v>0</v>
      </c>
      <c r="AC366" s="29">
        <v>0</v>
      </c>
      <c r="AD366" s="29">
        <v>0</v>
      </c>
      <c r="AE366" s="29">
        <v>0</v>
      </c>
      <c r="AF366" s="29">
        <v>0</v>
      </c>
      <c r="AG366" s="29">
        <v>0</v>
      </c>
      <c r="AH366" s="29">
        <v>0</v>
      </c>
      <c r="AI366" s="29">
        <v>0</v>
      </c>
      <c r="AJ366" s="29">
        <v>0</v>
      </c>
      <c r="AK366" s="29">
        <v>0</v>
      </c>
      <c r="AL366" s="29">
        <v>0</v>
      </c>
      <c r="AM366" s="29">
        <v>0</v>
      </c>
      <c r="AN366" s="29">
        <v>0</v>
      </c>
      <c r="AO366" s="29">
        <v>0</v>
      </c>
      <c r="AP366" s="29">
        <v>0</v>
      </c>
    </row>
    <row r="367" spans="1:42" x14ac:dyDescent="0.25">
      <c r="A367" s="29">
        <v>5</v>
      </c>
      <c r="B367" s="29">
        <v>13808</v>
      </c>
      <c r="C367" s="29" t="s">
        <v>421</v>
      </c>
      <c r="D367" s="29" t="s">
        <v>746</v>
      </c>
      <c r="E367" s="29"/>
      <c r="F367" s="29">
        <v>0</v>
      </c>
      <c r="G367" s="29">
        <v>0</v>
      </c>
      <c r="H367" s="29">
        <v>0</v>
      </c>
      <c r="I367" s="29">
        <v>0</v>
      </c>
      <c r="J367" s="29">
        <v>0</v>
      </c>
      <c r="K367" s="29" t="s">
        <v>882</v>
      </c>
      <c r="L367" s="19" t="str">
        <f t="shared" si="40"/>
        <v>Рихтовка</v>
      </c>
      <c r="M367" s="12">
        <f t="shared" si="41"/>
        <v>0</v>
      </c>
      <c r="N367" s="12">
        <f t="shared" si="42"/>
        <v>0</v>
      </c>
      <c r="O367" s="12">
        <f t="shared" si="43"/>
        <v>0</v>
      </c>
      <c r="P367" s="12">
        <f t="shared" si="44"/>
        <v>0</v>
      </c>
      <c r="Q367" s="12">
        <f t="shared" si="45"/>
        <v>0</v>
      </c>
      <c r="R367" s="12">
        <f t="shared" si="46"/>
        <v>0</v>
      </c>
      <c r="S367" s="12">
        <f t="shared" si="47"/>
        <v>0</v>
      </c>
      <c r="T367" s="29">
        <v>0</v>
      </c>
      <c r="U367" s="29">
        <v>0</v>
      </c>
      <c r="V367" s="29">
        <v>0</v>
      </c>
      <c r="W367" s="29">
        <v>0</v>
      </c>
      <c r="X367" s="29">
        <v>0</v>
      </c>
      <c r="Y367" s="29">
        <v>0</v>
      </c>
      <c r="Z367" s="29">
        <v>0</v>
      </c>
      <c r="AA367" s="29">
        <v>0</v>
      </c>
      <c r="AB367" s="29">
        <v>0</v>
      </c>
      <c r="AC367" s="29">
        <v>0</v>
      </c>
      <c r="AD367" s="29">
        <v>0</v>
      </c>
      <c r="AE367" s="29">
        <v>0</v>
      </c>
      <c r="AF367" s="29">
        <v>0</v>
      </c>
      <c r="AG367" s="29">
        <v>0</v>
      </c>
      <c r="AH367" s="29">
        <v>0</v>
      </c>
      <c r="AI367" s="29">
        <v>0</v>
      </c>
      <c r="AJ367" s="29">
        <v>0</v>
      </c>
      <c r="AK367" s="29">
        <v>0</v>
      </c>
      <c r="AL367" s="29">
        <v>0</v>
      </c>
      <c r="AM367" s="29">
        <v>0</v>
      </c>
      <c r="AN367" s="29">
        <v>0</v>
      </c>
      <c r="AO367" s="29">
        <v>0</v>
      </c>
      <c r="AP367" s="29">
        <v>0</v>
      </c>
    </row>
    <row r="368" spans="1:42" x14ac:dyDescent="0.25">
      <c r="A368" s="29">
        <v>5</v>
      </c>
      <c r="B368" s="29">
        <v>13877</v>
      </c>
      <c r="C368" s="29" t="s">
        <v>421</v>
      </c>
      <c r="D368" s="29" t="s">
        <v>921</v>
      </c>
      <c r="E368" s="29"/>
      <c r="F368" s="29">
        <v>0</v>
      </c>
      <c r="G368" s="29">
        <v>0</v>
      </c>
      <c r="H368" s="29">
        <v>0</v>
      </c>
      <c r="I368" s="29">
        <v>0</v>
      </c>
      <c r="J368" s="29">
        <v>0</v>
      </c>
      <c r="K368" s="29" t="s">
        <v>882</v>
      </c>
      <c r="L368" s="19" t="str">
        <f t="shared" si="40"/>
        <v>Рихтовка</v>
      </c>
      <c r="M368" s="12">
        <f t="shared" si="41"/>
        <v>0</v>
      </c>
      <c r="N368" s="12">
        <f t="shared" si="42"/>
        <v>0</v>
      </c>
      <c r="O368" s="12">
        <f t="shared" si="43"/>
        <v>0</v>
      </c>
      <c r="P368" s="12">
        <f t="shared" si="44"/>
        <v>0</v>
      </c>
      <c r="Q368" s="12">
        <f t="shared" si="45"/>
        <v>0</v>
      </c>
      <c r="R368" s="12">
        <f t="shared" si="46"/>
        <v>0</v>
      </c>
      <c r="S368" s="12">
        <f t="shared" si="47"/>
        <v>0</v>
      </c>
      <c r="T368" s="29">
        <v>0</v>
      </c>
      <c r="U368" s="29">
        <v>0</v>
      </c>
      <c r="V368" s="29">
        <v>0</v>
      </c>
      <c r="W368" s="29">
        <v>0</v>
      </c>
      <c r="X368" s="29">
        <v>0</v>
      </c>
      <c r="Y368" s="29">
        <v>0</v>
      </c>
      <c r="Z368" s="29">
        <v>0</v>
      </c>
      <c r="AA368" s="29">
        <v>0</v>
      </c>
      <c r="AB368" s="29">
        <v>0</v>
      </c>
      <c r="AC368" s="29">
        <v>0</v>
      </c>
      <c r="AD368" s="29">
        <v>0</v>
      </c>
      <c r="AE368" s="29">
        <v>0</v>
      </c>
      <c r="AF368" s="29">
        <v>0</v>
      </c>
      <c r="AG368" s="29">
        <v>0</v>
      </c>
      <c r="AH368" s="29">
        <v>0</v>
      </c>
      <c r="AI368" s="29">
        <v>0</v>
      </c>
      <c r="AJ368" s="29">
        <v>0</v>
      </c>
      <c r="AK368" s="29">
        <v>0</v>
      </c>
      <c r="AL368" s="29">
        <v>0</v>
      </c>
      <c r="AM368" s="29">
        <v>0</v>
      </c>
      <c r="AN368" s="29">
        <v>0</v>
      </c>
      <c r="AO368" s="29">
        <v>0</v>
      </c>
      <c r="AP368" s="29">
        <v>0</v>
      </c>
    </row>
    <row r="369" spans="1:42" x14ac:dyDescent="0.25">
      <c r="A369" s="29">
        <v>5</v>
      </c>
      <c r="B369" s="29">
        <v>13878</v>
      </c>
      <c r="C369" s="29">
        <v>1</v>
      </c>
      <c r="D369" s="29" t="s">
        <v>922</v>
      </c>
      <c r="E369" s="29"/>
      <c r="F369" s="29">
        <v>0</v>
      </c>
      <c r="G369" s="29">
        <v>0</v>
      </c>
      <c r="H369" s="29">
        <v>0</v>
      </c>
      <c r="I369" s="29">
        <v>0</v>
      </c>
      <c r="J369" s="29">
        <v>0</v>
      </c>
      <c r="K369" s="29" t="s">
        <v>882</v>
      </c>
      <c r="L369" s="19" t="str">
        <f t="shared" si="40"/>
        <v>Рихтовка</v>
      </c>
      <c r="M369" s="12">
        <f t="shared" si="41"/>
        <v>0</v>
      </c>
      <c r="N369" s="12">
        <f t="shared" si="42"/>
        <v>0</v>
      </c>
      <c r="O369" s="12">
        <f t="shared" si="43"/>
        <v>0</v>
      </c>
      <c r="P369" s="12">
        <f t="shared" si="44"/>
        <v>0</v>
      </c>
      <c r="Q369" s="12">
        <f t="shared" si="45"/>
        <v>0</v>
      </c>
      <c r="R369" s="12">
        <f t="shared" si="46"/>
        <v>0</v>
      </c>
      <c r="S369" s="12">
        <f t="shared" si="47"/>
        <v>0</v>
      </c>
      <c r="T369" s="29">
        <v>0</v>
      </c>
      <c r="U369" s="29">
        <v>0</v>
      </c>
      <c r="V369" s="29">
        <v>0</v>
      </c>
      <c r="W369" s="29">
        <v>0</v>
      </c>
      <c r="X369" s="29">
        <v>0</v>
      </c>
      <c r="Y369" s="29">
        <v>0</v>
      </c>
      <c r="Z369" s="29">
        <v>0</v>
      </c>
      <c r="AA369" s="29">
        <v>0</v>
      </c>
      <c r="AB369" s="29">
        <v>0</v>
      </c>
      <c r="AC369" s="29">
        <v>0</v>
      </c>
      <c r="AD369" s="29">
        <v>0</v>
      </c>
      <c r="AE369" s="29">
        <v>0</v>
      </c>
      <c r="AF369" s="29">
        <v>0</v>
      </c>
      <c r="AG369" s="29">
        <v>0</v>
      </c>
      <c r="AH369" s="29">
        <v>0</v>
      </c>
      <c r="AI369" s="29">
        <v>0</v>
      </c>
      <c r="AJ369" s="29">
        <v>0</v>
      </c>
      <c r="AK369" s="29">
        <v>0</v>
      </c>
      <c r="AL369" s="29">
        <v>0</v>
      </c>
      <c r="AM369" s="29">
        <v>0</v>
      </c>
      <c r="AN369" s="29">
        <v>0</v>
      </c>
      <c r="AO369" s="29">
        <v>0</v>
      </c>
      <c r="AP369" s="29">
        <v>0</v>
      </c>
    </row>
    <row r="370" spans="1:42" x14ac:dyDescent="0.25">
      <c r="A370" s="29">
        <v>5</v>
      </c>
      <c r="B370" s="29">
        <v>13808</v>
      </c>
      <c r="C370" s="29">
        <v>1</v>
      </c>
      <c r="D370" s="29" t="s">
        <v>747</v>
      </c>
      <c r="E370" s="29"/>
      <c r="F370" s="29">
        <v>0</v>
      </c>
      <c r="G370" s="29">
        <v>0</v>
      </c>
      <c r="H370" s="29">
        <v>0</v>
      </c>
      <c r="I370" s="29">
        <v>0</v>
      </c>
      <c r="J370" s="29">
        <v>0</v>
      </c>
      <c r="K370" s="29" t="s">
        <v>882</v>
      </c>
      <c r="L370" s="19" t="str">
        <f t="shared" si="40"/>
        <v>Рихтовка</v>
      </c>
      <c r="M370" s="12">
        <f t="shared" si="41"/>
        <v>0</v>
      </c>
      <c r="N370" s="12">
        <f t="shared" si="42"/>
        <v>0</v>
      </c>
      <c r="O370" s="12">
        <f t="shared" si="43"/>
        <v>0</v>
      </c>
      <c r="P370" s="12">
        <f t="shared" si="44"/>
        <v>0</v>
      </c>
      <c r="Q370" s="12">
        <f t="shared" si="45"/>
        <v>0</v>
      </c>
      <c r="R370" s="12">
        <f t="shared" si="46"/>
        <v>0</v>
      </c>
      <c r="S370" s="12">
        <f t="shared" si="47"/>
        <v>0</v>
      </c>
      <c r="T370" s="29">
        <v>0</v>
      </c>
      <c r="U370" s="29">
        <v>0</v>
      </c>
      <c r="V370" s="29">
        <v>0</v>
      </c>
      <c r="W370" s="29">
        <v>0</v>
      </c>
      <c r="X370" s="29">
        <v>0</v>
      </c>
      <c r="Y370" s="29">
        <v>0</v>
      </c>
      <c r="Z370" s="29">
        <v>0</v>
      </c>
      <c r="AA370" s="29">
        <v>0</v>
      </c>
      <c r="AB370" s="29">
        <v>0</v>
      </c>
      <c r="AC370" s="29">
        <v>0</v>
      </c>
      <c r="AD370" s="29">
        <v>0</v>
      </c>
      <c r="AE370" s="29">
        <v>0</v>
      </c>
      <c r="AF370" s="29">
        <v>0</v>
      </c>
      <c r="AG370" s="29">
        <v>0</v>
      </c>
      <c r="AH370" s="29">
        <v>0</v>
      </c>
      <c r="AI370" s="29">
        <v>0</v>
      </c>
      <c r="AJ370" s="29">
        <v>0</v>
      </c>
      <c r="AK370" s="29">
        <v>0</v>
      </c>
      <c r="AL370" s="29">
        <v>0</v>
      </c>
      <c r="AM370" s="29">
        <v>0</v>
      </c>
      <c r="AN370" s="29">
        <v>0</v>
      </c>
      <c r="AO370" s="29">
        <v>0</v>
      </c>
      <c r="AP370" s="29">
        <v>0</v>
      </c>
    </row>
    <row r="371" spans="1:42" x14ac:dyDescent="0.25">
      <c r="A371" s="29">
        <v>5</v>
      </c>
      <c r="B371" s="29">
        <v>13808</v>
      </c>
      <c r="C371" s="29">
        <v>2</v>
      </c>
      <c r="D371" s="29" t="s">
        <v>747</v>
      </c>
      <c r="E371" s="29"/>
      <c r="F371" s="29">
        <v>0</v>
      </c>
      <c r="G371" s="29">
        <v>0</v>
      </c>
      <c r="H371" s="29">
        <v>0</v>
      </c>
      <c r="I371" s="29">
        <v>0</v>
      </c>
      <c r="J371" s="29">
        <v>0</v>
      </c>
      <c r="K371" s="29" t="s">
        <v>882</v>
      </c>
      <c r="L371" s="19" t="str">
        <f t="shared" si="40"/>
        <v>Рихтовка</v>
      </c>
      <c r="M371" s="12">
        <f t="shared" si="41"/>
        <v>0</v>
      </c>
      <c r="N371" s="12">
        <f t="shared" si="42"/>
        <v>0</v>
      </c>
      <c r="O371" s="12">
        <f t="shared" si="43"/>
        <v>0</v>
      </c>
      <c r="P371" s="12">
        <f t="shared" si="44"/>
        <v>0</v>
      </c>
      <c r="Q371" s="12">
        <f t="shared" si="45"/>
        <v>0</v>
      </c>
      <c r="R371" s="12">
        <f t="shared" si="46"/>
        <v>0</v>
      </c>
      <c r="S371" s="12">
        <f t="shared" si="47"/>
        <v>0</v>
      </c>
      <c r="T371" s="29">
        <v>0</v>
      </c>
      <c r="U371" s="29">
        <v>0</v>
      </c>
      <c r="V371" s="29">
        <v>0</v>
      </c>
      <c r="W371" s="29">
        <v>0</v>
      </c>
      <c r="X371" s="29">
        <v>0</v>
      </c>
      <c r="Y371" s="29">
        <v>0</v>
      </c>
      <c r="Z371" s="29">
        <v>0</v>
      </c>
      <c r="AA371" s="29">
        <v>0</v>
      </c>
      <c r="AB371" s="29">
        <v>0</v>
      </c>
      <c r="AC371" s="29">
        <v>0</v>
      </c>
      <c r="AD371" s="29">
        <v>0</v>
      </c>
      <c r="AE371" s="29">
        <v>0</v>
      </c>
      <c r="AF371" s="29">
        <v>0</v>
      </c>
      <c r="AG371" s="29">
        <v>0</v>
      </c>
      <c r="AH371" s="29">
        <v>0</v>
      </c>
      <c r="AI371" s="29">
        <v>0</v>
      </c>
      <c r="AJ371" s="29">
        <v>0</v>
      </c>
      <c r="AK371" s="29">
        <v>0</v>
      </c>
      <c r="AL371" s="29">
        <v>0</v>
      </c>
      <c r="AM371" s="29">
        <v>0</v>
      </c>
      <c r="AN371" s="29">
        <v>0</v>
      </c>
      <c r="AO371" s="29">
        <v>0</v>
      </c>
      <c r="AP371" s="29">
        <v>0</v>
      </c>
    </row>
    <row r="372" spans="1:42" x14ac:dyDescent="0.25">
      <c r="A372" s="29">
        <v>6</v>
      </c>
      <c r="B372" s="29">
        <v>13809</v>
      </c>
      <c r="C372" s="29">
        <v>1</v>
      </c>
      <c r="D372" s="29" t="s">
        <v>747</v>
      </c>
      <c r="E372" s="29"/>
      <c r="F372" s="29">
        <v>0</v>
      </c>
      <c r="G372" s="29">
        <v>0</v>
      </c>
      <c r="H372" s="29">
        <v>0</v>
      </c>
      <c r="I372" s="29">
        <v>0</v>
      </c>
      <c r="J372" s="29">
        <v>0</v>
      </c>
      <c r="K372" s="29" t="s">
        <v>882</v>
      </c>
      <c r="L372" s="19" t="str">
        <f t="shared" si="40"/>
        <v>Рихтовка</v>
      </c>
      <c r="M372" s="12">
        <f t="shared" si="41"/>
        <v>0</v>
      </c>
      <c r="N372" s="12">
        <f t="shared" si="42"/>
        <v>0</v>
      </c>
      <c r="O372" s="12">
        <f t="shared" si="43"/>
        <v>0</v>
      </c>
      <c r="P372" s="12">
        <f t="shared" si="44"/>
        <v>0</v>
      </c>
      <c r="Q372" s="12">
        <f t="shared" si="45"/>
        <v>0</v>
      </c>
      <c r="R372" s="12">
        <f t="shared" si="46"/>
        <v>0</v>
      </c>
      <c r="S372" s="12">
        <f t="shared" si="47"/>
        <v>0</v>
      </c>
      <c r="T372" s="29">
        <v>0</v>
      </c>
      <c r="U372" s="29">
        <v>0</v>
      </c>
      <c r="V372" s="29">
        <v>0</v>
      </c>
      <c r="W372" s="29">
        <v>0</v>
      </c>
      <c r="X372" s="29">
        <v>0</v>
      </c>
      <c r="Y372" s="29">
        <v>0</v>
      </c>
      <c r="Z372" s="29">
        <v>0</v>
      </c>
      <c r="AA372" s="29">
        <v>0</v>
      </c>
      <c r="AB372" s="29">
        <v>0</v>
      </c>
      <c r="AC372" s="29">
        <v>0</v>
      </c>
      <c r="AD372" s="29">
        <v>0</v>
      </c>
      <c r="AE372" s="29">
        <v>0</v>
      </c>
      <c r="AF372" s="29">
        <v>0</v>
      </c>
      <c r="AG372" s="29">
        <v>0</v>
      </c>
      <c r="AH372" s="29">
        <v>0</v>
      </c>
      <c r="AI372" s="29">
        <v>0</v>
      </c>
      <c r="AJ372" s="29">
        <v>0</v>
      </c>
      <c r="AK372" s="29">
        <v>0</v>
      </c>
      <c r="AL372" s="29">
        <v>0</v>
      </c>
      <c r="AM372" s="29">
        <v>0</v>
      </c>
      <c r="AN372" s="29">
        <v>0</v>
      </c>
      <c r="AO372" s="29">
        <v>0</v>
      </c>
      <c r="AP372" s="29">
        <v>0</v>
      </c>
    </row>
    <row r="373" spans="1:42" x14ac:dyDescent="0.25">
      <c r="A373" s="29">
        <v>6</v>
      </c>
      <c r="B373" s="29">
        <v>13809</v>
      </c>
      <c r="C373" s="29">
        <v>2</v>
      </c>
      <c r="D373" s="29" t="s">
        <v>747</v>
      </c>
      <c r="E373" s="29"/>
      <c r="F373" s="29">
        <v>0</v>
      </c>
      <c r="G373" s="29">
        <v>0</v>
      </c>
      <c r="H373" s="29">
        <v>0</v>
      </c>
      <c r="I373" s="29">
        <v>0</v>
      </c>
      <c r="J373" s="29">
        <v>0</v>
      </c>
      <c r="K373" s="29" t="s">
        <v>882</v>
      </c>
      <c r="L373" s="19" t="str">
        <f t="shared" si="40"/>
        <v>Рихтовка</v>
      </c>
      <c r="M373" s="12">
        <f t="shared" si="41"/>
        <v>0</v>
      </c>
      <c r="N373" s="12">
        <f t="shared" si="42"/>
        <v>0</v>
      </c>
      <c r="O373" s="12">
        <f t="shared" si="43"/>
        <v>0</v>
      </c>
      <c r="P373" s="12">
        <f t="shared" si="44"/>
        <v>0</v>
      </c>
      <c r="Q373" s="12">
        <f t="shared" si="45"/>
        <v>0</v>
      </c>
      <c r="R373" s="12">
        <f t="shared" si="46"/>
        <v>0</v>
      </c>
      <c r="S373" s="12">
        <f t="shared" si="47"/>
        <v>0</v>
      </c>
      <c r="T373" s="29">
        <v>0</v>
      </c>
      <c r="U373" s="29">
        <v>0</v>
      </c>
      <c r="V373" s="29">
        <v>0</v>
      </c>
      <c r="W373" s="29">
        <v>0</v>
      </c>
      <c r="X373" s="29">
        <v>0</v>
      </c>
      <c r="Y373" s="29">
        <v>0</v>
      </c>
      <c r="Z373" s="29">
        <v>0</v>
      </c>
      <c r="AA373" s="29">
        <v>0</v>
      </c>
      <c r="AB373" s="29">
        <v>0</v>
      </c>
      <c r="AC373" s="29">
        <v>0</v>
      </c>
      <c r="AD373" s="29">
        <v>0</v>
      </c>
      <c r="AE373" s="29">
        <v>0</v>
      </c>
      <c r="AF373" s="29">
        <v>0</v>
      </c>
      <c r="AG373" s="29">
        <v>0</v>
      </c>
      <c r="AH373" s="29">
        <v>0</v>
      </c>
      <c r="AI373" s="29">
        <v>0</v>
      </c>
      <c r="AJ373" s="29">
        <v>0</v>
      </c>
      <c r="AK373" s="29">
        <v>0</v>
      </c>
      <c r="AL373" s="29">
        <v>0</v>
      </c>
      <c r="AM373" s="29">
        <v>0</v>
      </c>
      <c r="AN373" s="29">
        <v>0</v>
      </c>
      <c r="AO373" s="29">
        <v>0</v>
      </c>
      <c r="AP373" s="29">
        <v>0</v>
      </c>
    </row>
    <row r="374" spans="1:42" x14ac:dyDescent="0.25">
      <c r="A374" s="29">
        <v>6</v>
      </c>
      <c r="B374" s="29">
        <v>13809</v>
      </c>
      <c r="C374" s="29">
        <v>1</v>
      </c>
      <c r="D374" s="29" t="s">
        <v>748</v>
      </c>
      <c r="E374" s="29"/>
      <c r="F374" s="29">
        <v>0</v>
      </c>
      <c r="G374" s="29">
        <v>0</v>
      </c>
      <c r="H374" s="29">
        <v>0</v>
      </c>
      <c r="I374" s="29">
        <v>0</v>
      </c>
      <c r="J374" s="29">
        <v>0</v>
      </c>
      <c r="K374" s="29" t="s">
        <v>882</v>
      </c>
      <c r="L374" s="19" t="str">
        <f t="shared" si="40"/>
        <v>Рихтовка</v>
      </c>
      <c r="M374" s="12">
        <f t="shared" si="41"/>
        <v>0</v>
      </c>
      <c r="N374" s="12">
        <f t="shared" si="42"/>
        <v>0</v>
      </c>
      <c r="O374" s="12">
        <f t="shared" si="43"/>
        <v>0</v>
      </c>
      <c r="P374" s="12">
        <f t="shared" si="44"/>
        <v>0</v>
      </c>
      <c r="Q374" s="12">
        <f t="shared" si="45"/>
        <v>0</v>
      </c>
      <c r="R374" s="12">
        <f t="shared" si="46"/>
        <v>0</v>
      </c>
      <c r="S374" s="12">
        <f t="shared" si="47"/>
        <v>0</v>
      </c>
      <c r="T374" s="29">
        <v>0</v>
      </c>
      <c r="U374" s="29">
        <v>0</v>
      </c>
      <c r="V374" s="29">
        <v>0</v>
      </c>
      <c r="W374" s="29">
        <v>0</v>
      </c>
      <c r="X374" s="29">
        <v>0</v>
      </c>
      <c r="Y374" s="29">
        <v>0</v>
      </c>
      <c r="Z374" s="29">
        <v>0</v>
      </c>
      <c r="AA374" s="29">
        <v>0</v>
      </c>
      <c r="AB374" s="29">
        <v>0</v>
      </c>
      <c r="AC374" s="29">
        <v>0</v>
      </c>
      <c r="AD374" s="29">
        <v>0</v>
      </c>
      <c r="AE374" s="29">
        <v>0</v>
      </c>
      <c r="AF374" s="29">
        <v>0</v>
      </c>
      <c r="AG374" s="29">
        <v>0</v>
      </c>
      <c r="AH374" s="29">
        <v>0</v>
      </c>
      <c r="AI374" s="29">
        <v>0</v>
      </c>
      <c r="AJ374" s="29">
        <v>0</v>
      </c>
      <c r="AK374" s="29">
        <v>0</v>
      </c>
      <c r="AL374" s="29">
        <v>0</v>
      </c>
      <c r="AM374" s="29">
        <v>0</v>
      </c>
      <c r="AN374" s="29">
        <v>0</v>
      </c>
      <c r="AO374" s="29">
        <v>0</v>
      </c>
      <c r="AP374" s="29">
        <v>0</v>
      </c>
    </row>
    <row r="375" spans="1:42" x14ac:dyDescent="0.25">
      <c r="A375" s="29">
        <v>6</v>
      </c>
      <c r="B375" s="29">
        <v>13809</v>
      </c>
      <c r="C375" s="29">
        <v>2</v>
      </c>
      <c r="D375" s="29" t="s">
        <v>748</v>
      </c>
      <c r="E375" s="29"/>
      <c r="F375" s="29">
        <v>0</v>
      </c>
      <c r="G375" s="29">
        <v>0</v>
      </c>
      <c r="H375" s="29">
        <v>0</v>
      </c>
      <c r="I375" s="29">
        <v>0</v>
      </c>
      <c r="J375" s="29">
        <v>0</v>
      </c>
      <c r="K375" s="29" t="s">
        <v>882</v>
      </c>
      <c r="L375" s="19" t="str">
        <f t="shared" si="40"/>
        <v>Рихтовка</v>
      </c>
      <c r="M375" s="12">
        <f t="shared" si="41"/>
        <v>0</v>
      </c>
      <c r="N375" s="12">
        <f t="shared" si="42"/>
        <v>0</v>
      </c>
      <c r="O375" s="12">
        <f t="shared" si="43"/>
        <v>0</v>
      </c>
      <c r="P375" s="12">
        <f t="shared" si="44"/>
        <v>0</v>
      </c>
      <c r="Q375" s="12">
        <f t="shared" si="45"/>
        <v>0</v>
      </c>
      <c r="R375" s="12">
        <f t="shared" si="46"/>
        <v>0</v>
      </c>
      <c r="S375" s="12">
        <f t="shared" si="47"/>
        <v>0</v>
      </c>
      <c r="T375" s="29">
        <v>0</v>
      </c>
      <c r="U375" s="29">
        <v>0</v>
      </c>
      <c r="V375" s="29">
        <v>0</v>
      </c>
      <c r="W375" s="29">
        <v>0</v>
      </c>
      <c r="X375" s="29">
        <v>0</v>
      </c>
      <c r="Y375" s="29">
        <v>0</v>
      </c>
      <c r="Z375" s="29">
        <v>0</v>
      </c>
      <c r="AA375" s="29">
        <v>0</v>
      </c>
      <c r="AB375" s="29">
        <v>0</v>
      </c>
      <c r="AC375" s="29">
        <v>0</v>
      </c>
      <c r="AD375" s="29">
        <v>0</v>
      </c>
      <c r="AE375" s="29">
        <v>0</v>
      </c>
      <c r="AF375" s="29">
        <v>0</v>
      </c>
      <c r="AG375" s="29">
        <v>0</v>
      </c>
      <c r="AH375" s="29">
        <v>0</v>
      </c>
      <c r="AI375" s="29">
        <v>0</v>
      </c>
      <c r="AJ375" s="29">
        <v>0</v>
      </c>
      <c r="AK375" s="29">
        <v>0</v>
      </c>
      <c r="AL375" s="29">
        <v>0</v>
      </c>
      <c r="AM375" s="29">
        <v>0</v>
      </c>
      <c r="AN375" s="29">
        <v>0</v>
      </c>
      <c r="AO375" s="29">
        <v>0</v>
      </c>
      <c r="AP375" s="29">
        <v>0</v>
      </c>
    </row>
    <row r="376" spans="1:42" x14ac:dyDescent="0.25">
      <c r="A376" s="29">
        <v>6</v>
      </c>
      <c r="B376" s="29">
        <v>13809</v>
      </c>
      <c r="C376" s="29">
        <v>3</v>
      </c>
      <c r="D376" s="29" t="s">
        <v>748</v>
      </c>
      <c r="E376" s="29"/>
      <c r="F376" s="29">
        <v>0</v>
      </c>
      <c r="G376" s="29">
        <v>0</v>
      </c>
      <c r="H376" s="29">
        <v>0</v>
      </c>
      <c r="I376" s="29">
        <v>0</v>
      </c>
      <c r="J376" s="29">
        <v>0</v>
      </c>
      <c r="K376" s="29" t="s">
        <v>882</v>
      </c>
      <c r="L376" s="19" t="str">
        <f t="shared" si="40"/>
        <v>Рихтовка</v>
      </c>
      <c r="M376" s="12">
        <f t="shared" si="41"/>
        <v>0</v>
      </c>
      <c r="N376" s="12">
        <f t="shared" si="42"/>
        <v>0</v>
      </c>
      <c r="O376" s="12">
        <f t="shared" si="43"/>
        <v>0</v>
      </c>
      <c r="P376" s="12">
        <f t="shared" si="44"/>
        <v>0</v>
      </c>
      <c r="Q376" s="12">
        <f t="shared" si="45"/>
        <v>0</v>
      </c>
      <c r="R376" s="12">
        <f t="shared" si="46"/>
        <v>0</v>
      </c>
      <c r="S376" s="12">
        <f t="shared" si="47"/>
        <v>0</v>
      </c>
      <c r="T376" s="29">
        <v>0</v>
      </c>
      <c r="U376" s="29">
        <v>0</v>
      </c>
      <c r="V376" s="29">
        <v>0</v>
      </c>
      <c r="W376" s="29">
        <v>0</v>
      </c>
      <c r="X376" s="29">
        <v>0</v>
      </c>
      <c r="Y376" s="29">
        <v>0</v>
      </c>
      <c r="Z376" s="29">
        <v>0</v>
      </c>
      <c r="AA376" s="29">
        <v>0</v>
      </c>
      <c r="AB376" s="29">
        <v>0</v>
      </c>
      <c r="AC376" s="29">
        <v>0</v>
      </c>
      <c r="AD376" s="29">
        <v>0</v>
      </c>
      <c r="AE376" s="29">
        <v>0</v>
      </c>
      <c r="AF376" s="29">
        <v>0</v>
      </c>
      <c r="AG376" s="29">
        <v>0</v>
      </c>
      <c r="AH376" s="29">
        <v>0</v>
      </c>
      <c r="AI376" s="29">
        <v>0</v>
      </c>
      <c r="AJ376" s="29">
        <v>0</v>
      </c>
      <c r="AK376" s="29">
        <v>0</v>
      </c>
      <c r="AL376" s="29">
        <v>0</v>
      </c>
      <c r="AM376" s="29">
        <v>0</v>
      </c>
      <c r="AN376" s="29">
        <v>0</v>
      </c>
      <c r="AO376" s="29">
        <v>0</v>
      </c>
      <c r="AP376" s="29">
        <v>0</v>
      </c>
    </row>
    <row r="377" spans="1:42" x14ac:dyDescent="0.25">
      <c r="A377" s="29">
        <v>6</v>
      </c>
      <c r="B377" s="29">
        <v>13809</v>
      </c>
      <c r="C377" s="29">
        <v>1</v>
      </c>
      <c r="D377" s="29" t="s">
        <v>749</v>
      </c>
      <c r="E377" s="29"/>
      <c r="F377" s="29">
        <v>0</v>
      </c>
      <c r="G377" s="29">
        <v>0</v>
      </c>
      <c r="H377" s="29">
        <v>0</v>
      </c>
      <c r="I377" s="29">
        <v>0</v>
      </c>
      <c r="J377" s="29">
        <v>0</v>
      </c>
      <c r="K377" s="29" t="s">
        <v>882</v>
      </c>
      <c r="L377" s="19" t="str">
        <f t="shared" si="40"/>
        <v>Рихтовка</v>
      </c>
      <c r="M377" s="12">
        <f t="shared" si="41"/>
        <v>0</v>
      </c>
      <c r="N377" s="12">
        <f t="shared" si="42"/>
        <v>0</v>
      </c>
      <c r="O377" s="12">
        <f t="shared" si="43"/>
        <v>0</v>
      </c>
      <c r="P377" s="12">
        <f t="shared" si="44"/>
        <v>0</v>
      </c>
      <c r="Q377" s="12">
        <f t="shared" si="45"/>
        <v>0</v>
      </c>
      <c r="R377" s="12">
        <f t="shared" si="46"/>
        <v>0</v>
      </c>
      <c r="S377" s="12">
        <f t="shared" si="47"/>
        <v>0</v>
      </c>
      <c r="T377" s="29">
        <v>0</v>
      </c>
      <c r="U377" s="29">
        <v>0</v>
      </c>
      <c r="V377" s="29">
        <v>0</v>
      </c>
      <c r="W377" s="29">
        <v>0</v>
      </c>
      <c r="X377" s="29">
        <v>0</v>
      </c>
      <c r="Y377" s="29">
        <v>0</v>
      </c>
      <c r="Z377" s="29">
        <v>0</v>
      </c>
      <c r="AA377" s="29">
        <v>0</v>
      </c>
      <c r="AB377" s="29">
        <v>0</v>
      </c>
      <c r="AC377" s="29">
        <v>0</v>
      </c>
      <c r="AD377" s="29">
        <v>0</v>
      </c>
      <c r="AE377" s="29">
        <v>0</v>
      </c>
      <c r="AF377" s="29">
        <v>0</v>
      </c>
      <c r="AG377" s="29">
        <v>0</v>
      </c>
      <c r="AH377" s="29">
        <v>0</v>
      </c>
      <c r="AI377" s="29">
        <v>0</v>
      </c>
      <c r="AJ377" s="29">
        <v>0</v>
      </c>
      <c r="AK377" s="29">
        <v>0</v>
      </c>
      <c r="AL377" s="29">
        <v>0</v>
      </c>
      <c r="AM377" s="29">
        <v>0</v>
      </c>
      <c r="AN377" s="29">
        <v>0</v>
      </c>
      <c r="AO377" s="29">
        <v>0</v>
      </c>
      <c r="AP377" s="29">
        <v>0</v>
      </c>
    </row>
    <row r="378" spans="1:42" x14ac:dyDescent="0.25">
      <c r="A378" s="29">
        <v>6</v>
      </c>
      <c r="B378" s="29">
        <v>13809</v>
      </c>
      <c r="C378" s="29">
        <v>1</v>
      </c>
      <c r="D378" s="29" t="s">
        <v>750</v>
      </c>
      <c r="E378" s="29"/>
      <c r="F378" s="29">
        <v>0</v>
      </c>
      <c r="G378" s="29">
        <v>0</v>
      </c>
      <c r="H378" s="29">
        <v>0</v>
      </c>
      <c r="I378" s="29">
        <v>0</v>
      </c>
      <c r="J378" s="29">
        <v>0</v>
      </c>
      <c r="K378" s="29" t="s">
        <v>882</v>
      </c>
      <c r="L378" s="19" t="str">
        <f t="shared" si="40"/>
        <v>Рихтовка</v>
      </c>
      <c r="M378" s="12">
        <f t="shared" si="41"/>
        <v>0</v>
      </c>
      <c r="N378" s="12">
        <f t="shared" si="42"/>
        <v>0</v>
      </c>
      <c r="O378" s="12">
        <f t="shared" si="43"/>
        <v>0</v>
      </c>
      <c r="P378" s="12">
        <f t="shared" si="44"/>
        <v>0</v>
      </c>
      <c r="Q378" s="12">
        <f t="shared" si="45"/>
        <v>0</v>
      </c>
      <c r="R378" s="12">
        <f t="shared" si="46"/>
        <v>0</v>
      </c>
      <c r="S378" s="12">
        <f t="shared" si="47"/>
        <v>0</v>
      </c>
      <c r="T378" s="29">
        <v>0</v>
      </c>
      <c r="U378" s="29">
        <v>0</v>
      </c>
      <c r="V378" s="29">
        <v>0</v>
      </c>
      <c r="W378" s="29">
        <v>0</v>
      </c>
      <c r="X378" s="29">
        <v>0</v>
      </c>
      <c r="Y378" s="29">
        <v>0</v>
      </c>
      <c r="Z378" s="29">
        <v>0</v>
      </c>
      <c r="AA378" s="29">
        <v>0</v>
      </c>
      <c r="AB378" s="29">
        <v>0</v>
      </c>
      <c r="AC378" s="29">
        <v>0</v>
      </c>
      <c r="AD378" s="29">
        <v>0</v>
      </c>
      <c r="AE378" s="29">
        <v>0</v>
      </c>
      <c r="AF378" s="29">
        <v>0</v>
      </c>
      <c r="AG378" s="29">
        <v>0</v>
      </c>
      <c r="AH378" s="29">
        <v>0</v>
      </c>
      <c r="AI378" s="29">
        <v>0</v>
      </c>
      <c r="AJ378" s="29">
        <v>0</v>
      </c>
      <c r="AK378" s="29">
        <v>0</v>
      </c>
      <c r="AL378" s="29">
        <v>0</v>
      </c>
      <c r="AM378" s="29">
        <v>0</v>
      </c>
      <c r="AN378" s="29">
        <v>0</v>
      </c>
      <c r="AO378" s="29">
        <v>0</v>
      </c>
      <c r="AP378" s="29">
        <v>0</v>
      </c>
    </row>
    <row r="379" spans="1:42" x14ac:dyDescent="0.25">
      <c r="A379" s="29">
        <v>6</v>
      </c>
      <c r="B379" s="29">
        <v>13809</v>
      </c>
      <c r="C379" s="29">
        <v>1</v>
      </c>
      <c r="D379" s="29" t="s">
        <v>751</v>
      </c>
      <c r="E379" s="29"/>
      <c r="F379" s="29">
        <v>0</v>
      </c>
      <c r="G379" s="29">
        <v>0</v>
      </c>
      <c r="H379" s="29">
        <v>0</v>
      </c>
      <c r="I379" s="29">
        <v>0</v>
      </c>
      <c r="J379" s="29">
        <v>0</v>
      </c>
      <c r="K379" s="29" t="s">
        <v>882</v>
      </c>
      <c r="L379" s="19" t="str">
        <f t="shared" si="40"/>
        <v>Рихтовка</v>
      </c>
      <c r="M379" s="12">
        <f t="shared" si="41"/>
        <v>0</v>
      </c>
      <c r="N379" s="12">
        <f t="shared" si="42"/>
        <v>0</v>
      </c>
      <c r="O379" s="12">
        <f t="shared" si="43"/>
        <v>0</v>
      </c>
      <c r="P379" s="12">
        <f t="shared" si="44"/>
        <v>0</v>
      </c>
      <c r="Q379" s="12">
        <f t="shared" si="45"/>
        <v>0</v>
      </c>
      <c r="R379" s="12">
        <f t="shared" si="46"/>
        <v>0</v>
      </c>
      <c r="S379" s="12">
        <f t="shared" si="47"/>
        <v>0</v>
      </c>
      <c r="T379" s="29">
        <v>0</v>
      </c>
      <c r="U379" s="29">
        <v>0</v>
      </c>
      <c r="V379" s="29">
        <v>0</v>
      </c>
      <c r="W379" s="29">
        <v>0</v>
      </c>
      <c r="X379" s="29">
        <v>0</v>
      </c>
      <c r="Y379" s="29">
        <v>0</v>
      </c>
      <c r="Z379" s="29">
        <v>0</v>
      </c>
      <c r="AA379" s="29">
        <v>0</v>
      </c>
      <c r="AB379" s="29">
        <v>0</v>
      </c>
      <c r="AC379" s="29">
        <v>0</v>
      </c>
      <c r="AD379" s="29">
        <v>0</v>
      </c>
      <c r="AE379" s="29">
        <v>0</v>
      </c>
      <c r="AF379" s="29">
        <v>0</v>
      </c>
      <c r="AG379" s="29">
        <v>0</v>
      </c>
      <c r="AH379" s="29">
        <v>0</v>
      </c>
      <c r="AI379" s="29">
        <v>0</v>
      </c>
      <c r="AJ379" s="29">
        <v>0</v>
      </c>
      <c r="AK379" s="29">
        <v>0</v>
      </c>
      <c r="AL379" s="29">
        <v>0</v>
      </c>
      <c r="AM379" s="29">
        <v>0</v>
      </c>
      <c r="AN379" s="29">
        <v>0</v>
      </c>
      <c r="AO379" s="29">
        <v>0</v>
      </c>
      <c r="AP379" s="29">
        <v>0</v>
      </c>
    </row>
    <row r="380" spans="1:42" x14ac:dyDescent="0.25">
      <c r="A380" s="29">
        <v>6</v>
      </c>
      <c r="B380" s="29">
        <v>13809</v>
      </c>
      <c r="C380" s="29">
        <v>1</v>
      </c>
      <c r="D380" s="29" t="s">
        <v>752</v>
      </c>
      <c r="E380" s="29"/>
      <c r="F380" s="29">
        <v>0</v>
      </c>
      <c r="G380" s="29">
        <v>0</v>
      </c>
      <c r="H380" s="29">
        <v>0</v>
      </c>
      <c r="I380" s="29">
        <v>0</v>
      </c>
      <c r="J380" s="29">
        <v>0</v>
      </c>
      <c r="K380" s="29" t="s">
        <v>882</v>
      </c>
      <c r="L380" s="19" t="str">
        <f t="shared" si="40"/>
        <v>Рихтовка</v>
      </c>
      <c r="M380" s="12">
        <f t="shared" si="41"/>
        <v>0</v>
      </c>
      <c r="N380" s="12">
        <f t="shared" si="42"/>
        <v>0</v>
      </c>
      <c r="O380" s="12">
        <f t="shared" si="43"/>
        <v>0</v>
      </c>
      <c r="P380" s="12">
        <f t="shared" si="44"/>
        <v>0</v>
      </c>
      <c r="Q380" s="12">
        <f t="shared" si="45"/>
        <v>0</v>
      </c>
      <c r="R380" s="12">
        <f t="shared" si="46"/>
        <v>0</v>
      </c>
      <c r="S380" s="12">
        <f t="shared" si="47"/>
        <v>0</v>
      </c>
      <c r="T380" s="29">
        <v>0</v>
      </c>
      <c r="U380" s="29">
        <v>0</v>
      </c>
      <c r="V380" s="29">
        <v>0</v>
      </c>
      <c r="W380" s="29">
        <v>0</v>
      </c>
      <c r="X380" s="29">
        <v>0</v>
      </c>
      <c r="Y380" s="29">
        <v>0</v>
      </c>
      <c r="Z380" s="29">
        <v>0</v>
      </c>
      <c r="AA380" s="29">
        <v>0</v>
      </c>
      <c r="AB380" s="29">
        <v>0</v>
      </c>
      <c r="AC380" s="29">
        <v>0</v>
      </c>
      <c r="AD380" s="29">
        <v>0</v>
      </c>
      <c r="AE380" s="29">
        <v>0</v>
      </c>
      <c r="AF380" s="29">
        <v>0</v>
      </c>
      <c r="AG380" s="29">
        <v>0</v>
      </c>
      <c r="AH380" s="29">
        <v>0</v>
      </c>
      <c r="AI380" s="29">
        <v>0</v>
      </c>
      <c r="AJ380" s="29">
        <v>0</v>
      </c>
      <c r="AK380" s="29">
        <v>0</v>
      </c>
      <c r="AL380" s="29">
        <v>0</v>
      </c>
      <c r="AM380" s="29">
        <v>0</v>
      </c>
      <c r="AN380" s="29">
        <v>0</v>
      </c>
      <c r="AO380" s="29">
        <v>0</v>
      </c>
      <c r="AP380" s="29">
        <v>0</v>
      </c>
    </row>
    <row r="381" spans="1:42" x14ac:dyDescent="0.25">
      <c r="A381" s="29">
        <v>6</v>
      </c>
      <c r="B381" s="29">
        <v>13809</v>
      </c>
      <c r="C381" s="29">
        <v>1</v>
      </c>
      <c r="D381" s="29" t="s">
        <v>753</v>
      </c>
      <c r="E381" s="29"/>
      <c r="F381" s="29">
        <v>0</v>
      </c>
      <c r="G381" s="29">
        <v>0</v>
      </c>
      <c r="H381" s="29">
        <v>0</v>
      </c>
      <c r="I381" s="29">
        <v>0</v>
      </c>
      <c r="J381" s="29">
        <v>0</v>
      </c>
      <c r="K381" s="29" t="s">
        <v>882</v>
      </c>
      <c r="L381" s="19" t="str">
        <f t="shared" si="40"/>
        <v>Рихтовка</v>
      </c>
      <c r="M381" s="12">
        <f t="shared" si="41"/>
        <v>0</v>
      </c>
      <c r="N381" s="12">
        <f t="shared" si="42"/>
        <v>0</v>
      </c>
      <c r="O381" s="12">
        <f t="shared" si="43"/>
        <v>0</v>
      </c>
      <c r="P381" s="12">
        <f t="shared" si="44"/>
        <v>0</v>
      </c>
      <c r="Q381" s="12">
        <f t="shared" si="45"/>
        <v>0</v>
      </c>
      <c r="R381" s="12">
        <f t="shared" si="46"/>
        <v>0</v>
      </c>
      <c r="S381" s="12">
        <f t="shared" si="47"/>
        <v>0</v>
      </c>
      <c r="T381" s="29">
        <v>0</v>
      </c>
      <c r="U381" s="29">
        <v>0</v>
      </c>
      <c r="V381" s="29">
        <v>0</v>
      </c>
      <c r="W381" s="29">
        <v>0</v>
      </c>
      <c r="X381" s="29">
        <v>0</v>
      </c>
      <c r="Y381" s="29">
        <v>0</v>
      </c>
      <c r="Z381" s="29">
        <v>0</v>
      </c>
      <c r="AA381" s="29">
        <v>0</v>
      </c>
      <c r="AB381" s="29">
        <v>0</v>
      </c>
      <c r="AC381" s="29">
        <v>0</v>
      </c>
      <c r="AD381" s="29">
        <v>0</v>
      </c>
      <c r="AE381" s="29">
        <v>0</v>
      </c>
      <c r="AF381" s="29">
        <v>0</v>
      </c>
      <c r="AG381" s="29">
        <v>0</v>
      </c>
      <c r="AH381" s="29">
        <v>0</v>
      </c>
      <c r="AI381" s="29">
        <v>0</v>
      </c>
      <c r="AJ381" s="29">
        <v>0</v>
      </c>
      <c r="AK381" s="29">
        <v>0</v>
      </c>
      <c r="AL381" s="29">
        <v>0</v>
      </c>
      <c r="AM381" s="29">
        <v>0</v>
      </c>
      <c r="AN381" s="29">
        <v>0</v>
      </c>
      <c r="AO381" s="29">
        <v>0</v>
      </c>
      <c r="AP381" s="29">
        <v>0</v>
      </c>
    </row>
    <row r="382" spans="1:42" x14ac:dyDescent="0.25">
      <c r="A382" s="29">
        <v>6</v>
      </c>
      <c r="B382" s="29">
        <v>13806</v>
      </c>
      <c r="C382" s="29" t="s">
        <v>422</v>
      </c>
      <c r="D382" s="29" t="s">
        <v>754</v>
      </c>
      <c r="E382" s="29"/>
      <c r="F382" s="29">
        <v>0</v>
      </c>
      <c r="G382" s="29">
        <v>0</v>
      </c>
      <c r="H382" s="29">
        <v>0</v>
      </c>
      <c r="I382" s="29">
        <v>0</v>
      </c>
      <c r="J382" s="29">
        <v>0</v>
      </c>
      <c r="K382" s="29" t="s">
        <v>882</v>
      </c>
      <c r="L382" s="19" t="str">
        <f t="shared" si="40"/>
        <v>Рихтовка</v>
      </c>
      <c r="M382" s="12">
        <f t="shared" si="41"/>
        <v>0</v>
      </c>
      <c r="N382" s="12">
        <f t="shared" si="42"/>
        <v>0</v>
      </c>
      <c r="O382" s="12">
        <f t="shared" si="43"/>
        <v>0</v>
      </c>
      <c r="P382" s="12">
        <f t="shared" si="44"/>
        <v>0</v>
      </c>
      <c r="Q382" s="12">
        <f t="shared" si="45"/>
        <v>0</v>
      </c>
      <c r="R382" s="12">
        <f t="shared" si="46"/>
        <v>0</v>
      </c>
      <c r="S382" s="12">
        <f t="shared" si="47"/>
        <v>0</v>
      </c>
      <c r="T382" s="29">
        <v>0</v>
      </c>
      <c r="U382" s="29">
        <v>0</v>
      </c>
      <c r="V382" s="29">
        <v>0</v>
      </c>
      <c r="W382" s="29">
        <v>0</v>
      </c>
      <c r="X382" s="29">
        <v>0</v>
      </c>
      <c r="Y382" s="29">
        <v>0</v>
      </c>
      <c r="Z382" s="29">
        <v>0</v>
      </c>
      <c r="AA382" s="29">
        <v>0</v>
      </c>
      <c r="AB382" s="29">
        <v>0</v>
      </c>
      <c r="AC382" s="29">
        <v>0</v>
      </c>
      <c r="AD382" s="29">
        <v>0</v>
      </c>
      <c r="AE382" s="29">
        <v>0</v>
      </c>
      <c r="AF382" s="29">
        <v>0</v>
      </c>
      <c r="AG382" s="29">
        <v>0</v>
      </c>
      <c r="AH382" s="29">
        <v>0</v>
      </c>
      <c r="AI382" s="29">
        <v>0</v>
      </c>
      <c r="AJ382" s="29">
        <v>0</v>
      </c>
      <c r="AK382" s="29">
        <v>0</v>
      </c>
      <c r="AL382" s="29">
        <v>0</v>
      </c>
      <c r="AM382" s="29">
        <v>0</v>
      </c>
      <c r="AN382" s="29">
        <v>0</v>
      </c>
      <c r="AO382" s="29">
        <v>0</v>
      </c>
      <c r="AP382" s="29">
        <v>0</v>
      </c>
    </row>
    <row r="383" spans="1:42" x14ac:dyDescent="0.25">
      <c r="A383" s="29">
        <v>6</v>
      </c>
      <c r="B383" s="29">
        <v>13809</v>
      </c>
      <c r="C383" s="29">
        <v>1</v>
      </c>
      <c r="D383" s="29" t="s">
        <v>756</v>
      </c>
      <c r="E383" s="29"/>
      <c r="F383" s="29">
        <v>0</v>
      </c>
      <c r="G383" s="29">
        <v>0</v>
      </c>
      <c r="H383" s="29">
        <v>0</v>
      </c>
      <c r="I383" s="29">
        <v>0</v>
      </c>
      <c r="J383" s="29">
        <v>0</v>
      </c>
      <c r="K383" s="29" t="s">
        <v>882</v>
      </c>
      <c r="L383" s="19" t="str">
        <f t="shared" si="40"/>
        <v>Рихтовка</v>
      </c>
      <c r="M383" s="12">
        <f t="shared" si="41"/>
        <v>0</v>
      </c>
      <c r="N383" s="12">
        <f t="shared" si="42"/>
        <v>0</v>
      </c>
      <c r="O383" s="12">
        <f t="shared" si="43"/>
        <v>0</v>
      </c>
      <c r="P383" s="12">
        <f t="shared" si="44"/>
        <v>0</v>
      </c>
      <c r="Q383" s="12">
        <f t="shared" si="45"/>
        <v>0</v>
      </c>
      <c r="R383" s="12">
        <f t="shared" si="46"/>
        <v>0</v>
      </c>
      <c r="S383" s="12">
        <f t="shared" si="47"/>
        <v>0</v>
      </c>
      <c r="T383" s="29">
        <v>0</v>
      </c>
      <c r="U383" s="29">
        <v>0</v>
      </c>
      <c r="V383" s="29">
        <v>0</v>
      </c>
      <c r="W383" s="29">
        <v>0</v>
      </c>
      <c r="X383" s="29">
        <v>0</v>
      </c>
      <c r="Y383" s="29">
        <v>0</v>
      </c>
      <c r="Z383" s="29">
        <v>0</v>
      </c>
      <c r="AA383" s="29">
        <v>0</v>
      </c>
      <c r="AB383" s="29">
        <v>0</v>
      </c>
      <c r="AC383" s="29">
        <v>0</v>
      </c>
      <c r="AD383" s="29">
        <v>0</v>
      </c>
      <c r="AE383" s="29">
        <v>0</v>
      </c>
      <c r="AF383" s="29">
        <v>0</v>
      </c>
      <c r="AG383" s="29">
        <v>0</v>
      </c>
      <c r="AH383" s="29">
        <v>0</v>
      </c>
      <c r="AI383" s="29">
        <v>0</v>
      </c>
      <c r="AJ383" s="29">
        <v>0</v>
      </c>
      <c r="AK383" s="29">
        <v>0</v>
      </c>
      <c r="AL383" s="29">
        <v>0</v>
      </c>
      <c r="AM383" s="29">
        <v>0</v>
      </c>
      <c r="AN383" s="29">
        <v>0</v>
      </c>
      <c r="AO383" s="29">
        <v>0</v>
      </c>
      <c r="AP383" s="29">
        <v>0</v>
      </c>
    </row>
    <row r="384" spans="1:42" x14ac:dyDescent="0.25">
      <c r="A384" s="29">
        <v>6</v>
      </c>
      <c r="B384" s="29">
        <v>13809</v>
      </c>
      <c r="C384" s="29">
        <v>1</v>
      </c>
      <c r="D384" s="29" t="s">
        <v>757</v>
      </c>
      <c r="E384" s="29"/>
      <c r="F384" s="29">
        <v>0</v>
      </c>
      <c r="G384" s="29">
        <v>0</v>
      </c>
      <c r="H384" s="29">
        <v>0</v>
      </c>
      <c r="I384" s="29">
        <v>0</v>
      </c>
      <c r="J384" s="29">
        <v>0</v>
      </c>
      <c r="K384" s="29" t="s">
        <v>882</v>
      </c>
      <c r="L384" s="19" t="str">
        <f t="shared" si="40"/>
        <v>Рихтовка</v>
      </c>
      <c r="M384" s="12">
        <f t="shared" si="41"/>
        <v>0</v>
      </c>
      <c r="N384" s="12">
        <f t="shared" si="42"/>
        <v>0</v>
      </c>
      <c r="O384" s="12">
        <f t="shared" si="43"/>
        <v>0</v>
      </c>
      <c r="P384" s="12">
        <f t="shared" si="44"/>
        <v>0</v>
      </c>
      <c r="Q384" s="12">
        <f t="shared" si="45"/>
        <v>0</v>
      </c>
      <c r="R384" s="12">
        <f t="shared" si="46"/>
        <v>0</v>
      </c>
      <c r="S384" s="12">
        <f t="shared" si="47"/>
        <v>0</v>
      </c>
      <c r="T384" s="29">
        <v>0</v>
      </c>
      <c r="U384" s="29">
        <v>0</v>
      </c>
      <c r="V384" s="29">
        <v>0</v>
      </c>
      <c r="W384" s="29">
        <v>0</v>
      </c>
      <c r="X384" s="29">
        <v>0</v>
      </c>
      <c r="Y384" s="29">
        <v>0</v>
      </c>
      <c r="Z384" s="29">
        <v>0</v>
      </c>
      <c r="AA384" s="29">
        <v>0</v>
      </c>
      <c r="AB384" s="29">
        <v>0</v>
      </c>
      <c r="AC384" s="29">
        <v>0</v>
      </c>
      <c r="AD384" s="29">
        <v>0</v>
      </c>
      <c r="AE384" s="29">
        <v>0</v>
      </c>
      <c r="AF384" s="29">
        <v>0</v>
      </c>
      <c r="AG384" s="29">
        <v>0</v>
      </c>
      <c r="AH384" s="29">
        <v>0</v>
      </c>
      <c r="AI384" s="29">
        <v>0</v>
      </c>
      <c r="AJ384" s="29">
        <v>0</v>
      </c>
      <c r="AK384" s="29">
        <v>0</v>
      </c>
      <c r="AL384" s="29">
        <v>0</v>
      </c>
      <c r="AM384" s="29">
        <v>0</v>
      </c>
      <c r="AN384" s="29">
        <v>0</v>
      </c>
      <c r="AO384" s="29">
        <v>0</v>
      </c>
      <c r="AP384" s="29">
        <v>0</v>
      </c>
    </row>
    <row r="385" spans="1:42" x14ac:dyDescent="0.25">
      <c r="A385" s="29">
        <v>6</v>
      </c>
      <c r="B385" s="29">
        <v>13809</v>
      </c>
      <c r="C385" s="29">
        <v>1</v>
      </c>
      <c r="D385" s="29" t="s">
        <v>758</v>
      </c>
      <c r="E385" s="29"/>
      <c r="F385" s="29">
        <v>0</v>
      </c>
      <c r="G385" s="29">
        <v>0</v>
      </c>
      <c r="H385" s="29">
        <v>0</v>
      </c>
      <c r="I385" s="29">
        <v>0</v>
      </c>
      <c r="J385" s="29">
        <v>0</v>
      </c>
      <c r="K385" s="29" t="s">
        <v>882</v>
      </c>
      <c r="L385" s="19" t="str">
        <f t="shared" si="40"/>
        <v>Рихтовка</v>
      </c>
      <c r="M385" s="12">
        <f t="shared" si="41"/>
        <v>0</v>
      </c>
      <c r="N385" s="12">
        <f t="shared" si="42"/>
        <v>0</v>
      </c>
      <c r="O385" s="12">
        <f t="shared" si="43"/>
        <v>0</v>
      </c>
      <c r="P385" s="12">
        <f t="shared" si="44"/>
        <v>0</v>
      </c>
      <c r="Q385" s="12">
        <f t="shared" si="45"/>
        <v>0</v>
      </c>
      <c r="R385" s="12">
        <f t="shared" si="46"/>
        <v>0</v>
      </c>
      <c r="S385" s="12">
        <f t="shared" si="47"/>
        <v>0</v>
      </c>
      <c r="T385" s="29">
        <v>0</v>
      </c>
      <c r="U385" s="29">
        <v>0</v>
      </c>
      <c r="V385" s="29">
        <v>0</v>
      </c>
      <c r="W385" s="29">
        <v>0</v>
      </c>
      <c r="X385" s="29">
        <v>0</v>
      </c>
      <c r="Y385" s="29">
        <v>0</v>
      </c>
      <c r="Z385" s="29">
        <v>0</v>
      </c>
      <c r="AA385" s="29">
        <v>0</v>
      </c>
      <c r="AB385" s="29">
        <v>0</v>
      </c>
      <c r="AC385" s="29">
        <v>0</v>
      </c>
      <c r="AD385" s="29">
        <v>0</v>
      </c>
      <c r="AE385" s="29">
        <v>0</v>
      </c>
      <c r="AF385" s="29">
        <v>0</v>
      </c>
      <c r="AG385" s="29">
        <v>0</v>
      </c>
      <c r="AH385" s="29">
        <v>0</v>
      </c>
      <c r="AI385" s="29">
        <v>0</v>
      </c>
      <c r="AJ385" s="29">
        <v>0</v>
      </c>
      <c r="AK385" s="29">
        <v>0</v>
      </c>
      <c r="AL385" s="29">
        <v>0</v>
      </c>
      <c r="AM385" s="29">
        <v>0</v>
      </c>
      <c r="AN385" s="29">
        <v>0</v>
      </c>
      <c r="AO385" s="29">
        <v>0</v>
      </c>
      <c r="AP385" s="29">
        <v>0</v>
      </c>
    </row>
    <row r="386" spans="1:42" x14ac:dyDescent="0.25">
      <c r="A386" s="29">
        <v>6</v>
      </c>
      <c r="B386" s="29">
        <v>13809</v>
      </c>
      <c r="C386" s="29">
        <v>2</v>
      </c>
      <c r="D386" s="29" t="s">
        <v>749</v>
      </c>
      <c r="E386" s="29"/>
      <c r="F386" s="29">
        <v>0</v>
      </c>
      <c r="G386" s="29">
        <v>0</v>
      </c>
      <c r="H386" s="29">
        <v>0</v>
      </c>
      <c r="I386" s="29">
        <v>0</v>
      </c>
      <c r="J386" s="29">
        <v>0</v>
      </c>
      <c r="K386" s="29" t="s">
        <v>882</v>
      </c>
      <c r="L386" s="19" t="str">
        <f t="shared" ref="L386:L449" si="48">IF($M386=N386,$N$1,IF($M386=O386,$O$1,IF($M386=P386,$P$1,IF($M386=Q386,$Q$1,IF($M386=R386,$R$1,$S$1)))))</f>
        <v>Рихтовка</v>
      </c>
      <c r="M386" s="12">
        <f t="shared" si="41"/>
        <v>0</v>
      </c>
      <c r="N386" s="12">
        <f t="shared" si="42"/>
        <v>0</v>
      </c>
      <c r="O386" s="12">
        <f t="shared" si="43"/>
        <v>0</v>
      </c>
      <c r="P386" s="12">
        <f t="shared" si="44"/>
        <v>0</v>
      </c>
      <c r="Q386" s="12">
        <f t="shared" si="45"/>
        <v>0</v>
      </c>
      <c r="R386" s="12">
        <f t="shared" si="46"/>
        <v>0</v>
      </c>
      <c r="S386" s="12">
        <f t="shared" si="47"/>
        <v>0</v>
      </c>
      <c r="T386" s="29">
        <v>0</v>
      </c>
      <c r="U386" s="29">
        <v>0</v>
      </c>
      <c r="V386" s="29">
        <v>0</v>
      </c>
      <c r="W386" s="29">
        <v>0</v>
      </c>
      <c r="X386" s="29">
        <v>0</v>
      </c>
      <c r="Y386" s="29">
        <v>0</v>
      </c>
      <c r="Z386" s="29">
        <v>0</v>
      </c>
      <c r="AA386" s="29">
        <v>0</v>
      </c>
      <c r="AB386" s="29">
        <v>0</v>
      </c>
      <c r="AC386" s="29">
        <v>0</v>
      </c>
      <c r="AD386" s="29">
        <v>0</v>
      </c>
      <c r="AE386" s="29">
        <v>0</v>
      </c>
      <c r="AF386" s="29">
        <v>0</v>
      </c>
      <c r="AG386" s="29">
        <v>0</v>
      </c>
      <c r="AH386" s="29">
        <v>0</v>
      </c>
      <c r="AI386" s="29">
        <v>0</v>
      </c>
      <c r="AJ386" s="29">
        <v>0</v>
      </c>
      <c r="AK386" s="29">
        <v>0</v>
      </c>
      <c r="AL386" s="29">
        <v>0</v>
      </c>
      <c r="AM386" s="29">
        <v>0</v>
      </c>
      <c r="AN386" s="29">
        <v>0</v>
      </c>
      <c r="AO386" s="29">
        <v>0</v>
      </c>
      <c r="AP386" s="29">
        <v>0</v>
      </c>
    </row>
    <row r="387" spans="1:42" x14ac:dyDescent="0.25">
      <c r="A387" s="29">
        <v>6</v>
      </c>
      <c r="B387" s="29">
        <v>13809</v>
      </c>
      <c r="C387" s="29">
        <v>2</v>
      </c>
      <c r="D387" s="29" t="s">
        <v>750</v>
      </c>
      <c r="E387" s="29"/>
      <c r="F387" s="29">
        <v>0</v>
      </c>
      <c r="G387" s="29">
        <v>0</v>
      </c>
      <c r="H387" s="29">
        <v>0</v>
      </c>
      <c r="I387" s="29">
        <v>0</v>
      </c>
      <c r="J387" s="29">
        <v>0</v>
      </c>
      <c r="K387" s="29" t="s">
        <v>882</v>
      </c>
      <c r="L387" s="19" t="str">
        <f t="shared" si="48"/>
        <v>Рихтовка</v>
      </c>
      <c r="M387" s="12">
        <f t="shared" ref="M387:M450" si="49">MAX(N387,O387,P387,Q387,R387,S387)</f>
        <v>0</v>
      </c>
      <c r="N387" s="12">
        <f t="shared" ref="N387:N450" si="50">T387+U387+V387</f>
        <v>0</v>
      </c>
      <c r="O387" s="12">
        <f t="shared" ref="O387:O450" si="51">W387+X387+Y387</f>
        <v>0</v>
      </c>
      <c r="P387" s="12">
        <f t="shared" ref="P387:P450" si="52">Z387+AA387+AB387</f>
        <v>0</v>
      </c>
      <c r="Q387" s="12">
        <f t="shared" ref="Q387:Q450" si="53">AC387+AD387+AE387</f>
        <v>0</v>
      </c>
      <c r="R387" s="12">
        <f t="shared" ref="R387:R450" si="54">AF387+AG387+AH387</f>
        <v>0</v>
      </c>
      <c r="S387" s="12">
        <f t="shared" ref="S387:S450" si="55">AI387+AJ387+AK387</f>
        <v>0</v>
      </c>
      <c r="T387" s="29">
        <v>0</v>
      </c>
      <c r="U387" s="29">
        <v>0</v>
      </c>
      <c r="V387" s="29">
        <v>0</v>
      </c>
      <c r="W387" s="29">
        <v>0</v>
      </c>
      <c r="X387" s="29">
        <v>0</v>
      </c>
      <c r="Y387" s="29">
        <v>0</v>
      </c>
      <c r="Z387" s="29">
        <v>0</v>
      </c>
      <c r="AA387" s="29">
        <v>0</v>
      </c>
      <c r="AB387" s="29">
        <v>0</v>
      </c>
      <c r="AC387" s="29">
        <v>0</v>
      </c>
      <c r="AD387" s="29">
        <v>0</v>
      </c>
      <c r="AE387" s="29">
        <v>0</v>
      </c>
      <c r="AF387" s="29">
        <v>0</v>
      </c>
      <c r="AG387" s="29">
        <v>0</v>
      </c>
      <c r="AH387" s="29">
        <v>0</v>
      </c>
      <c r="AI387" s="29">
        <v>0</v>
      </c>
      <c r="AJ387" s="29">
        <v>0</v>
      </c>
      <c r="AK387" s="29">
        <v>0</v>
      </c>
      <c r="AL387" s="29">
        <v>0</v>
      </c>
      <c r="AM387" s="29">
        <v>0</v>
      </c>
      <c r="AN387" s="29">
        <v>0</v>
      </c>
      <c r="AO387" s="29">
        <v>0</v>
      </c>
      <c r="AP387" s="29">
        <v>0</v>
      </c>
    </row>
    <row r="388" spans="1:42" x14ac:dyDescent="0.25">
      <c r="A388" s="29">
        <v>6</v>
      </c>
      <c r="B388" s="29">
        <v>13809</v>
      </c>
      <c r="C388" s="29">
        <v>2</v>
      </c>
      <c r="D388" s="29" t="s">
        <v>751</v>
      </c>
      <c r="E388" s="29"/>
      <c r="F388" s="29">
        <v>0</v>
      </c>
      <c r="G388" s="29">
        <v>0</v>
      </c>
      <c r="H388" s="29">
        <v>0</v>
      </c>
      <c r="I388" s="29">
        <v>0</v>
      </c>
      <c r="J388" s="29">
        <v>0</v>
      </c>
      <c r="K388" s="29" t="s">
        <v>882</v>
      </c>
      <c r="L388" s="19" t="str">
        <f t="shared" si="48"/>
        <v>Рихтовка</v>
      </c>
      <c r="M388" s="12">
        <f t="shared" si="49"/>
        <v>0</v>
      </c>
      <c r="N388" s="12">
        <f t="shared" si="50"/>
        <v>0</v>
      </c>
      <c r="O388" s="12">
        <f t="shared" si="51"/>
        <v>0</v>
      </c>
      <c r="P388" s="12">
        <f t="shared" si="52"/>
        <v>0</v>
      </c>
      <c r="Q388" s="12">
        <f t="shared" si="53"/>
        <v>0</v>
      </c>
      <c r="R388" s="12">
        <f t="shared" si="54"/>
        <v>0</v>
      </c>
      <c r="S388" s="12">
        <f t="shared" si="55"/>
        <v>0</v>
      </c>
      <c r="T388" s="29">
        <v>0</v>
      </c>
      <c r="U388" s="29">
        <v>0</v>
      </c>
      <c r="V388" s="29">
        <v>0</v>
      </c>
      <c r="W388" s="29">
        <v>0</v>
      </c>
      <c r="X388" s="29">
        <v>0</v>
      </c>
      <c r="Y388" s="29">
        <v>0</v>
      </c>
      <c r="Z388" s="29">
        <v>0</v>
      </c>
      <c r="AA388" s="29">
        <v>0</v>
      </c>
      <c r="AB388" s="29">
        <v>0</v>
      </c>
      <c r="AC388" s="29">
        <v>0</v>
      </c>
      <c r="AD388" s="29">
        <v>0</v>
      </c>
      <c r="AE388" s="29">
        <v>0</v>
      </c>
      <c r="AF388" s="29">
        <v>0</v>
      </c>
      <c r="AG388" s="29">
        <v>0</v>
      </c>
      <c r="AH388" s="29">
        <v>0</v>
      </c>
      <c r="AI388" s="29">
        <v>0</v>
      </c>
      <c r="AJ388" s="29">
        <v>0</v>
      </c>
      <c r="AK388" s="29">
        <v>0</v>
      </c>
      <c r="AL388" s="29">
        <v>0</v>
      </c>
      <c r="AM388" s="29">
        <v>0</v>
      </c>
      <c r="AN388" s="29">
        <v>0</v>
      </c>
      <c r="AO388" s="29">
        <v>0</v>
      </c>
      <c r="AP388" s="29">
        <v>0</v>
      </c>
    </row>
    <row r="389" spans="1:42" x14ac:dyDescent="0.25">
      <c r="A389" s="29">
        <v>6</v>
      </c>
      <c r="B389" s="29">
        <v>13809</v>
      </c>
      <c r="C389" s="29">
        <v>2</v>
      </c>
      <c r="D389" s="29" t="s">
        <v>752</v>
      </c>
      <c r="E389" s="29"/>
      <c r="F389" s="29">
        <v>0</v>
      </c>
      <c r="G389" s="29">
        <v>0</v>
      </c>
      <c r="H389" s="29">
        <v>0</v>
      </c>
      <c r="I389" s="29">
        <v>0</v>
      </c>
      <c r="J389" s="29">
        <v>0</v>
      </c>
      <c r="K389" s="29" t="s">
        <v>882</v>
      </c>
      <c r="L389" s="19" t="str">
        <f t="shared" si="48"/>
        <v>Рихтовка</v>
      </c>
      <c r="M389" s="12">
        <f t="shared" si="49"/>
        <v>0</v>
      </c>
      <c r="N389" s="12">
        <f t="shared" si="50"/>
        <v>0</v>
      </c>
      <c r="O389" s="12">
        <f t="shared" si="51"/>
        <v>0</v>
      </c>
      <c r="P389" s="12">
        <f t="shared" si="52"/>
        <v>0</v>
      </c>
      <c r="Q389" s="12">
        <f t="shared" si="53"/>
        <v>0</v>
      </c>
      <c r="R389" s="12">
        <f t="shared" si="54"/>
        <v>0</v>
      </c>
      <c r="S389" s="12">
        <f t="shared" si="55"/>
        <v>0</v>
      </c>
      <c r="T389" s="29">
        <v>0</v>
      </c>
      <c r="U389" s="29">
        <v>0</v>
      </c>
      <c r="V389" s="29">
        <v>0</v>
      </c>
      <c r="W389" s="29">
        <v>0</v>
      </c>
      <c r="X389" s="29">
        <v>0</v>
      </c>
      <c r="Y389" s="29">
        <v>0</v>
      </c>
      <c r="Z389" s="29">
        <v>0</v>
      </c>
      <c r="AA389" s="29">
        <v>0</v>
      </c>
      <c r="AB389" s="29">
        <v>0</v>
      </c>
      <c r="AC389" s="29">
        <v>0</v>
      </c>
      <c r="AD389" s="29">
        <v>0</v>
      </c>
      <c r="AE389" s="29">
        <v>0</v>
      </c>
      <c r="AF389" s="29">
        <v>0</v>
      </c>
      <c r="AG389" s="29">
        <v>0</v>
      </c>
      <c r="AH389" s="29">
        <v>0</v>
      </c>
      <c r="AI389" s="29">
        <v>0</v>
      </c>
      <c r="AJ389" s="29">
        <v>0</v>
      </c>
      <c r="AK389" s="29">
        <v>0</v>
      </c>
      <c r="AL389" s="29">
        <v>0</v>
      </c>
      <c r="AM389" s="29">
        <v>0</v>
      </c>
      <c r="AN389" s="29">
        <v>0</v>
      </c>
      <c r="AO389" s="29">
        <v>0</v>
      </c>
      <c r="AP389" s="29">
        <v>0</v>
      </c>
    </row>
    <row r="390" spans="1:42" x14ac:dyDescent="0.25">
      <c r="A390" s="29">
        <v>6</v>
      </c>
      <c r="B390" s="29">
        <v>13809</v>
      </c>
      <c r="C390" s="29">
        <v>2</v>
      </c>
      <c r="D390" s="29" t="s">
        <v>753</v>
      </c>
      <c r="E390" s="29"/>
      <c r="F390" s="29">
        <v>0</v>
      </c>
      <c r="G390" s="29">
        <v>0</v>
      </c>
      <c r="H390" s="29">
        <v>0</v>
      </c>
      <c r="I390" s="29">
        <v>0</v>
      </c>
      <c r="J390" s="29">
        <v>0</v>
      </c>
      <c r="K390" s="29" t="s">
        <v>882</v>
      </c>
      <c r="L390" s="19" t="str">
        <f t="shared" si="48"/>
        <v>Рихтовка</v>
      </c>
      <c r="M390" s="12">
        <f t="shared" si="49"/>
        <v>0</v>
      </c>
      <c r="N390" s="12">
        <f t="shared" si="50"/>
        <v>0</v>
      </c>
      <c r="O390" s="12">
        <f t="shared" si="51"/>
        <v>0</v>
      </c>
      <c r="P390" s="12">
        <f t="shared" si="52"/>
        <v>0</v>
      </c>
      <c r="Q390" s="12">
        <f t="shared" si="53"/>
        <v>0</v>
      </c>
      <c r="R390" s="12">
        <f t="shared" si="54"/>
        <v>0</v>
      </c>
      <c r="S390" s="12">
        <f t="shared" si="55"/>
        <v>0</v>
      </c>
      <c r="T390" s="29">
        <v>0</v>
      </c>
      <c r="U390" s="29">
        <v>0</v>
      </c>
      <c r="V390" s="29">
        <v>0</v>
      </c>
      <c r="W390" s="29">
        <v>0</v>
      </c>
      <c r="X390" s="29">
        <v>0</v>
      </c>
      <c r="Y390" s="29">
        <v>0</v>
      </c>
      <c r="Z390" s="29">
        <v>0</v>
      </c>
      <c r="AA390" s="29">
        <v>0</v>
      </c>
      <c r="AB390" s="29">
        <v>0</v>
      </c>
      <c r="AC390" s="29">
        <v>0</v>
      </c>
      <c r="AD390" s="29">
        <v>0</v>
      </c>
      <c r="AE390" s="29">
        <v>0</v>
      </c>
      <c r="AF390" s="29">
        <v>0</v>
      </c>
      <c r="AG390" s="29">
        <v>0</v>
      </c>
      <c r="AH390" s="29">
        <v>0</v>
      </c>
      <c r="AI390" s="29">
        <v>0</v>
      </c>
      <c r="AJ390" s="29">
        <v>0</v>
      </c>
      <c r="AK390" s="29">
        <v>0</v>
      </c>
      <c r="AL390" s="29">
        <v>0</v>
      </c>
      <c r="AM390" s="29">
        <v>0</v>
      </c>
      <c r="AN390" s="29">
        <v>0</v>
      </c>
      <c r="AO390" s="29">
        <v>0</v>
      </c>
      <c r="AP390" s="29">
        <v>0</v>
      </c>
    </row>
    <row r="391" spans="1:42" x14ac:dyDescent="0.25">
      <c r="A391" s="29">
        <v>6</v>
      </c>
      <c r="B391" s="29">
        <v>13809</v>
      </c>
      <c r="C391" s="29">
        <v>2</v>
      </c>
      <c r="D391" s="29" t="s">
        <v>755</v>
      </c>
      <c r="E391" s="29"/>
      <c r="F391" s="29">
        <v>0</v>
      </c>
      <c r="G391" s="29">
        <v>0</v>
      </c>
      <c r="H391" s="29">
        <v>0</v>
      </c>
      <c r="I391" s="29">
        <v>0</v>
      </c>
      <c r="J391" s="29">
        <v>0</v>
      </c>
      <c r="K391" s="29" t="s">
        <v>882</v>
      </c>
      <c r="L391" s="19" t="str">
        <f t="shared" si="48"/>
        <v>Рихтовка</v>
      </c>
      <c r="M391" s="12">
        <f t="shared" si="49"/>
        <v>0</v>
      </c>
      <c r="N391" s="12">
        <f t="shared" si="50"/>
        <v>0</v>
      </c>
      <c r="O391" s="12">
        <f t="shared" si="51"/>
        <v>0</v>
      </c>
      <c r="P391" s="12">
        <f t="shared" si="52"/>
        <v>0</v>
      </c>
      <c r="Q391" s="12">
        <f t="shared" si="53"/>
        <v>0</v>
      </c>
      <c r="R391" s="12">
        <f t="shared" si="54"/>
        <v>0</v>
      </c>
      <c r="S391" s="12">
        <f t="shared" si="55"/>
        <v>0</v>
      </c>
      <c r="T391" s="29">
        <v>0</v>
      </c>
      <c r="U391" s="29">
        <v>0</v>
      </c>
      <c r="V391" s="29">
        <v>0</v>
      </c>
      <c r="W391" s="29">
        <v>0</v>
      </c>
      <c r="X391" s="29">
        <v>0</v>
      </c>
      <c r="Y391" s="29">
        <v>0</v>
      </c>
      <c r="Z391" s="29">
        <v>0</v>
      </c>
      <c r="AA391" s="29">
        <v>0</v>
      </c>
      <c r="AB391" s="29">
        <v>0</v>
      </c>
      <c r="AC391" s="29">
        <v>0</v>
      </c>
      <c r="AD391" s="29">
        <v>0</v>
      </c>
      <c r="AE391" s="29">
        <v>0</v>
      </c>
      <c r="AF391" s="29">
        <v>0</v>
      </c>
      <c r="AG391" s="29">
        <v>0</v>
      </c>
      <c r="AH391" s="29">
        <v>0</v>
      </c>
      <c r="AI391" s="29">
        <v>0</v>
      </c>
      <c r="AJ391" s="29">
        <v>0</v>
      </c>
      <c r="AK391" s="29">
        <v>0</v>
      </c>
      <c r="AL391" s="29">
        <v>0</v>
      </c>
      <c r="AM391" s="29">
        <v>0</v>
      </c>
      <c r="AN391" s="29">
        <v>0</v>
      </c>
      <c r="AO391" s="29">
        <v>0</v>
      </c>
      <c r="AP391" s="29">
        <v>0</v>
      </c>
    </row>
    <row r="392" spans="1:42" x14ac:dyDescent="0.25">
      <c r="A392" s="29">
        <v>6</v>
      </c>
      <c r="B392" s="29">
        <v>13809</v>
      </c>
      <c r="C392" s="29">
        <v>2</v>
      </c>
      <c r="D392" s="29" t="s">
        <v>756</v>
      </c>
      <c r="E392" s="29"/>
      <c r="F392" s="29">
        <v>0</v>
      </c>
      <c r="G392" s="29">
        <v>0</v>
      </c>
      <c r="H392" s="29">
        <v>0</v>
      </c>
      <c r="I392" s="29">
        <v>0</v>
      </c>
      <c r="J392" s="29">
        <v>0</v>
      </c>
      <c r="K392" s="29" t="s">
        <v>882</v>
      </c>
      <c r="L392" s="19" t="str">
        <f t="shared" si="48"/>
        <v>Рихтовка</v>
      </c>
      <c r="M392" s="12">
        <f t="shared" si="49"/>
        <v>0</v>
      </c>
      <c r="N392" s="12">
        <f t="shared" si="50"/>
        <v>0</v>
      </c>
      <c r="O392" s="12">
        <f t="shared" si="51"/>
        <v>0</v>
      </c>
      <c r="P392" s="12">
        <f t="shared" si="52"/>
        <v>0</v>
      </c>
      <c r="Q392" s="12">
        <f t="shared" si="53"/>
        <v>0</v>
      </c>
      <c r="R392" s="12">
        <f t="shared" si="54"/>
        <v>0</v>
      </c>
      <c r="S392" s="12">
        <f t="shared" si="55"/>
        <v>0</v>
      </c>
      <c r="T392" s="29">
        <v>0</v>
      </c>
      <c r="U392" s="29">
        <v>0</v>
      </c>
      <c r="V392" s="29">
        <v>0</v>
      </c>
      <c r="W392" s="29">
        <v>0</v>
      </c>
      <c r="X392" s="29">
        <v>0</v>
      </c>
      <c r="Y392" s="29">
        <v>0</v>
      </c>
      <c r="Z392" s="29">
        <v>0</v>
      </c>
      <c r="AA392" s="29">
        <v>0</v>
      </c>
      <c r="AB392" s="29">
        <v>0</v>
      </c>
      <c r="AC392" s="29">
        <v>0</v>
      </c>
      <c r="AD392" s="29">
        <v>0</v>
      </c>
      <c r="AE392" s="29">
        <v>0</v>
      </c>
      <c r="AF392" s="29">
        <v>0</v>
      </c>
      <c r="AG392" s="29">
        <v>0</v>
      </c>
      <c r="AH392" s="29">
        <v>0</v>
      </c>
      <c r="AI392" s="29">
        <v>0</v>
      </c>
      <c r="AJ392" s="29">
        <v>0</v>
      </c>
      <c r="AK392" s="29">
        <v>0</v>
      </c>
      <c r="AL392" s="29">
        <v>0</v>
      </c>
      <c r="AM392" s="29">
        <v>0</v>
      </c>
      <c r="AN392" s="29">
        <v>0</v>
      </c>
      <c r="AO392" s="29">
        <v>0</v>
      </c>
      <c r="AP392" s="29">
        <v>0</v>
      </c>
    </row>
    <row r="393" spans="1:42" x14ac:dyDescent="0.25">
      <c r="A393" s="29">
        <v>6</v>
      </c>
      <c r="B393" s="29">
        <v>13809</v>
      </c>
      <c r="C393" s="29">
        <v>2</v>
      </c>
      <c r="D393" s="29" t="s">
        <v>757</v>
      </c>
      <c r="E393" s="29"/>
      <c r="F393" s="29">
        <v>0</v>
      </c>
      <c r="G393" s="29">
        <v>0</v>
      </c>
      <c r="H393" s="29">
        <v>0</v>
      </c>
      <c r="I393" s="29">
        <v>0</v>
      </c>
      <c r="J393" s="29">
        <v>0</v>
      </c>
      <c r="K393" s="29" t="s">
        <v>882</v>
      </c>
      <c r="L393" s="19" t="str">
        <f t="shared" si="48"/>
        <v>Рихтовка</v>
      </c>
      <c r="M393" s="12">
        <f t="shared" si="49"/>
        <v>0</v>
      </c>
      <c r="N393" s="12">
        <f t="shared" si="50"/>
        <v>0</v>
      </c>
      <c r="O393" s="12">
        <f t="shared" si="51"/>
        <v>0</v>
      </c>
      <c r="P393" s="12">
        <f t="shared" si="52"/>
        <v>0</v>
      </c>
      <c r="Q393" s="12">
        <f t="shared" si="53"/>
        <v>0</v>
      </c>
      <c r="R393" s="12">
        <f t="shared" si="54"/>
        <v>0</v>
      </c>
      <c r="S393" s="12">
        <f t="shared" si="55"/>
        <v>0</v>
      </c>
      <c r="T393" s="29">
        <v>0</v>
      </c>
      <c r="U393" s="29">
        <v>0</v>
      </c>
      <c r="V393" s="29">
        <v>0</v>
      </c>
      <c r="W393" s="29">
        <v>0</v>
      </c>
      <c r="X393" s="29">
        <v>0</v>
      </c>
      <c r="Y393" s="29">
        <v>0</v>
      </c>
      <c r="Z393" s="29">
        <v>0</v>
      </c>
      <c r="AA393" s="29">
        <v>0</v>
      </c>
      <c r="AB393" s="29">
        <v>0</v>
      </c>
      <c r="AC393" s="29">
        <v>0</v>
      </c>
      <c r="AD393" s="29">
        <v>0</v>
      </c>
      <c r="AE393" s="29">
        <v>0</v>
      </c>
      <c r="AF393" s="29">
        <v>0</v>
      </c>
      <c r="AG393" s="29">
        <v>0</v>
      </c>
      <c r="AH393" s="29">
        <v>0</v>
      </c>
      <c r="AI393" s="29">
        <v>0</v>
      </c>
      <c r="AJ393" s="29">
        <v>0</v>
      </c>
      <c r="AK393" s="29">
        <v>0</v>
      </c>
      <c r="AL393" s="29">
        <v>0</v>
      </c>
      <c r="AM393" s="29">
        <v>0</v>
      </c>
      <c r="AN393" s="29">
        <v>0</v>
      </c>
      <c r="AO393" s="29">
        <v>0</v>
      </c>
      <c r="AP393" s="29">
        <v>0</v>
      </c>
    </row>
    <row r="394" spans="1:42" x14ac:dyDescent="0.25">
      <c r="A394" s="29">
        <v>6</v>
      </c>
      <c r="B394" s="29">
        <v>13809</v>
      </c>
      <c r="C394" s="29">
        <v>2</v>
      </c>
      <c r="D394" s="29" t="s">
        <v>758</v>
      </c>
      <c r="E394" s="29"/>
      <c r="F394" s="29">
        <v>0</v>
      </c>
      <c r="G394" s="29">
        <v>0</v>
      </c>
      <c r="H394" s="29">
        <v>0</v>
      </c>
      <c r="I394" s="29">
        <v>0</v>
      </c>
      <c r="J394" s="29">
        <v>0</v>
      </c>
      <c r="K394" s="29" t="s">
        <v>882</v>
      </c>
      <c r="L394" s="19" t="str">
        <f t="shared" si="48"/>
        <v>Рихтовка</v>
      </c>
      <c r="M394" s="12">
        <f t="shared" si="49"/>
        <v>0</v>
      </c>
      <c r="N394" s="12">
        <f t="shared" si="50"/>
        <v>0</v>
      </c>
      <c r="O394" s="12">
        <f t="shared" si="51"/>
        <v>0</v>
      </c>
      <c r="P394" s="12">
        <f t="shared" si="52"/>
        <v>0</v>
      </c>
      <c r="Q394" s="12">
        <f t="shared" si="53"/>
        <v>0</v>
      </c>
      <c r="R394" s="12">
        <f t="shared" si="54"/>
        <v>0</v>
      </c>
      <c r="S394" s="12">
        <f t="shared" si="55"/>
        <v>0</v>
      </c>
      <c r="T394" s="29">
        <v>0</v>
      </c>
      <c r="U394" s="29">
        <v>0</v>
      </c>
      <c r="V394" s="29">
        <v>0</v>
      </c>
      <c r="W394" s="29">
        <v>0</v>
      </c>
      <c r="X394" s="29">
        <v>0</v>
      </c>
      <c r="Y394" s="29">
        <v>0</v>
      </c>
      <c r="Z394" s="29">
        <v>0</v>
      </c>
      <c r="AA394" s="29">
        <v>0</v>
      </c>
      <c r="AB394" s="29">
        <v>0</v>
      </c>
      <c r="AC394" s="29">
        <v>0</v>
      </c>
      <c r="AD394" s="29">
        <v>0</v>
      </c>
      <c r="AE394" s="29">
        <v>0</v>
      </c>
      <c r="AF394" s="29">
        <v>0</v>
      </c>
      <c r="AG394" s="29">
        <v>0</v>
      </c>
      <c r="AH394" s="29">
        <v>0</v>
      </c>
      <c r="AI394" s="29">
        <v>0</v>
      </c>
      <c r="AJ394" s="29">
        <v>0</v>
      </c>
      <c r="AK394" s="29">
        <v>0</v>
      </c>
      <c r="AL394" s="29">
        <v>0</v>
      </c>
      <c r="AM394" s="29">
        <v>0</v>
      </c>
      <c r="AN394" s="29">
        <v>0</v>
      </c>
      <c r="AO394" s="29">
        <v>0</v>
      </c>
      <c r="AP394" s="29">
        <v>0</v>
      </c>
    </row>
    <row r="395" spans="1:42" x14ac:dyDescent="0.25">
      <c r="A395" s="29">
        <v>7</v>
      </c>
      <c r="B395" s="29">
        <v>13809</v>
      </c>
      <c r="C395" s="29">
        <v>1</v>
      </c>
      <c r="D395" s="29" t="s">
        <v>758</v>
      </c>
      <c r="E395" s="29"/>
      <c r="F395" s="29">
        <v>0</v>
      </c>
      <c r="G395" s="29">
        <v>0</v>
      </c>
      <c r="H395" s="29">
        <v>0</v>
      </c>
      <c r="I395" s="29">
        <v>0</v>
      </c>
      <c r="J395" s="29">
        <v>0</v>
      </c>
      <c r="K395" s="29" t="s">
        <v>882</v>
      </c>
      <c r="L395" s="19" t="str">
        <f t="shared" si="48"/>
        <v>Рихтовка</v>
      </c>
      <c r="M395" s="12">
        <f t="shared" si="49"/>
        <v>0</v>
      </c>
      <c r="N395" s="12">
        <f t="shared" si="50"/>
        <v>0</v>
      </c>
      <c r="O395" s="12">
        <f t="shared" si="51"/>
        <v>0</v>
      </c>
      <c r="P395" s="12">
        <f t="shared" si="52"/>
        <v>0</v>
      </c>
      <c r="Q395" s="12">
        <f t="shared" si="53"/>
        <v>0</v>
      </c>
      <c r="R395" s="12">
        <f t="shared" si="54"/>
        <v>0</v>
      </c>
      <c r="S395" s="12">
        <f t="shared" si="55"/>
        <v>0</v>
      </c>
      <c r="T395" s="29">
        <v>0</v>
      </c>
      <c r="U395" s="29">
        <v>0</v>
      </c>
      <c r="V395" s="29">
        <v>0</v>
      </c>
      <c r="W395" s="29">
        <v>0</v>
      </c>
      <c r="X395" s="29">
        <v>0</v>
      </c>
      <c r="Y395" s="29">
        <v>0</v>
      </c>
      <c r="Z395" s="29">
        <v>0</v>
      </c>
      <c r="AA395" s="29">
        <v>0</v>
      </c>
      <c r="AB395" s="29">
        <v>0</v>
      </c>
      <c r="AC395" s="29">
        <v>0</v>
      </c>
      <c r="AD395" s="29">
        <v>0</v>
      </c>
      <c r="AE395" s="29">
        <v>0</v>
      </c>
      <c r="AF395" s="29">
        <v>0</v>
      </c>
      <c r="AG395" s="29">
        <v>0</v>
      </c>
      <c r="AH395" s="29">
        <v>0</v>
      </c>
      <c r="AI395" s="29">
        <v>0</v>
      </c>
      <c r="AJ395" s="29">
        <v>0</v>
      </c>
      <c r="AK395" s="29">
        <v>0</v>
      </c>
      <c r="AL395" s="29">
        <v>0</v>
      </c>
      <c r="AM395" s="29">
        <v>0</v>
      </c>
      <c r="AN395" s="29">
        <v>0</v>
      </c>
      <c r="AO395" s="29">
        <v>0</v>
      </c>
      <c r="AP395" s="29">
        <v>0</v>
      </c>
    </row>
    <row r="396" spans="1:42" x14ac:dyDescent="0.25">
      <c r="A396" s="29">
        <v>7</v>
      </c>
      <c r="B396" s="29">
        <v>13809</v>
      </c>
      <c r="C396" s="29">
        <v>2</v>
      </c>
      <c r="D396" s="29" t="s">
        <v>758</v>
      </c>
      <c r="E396" s="29"/>
      <c r="F396" s="29">
        <v>0</v>
      </c>
      <c r="G396" s="29">
        <v>0</v>
      </c>
      <c r="H396" s="29">
        <v>0</v>
      </c>
      <c r="I396" s="29">
        <v>0</v>
      </c>
      <c r="J396" s="29">
        <v>0</v>
      </c>
      <c r="K396" s="29" t="s">
        <v>882</v>
      </c>
      <c r="L396" s="19" t="str">
        <f t="shared" si="48"/>
        <v>Рихтовка</v>
      </c>
      <c r="M396" s="12">
        <f t="shared" si="49"/>
        <v>0</v>
      </c>
      <c r="N396" s="12">
        <f t="shared" si="50"/>
        <v>0</v>
      </c>
      <c r="O396" s="12">
        <f t="shared" si="51"/>
        <v>0</v>
      </c>
      <c r="P396" s="12">
        <f t="shared" si="52"/>
        <v>0</v>
      </c>
      <c r="Q396" s="12">
        <f t="shared" si="53"/>
        <v>0</v>
      </c>
      <c r="R396" s="12">
        <f t="shared" si="54"/>
        <v>0</v>
      </c>
      <c r="S396" s="12">
        <f t="shared" si="55"/>
        <v>0</v>
      </c>
      <c r="T396" s="29">
        <v>0</v>
      </c>
      <c r="U396" s="29">
        <v>0</v>
      </c>
      <c r="V396" s="29">
        <v>0</v>
      </c>
      <c r="W396" s="29">
        <v>0</v>
      </c>
      <c r="X396" s="29">
        <v>0</v>
      </c>
      <c r="Y396" s="29">
        <v>0</v>
      </c>
      <c r="Z396" s="29">
        <v>0</v>
      </c>
      <c r="AA396" s="29">
        <v>0</v>
      </c>
      <c r="AB396" s="29">
        <v>0</v>
      </c>
      <c r="AC396" s="29">
        <v>0</v>
      </c>
      <c r="AD396" s="29">
        <v>0</v>
      </c>
      <c r="AE396" s="29">
        <v>0</v>
      </c>
      <c r="AF396" s="29">
        <v>0</v>
      </c>
      <c r="AG396" s="29">
        <v>0</v>
      </c>
      <c r="AH396" s="29">
        <v>0</v>
      </c>
      <c r="AI396" s="29">
        <v>0</v>
      </c>
      <c r="AJ396" s="29">
        <v>0</v>
      </c>
      <c r="AK396" s="29">
        <v>0</v>
      </c>
      <c r="AL396" s="29">
        <v>0</v>
      </c>
      <c r="AM396" s="29">
        <v>0</v>
      </c>
      <c r="AN396" s="29">
        <v>0</v>
      </c>
      <c r="AO396" s="29">
        <v>0</v>
      </c>
      <c r="AP396" s="29">
        <v>0</v>
      </c>
    </row>
    <row r="397" spans="1:42" x14ac:dyDescent="0.25">
      <c r="A397" s="29">
        <v>7</v>
      </c>
      <c r="B397" s="29">
        <v>13809</v>
      </c>
      <c r="C397" s="29" t="s">
        <v>423</v>
      </c>
      <c r="D397" s="29" t="s">
        <v>759</v>
      </c>
      <c r="E397" s="29"/>
      <c r="F397" s="29">
        <v>0</v>
      </c>
      <c r="G397" s="29">
        <v>0</v>
      </c>
      <c r="H397" s="29">
        <v>0</v>
      </c>
      <c r="I397" s="29">
        <v>0</v>
      </c>
      <c r="J397" s="29">
        <v>0</v>
      </c>
      <c r="K397" s="29" t="s">
        <v>882</v>
      </c>
      <c r="L397" s="19" t="str">
        <f t="shared" si="48"/>
        <v>Рихтовка</v>
      </c>
      <c r="M397" s="12">
        <f t="shared" si="49"/>
        <v>0</v>
      </c>
      <c r="N397" s="12">
        <f t="shared" si="50"/>
        <v>0</v>
      </c>
      <c r="O397" s="12">
        <f t="shared" si="51"/>
        <v>0</v>
      </c>
      <c r="P397" s="12">
        <f t="shared" si="52"/>
        <v>0</v>
      </c>
      <c r="Q397" s="12">
        <f t="shared" si="53"/>
        <v>0</v>
      </c>
      <c r="R397" s="12">
        <f t="shared" si="54"/>
        <v>0</v>
      </c>
      <c r="S397" s="12">
        <f t="shared" si="55"/>
        <v>0</v>
      </c>
      <c r="T397" s="29">
        <v>0</v>
      </c>
      <c r="U397" s="29">
        <v>0</v>
      </c>
      <c r="V397" s="29">
        <v>0</v>
      </c>
      <c r="W397" s="29">
        <v>0</v>
      </c>
      <c r="X397" s="29">
        <v>0</v>
      </c>
      <c r="Y397" s="29">
        <v>0</v>
      </c>
      <c r="Z397" s="29">
        <v>0</v>
      </c>
      <c r="AA397" s="29">
        <v>0</v>
      </c>
      <c r="AB397" s="29">
        <v>0</v>
      </c>
      <c r="AC397" s="29">
        <v>0</v>
      </c>
      <c r="AD397" s="29">
        <v>0</v>
      </c>
      <c r="AE397" s="29">
        <v>0</v>
      </c>
      <c r="AF397" s="29">
        <v>0</v>
      </c>
      <c r="AG397" s="29">
        <v>0</v>
      </c>
      <c r="AH397" s="29">
        <v>0</v>
      </c>
      <c r="AI397" s="29">
        <v>0</v>
      </c>
      <c r="AJ397" s="29">
        <v>0</v>
      </c>
      <c r="AK397" s="29">
        <v>0</v>
      </c>
      <c r="AL397" s="29">
        <v>0</v>
      </c>
      <c r="AM397" s="29">
        <v>0</v>
      </c>
      <c r="AN397" s="29">
        <v>0</v>
      </c>
      <c r="AO397" s="29">
        <v>0</v>
      </c>
      <c r="AP397" s="29">
        <v>0</v>
      </c>
    </row>
    <row r="398" spans="1:42" x14ac:dyDescent="0.25">
      <c r="A398" s="29">
        <v>7</v>
      </c>
      <c r="B398" s="29">
        <v>13809</v>
      </c>
      <c r="C398" s="29">
        <v>1</v>
      </c>
      <c r="D398" s="29" t="s">
        <v>760</v>
      </c>
      <c r="E398" s="29"/>
      <c r="F398" s="29">
        <v>0</v>
      </c>
      <c r="G398" s="29">
        <v>0</v>
      </c>
      <c r="H398" s="29">
        <v>0</v>
      </c>
      <c r="I398" s="29">
        <v>0</v>
      </c>
      <c r="J398" s="29">
        <v>0</v>
      </c>
      <c r="K398" s="29" t="s">
        <v>882</v>
      </c>
      <c r="L398" s="19" t="str">
        <f t="shared" si="48"/>
        <v>Рихтовка</v>
      </c>
      <c r="M398" s="12">
        <f t="shared" si="49"/>
        <v>0</v>
      </c>
      <c r="N398" s="12">
        <f t="shared" si="50"/>
        <v>0</v>
      </c>
      <c r="O398" s="12">
        <f t="shared" si="51"/>
        <v>0</v>
      </c>
      <c r="P398" s="12">
        <f t="shared" si="52"/>
        <v>0</v>
      </c>
      <c r="Q398" s="12">
        <f t="shared" si="53"/>
        <v>0</v>
      </c>
      <c r="R398" s="12">
        <f t="shared" si="54"/>
        <v>0</v>
      </c>
      <c r="S398" s="12">
        <f t="shared" si="55"/>
        <v>0</v>
      </c>
      <c r="T398" s="29">
        <v>0</v>
      </c>
      <c r="U398" s="29">
        <v>0</v>
      </c>
      <c r="V398" s="29">
        <v>0</v>
      </c>
      <c r="W398" s="29">
        <v>0</v>
      </c>
      <c r="X398" s="29">
        <v>0</v>
      </c>
      <c r="Y398" s="29">
        <v>0</v>
      </c>
      <c r="Z398" s="29">
        <v>0</v>
      </c>
      <c r="AA398" s="29">
        <v>0</v>
      </c>
      <c r="AB398" s="29">
        <v>0</v>
      </c>
      <c r="AC398" s="29">
        <v>0</v>
      </c>
      <c r="AD398" s="29">
        <v>0</v>
      </c>
      <c r="AE398" s="29">
        <v>0</v>
      </c>
      <c r="AF398" s="29">
        <v>0</v>
      </c>
      <c r="AG398" s="29">
        <v>0</v>
      </c>
      <c r="AH398" s="29">
        <v>0</v>
      </c>
      <c r="AI398" s="29">
        <v>0</v>
      </c>
      <c r="AJ398" s="29">
        <v>0</v>
      </c>
      <c r="AK398" s="29">
        <v>0</v>
      </c>
      <c r="AL398" s="29">
        <v>0</v>
      </c>
      <c r="AM398" s="29">
        <v>0</v>
      </c>
      <c r="AN398" s="29">
        <v>0</v>
      </c>
      <c r="AO398" s="29">
        <v>0</v>
      </c>
      <c r="AP398" s="29">
        <v>0</v>
      </c>
    </row>
    <row r="399" spans="1:42" x14ac:dyDescent="0.25">
      <c r="A399" s="29">
        <v>7</v>
      </c>
      <c r="B399" s="29">
        <v>13809</v>
      </c>
      <c r="C399" s="29">
        <v>1</v>
      </c>
      <c r="D399" s="29" t="s">
        <v>761</v>
      </c>
      <c r="E399" s="29"/>
      <c r="F399" s="29">
        <v>0</v>
      </c>
      <c r="G399" s="29">
        <v>0</v>
      </c>
      <c r="H399" s="29">
        <v>0</v>
      </c>
      <c r="I399" s="29">
        <v>0</v>
      </c>
      <c r="J399" s="29">
        <v>0</v>
      </c>
      <c r="K399" s="29" t="s">
        <v>882</v>
      </c>
      <c r="L399" s="19" t="str">
        <f t="shared" si="48"/>
        <v>Рихтовка</v>
      </c>
      <c r="M399" s="12">
        <f t="shared" si="49"/>
        <v>0</v>
      </c>
      <c r="N399" s="12">
        <f t="shared" si="50"/>
        <v>0</v>
      </c>
      <c r="O399" s="12">
        <f t="shared" si="51"/>
        <v>0</v>
      </c>
      <c r="P399" s="12">
        <f t="shared" si="52"/>
        <v>0</v>
      </c>
      <c r="Q399" s="12">
        <f t="shared" si="53"/>
        <v>0</v>
      </c>
      <c r="R399" s="12">
        <f t="shared" si="54"/>
        <v>0</v>
      </c>
      <c r="S399" s="12">
        <f t="shared" si="55"/>
        <v>0</v>
      </c>
      <c r="T399" s="29">
        <v>0</v>
      </c>
      <c r="U399" s="29">
        <v>0</v>
      </c>
      <c r="V399" s="29">
        <v>0</v>
      </c>
      <c r="W399" s="29">
        <v>0</v>
      </c>
      <c r="X399" s="29">
        <v>0</v>
      </c>
      <c r="Y399" s="29">
        <v>0</v>
      </c>
      <c r="Z399" s="29">
        <v>0</v>
      </c>
      <c r="AA399" s="29">
        <v>0</v>
      </c>
      <c r="AB399" s="29">
        <v>0</v>
      </c>
      <c r="AC399" s="29">
        <v>0</v>
      </c>
      <c r="AD399" s="29">
        <v>0</v>
      </c>
      <c r="AE399" s="29">
        <v>0</v>
      </c>
      <c r="AF399" s="29">
        <v>0</v>
      </c>
      <c r="AG399" s="29">
        <v>0</v>
      </c>
      <c r="AH399" s="29">
        <v>0</v>
      </c>
      <c r="AI399" s="29">
        <v>0</v>
      </c>
      <c r="AJ399" s="29">
        <v>0</v>
      </c>
      <c r="AK399" s="29">
        <v>0</v>
      </c>
      <c r="AL399" s="29">
        <v>0</v>
      </c>
      <c r="AM399" s="29">
        <v>0</v>
      </c>
      <c r="AN399" s="29">
        <v>0</v>
      </c>
      <c r="AO399" s="29">
        <v>0</v>
      </c>
      <c r="AP399" s="29">
        <v>0</v>
      </c>
    </row>
    <row r="400" spans="1:42" x14ac:dyDescent="0.25">
      <c r="A400" s="29">
        <v>7</v>
      </c>
      <c r="B400" s="29">
        <v>13809</v>
      </c>
      <c r="C400" s="29">
        <v>1</v>
      </c>
      <c r="D400" s="29" t="s">
        <v>762</v>
      </c>
      <c r="E400" s="29"/>
      <c r="F400" s="29">
        <v>0</v>
      </c>
      <c r="G400" s="29">
        <v>0</v>
      </c>
      <c r="H400" s="29">
        <v>0</v>
      </c>
      <c r="I400" s="29">
        <v>0</v>
      </c>
      <c r="J400" s="29">
        <v>0</v>
      </c>
      <c r="K400" s="29" t="s">
        <v>882</v>
      </c>
      <c r="L400" s="19" t="str">
        <f t="shared" si="48"/>
        <v>Рихтовка</v>
      </c>
      <c r="M400" s="12">
        <f t="shared" si="49"/>
        <v>0</v>
      </c>
      <c r="N400" s="12">
        <f t="shared" si="50"/>
        <v>0</v>
      </c>
      <c r="O400" s="12">
        <f t="shared" si="51"/>
        <v>0</v>
      </c>
      <c r="P400" s="12">
        <f t="shared" si="52"/>
        <v>0</v>
      </c>
      <c r="Q400" s="12">
        <f t="shared" si="53"/>
        <v>0</v>
      </c>
      <c r="R400" s="12">
        <f t="shared" si="54"/>
        <v>0</v>
      </c>
      <c r="S400" s="12">
        <f t="shared" si="55"/>
        <v>0</v>
      </c>
      <c r="T400" s="29">
        <v>0</v>
      </c>
      <c r="U400" s="29">
        <v>0</v>
      </c>
      <c r="V400" s="29">
        <v>0</v>
      </c>
      <c r="W400" s="29">
        <v>0</v>
      </c>
      <c r="X400" s="29">
        <v>0</v>
      </c>
      <c r="Y400" s="29">
        <v>0</v>
      </c>
      <c r="Z400" s="29">
        <v>0</v>
      </c>
      <c r="AA400" s="29">
        <v>0</v>
      </c>
      <c r="AB400" s="29">
        <v>0</v>
      </c>
      <c r="AC400" s="29">
        <v>0</v>
      </c>
      <c r="AD400" s="29">
        <v>0</v>
      </c>
      <c r="AE400" s="29">
        <v>0</v>
      </c>
      <c r="AF400" s="29">
        <v>0</v>
      </c>
      <c r="AG400" s="29">
        <v>0</v>
      </c>
      <c r="AH400" s="29">
        <v>0</v>
      </c>
      <c r="AI400" s="29">
        <v>0</v>
      </c>
      <c r="AJ400" s="29">
        <v>0</v>
      </c>
      <c r="AK400" s="29">
        <v>0</v>
      </c>
      <c r="AL400" s="29">
        <v>0</v>
      </c>
      <c r="AM400" s="29">
        <v>0</v>
      </c>
      <c r="AN400" s="29">
        <v>0</v>
      </c>
      <c r="AO400" s="29">
        <v>0</v>
      </c>
      <c r="AP400" s="29">
        <v>0</v>
      </c>
    </row>
    <row r="401" spans="1:42" x14ac:dyDescent="0.25">
      <c r="A401" s="29">
        <v>7</v>
      </c>
      <c r="B401" s="29">
        <v>13809</v>
      </c>
      <c r="C401" s="29">
        <v>1</v>
      </c>
      <c r="D401" s="29" t="s">
        <v>763</v>
      </c>
      <c r="E401" s="29"/>
      <c r="F401" s="29">
        <v>0</v>
      </c>
      <c r="G401" s="29">
        <v>0</v>
      </c>
      <c r="H401" s="29">
        <v>0</v>
      </c>
      <c r="I401" s="29">
        <v>0</v>
      </c>
      <c r="J401" s="29">
        <v>0</v>
      </c>
      <c r="K401" s="29" t="s">
        <v>882</v>
      </c>
      <c r="L401" s="19" t="str">
        <f t="shared" si="48"/>
        <v>Рихтовка</v>
      </c>
      <c r="M401" s="12">
        <f t="shared" si="49"/>
        <v>0</v>
      </c>
      <c r="N401" s="12">
        <f t="shared" si="50"/>
        <v>0</v>
      </c>
      <c r="O401" s="12">
        <f t="shared" si="51"/>
        <v>0</v>
      </c>
      <c r="P401" s="12">
        <f t="shared" si="52"/>
        <v>0</v>
      </c>
      <c r="Q401" s="12">
        <f t="shared" si="53"/>
        <v>0</v>
      </c>
      <c r="R401" s="12">
        <f t="shared" si="54"/>
        <v>0</v>
      </c>
      <c r="S401" s="12">
        <f t="shared" si="55"/>
        <v>0</v>
      </c>
      <c r="T401" s="29">
        <v>0</v>
      </c>
      <c r="U401" s="29">
        <v>0</v>
      </c>
      <c r="V401" s="29">
        <v>0</v>
      </c>
      <c r="W401" s="29">
        <v>0</v>
      </c>
      <c r="X401" s="29">
        <v>0</v>
      </c>
      <c r="Y401" s="29">
        <v>0</v>
      </c>
      <c r="Z401" s="29">
        <v>0</v>
      </c>
      <c r="AA401" s="29">
        <v>0</v>
      </c>
      <c r="AB401" s="29">
        <v>0</v>
      </c>
      <c r="AC401" s="29">
        <v>0</v>
      </c>
      <c r="AD401" s="29">
        <v>0</v>
      </c>
      <c r="AE401" s="29">
        <v>0</v>
      </c>
      <c r="AF401" s="29">
        <v>0</v>
      </c>
      <c r="AG401" s="29">
        <v>0</v>
      </c>
      <c r="AH401" s="29">
        <v>0</v>
      </c>
      <c r="AI401" s="29">
        <v>0</v>
      </c>
      <c r="AJ401" s="29">
        <v>0</v>
      </c>
      <c r="AK401" s="29">
        <v>0</v>
      </c>
      <c r="AL401" s="29">
        <v>0</v>
      </c>
      <c r="AM401" s="29">
        <v>0</v>
      </c>
      <c r="AN401" s="29">
        <v>0</v>
      </c>
      <c r="AO401" s="29">
        <v>0</v>
      </c>
      <c r="AP401" s="29">
        <v>0</v>
      </c>
    </row>
    <row r="402" spans="1:42" x14ac:dyDescent="0.25">
      <c r="A402" s="29">
        <v>7</v>
      </c>
      <c r="B402" s="29">
        <v>13809</v>
      </c>
      <c r="C402" s="29">
        <v>1</v>
      </c>
      <c r="D402" s="29" t="s">
        <v>764</v>
      </c>
      <c r="E402" s="29"/>
      <c r="F402" s="29">
        <v>0</v>
      </c>
      <c r="G402" s="29">
        <v>0</v>
      </c>
      <c r="H402" s="29">
        <v>0</v>
      </c>
      <c r="I402" s="29">
        <v>0</v>
      </c>
      <c r="J402" s="29">
        <v>0</v>
      </c>
      <c r="K402" s="29" t="s">
        <v>882</v>
      </c>
      <c r="L402" s="19" t="str">
        <f t="shared" si="48"/>
        <v>Рихтовка</v>
      </c>
      <c r="M402" s="12">
        <f t="shared" si="49"/>
        <v>0</v>
      </c>
      <c r="N402" s="12">
        <f t="shared" si="50"/>
        <v>0</v>
      </c>
      <c r="O402" s="12">
        <f t="shared" si="51"/>
        <v>0</v>
      </c>
      <c r="P402" s="12">
        <f t="shared" si="52"/>
        <v>0</v>
      </c>
      <c r="Q402" s="12">
        <f t="shared" si="53"/>
        <v>0</v>
      </c>
      <c r="R402" s="12">
        <f t="shared" si="54"/>
        <v>0</v>
      </c>
      <c r="S402" s="12">
        <f t="shared" si="55"/>
        <v>0</v>
      </c>
      <c r="T402" s="29">
        <v>0</v>
      </c>
      <c r="U402" s="29">
        <v>0</v>
      </c>
      <c r="V402" s="29">
        <v>0</v>
      </c>
      <c r="W402" s="29">
        <v>0</v>
      </c>
      <c r="X402" s="29">
        <v>0</v>
      </c>
      <c r="Y402" s="29">
        <v>0</v>
      </c>
      <c r="Z402" s="29">
        <v>0</v>
      </c>
      <c r="AA402" s="29">
        <v>0</v>
      </c>
      <c r="AB402" s="29">
        <v>0</v>
      </c>
      <c r="AC402" s="29">
        <v>0</v>
      </c>
      <c r="AD402" s="29">
        <v>0</v>
      </c>
      <c r="AE402" s="29">
        <v>0</v>
      </c>
      <c r="AF402" s="29">
        <v>0</v>
      </c>
      <c r="AG402" s="29">
        <v>0</v>
      </c>
      <c r="AH402" s="29">
        <v>0</v>
      </c>
      <c r="AI402" s="29">
        <v>0</v>
      </c>
      <c r="AJ402" s="29">
        <v>0</v>
      </c>
      <c r="AK402" s="29">
        <v>0</v>
      </c>
      <c r="AL402" s="29">
        <v>0</v>
      </c>
      <c r="AM402" s="29">
        <v>0</v>
      </c>
      <c r="AN402" s="29">
        <v>0</v>
      </c>
      <c r="AO402" s="29">
        <v>0</v>
      </c>
      <c r="AP402" s="29">
        <v>0</v>
      </c>
    </row>
    <row r="403" spans="1:42" x14ac:dyDescent="0.25">
      <c r="A403" s="29">
        <v>7</v>
      </c>
      <c r="B403" s="29">
        <v>13809</v>
      </c>
      <c r="C403" s="29">
        <v>1</v>
      </c>
      <c r="D403" s="29" t="s">
        <v>765</v>
      </c>
      <c r="E403" s="29"/>
      <c r="F403" s="29">
        <v>0</v>
      </c>
      <c r="G403" s="29">
        <v>0</v>
      </c>
      <c r="H403" s="29">
        <v>0</v>
      </c>
      <c r="I403" s="29">
        <v>0</v>
      </c>
      <c r="J403" s="29">
        <v>0</v>
      </c>
      <c r="K403" s="29" t="s">
        <v>882</v>
      </c>
      <c r="L403" s="19" t="str">
        <f t="shared" si="48"/>
        <v>Рихтовка</v>
      </c>
      <c r="M403" s="12">
        <f t="shared" si="49"/>
        <v>0</v>
      </c>
      <c r="N403" s="12">
        <f t="shared" si="50"/>
        <v>0</v>
      </c>
      <c r="O403" s="12">
        <f t="shared" si="51"/>
        <v>0</v>
      </c>
      <c r="P403" s="12">
        <f t="shared" si="52"/>
        <v>0</v>
      </c>
      <c r="Q403" s="12">
        <f t="shared" si="53"/>
        <v>0</v>
      </c>
      <c r="R403" s="12">
        <f t="shared" si="54"/>
        <v>0</v>
      </c>
      <c r="S403" s="12">
        <f t="shared" si="55"/>
        <v>0</v>
      </c>
      <c r="T403" s="29">
        <v>0</v>
      </c>
      <c r="U403" s="29">
        <v>0</v>
      </c>
      <c r="V403" s="29">
        <v>0</v>
      </c>
      <c r="W403" s="29">
        <v>0</v>
      </c>
      <c r="X403" s="29">
        <v>0</v>
      </c>
      <c r="Y403" s="29">
        <v>0</v>
      </c>
      <c r="Z403" s="29">
        <v>0</v>
      </c>
      <c r="AA403" s="29">
        <v>0</v>
      </c>
      <c r="AB403" s="29">
        <v>0</v>
      </c>
      <c r="AC403" s="29">
        <v>0</v>
      </c>
      <c r="AD403" s="29">
        <v>0</v>
      </c>
      <c r="AE403" s="29">
        <v>0</v>
      </c>
      <c r="AF403" s="29">
        <v>0</v>
      </c>
      <c r="AG403" s="29">
        <v>0</v>
      </c>
      <c r="AH403" s="29">
        <v>0</v>
      </c>
      <c r="AI403" s="29">
        <v>0</v>
      </c>
      <c r="AJ403" s="29">
        <v>0</v>
      </c>
      <c r="AK403" s="29">
        <v>0</v>
      </c>
      <c r="AL403" s="29">
        <v>0</v>
      </c>
      <c r="AM403" s="29">
        <v>0</v>
      </c>
      <c r="AN403" s="29">
        <v>0</v>
      </c>
      <c r="AO403" s="29">
        <v>0</v>
      </c>
      <c r="AP403" s="29">
        <v>0</v>
      </c>
    </row>
    <row r="404" spans="1:42" x14ac:dyDescent="0.25">
      <c r="A404" s="29">
        <v>7</v>
      </c>
      <c r="B404" s="29">
        <v>13809</v>
      </c>
      <c r="C404" s="29">
        <v>1</v>
      </c>
      <c r="D404" s="29" t="s">
        <v>766</v>
      </c>
      <c r="E404" s="29"/>
      <c r="F404" s="29">
        <v>0</v>
      </c>
      <c r="G404" s="29">
        <v>0</v>
      </c>
      <c r="H404" s="29">
        <v>0</v>
      </c>
      <c r="I404" s="29">
        <v>0</v>
      </c>
      <c r="J404" s="29">
        <v>0</v>
      </c>
      <c r="K404" s="29" t="s">
        <v>882</v>
      </c>
      <c r="L404" s="19" t="str">
        <f t="shared" si="48"/>
        <v>Рихтовка</v>
      </c>
      <c r="M404" s="12">
        <f t="shared" si="49"/>
        <v>0</v>
      </c>
      <c r="N404" s="12">
        <f t="shared" si="50"/>
        <v>0</v>
      </c>
      <c r="O404" s="12">
        <f t="shared" si="51"/>
        <v>0</v>
      </c>
      <c r="P404" s="12">
        <f t="shared" si="52"/>
        <v>0</v>
      </c>
      <c r="Q404" s="12">
        <f t="shared" si="53"/>
        <v>0</v>
      </c>
      <c r="R404" s="12">
        <f t="shared" si="54"/>
        <v>0</v>
      </c>
      <c r="S404" s="12">
        <f t="shared" si="55"/>
        <v>0</v>
      </c>
      <c r="T404" s="29">
        <v>0</v>
      </c>
      <c r="U404" s="29">
        <v>0</v>
      </c>
      <c r="V404" s="29">
        <v>0</v>
      </c>
      <c r="W404" s="29">
        <v>0</v>
      </c>
      <c r="X404" s="29">
        <v>0</v>
      </c>
      <c r="Y404" s="29">
        <v>0</v>
      </c>
      <c r="Z404" s="29">
        <v>0</v>
      </c>
      <c r="AA404" s="29">
        <v>0</v>
      </c>
      <c r="AB404" s="29">
        <v>0</v>
      </c>
      <c r="AC404" s="29">
        <v>0</v>
      </c>
      <c r="AD404" s="29">
        <v>0</v>
      </c>
      <c r="AE404" s="29">
        <v>0</v>
      </c>
      <c r="AF404" s="29">
        <v>0</v>
      </c>
      <c r="AG404" s="29">
        <v>0</v>
      </c>
      <c r="AH404" s="29">
        <v>0</v>
      </c>
      <c r="AI404" s="29">
        <v>0</v>
      </c>
      <c r="AJ404" s="29">
        <v>0</v>
      </c>
      <c r="AK404" s="29">
        <v>0</v>
      </c>
      <c r="AL404" s="29">
        <v>0</v>
      </c>
      <c r="AM404" s="29">
        <v>0</v>
      </c>
      <c r="AN404" s="29">
        <v>0</v>
      </c>
      <c r="AO404" s="29">
        <v>0</v>
      </c>
      <c r="AP404" s="29">
        <v>0</v>
      </c>
    </row>
    <row r="405" spans="1:42" x14ac:dyDescent="0.25">
      <c r="A405" s="29">
        <v>7</v>
      </c>
      <c r="B405" s="29">
        <v>13809</v>
      </c>
      <c r="C405" s="29">
        <v>2</v>
      </c>
      <c r="D405" s="29" t="s">
        <v>760</v>
      </c>
      <c r="E405" s="29"/>
      <c r="F405" s="29">
        <v>0</v>
      </c>
      <c r="G405" s="29">
        <v>0</v>
      </c>
      <c r="H405" s="29">
        <v>0</v>
      </c>
      <c r="I405" s="29">
        <v>0</v>
      </c>
      <c r="J405" s="29">
        <v>0</v>
      </c>
      <c r="K405" s="29" t="s">
        <v>882</v>
      </c>
      <c r="L405" s="19" t="str">
        <f t="shared" si="48"/>
        <v>Рихтовка</v>
      </c>
      <c r="M405" s="12">
        <f t="shared" si="49"/>
        <v>0</v>
      </c>
      <c r="N405" s="12">
        <f t="shared" si="50"/>
        <v>0</v>
      </c>
      <c r="O405" s="12">
        <f t="shared" si="51"/>
        <v>0</v>
      </c>
      <c r="P405" s="12">
        <f t="shared" si="52"/>
        <v>0</v>
      </c>
      <c r="Q405" s="12">
        <f t="shared" si="53"/>
        <v>0</v>
      </c>
      <c r="R405" s="12">
        <f t="shared" si="54"/>
        <v>0</v>
      </c>
      <c r="S405" s="12">
        <f t="shared" si="55"/>
        <v>0</v>
      </c>
      <c r="T405" s="29">
        <v>0</v>
      </c>
      <c r="U405" s="29">
        <v>0</v>
      </c>
      <c r="V405" s="29">
        <v>0</v>
      </c>
      <c r="W405" s="29">
        <v>0</v>
      </c>
      <c r="X405" s="29">
        <v>0</v>
      </c>
      <c r="Y405" s="29">
        <v>0</v>
      </c>
      <c r="Z405" s="29">
        <v>0</v>
      </c>
      <c r="AA405" s="29">
        <v>0</v>
      </c>
      <c r="AB405" s="29">
        <v>0</v>
      </c>
      <c r="AC405" s="29">
        <v>0</v>
      </c>
      <c r="AD405" s="29">
        <v>0</v>
      </c>
      <c r="AE405" s="29">
        <v>0</v>
      </c>
      <c r="AF405" s="29">
        <v>0</v>
      </c>
      <c r="AG405" s="29">
        <v>0</v>
      </c>
      <c r="AH405" s="29">
        <v>0</v>
      </c>
      <c r="AI405" s="29">
        <v>0</v>
      </c>
      <c r="AJ405" s="29">
        <v>0</v>
      </c>
      <c r="AK405" s="29">
        <v>0</v>
      </c>
      <c r="AL405" s="29">
        <v>0</v>
      </c>
      <c r="AM405" s="29">
        <v>0</v>
      </c>
      <c r="AN405" s="29">
        <v>0</v>
      </c>
      <c r="AO405" s="29">
        <v>0</v>
      </c>
      <c r="AP405" s="29">
        <v>0</v>
      </c>
    </row>
    <row r="406" spans="1:42" x14ac:dyDescent="0.25">
      <c r="A406" s="29">
        <v>7</v>
      </c>
      <c r="B406" s="29">
        <v>13809</v>
      </c>
      <c r="C406" s="29">
        <v>2</v>
      </c>
      <c r="D406" s="29" t="s">
        <v>761</v>
      </c>
      <c r="E406" s="29"/>
      <c r="F406" s="29">
        <v>0</v>
      </c>
      <c r="G406" s="29">
        <v>0</v>
      </c>
      <c r="H406" s="29">
        <v>0</v>
      </c>
      <c r="I406" s="29">
        <v>0</v>
      </c>
      <c r="J406" s="29">
        <v>0</v>
      </c>
      <c r="K406" s="29" t="s">
        <v>882</v>
      </c>
      <c r="L406" s="19" t="str">
        <f t="shared" si="48"/>
        <v>Рихтовка</v>
      </c>
      <c r="M406" s="12">
        <f t="shared" si="49"/>
        <v>0</v>
      </c>
      <c r="N406" s="12">
        <f t="shared" si="50"/>
        <v>0</v>
      </c>
      <c r="O406" s="12">
        <f t="shared" si="51"/>
        <v>0</v>
      </c>
      <c r="P406" s="12">
        <f t="shared" si="52"/>
        <v>0</v>
      </c>
      <c r="Q406" s="12">
        <f t="shared" si="53"/>
        <v>0</v>
      </c>
      <c r="R406" s="12">
        <f t="shared" si="54"/>
        <v>0</v>
      </c>
      <c r="S406" s="12">
        <f t="shared" si="55"/>
        <v>0</v>
      </c>
      <c r="T406" s="29">
        <v>0</v>
      </c>
      <c r="U406" s="29">
        <v>0</v>
      </c>
      <c r="V406" s="29">
        <v>0</v>
      </c>
      <c r="W406" s="29">
        <v>0</v>
      </c>
      <c r="X406" s="29">
        <v>0</v>
      </c>
      <c r="Y406" s="29">
        <v>0</v>
      </c>
      <c r="Z406" s="29">
        <v>0</v>
      </c>
      <c r="AA406" s="29">
        <v>0</v>
      </c>
      <c r="AB406" s="29">
        <v>0</v>
      </c>
      <c r="AC406" s="29">
        <v>0</v>
      </c>
      <c r="AD406" s="29">
        <v>0</v>
      </c>
      <c r="AE406" s="29">
        <v>0</v>
      </c>
      <c r="AF406" s="29">
        <v>0</v>
      </c>
      <c r="AG406" s="29">
        <v>0</v>
      </c>
      <c r="AH406" s="29">
        <v>0</v>
      </c>
      <c r="AI406" s="29">
        <v>0</v>
      </c>
      <c r="AJ406" s="29">
        <v>0</v>
      </c>
      <c r="AK406" s="29">
        <v>0</v>
      </c>
      <c r="AL406" s="29">
        <v>0</v>
      </c>
      <c r="AM406" s="29">
        <v>0</v>
      </c>
      <c r="AN406" s="29">
        <v>0</v>
      </c>
      <c r="AO406" s="29">
        <v>0</v>
      </c>
      <c r="AP406" s="29">
        <v>0</v>
      </c>
    </row>
    <row r="407" spans="1:42" x14ac:dyDescent="0.25">
      <c r="A407" s="29">
        <v>7</v>
      </c>
      <c r="B407" s="29">
        <v>13809</v>
      </c>
      <c r="C407" s="29">
        <v>2</v>
      </c>
      <c r="D407" s="29" t="s">
        <v>762</v>
      </c>
      <c r="E407" s="29"/>
      <c r="F407" s="29">
        <v>0</v>
      </c>
      <c r="G407" s="29">
        <v>0</v>
      </c>
      <c r="H407" s="29">
        <v>0</v>
      </c>
      <c r="I407" s="29">
        <v>0</v>
      </c>
      <c r="J407" s="29">
        <v>0</v>
      </c>
      <c r="K407" s="29" t="s">
        <v>882</v>
      </c>
      <c r="L407" s="19" t="str">
        <f t="shared" si="48"/>
        <v>Рихтовка</v>
      </c>
      <c r="M407" s="12">
        <f t="shared" si="49"/>
        <v>0</v>
      </c>
      <c r="N407" s="12">
        <f t="shared" si="50"/>
        <v>0</v>
      </c>
      <c r="O407" s="12">
        <f t="shared" si="51"/>
        <v>0</v>
      </c>
      <c r="P407" s="12">
        <f t="shared" si="52"/>
        <v>0</v>
      </c>
      <c r="Q407" s="12">
        <f t="shared" si="53"/>
        <v>0</v>
      </c>
      <c r="R407" s="12">
        <f t="shared" si="54"/>
        <v>0</v>
      </c>
      <c r="S407" s="12">
        <f t="shared" si="55"/>
        <v>0</v>
      </c>
      <c r="T407" s="29">
        <v>0</v>
      </c>
      <c r="U407" s="29">
        <v>0</v>
      </c>
      <c r="V407" s="29">
        <v>0</v>
      </c>
      <c r="W407" s="29">
        <v>0</v>
      </c>
      <c r="X407" s="29">
        <v>0</v>
      </c>
      <c r="Y407" s="29">
        <v>0</v>
      </c>
      <c r="Z407" s="29">
        <v>0</v>
      </c>
      <c r="AA407" s="29">
        <v>0</v>
      </c>
      <c r="AB407" s="29">
        <v>0</v>
      </c>
      <c r="AC407" s="29">
        <v>0</v>
      </c>
      <c r="AD407" s="29">
        <v>0</v>
      </c>
      <c r="AE407" s="29">
        <v>0</v>
      </c>
      <c r="AF407" s="29">
        <v>0</v>
      </c>
      <c r="AG407" s="29">
        <v>0</v>
      </c>
      <c r="AH407" s="29">
        <v>0</v>
      </c>
      <c r="AI407" s="29">
        <v>0</v>
      </c>
      <c r="AJ407" s="29">
        <v>0</v>
      </c>
      <c r="AK407" s="29">
        <v>0</v>
      </c>
      <c r="AL407" s="29">
        <v>0</v>
      </c>
      <c r="AM407" s="29">
        <v>0</v>
      </c>
      <c r="AN407" s="29">
        <v>0</v>
      </c>
      <c r="AO407" s="29">
        <v>0</v>
      </c>
      <c r="AP407" s="29">
        <v>0</v>
      </c>
    </row>
    <row r="408" spans="1:42" x14ac:dyDescent="0.25">
      <c r="A408" s="29">
        <v>7</v>
      </c>
      <c r="B408" s="29">
        <v>13809</v>
      </c>
      <c r="C408" s="29">
        <v>2</v>
      </c>
      <c r="D408" s="29" t="s">
        <v>763</v>
      </c>
      <c r="E408" s="29"/>
      <c r="F408" s="29">
        <v>0</v>
      </c>
      <c r="G408" s="29">
        <v>0</v>
      </c>
      <c r="H408" s="29">
        <v>0</v>
      </c>
      <c r="I408" s="29">
        <v>0</v>
      </c>
      <c r="J408" s="29">
        <v>0</v>
      </c>
      <c r="K408" s="29" t="s">
        <v>882</v>
      </c>
      <c r="L408" s="19" t="str">
        <f t="shared" si="48"/>
        <v>Рихтовка</v>
      </c>
      <c r="M408" s="12">
        <f t="shared" si="49"/>
        <v>0</v>
      </c>
      <c r="N408" s="12">
        <f t="shared" si="50"/>
        <v>0</v>
      </c>
      <c r="O408" s="12">
        <f t="shared" si="51"/>
        <v>0</v>
      </c>
      <c r="P408" s="12">
        <f t="shared" si="52"/>
        <v>0</v>
      </c>
      <c r="Q408" s="12">
        <f t="shared" si="53"/>
        <v>0</v>
      </c>
      <c r="R408" s="12">
        <f t="shared" si="54"/>
        <v>0</v>
      </c>
      <c r="S408" s="12">
        <f t="shared" si="55"/>
        <v>0</v>
      </c>
      <c r="T408" s="29">
        <v>0</v>
      </c>
      <c r="U408" s="29">
        <v>0</v>
      </c>
      <c r="V408" s="29">
        <v>0</v>
      </c>
      <c r="W408" s="29">
        <v>0</v>
      </c>
      <c r="X408" s="29">
        <v>0</v>
      </c>
      <c r="Y408" s="29">
        <v>0</v>
      </c>
      <c r="Z408" s="29">
        <v>0</v>
      </c>
      <c r="AA408" s="29">
        <v>0</v>
      </c>
      <c r="AB408" s="29">
        <v>0</v>
      </c>
      <c r="AC408" s="29">
        <v>0</v>
      </c>
      <c r="AD408" s="29">
        <v>0</v>
      </c>
      <c r="AE408" s="29">
        <v>0</v>
      </c>
      <c r="AF408" s="29">
        <v>0</v>
      </c>
      <c r="AG408" s="29">
        <v>0</v>
      </c>
      <c r="AH408" s="29">
        <v>0</v>
      </c>
      <c r="AI408" s="29">
        <v>0</v>
      </c>
      <c r="AJ408" s="29">
        <v>0</v>
      </c>
      <c r="AK408" s="29">
        <v>0</v>
      </c>
      <c r="AL408" s="29">
        <v>0</v>
      </c>
      <c r="AM408" s="29">
        <v>0</v>
      </c>
      <c r="AN408" s="29">
        <v>0</v>
      </c>
      <c r="AO408" s="29">
        <v>0</v>
      </c>
      <c r="AP408" s="29">
        <v>0</v>
      </c>
    </row>
    <row r="409" spans="1:42" x14ac:dyDescent="0.25">
      <c r="A409" s="29">
        <v>7</v>
      </c>
      <c r="B409" s="29">
        <v>13809</v>
      </c>
      <c r="C409" s="29">
        <v>2</v>
      </c>
      <c r="D409" s="29" t="s">
        <v>764</v>
      </c>
      <c r="E409" s="29"/>
      <c r="F409" s="29">
        <v>0</v>
      </c>
      <c r="G409" s="29">
        <v>0</v>
      </c>
      <c r="H409" s="29">
        <v>0</v>
      </c>
      <c r="I409" s="29">
        <v>0</v>
      </c>
      <c r="J409" s="29">
        <v>0</v>
      </c>
      <c r="K409" s="29" t="s">
        <v>882</v>
      </c>
      <c r="L409" s="19" t="str">
        <f t="shared" si="48"/>
        <v>Рихтовка</v>
      </c>
      <c r="M409" s="12">
        <f t="shared" si="49"/>
        <v>0</v>
      </c>
      <c r="N409" s="12">
        <f t="shared" si="50"/>
        <v>0</v>
      </c>
      <c r="O409" s="12">
        <f t="shared" si="51"/>
        <v>0</v>
      </c>
      <c r="P409" s="12">
        <f t="shared" si="52"/>
        <v>0</v>
      </c>
      <c r="Q409" s="12">
        <f t="shared" si="53"/>
        <v>0</v>
      </c>
      <c r="R409" s="12">
        <f t="shared" si="54"/>
        <v>0</v>
      </c>
      <c r="S409" s="12">
        <f t="shared" si="55"/>
        <v>0</v>
      </c>
      <c r="T409" s="29">
        <v>0</v>
      </c>
      <c r="U409" s="29">
        <v>0</v>
      </c>
      <c r="V409" s="29">
        <v>0</v>
      </c>
      <c r="W409" s="29">
        <v>0</v>
      </c>
      <c r="X409" s="29">
        <v>0</v>
      </c>
      <c r="Y409" s="29">
        <v>0</v>
      </c>
      <c r="Z409" s="29">
        <v>0</v>
      </c>
      <c r="AA409" s="29">
        <v>0</v>
      </c>
      <c r="AB409" s="29">
        <v>0</v>
      </c>
      <c r="AC409" s="29">
        <v>0</v>
      </c>
      <c r="AD409" s="29">
        <v>0</v>
      </c>
      <c r="AE409" s="29">
        <v>0</v>
      </c>
      <c r="AF409" s="29">
        <v>0</v>
      </c>
      <c r="AG409" s="29">
        <v>0</v>
      </c>
      <c r="AH409" s="29">
        <v>0</v>
      </c>
      <c r="AI409" s="29">
        <v>0</v>
      </c>
      <c r="AJ409" s="29">
        <v>0</v>
      </c>
      <c r="AK409" s="29">
        <v>0</v>
      </c>
      <c r="AL409" s="29">
        <v>0</v>
      </c>
      <c r="AM409" s="29">
        <v>0</v>
      </c>
      <c r="AN409" s="29">
        <v>0</v>
      </c>
      <c r="AO409" s="29">
        <v>0</v>
      </c>
      <c r="AP409" s="29">
        <v>0</v>
      </c>
    </row>
    <row r="410" spans="1:42" x14ac:dyDescent="0.25">
      <c r="A410" s="29">
        <v>7</v>
      </c>
      <c r="B410" s="29">
        <v>13809</v>
      </c>
      <c r="C410" s="29">
        <v>2</v>
      </c>
      <c r="D410" s="29" t="s">
        <v>765</v>
      </c>
      <c r="E410" s="29"/>
      <c r="F410" s="29">
        <v>0</v>
      </c>
      <c r="G410" s="29">
        <v>0</v>
      </c>
      <c r="H410" s="29">
        <v>0</v>
      </c>
      <c r="I410" s="29">
        <v>0</v>
      </c>
      <c r="J410" s="29">
        <v>0</v>
      </c>
      <c r="K410" s="29" t="s">
        <v>882</v>
      </c>
      <c r="L410" s="19" t="str">
        <f t="shared" si="48"/>
        <v>Рихтовка</v>
      </c>
      <c r="M410" s="12">
        <f t="shared" si="49"/>
        <v>0</v>
      </c>
      <c r="N410" s="12">
        <f t="shared" si="50"/>
        <v>0</v>
      </c>
      <c r="O410" s="12">
        <f t="shared" si="51"/>
        <v>0</v>
      </c>
      <c r="P410" s="12">
        <f t="shared" si="52"/>
        <v>0</v>
      </c>
      <c r="Q410" s="12">
        <f t="shared" si="53"/>
        <v>0</v>
      </c>
      <c r="R410" s="12">
        <f t="shared" si="54"/>
        <v>0</v>
      </c>
      <c r="S410" s="12">
        <f t="shared" si="55"/>
        <v>0</v>
      </c>
      <c r="T410" s="29">
        <v>0</v>
      </c>
      <c r="U410" s="29">
        <v>0</v>
      </c>
      <c r="V410" s="29">
        <v>0</v>
      </c>
      <c r="W410" s="29">
        <v>0</v>
      </c>
      <c r="X410" s="29">
        <v>0</v>
      </c>
      <c r="Y410" s="29">
        <v>0</v>
      </c>
      <c r="Z410" s="29">
        <v>0</v>
      </c>
      <c r="AA410" s="29">
        <v>0</v>
      </c>
      <c r="AB410" s="29">
        <v>0</v>
      </c>
      <c r="AC410" s="29">
        <v>0</v>
      </c>
      <c r="AD410" s="29">
        <v>0</v>
      </c>
      <c r="AE410" s="29">
        <v>0</v>
      </c>
      <c r="AF410" s="29">
        <v>0</v>
      </c>
      <c r="AG410" s="29">
        <v>0</v>
      </c>
      <c r="AH410" s="29">
        <v>0</v>
      </c>
      <c r="AI410" s="29">
        <v>0</v>
      </c>
      <c r="AJ410" s="29">
        <v>0</v>
      </c>
      <c r="AK410" s="29">
        <v>0</v>
      </c>
      <c r="AL410" s="29">
        <v>0</v>
      </c>
      <c r="AM410" s="29">
        <v>0</v>
      </c>
      <c r="AN410" s="29">
        <v>0</v>
      </c>
      <c r="AO410" s="29">
        <v>0</v>
      </c>
      <c r="AP410" s="29">
        <v>0</v>
      </c>
    </row>
    <row r="411" spans="1:42" x14ac:dyDescent="0.25">
      <c r="A411" s="29">
        <v>7</v>
      </c>
      <c r="B411" s="29">
        <v>13809</v>
      </c>
      <c r="C411" s="29">
        <v>2</v>
      </c>
      <c r="D411" s="29" t="s">
        <v>766</v>
      </c>
      <c r="E411" s="29"/>
      <c r="F411" s="29">
        <v>0</v>
      </c>
      <c r="G411" s="29">
        <v>0</v>
      </c>
      <c r="H411" s="29">
        <v>0</v>
      </c>
      <c r="I411" s="29">
        <v>0</v>
      </c>
      <c r="J411" s="29">
        <v>0</v>
      </c>
      <c r="K411" s="29" t="s">
        <v>882</v>
      </c>
      <c r="L411" s="19" t="str">
        <f t="shared" si="48"/>
        <v>Рихтовка</v>
      </c>
      <c r="M411" s="12">
        <f t="shared" si="49"/>
        <v>0</v>
      </c>
      <c r="N411" s="12">
        <f t="shared" si="50"/>
        <v>0</v>
      </c>
      <c r="O411" s="12">
        <f t="shared" si="51"/>
        <v>0</v>
      </c>
      <c r="P411" s="12">
        <f t="shared" si="52"/>
        <v>0</v>
      </c>
      <c r="Q411" s="12">
        <f t="shared" si="53"/>
        <v>0</v>
      </c>
      <c r="R411" s="12">
        <f t="shared" si="54"/>
        <v>0</v>
      </c>
      <c r="S411" s="12">
        <f t="shared" si="55"/>
        <v>0</v>
      </c>
      <c r="T411" s="29">
        <v>0</v>
      </c>
      <c r="U411" s="29">
        <v>0</v>
      </c>
      <c r="V411" s="29">
        <v>0</v>
      </c>
      <c r="W411" s="29">
        <v>0</v>
      </c>
      <c r="X411" s="29">
        <v>0</v>
      </c>
      <c r="Y411" s="29">
        <v>0</v>
      </c>
      <c r="Z411" s="29">
        <v>0</v>
      </c>
      <c r="AA411" s="29">
        <v>0</v>
      </c>
      <c r="AB411" s="29">
        <v>0</v>
      </c>
      <c r="AC411" s="29">
        <v>0</v>
      </c>
      <c r="AD411" s="29">
        <v>0</v>
      </c>
      <c r="AE411" s="29">
        <v>0</v>
      </c>
      <c r="AF411" s="29">
        <v>0</v>
      </c>
      <c r="AG411" s="29">
        <v>0</v>
      </c>
      <c r="AH411" s="29">
        <v>0</v>
      </c>
      <c r="AI411" s="29">
        <v>0</v>
      </c>
      <c r="AJ411" s="29">
        <v>0</v>
      </c>
      <c r="AK411" s="29">
        <v>0</v>
      </c>
      <c r="AL411" s="29">
        <v>0</v>
      </c>
      <c r="AM411" s="29">
        <v>0</v>
      </c>
      <c r="AN411" s="29">
        <v>0</v>
      </c>
      <c r="AO411" s="29">
        <v>0</v>
      </c>
      <c r="AP411" s="29">
        <v>0</v>
      </c>
    </row>
    <row r="412" spans="1:42" x14ac:dyDescent="0.25">
      <c r="A412" s="29">
        <v>7</v>
      </c>
      <c r="B412" s="29">
        <v>13809</v>
      </c>
      <c r="C412" s="29" t="s">
        <v>424</v>
      </c>
      <c r="D412" s="29" t="s">
        <v>767</v>
      </c>
      <c r="E412" s="29"/>
      <c r="F412" s="29">
        <v>0</v>
      </c>
      <c r="G412" s="29">
        <v>0</v>
      </c>
      <c r="H412" s="29">
        <v>0</v>
      </c>
      <c r="I412" s="29">
        <v>0</v>
      </c>
      <c r="J412" s="29">
        <v>0</v>
      </c>
      <c r="K412" s="29" t="s">
        <v>882</v>
      </c>
      <c r="L412" s="19" t="str">
        <f t="shared" si="48"/>
        <v>Рихтовка</v>
      </c>
      <c r="M412" s="12">
        <f t="shared" si="49"/>
        <v>0</v>
      </c>
      <c r="N412" s="12">
        <f t="shared" si="50"/>
        <v>0</v>
      </c>
      <c r="O412" s="12">
        <f t="shared" si="51"/>
        <v>0</v>
      </c>
      <c r="P412" s="12">
        <f t="shared" si="52"/>
        <v>0</v>
      </c>
      <c r="Q412" s="12">
        <f t="shared" si="53"/>
        <v>0</v>
      </c>
      <c r="R412" s="12">
        <f t="shared" si="54"/>
        <v>0</v>
      </c>
      <c r="S412" s="12">
        <f t="shared" si="55"/>
        <v>0</v>
      </c>
      <c r="T412" s="29">
        <v>0</v>
      </c>
      <c r="U412" s="29">
        <v>0</v>
      </c>
      <c r="V412" s="29">
        <v>0</v>
      </c>
      <c r="W412" s="29">
        <v>0</v>
      </c>
      <c r="X412" s="29">
        <v>0</v>
      </c>
      <c r="Y412" s="29">
        <v>0</v>
      </c>
      <c r="Z412" s="29">
        <v>0</v>
      </c>
      <c r="AA412" s="29">
        <v>0</v>
      </c>
      <c r="AB412" s="29">
        <v>0</v>
      </c>
      <c r="AC412" s="29">
        <v>0</v>
      </c>
      <c r="AD412" s="29">
        <v>0</v>
      </c>
      <c r="AE412" s="29">
        <v>0</v>
      </c>
      <c r="AF412" s="29">
        <v>0</v>
      </c>
      <c r="AG412" s="29">
        <v>0</v>
      </c>
      <c r="AH412" s="29">
        <v>0</v>
      </c>
      <c r="AI412" s="29">
        <v>0</v>
      </c>
      <c r="AJ412" s="29">
        <v>0</v>
      </c>
      <c r="AK412" s="29">
        <v>0</v>
      </c>
      <c r="AL412" s="29">
        <v>0</v>
      </c>
      <c r="AM412" s="29">
        <v>0</v>
      </c>
      <c r="AN412" s="29">
        <v>0</v>
      </c>
      <c r="AO412" s="29">
        <v>0</v>
      </c>
      <c r="AP412" s="29">
        <v>0</v>
      </c>
    </row>
    <row r="413" spans="1:42" x14ac:dyDescent="0.25">
      <c r="A413" s="29">
        <v>7</v>
      </c>
      <c r="B413" s="29">
        <v>13809</v>
      </c>
      <c r="C413" s="29">
        <v>1</v>
      </c>
      <c r="D413" s="29" t="s">
        <v>768</v>
      </c>
      <c r="E413" s="29"/>
      <c r="F413" s="29">
        <v>0</v>
      </c>
      <c r="G413" s="29">
        <v>0</v>
      </c>
      <c r="H413" s="29">
        <v>0</v>
      </c>
      <c r="I413" s="29">
        <v>0</v>
      </c>
      <c r="J413" s="29">
        <v>0</v>
      </c>
      <c r="K413" s="29" t="s">
        <v>882</v>
      </c>
      <c r="L413" s="19" t="str">
        <f t="shared" si="48"/>
        <v>Рихтовка</v>
      </c>
      <c r="M413" s="12">
        <f t="shared" si="49"/>
        <v>0</v>
      </c>
      <c r="N413" s="12">
        <f t="shared" si="50"/>
        <v>0</v>
      </c>
      <c r="O413" s="12">
        <f t="shared" si="51"/>
        <v>0</v>
      </c>
      <c r="P413" s="12">
        <f t="shared" si="52"/>
        <v>0</v>
      </c>
      <c r="Q413" s="12">
        <f t="shared" si="53"/>
        <v>0</v>
      </c>
      <c r="R413" s="12">
        <f t="shared" si="54"/>
        <v>0</v>
      </c>
      <c r="S413" s="12">
        <f t="shared" si="55"/>
        <v>0</v>
      </c>
      <c r="T413" s="29">
        <v>0</v>
      </c>
      <c r="U413" s="29">
        <v>0</v>
      </c>
      <c r="V413" s="29">
        <v>0</v>
      </c>
      <c r="W413" s="29">
        <v>0</v>
      </c>
      <c r="X413" s="29">
        <v>0</v>
      </c>
      <c r="Y413" s="29">
        <v>0</v>
      </c>
      <c r="Z413" s="29">
        <v>0</v>
      </c>
      <c r="AA413" s="29">
        <v>0</v>
      </c>
      <c r="AB413" s="29">
        <v>0</v>
      </c>
      <c r="AC413" s="29">
        <v>0</v>
      </c>
      <c r="AD413" s="29">
        <v>0</v>
      </c>
      <c r="AE413" s="29">
        <v>0</v>
      </c>
      <c r="AF413" s="29">
        <v>0</v>
      </c>
      <c r="AG413" s="29">
        <v>0</v>
      </c>
      <c r="AH413" s="29">
        <v>0</v>
      </c>
      <c r="AI413" s="29">
        <v>0</v>
      </c>
      <c r="AJ413" s="29">
        <v>0</v>
      </c>
      <c r="AK413" s="29">
        <v>0</v>
      </c>
      <c r="AL413" s="29">
        <v>0</v>
      </c>
      <c r="AM413" s="29">
        <v>0</v>
      </c>
      <c r="AN413" s="29">
        <v>0</v>
      </c>
      <c r="AO413" s="29">
        <v>0</v>
      </c>
      <c r="AP413" s="29">
        <v>0</v>
      </c>
    </row>
    <row r="414" spans="1:42" x14ac:dyDescent="0.25">
      <c r="A414" s="29">
        <v>8</v>
      </c>
      <c r="B414" s="29">
        <v>13809</v>
      </c>
      <c r="C414" s="29">
        <v>1</v>
      </c>
      <c r="D414" s="29" t="s">
        <v>768</v>
      </c>
      <c r="E414" s="29"/>
      <c r="F414" s="29">
        <v>0</v>
      </c>
      <c r="G414" s="29">
        <v>0</v>
      </c>
      <c r="H414" s="29">
        <v>0</v>
      </c>
      <c r="I414" s="29">
        <v>0</v>
      </c>
      <c r="J414" s="29">
        <v>0</v>
      </c>
      <c r="K414" s="29" t="s">
        <v>882</v>
      </c>
      <c r="L414" s="19" t="str">
        <f t="shared" si="48"/>
        <v>Рихтовка</v>
      </c>
      <c r="M414" s="12">
        <f t="shared" si="49"/>
        <v>0</v>
      </c>
      <c r="N414" s="12">
        <f t="shared" si="50"/>
        <v>0</v>
      </c>
      <c r="O414" s="12">
        <f t="shared" si="51"/>
        <v>0</v>
      </c>
      <c r="P414" s="12">
        <f t="shared" si="52"/>
        <v>0</v>
      </c>
      <c r="Q414" s="12">
        <f t="shared" si="53"/>
        <v>0</v>
      </c>
      <c r="R414" s="12">
        <f t="shared" si="54"/>
        <v>0</v>
      </c>
      <c r="S414" s="12">
        <f t="shared" si="55"/>
        <v>0</v>
      </c>
      <c r="T414" s="29">
        <v>0</v>
      </c>
      <c r="U414" s="29">
        <v>0</v>
      </c>
      <c r="V414" s="29">
        <v>0</v>
      </c>
      <c r="W414" s="29">
        <v>0</v>
      </c>
      <c r="X414" s="29">
        <v>0</v>
      </c>
      <c r="Y414" s="29">
        <v>0</v>
      </c>
      <c r="Z414" s="29">
        <v>0</v>
      </c>
      <c r="AA414" s="29">
        <v>0</v>
      </c>
      <c r="AB414" s="29">
        <v>0</v>
      </c>
      <c r="AC414" s="29">
        <v>0</v>
      </c>
      <c r="AD414" s="29">
        <v>0</v>
      </c>
      <c r="AE414" s="29">
        <v>0</v>
      </c>
      <c r="AF414" s="29">
        <v>0</v>
      </c>
      <c r="AG414" s="29">
        <v>0</v>
      </c>
      <c r="AH414" s="29">
        <v>0</v>
      </c>
      <c r="AI414" s="29">
        <v>0</v>
      </c>
      <c r="AJ414" s="29">
        <v>0</v>
      </c>
      <c r="AK414" s="29">
        <v>0</v>
      </c>
      <c r="AL414" s="29">
        <v>0</v>
      </c>
      <c r="AM414" s="29">
        <v>0</v>
      </c>
      <c r="AN414" s="29">
        <v>0</v>
      </c>
      <c r="AO414" s="29">
        <v>0</v>
      </c>
      <c r="AP414" s="29">
        <v>0</v>
      </c>
    </row>
    <row r="415" spans="1:42" x14ac:dyDescent="0.25">
      <c r="A415" s="29">
        <v>7</v>
      </c>
      <c r="B415" s="29">
        <v>13809</v>
      </c>
      <c r="C415" s="29">
        <v>2</v>
      </c>
      <c r="D415" s="29" t="s">
        <v>768</v>
      </c>
      <c r="E415" s="29"/>
      <c r="F415" s="29">
        <v>0</v>
      </c>
      <c r="G415" s="29">
        <v>0</v>
      </c>
      <c r="H415" s="29">
        <v>0</v>
      </c>
      <c r="I415" s="29">
        <v>0</v>
      </c>
      <c r="J415" s="29">
        <v>0</v>
      </c>
      <c r="K415" s="29" t="s">
        <v>882</v>
      </c>
      <c r="L415" s="19" t="str">
        <f t="shared" si="48"/>
        <v>Рихтовка</v>
      </c>
      <c r="M415" s="12">
        <f t="shared" si="49"/>
        <v>0</v>
      </c>
      <c r="N415" s="12">
        <f t="shared" si="50"/>
        <v>0</v>
      </c>
      <c r="O415" s="12">
        <f t="shared" si="51"/>
        <v>0</v>
      </c>
      <c r="P415" s="12">
        <f t="shared" si="52"/>
        <v>0</v>
      </c>
      <c r="Q415" s="12">
        <f t="shared" si="53"/>
        <v>0</v>
      </c>
      <c r="R415" s="12">
        <f t="shared" si="54"/>
        <v>0</v>
      </c>
      <c r="S415" s="12">
        <f t="shared" si="55"/>
        <v>0</v>
      </c>
      <c r="T415" s="29">
        <v>0</v>
      </c>
      <c r="U415" s="29">
        <v>0</v>
      </c>
      <c r="V415" s="29">
        <v>0</v>
      </c>
      <c r="W415" s="29">
        <v>0</v>
      </c>
      <c r="X415" s="29">
        <v>0</v>
      </c>
      <c r="Y415" s="29">
        <v>0</v>
      </c>
      <c r="Z415" s="29">
        <v>0</v>
      </c>
      <c r="AA415" s="29">
        <v>0</v>
      </c>
      <c r="AB415" s="29">
        <v>0</v>
      </c>
      <c r="AC415" s="29">
        <v>0</v>
      </c>
      <c r="AD415" s="29">
        <v>0</v>
      </c>
      <c r="AE415" s="29">
        <v>0</v>
      </c>
      <c r="AF415" s="29">
        <v>0</v>
      </c>
      <c r="AG415" s="29">
        <v>0</v>
      </c>
      <c r="AH415" s="29">
        <v>0</v>
      </c>
      <c r="AI415" s="29">
        <v>0</v>
      </c>
      <c r="AJ415" s="29">
        <v>0</v>
      </c>
      <c r="AK415" s="29">
        <v>0</v>
      </c>
      <c r="AL415" s="29">
        <v>0</v>
      </c>
      <c r="AM415" s="29">
        <v>0</v>
      </c>
      <c r="AN415" s="29">
        <v>0</v>
      </c>
      <c r="AO415" s="29">
        <v>0</v>
      </c>
      <c r="AP415" s="29">
        <v>0</v>
      </c>
    </row>
    <row r="416" spans="1:42" x14ac:dyDescent="0.25">
      <c r="A416" s="29">
        <v>8</v>
      </c>
      <c r="B416" s="29">
        <v>13809</v>
      </c>
      <c r="C416" s="29">
        <v>2</v>
      </c>
      <c r="D416" s="29" t="s">
        <v>768</v>
      </c>
      <c r="E416" s="29"/>
      <c r="F416" s="29">
        <v>0</v>
      </c>
      <c r="G416" s="29">
        <v>0</v>
      </c>
      <c r="H416" s="29">
        <v>0</v>
      </c>
      <c r="I416" s="29">
        <v>0</v>
      </c>
      <c r="J416" s="29">
        <v>0</v>
      </c>
      <c r="K416" s="29" t="s">
        <v>882</v>
      </c>
      <c r="L416" s="19" t="str">
        <f t="shared" si="48"/>
        <v>Рихтовка</v>
      </c>
      <c r="M416" s="12">
        <f t="shared" si="49"/>
        <v>0</v>
      </c>
      <c r="N416" s="12">
        <f t="shared" si="50"/>
        <v>0</v>
      </c>
      <c r="O416" s="12">
        <f t="shared" si="51"/>
        <v>0</v>
      </c>
      <c r="P416" s="12">
        <f t="shared" si="52"/>
        <v>0</v>
      </c>
      <c r="Q416" s="12">
        <f t="shared" si="53"/>
        <v>0</v>
      </c>
      <c r="R416" s="12">
        <f t="shared" si="54"/>
        <v>0</v>
      </c>
      <c r="S416" s="12">
        <f t="shared" si="55"/>
        <v>0</v>
      </c>
      <c r="T416" s="29">
        <v>0</v>
      </c>
      <c r="U416" s="29">
        <v>0</v>
      </c>
      <c r="V416" s="29">
        <v>0</v>
      </c>
      <c r="W416" s="29">
        <v>0</v>
      </c>
      <c r="X416" s="29">
        <v>0</v>
      </c>
      <c r="Y416" s="29">
        <v>0</v>
      </c>
      <c r="Z416" s="29">
        <v>0</v>
      </c>
      <c r="AA416" s="29">
        <v>0</v>
      </c>
      <c r="AB416" s="29">
        <v>0</v>
      </c>
      <c r="AC416" s="29">
        <v>0</v>
      </c>
      <c r="AD416" s="29">
        <v>0</v>
      </c>
      <c r="AE416" s="29">
        <v>0</v>
      </c>
      <c r="AF416" s="29">
        <v>0</v>
      </c>
      <c r="AG416" s="29">
        <v>0</v>
      </c>
      <c r="AH416" s="29">
        <v>0</v>
      </c>
      <c r="AI416" s="29">
        <v>0</v>
      </c>
      <c r="AJ416" s="29">
        <v>0</v>
      </c>
      <c r="AK416" s="29">
        <v>0</v>
      </c>
      <c r="AL416" s="29">
        <v>0</v>
      </c>
      <c r="AM416" s="29">
        <v>0</v>
      </c>
      <c r="AN416" s="29">
        <v>0</v>
      </c>
      <c r="AO416" s="29">
        <v>0</v>
      </c>
      <c r="AP416" s="29">
        <v>0</v>
      </c>
    </row>
    <row r="417" spans="1:42" x14ac:dyDescent="0.25">
      <c r="A417" s="29">
        <v>8</v>
      </c>
      <c r="B417" s="29">
        <v>13809</v>
      </c>
      <c r="C417" s="29">
        <v>1</v>
      </c>
      <c r="D417" s="29" t="s">
        <v>769</v>
      </c>
      <c r="E417" s="29"/>
      <c r="F417" s="29">
        <v>0</v>
      </c>
      <c r="G417" s="29">
        <v>0</v>
      </c>
      <c r="H417" s="29">
        <v>0</v>
      </c>
      <c r="I417" s="29">
        <v>0</v>
      </c>
      <c r="J417" s="29">
        <v>0</v>
      </c>
      <c r="K417" s="29" t="s">
        <v>882</v>
      </c>
      <c r="L417" s="19" t="str">
        <f t="shared" si="48"/>
        <v>Рихтовка</v>
      </c>
      <c r="M417" s="12">
        <f t="shared" si="49"/>
        <v>0</v>
      </c>
      <c r="N417" s="12">
        <f t="shared" si="50"/>
        <v>0</v>
      </c>
      <c r="O417" s="12">
        <f t="shared" si="51"/>
        <v>0</v>
      </c>
      <c r="P417" s="12">
        <f t="shared" si="52"/>
        <v>0</v>
      </c>
      <c r="Q417" s="12">
        <f t="shared" si="53"/>
        <v>0</v>
      </c>
      <c r="R417" s="12">
        <f t="shared" si="54"/>
        <v>0</v>
      </c>
      <c r="S417" s="12">
        <f t="shared" si="55"/>
        <v>0</v>
      </c>
      <c r="T417" s="29">
        <v>0</v>
      </c>
      <c r="U417" s="29">
        <v>0</v>
      </c>
      <c r="V417" s="29">
        <v>0</v>
      </c>
      <c r="W417" s="29">
        <v>0</v>
      </c>
      <c r="X417" s="29">
        <v>0</v>
      </c>
      <c r="Y417" s="29">
        <v>0</v>
      </c>
      <c r="Z417" s="29">
        <v>0</v>
      </c>
      <c r="AA417" s="29">
        <v>0</v>
      </c>
      <c r="AB417" s="29">
        <v>0</v>
      </c>
      <c r="AC417" s="29">
        <v>0</v>
      </c>
      <c r="AD417" s="29">
        <v>0</v>
      </c>
      <c r="AE417" s="29">
        <v>0</v>
      </c>
      <c r="AF417" s="29">
        <v>0</v>
      </c>
      <c r="AG417" s="29">
        <v>0</v>
      </c>
      <c r="AH417" s="29">
        <v>0</v>
      </c>
      <c r="AI417" s="29">
        <v>0</v>
      </c>
      <c r="AJ417" s="29">
        <v>0</v>
      </c>
      <c r="AK417" s="29">
        <v>0</v>
      </c>
      <c r="AL417" s="29">
        <v>0</v>
      </c>
      <c r="AM417" s="29">
        <v>0</v>
      </c>
      <c r="AN417" s="29">
        <v>0</v>
      </c>
      <c r="AO417" s="29">
        <v>0</v>
      </c>
      <c r="AP417" s="29">
        <v>0</v>
      </c>
    </row>
    <row r="418" spans="1:42" x14ac:dyDescent="0.25">
      <c r="A418" s="29">
        <v>8</v>
      </c>
      <c r="B418" s="29">
        <v>13809</v>
      </c>
      <c r="C418" s="29">
        <v>1</v>
      </c>
      <c r="D418" s="29" t="s">
        <v>770</v>
      </c>
      <c r="E418" s="29"/>
      <c r="F418" s="29">
        <v>0</v>
      </c>
      <c r="G418" s="29">
        <v>0</v>
      </c>
      <c r="H418" s="29">
        <v>0</v>
      </c>
      <c r="I418" s="29">
        <v>0</v>
      </c>
      <c r="J418" s="29">
        <v>0</v>
      </c>
      <c r="K418" s="29" t="s">
        <v>882</v>
      </c>
      <c r="L418" s="19" t="str">
        <f t="shared" si="48"/>
        <v>Рихтовка</v>
      </c>
      <c r="M418" s="12">
        <f t="shared" si="49"/>
        <v>0</v>
      </c>
      <c r="N418" s="12">
        <f t="shared" si="50"/>
        <v>0</v>
      </c>
      <c r="O418" s="12">
        <f t="shared" si="51"/>
        <v>0</v>
      </c>
      <c r="P418" s="12">
        <f t="shared" si="52"/>
        <v>0</v>
      </c>
      <c r="Q418" s="12">
        <f t="shared" si="53"/>
        <v>0</v>
      </c>
      <c r="R418" s="12">
        <f t="shared" si="54"/>
        <v>0</v>
      </c>
      <c r="S418" s="12">
        <f t="shared" si="55"/>
        <v>0</v>
      </c>
      <c r="T418" s="29">
        <v>0</v>
      </c>
      <c r="U418" s="29">
        <v>0</v>
      </c>
      <c r="V418" s="29">
        <v>0</v>
      </c>
      <c r="W418" s="29">
        <v>0</v>
      </c>
      <c r="X418" s="29">
        <v>0</v>
      </c>
      <c r="Y418" s="29">
        <v>0</v>
      </c>
      <c r="Z418" s="29">
        <v>0</v>
      </c>
      <c r="AA418" s="29">
        <v>0</v>
      </c>
      <c r="AB418" s="29">
        <v>0</v>
      </c>
      <c r="AC418" s="29">
        <v>0</v>
      </c>
      <c r="AD418" s="29">
        <v>0</v>
      </c>
      <c r="AE418" s="29">
        <v>0</v>
      </c>
      <c r="AF418" s="29">
        <v>0</v>
      </c>
      <c r="AG418" s="29">
        <v>0</v>
      </c>
      <c r="AH418" s="29">
        <v>0</v>
      </c>
      <c r="AI418" s="29">
        <v>0</v>
      </c>
      <c r="AJ418" s="29">
        <v>0</v>
      </c>
      <c r="AK418" s="29">
        <v>0</v>
      </c>
      <c r="AL418" s="29">
        <v>0</v>
      </c>
      <c r="AM418" s="29">
        <v>0</v>
      </c>
      <c r="AN418" s="29">
        <v>0</v>
      </c>
      <c r="AO418" s="29">
        <v>0</v>
      </c>
      <c r="AP418" s="29">
        <v>0</v>
      </c>
    </row>
    <row r="419" spans="1:42" x14ac:dyDescent="0.25">
      <c r="A419" s="29">
        <v>8</v>
      </c>
      <c r="B419" s="29">
        <v>13809</v>
      </c>
      <c r="C419" s="29">
        <v>1</v>
      </c>
      <c r="D419" s="29" t="s">
        <v>771</v>
      </c>
      <c r="E419" s="29"/>
      <c r="F419" s="29">
        <v>0</v>
      </c>
      <c r="G419" s="29">
        <v>0</v>
      </c>
      <c r="H419" s="29">
        <v>0</v>
      </c>
      <c r="I419" s="29">
        <v>0</v>
      </c>
      <c r="J419" s="29">
        <v>0</v>
      </c>
      <c r="K419" s="29" t="s">
        <v>882</v>
      </c>
      <c r="L419" s="19" t="str">
        <f t="shared" si="48"/>
        <v>Рихтовка</v>
      </c>
      <c r="M419" s="12">
        <f t="shared" si="49"/>
        <v>0</v>
      </c>
      <c r="N419" s="12">
        <f t="shared" si="50"/>
        <v>0</v>
      </c>
      <c r="O419" s="12">
        <f t="shared" si="51"/>
        <v>0</v>
      </c>
      <c r="P419" s="12">
        <f t="shared" si="52"/>
        <v>0</v>
      </c>
      <c r="Q419" s="12">
        <f t="shared" si="53"/>
        <v>0</v>
      </c>
      <c r="R419" s="12">
        <f t="shared" si="54"/>
        <v>0</v>
      </c>
      <c r="S419" s="12">
        <f t="shared" si="55"/>
        <v>0</v>
      </c>
      <c r="T419" s="29">
        <v>0</v>
      </c>
      <c r="U419" s="29">
        <v>0</v>
      </c>
      <c r="V419" s="29">
        <v>0</v>
      </c>
      <c r="W419" s="29">
        <v>0</v>
      </c>
      <c r="X419" s="29">
        <v>0</v>
      </c>
      <c r="Y419" s="29">
        <v>0</v>
      </c>
      <c r="Z419" s="29">
        <v>0</v>
      </c>
      <c r="AA419" s="29">
        <v>0</v>
      </c>
      <c r="AB419" s="29">
        <v>0</v>
      </c>
      <c r="AC419" s="29">
        <v>0</v>
      </c>
      <c r="AD419" s="29">
        <v>0</v>
      </c>
      <c r="AE419" s="29">
        <v>0</v>
      </c>
      <c r="AF419" s="29">
        <v>0</v>
      </c>
      <c r="AG419" s="29">
        <v>0</v>
      </c>
      <c r="AH419" s="29">
        <v>0</v>
      </c>
      <c r="AI419" s="29">
        <v>0</v>
      </c>
      <c r="AJ419" s="29">
        <v>0</v>
      </c>
      <c r="AK419" s="29">
        <v>0</v>
      </c>
      <c r="AL419" s="29">
        <v>0</v>
      </c>
      <c r="AM419" s="29">
        <v>0</v>
      </c>
      <c r="AN419" s="29">
        <v>0</v>
      </c>
      <c r="AO419" s="29">
        <v>0</v>
      </c>
      <c r="AP419" s="29">
        <v>0</v>
      </c>
    </row>
    <row r="420" spans="1:42" x14ac:dyDescent="0.25">
      <c r="A420" s="29">
        <v>8</v>
      </c>
      <c r="B420" s="29">
        <v>13809</v>
      </c>
      <c r="C420" s="29">
        <v>1</v>
      </c>
      <c r="D420" s="29" t="s">
        <v>956</v>
      </c>
      <c r="E420" s="29"/>
      <c r="F420" s="29">
        <v>0</v>
      </c>
      <c r="G420" s="29">
        <v>0</v>
      </c>
      <c r="H420" s="29">
        <v>0</v>
      </c>
      <c r="I420" s="29">
        <v>0</v>
      </c>
      <c r="J420" s="29">
        <v>0</v>
      </c>
      <c r="K420" s="29" t="s">
        <v>882</v>
      </c>
      <c r="L420" s="19" t="str">
        <f t="shared" si="48"/>
        <v>Рихтовка</v>
      </c>
      <c r="M420" s="12">
        <f t="shared" si="49"/>
        <v>0</v>
      </c>
      <c r="N420" s="12">
        <f t="shared" si="50"/>
        <v>0</v>
      </c>
      <c r="O420" s="12">
        <f t="shared" si="51"/>
        <v>0</v>
      </c>
      <c r="P420" s="12">
        <f t="shared" si="52"/>
        <v>0</v>
      </c>
      <c r="Q420" s="12">
        <f t="shared" si="53"/>
        <v>0</v>
      </c>
      <c r="R420" s="12">
        <f t="shared" si="54"/>
        <v>0</v>
      </c>
      <c r="S420" s="12">
        <f t="shared" si="55"/>
        <v>0</v>
      </c>
      <c r="T420" s="29">
        <v>0</v>
      </c>
      <c r="U420" s="29">
        <v>0</v>
      </c>
      <c r="V420" s="29">
        <v>0</v>
      </c>
      <c r="W420" s="29">
        <v>0</v>
      </c>
      <c r="X420" s="29">
        <v>0</v>
      </c>
      <c r="Y420" s="29">
        <v>0</v>
      </c>
      <c r="Z420" s="29">
        <v>0</v>
      </c>
      <c r="AA420" s="29">
        <v>0</v>
      </c>
      <c r="AB420" s="29">
        <v>0</v>
      </c>
      <c r="AC420" s="29">
        <v>0</v>
      </c>
      <c r="AD420" s="29">
        <v>0</v>
      </c>
      <c r="AE420" s="29">
        <v>0</v>
      </c>
      <c r="AF420" s="29">
        <v>0</v>
      </c>
      <c r="AG420" s="29">
        <v>0</v>
      </c>
      <c r="AH420" s="29">
        <v>0</v>
      </c>
      <c r="AI420" s="29">
        <v>0</v>
      </c>
      <c r="AJ420" s="29">
        <v>0</v>
      </c>
      <c r="AK420" s="29">
        <v>0</v>
      </c>
      <c r="AL420" s="29">
        <v>0</v>
      </c>
      <c r="AM420" s="29">
        <v>0</v>
      </c>
      <c r="AN420" s="29">
        <v>0</v>
      </c>
      <c r="AO420" s="29">
        <v>0</v>
      </c>
      <c r="AP420" s="29">
        <v>0</v>
      </c>
    </row>
    <row r="421" spans="1:42" x14ac:dyDescent="0.25">
      <c r="A421" s="29">
        <v>8</v>
      </c>
      <c r="B421" s="29">
        <v>13809</v>
      </c>
      <c r="C421" s="29">
        <v>1</v>
      </c>
      <c r="D421" s="29" t="s">
        <v>772</v>
      </c>
      <c r="E421" s="29"/>
      <c r="F421" s="29">
        <v>0</v>
      </c>
      <c r="G421" s="29">
        <v>0</v>
      </c>
      <c r="H421" s="29">
        <v>0</v>
      </c>
      <c r="I421" s="29">
        <v>0</v>
      </c>
      <c r="J421" s="29">
        <v>0</v>
      </c>
      <c r="K421" s="29" t="s">
        <v>882</v>
      </c>
      <c r="L421" s="19" t="str">
        <f t="shared" si="48"/>
        <v>Рихтовка</v>
      </c>
      <c r="M421" s="12">
        <f t="shared" si="49"/>
        <v>0</v>
      </c>
      <c r="N421" s="12">
        <f t="shared" si="50"/>
        <v>0</v>
      </c>
      <c r="O421" s="12">
        <f t="shared" si="51"/>
        <v>0</v>
      </c>
      <c r="P421" s="12">
        <f t="shared" si="52"/>
        <v>0</v>
      </c>
      <c r="Q421" s="12">
        <f t="shared" si="53"/>
        <v>0</v>
      </c>
      <c r="R421" s="12">
        <f t="shared" si="54"/>
        <v>0</v>
      </c>
      <c r="S421" s="12">
        <f t="shared" si="55"/>
        <v>0</v>
      </c>
      <c r="T421" s="29">
        <v>0</v>
      </c>
      <c r="U421" s="29">
        <v>0</v>
      </c>
      <c r="V421" s="29">
        <v>0</v>
      </c>
      <c r="W421" s="29">
        <v>0</v>
      </c>
      <c r="X421" s="29">
        <v>0</v>
      </c>
      <c r="Y421" s="29">
        <v>0</v>
      </c>
      <c r="Z421" s="29">
        <v>0</v>
      </c>
      <c r="AA421" s="29">
        <v>0</v>
      </c>
      <c r="AB421" s="29">
        <v>0</v>
      </c>
      <c r="AC421" s="29">
        <v>0</v>
      </c>
      <c r="AD421" s="29">
        <v>0</v>
      </c>
      <c r="AE421" s="29">
        <v>0</v>
      </c>
      <c r="AF421" s="29">
        <v>0</v>
      </c>
      <c r="AG421" s="29">
        <v>0</v>
      </c>
      <c r="AH421" s="29">
        <v>0</v>
      </c>
      <c r="AI421" s="29">
        <v>0</v>
      </c>
      <c r="AJ421" s="29">
        <v>0</v>
      </c>
      <c r="AK421" s="29">
        <v>0</v>
      </c>
      <c r="AL421" s="29">
        <v>0</v>
      </c>
      <c r="AM421" s="29">
        <v>0</v>
      </c>
      <c r="AN421" s="29">
        <v>0</v>
      </c>
      <c r="AO421" s="29">
        <v>0</v>
      </c>
      <c r="AP421" s="29">
        <v>0</v>
      </c>
    </row>
    <row r="422" spans="1:42" x14ac:dyDescent="0.25">
      <c r="A422" s="29">
        <v>8</v>
      </c>
      <c r="B422" s="29">
        <v>13809</v>
      </c>
      <c r="C422" s="29">
        <v>1</v>
      </c>
      <c r="D422" s="29" t="s">
        <v>773</v>
      </c>
      <c r="E422" s="29"/>
      <c r="F422" s="29">
        <v>0</v>
      </c>
      <c r="G422" s="29">
        <v>0</v>
      </c>
      <c r="H422" s="29">
        <v>0</v>
      </c>
      <c r="I422" s="29">
        <v>0</v>
      </c>
      <c r="J422" s="29">
        <v>0</v>
      </c>
      <c r="K422" s="29" t="s">
        <v>882</v>
      </c>
      <c r="L422" s="19" t="str">
        <f t="shared" si="48"/>
        <v>Рихтовка</v>
      </c>
      <c r="M422" s="12">
        <f t="shared" si="49"/>
        <v>0</v>
      </c>
      <c r="N422" s="12">
        <f t="shared" si="50"/>
        <v>0</v>
      </c>
      <c r="O422" s="12">
        <f t="shared" si="51"/>
        <v>0</v>
      </c>
      <c r="P422" s="12">
        <f t="shared" si="52"/>
        <v>0</v>
      </c>
      <c r="Q422" s="12">
        <f t="shared" si="53"/>
        <v>0</v>
      </c>
      <c r="R422" s="12">
        <f t="shared" si="54"/>
        <v>0</v>
      </c>
      <c r="S422" s="12">
        <f t="shared" si="55"/>
        <v>0</v>
      </c>
      <c r="T422" s="29">
        <v>0</v>
      </c>
      <c r="U422" s="29">
        <v>0</v>
      </c>
      <c r="V422" s="29">
        <v>0</v>
      </c>
      <c r="W422" s="29">
        <v>0</v>
      </c>
      <c r="X422" s="29">
        <v>0</v>
      </c>
      <c r="Y422" s="29">
        <v>0</v>
      </c>
      <c r="Z422" s="29">
        <v>0</v>
      </c>
      <c r="AA422" s="29">
        <v>0</v>
      </c>
      <c r="AB422" s="29">
        <v>0</v>
      </c>
      <c r="AC422" s="29">
        <v>0</v>
      </c>
      <c r="AD422" s="29">
        <v>0</v>
      </c>
      <c r="AE422" s="29">
        <v>0</v>
      </c>
      <c r="AF422" s="29">
        <v>0</v>
      </c>
      <c r="AG422" s="29">
        <v>0</v>
      </c>
      <c r="AH422" s="29">
        <v>0</v>
      </c>
      <c r="AI422" s="29">
        <v>0</v>
      </c>
      <c r="AJ422" s="29">
        <v>0</v>
      </c>
      <c r="AK422" s="29">
        <v>0</v>
      </c>
      <c r="AL422" s="29">
        <v>0</v>
      </c>
      <c r="AM422" s="29">
        <v>0</v>
      </c>
      <c r="AN422" s="29">
        <v>0</v>
      </c>
      <c r="AO422" s="29">
        <v>0</v>
      </c>
      <c r="AP422" s="29">
        <v>0</v>
      </c>
    </row>
    <row r="423" spans="1:42" x14ac:dyDescent="0.25">
      <c r="A423" s="29">
        <v>8</v>
      </c>
      <c r="B423" s="29">
        <v>13809</v>
      </c>
      <c r="C423" s="29">
        <v>2</v>
      </c>
      <c r="D423" s="29" t="s">
        <v>769</v>
      </c>
      <c r="E423" s="29"/>
      <c r="F423" s="29">
        <v>0</v>
      </c>
      <c r="G423" s="29">
        <v>0</v>
      </c>
      <c r="H423" s="29">
        <v>0</v>
      </c>
      <c r="I423" s="29">
        <v>0</v>
      </c>
      <c r="J423" s="29">
        <v>0</v>
      </c>
      <c r="K423" s="29" t="s">
        <v>882</v>
      </c>
      <c r="L423" s="19" t="str">
        <f t="shared" si="48"/>
        <v>Рихтовка</v>
      </c>
      <c r="M423" s="12">
        <f t="shared" si="49"/>
        <v>0</v>
      </c>
      <c r="N423" s="12">
        <f t="shared" si="50"/>
        <v>0</v>
      </c>
      <c r="O423" s="12">
        <f t="shared" si="51"/>
        <v>0</v>
      </c>
      <c r="P423" s="12">
        <f t="shared" si="52"/>
        <v>0</v>
      </c>
      <c r="Q423" s="12">
        <f t="shared" si="53"/>
        <v>0</v>
      </c>
      <c r="R423" s="12">
        <f t="shared" si="54"/>
        <v>0</v>
      </c>
      <c r="S423" s="12">
        <f t="shared" si="55"/>
        <v>0</v>
      </c>
      <c r="T423" s="29">
        <v>0</v>
      </c>
      <c r="U423" s="29">
        <v>0</v>
      </c>
      <c r="V423" s="29">
        <v>0</v>
      </c>
      <c r="W423" s="29">
        <v>0</v>
      </c>
      <c r="X423" s="29">
        <v>0</v>
      </c>
      <c r="Y423" s="29">
        <v>0</v>
      </c>
      <c r="Z423" s="29">
        <v>0</v>
      </c>
      <c r="AA423" s="29">
        <v>0</v>
      </c>
      <c r="AB423" s="29">
        <v>0</v>
      </c>
      <c r="AC423" s="29">
        <v>0</v>
      </c>
      <c r="AD423" s="29">
        <v>0</v>
      </c>
      <c r="AE423" s="29">
        <v>0</v>
      </c>
      <c r="AF423" s="29">
        <v>0</v>
      </c>
      <c r="AG423" s="29">
        <v>0</v>
      </c>
      <c r="AH423" s="29">
        <v>0</v>
      </c>
      <c r="AI423" s="29">
        <v>0</v>
      </c>
      <c r="AJ423" s="29">
        <v>0</v>
      </c>
      <c r="AK423" s="29">
        <v>0</v>
      </c>
      <c r="AL423" s="29">
        <v>0</v>
      </c>
      <c r="AM423" s="29">
        <v>0</v>
      </c>
      <c r="AN423" s="29">
        <v>0</v>
      </c>
      <c r="AO423" s="29">
        <v>0</v>
      </c>
      <c r="AP423" s="29">
        <v>0</v>
      </c>
    </row>
    <row r="424" spans="1:42" x14ac:dyDescent="0.25">
      <c r="A424" s="29">
        <v>8</v>
      </c>
      <c r="B424" s="29">
        <v>13809</v>
      </c>
      <c r="C424" s="29">
        <v>2</v>
      </c>
      <c r="D424" s="29" t="s">
        <v>770</v>
      </c>
      <c r="E424" s="29"/>
      <c r="F424" s="29">
        <v>0</v>
      </c>
      <c r="G424" s="29">
        <v>0</v>
      </c>
      <c r="H424" s="29">
        <v>0</v>
      </c>
      <c r="I424" s="29">
        <v>0</v>
      </c>
      <c r="J424" s="29">
        <v>0</v>
      </c>
      <c r="K424" s="29" t="s">
        <v>882</v>
      </c>
      <c r="L424" s="19" t="str">
        <f t="shared" si="48"/>
        <v>Рихтовка</v>
      </c>
      <c r="M424" s="12">
        <f t="shared" si="49"/>
        <v>0</v>
      </c>
      <c r="N424" s="12">
        <f t="shared" si="50"/>
        <v>0</v>
      </c>
      <c r="O424" s="12">
        <f t="shared" si="51"/>
        <v>0</v>
      </c>
      <c r="P424" s="12">
        <f t="shared" si="52"/>
        <v>0</v>
      </c>
      <c r="Q424" s="12">
        <f t="shared" si="53"/>
        <v>0</v>
      </c>
      <c r="R424" s="12">
        <f t="shared" si="54"/>
        <v>0</v>
      </c>
      <c r="S424" s="12">
        <f t="shared" si="55"/>
        <v>0</v>
      </c>
      <c r="T424" s="29">
        <v>0</v>
      </c>
      <c r="U424" s="29">
        <v>0</v>
      </c>
      <c r="V424" s="29">
        <v>0</v>
      </c>
      <c r="W424" s="29">
        <v>0</v>
      </c>
      <c r="X424" s="29">
        <v>0</v>
      </c>
      <c r="Y424" s="29">
        <v>0</v>
      </c>
      <c r="Z424" s="29">
        <v>0</v>
      </c>
      <c r="AA424" s="29">
        <v>0</v>
      </c>
      <c r="AB424" s="29">
        <v>0</v>
      </c>
      <c r="AC424" s="29">
        <v>0</v>
      </c>
      <c r="AD424" s="29">
        <v>0</v>
      </c>
      <c r="AE424" s="29">
        <v>0</v>
      </c>
      <c r="AF424" s="29">
        <v>0</v>
      </c>
      <c r="AG424" s="29">
        <v>0</v>
      </c>
      <c r="AH424" s="29">
        <v>0</v>
      </c>
      <c r="AI424" s="29">
        <v>0</v>
      </c>
      <c r="AJ424" s="29">
        <v>0</v>
      </c>
      <c r="AK424" s="29">
        <v>0</v>
      </c>
      <c r="AL424" s="29">
        <v>0</v>
      </c>
      <c r="AM424" s="29">
        <v>0</v>
      </c>
      <c r="AN424" s="29">
        <v>0</v>
      </c>
      <c r="AO424" s="29">
        <v>0</v>
      </c>
      <c r="AP424" s="29">
        <v>0</v>
      </c>
    </row>
    <row r="425" spans="1:42" x14ac:dyDescent="0.25">
      <c r="A425" s="29">
        <v>8</v>
      </c>
      <c r="B425" s="29">
        <v>13809</v>
      </c>
      <c r="C425" s="29">
        <v>2</v>
      </c>
      <c r="D425" s="29" t="s">
        <v>771</v>
      </c>
      <c r="E425" s="29"/>
      <c r="F425" s="29">
        <v>0</v>
      </c>
      <c r="G425" s="29">
        <v>0</v>
      </c>
      <c r="H425" s="29">
        <v>0</v>
      </c>
      <c r="I425" s="29">
        <v>0</v>
      </c>
      <c r="J425" s="29">
        <v>0</v>
      </c>
      <c r="K425" s="29" t="s">
        <v>882</v>
      </c>
      <c r="L425" s="19" t="str">
        <f t="shared" si="48"/>
        <v>Рихтовка</v>
      </c>
      <c r="M425" s="12">
        <f t="shared" si="49"/>
        <v>0</v>
      </c>
      <c r="N425" s="12">
        <f t="shared" si="50"/>
        <v>0</v>
      </c>
      <c r="O425" s="12">
        <f t="shared" si="51"/>
        <v>0</v>
      </c>
      <c r="P425" s="12">
        <f t="shared" si="52"/>
        <v>0</v>
      </c>
      <c r="Q425" s="12">
        <f t="shared" si="53"/>
        <v>0</v>
      </c>
      <c r="R425" s="12">
        <f t="shared" si="54"/>
        <v>0</v>
      </c>
      <c r="S425" s="12">
        <f t="shared" si="55"/>
        <v>0</v>
      </c>
      <c r="T425" s="29">
        <v>0</v>
      </c>
      <c r="U425" s="29">
        <v>0</v>
      </c>
      <c r="V425" s="29">
        <v>0</v>
      </c>
      <c r="W425" s="29">
        <v>0</v>
      </c>
      <c r="X425" s="29">
        <v>0</v>
      </c>
      <c r="Y425" s="29">
        <v>0</v>
      </c>
      <c r="Z425" s="29">
        <v>0</v>
      </c>
      <c r="AA425" s="29">
        <v>0</v>
      </c>
      <c r="AB425" s="29">
        <v>0</v>
      </c>
      <c r="AC425" s="29">
        <v>0</v>
      </c>
      <c r="AD425" s="29">
        <v>0</v>
      </c>
      <c r="AE425" s="29">
        <v>0</v>
      </c>
      <c r="AF425" s="29">
        <v>0</v>
      </c>
      <c r="AG425" s="29">
        <v>0</v>
      </c>
      <c r="AH425" s="29">
        <v>0</v>
      </c>
      <c r="AI425" s="29">
        <v>0</v>
      </c>
      <c r="AJ425" s="29">
        <v>0</v>
      </c>
      <c r="AK425" s="29">
        <v>0</v>
      </c>
      <c r="AL425" s="29">
        <v>0</v>
      </c>
      <c r="AM425" s="29">
        <v>0</v>
      </c>
      <c r="AN425" s="29">
        <v>0</v>
      </c>
      <c r="AO425" s="29">
        <v>0</v>
      </c>
      <c r="AP425" s="29">
        <v>0</v>
      </c>
    </row>
    <row r="426" spans="1:42" x14ac:dyDescent="0.25">
      <c r="A426" s="29">
        <v>8</v>
      </c>
      <c r="B426" s="29">
        <v>13809</v>
      </c>
      <c r="C426" s="29">
        <v>2</v>
      </c>
      <c r="D426" s="29" t="s">
        <v>956</v>
      </c>
      <c r="E426" s="29"/>
      <c r="F426" s="29">
        <v>0</v>
      </c>
      <c r="G426" s="29">
        <v>0</v>
      </c>
      <c r="H426" s="29">
        <v>0</v>
      </c>
      <c r="I426" s="29">
        <v>0</v>
      </c>
      <c r="J426" s="29">
        <v>0</v>
      </c>
      <c r="K426" s="29" t="s">
        <v>882</v>
      </c>
      <c r="L426" s="19" t="str">
        <f t="shared" si="48"/>
        <v>Рихтовка</v>
      </c>
      <c r="M426" s="12">
        <f t="shared" si="49"/>
        <v>0</v>
      </c>
      <c r="N426" s="12">
        <f t="shared" si="50"/>
        <v>0</v>
      </c>
      <c r="O426" s="12">
        <f t="shared" si="51"/>
        <v>0</v>
      </c>
      <c r="P426" s="12">
        <f t="shared" si="52"/>
        <v>0</v>
      </c>
      <c r="Q426" s="12">
        <f t="shared" si="53"/>
        <v>0</v>
      </c>
      <c r="R426" s="12">
        <f t="shared" si="54"/>
        <v>0</v>
      </c>
      <c r="S426" s="12">
        <f t="shared" si="55"/>
        <v>0</v>
      </c>
      <c r="T426" s="29">
        <v>0</v>
      </c>
      <c r="U426" s="29">
        <v>0</v>
      </c>
      <c r="V426" s="29">
        <v>0</v>
      </c>
      <c r="W426" s="29">
        <v>0</v>
      </c>
      <c r="X426" s="29">
        <v>0</v>
      </c>
      <c r="Y426" s="29">
        <v>0</v>
      </c>
      <c r="Z426" s="29">
        <v>0</v>
      </c>
      <c r="AA426" s="29">
        <v>0</v>
      </c>
      <c r="AB426" s="29">
        <v>0</v>
      </c>
      <c r="AC426" s="29">
        <v>0</v>
      </c>
      <c r="AD426" s="29">
        <v>0</v>
      </c>
      <c r="AE426" s="29">
        <v>0</v>
      </c>
      <c r="AF426" s="29">
        <v>0</v>
      </c>
      <c r="AG426" s="29">
        <v>0</v>
      </c>
      <c r="AH426" s="29">
        <v>0</v>
      </c>
      <c r="AI426" s="29">
        <v>0</v>
      </c>
      <c r="AJ426" s="29">
        <v>0</v>
      </c>
      <c r="AK426" s="29">
        <v>0</v>
      </c>
      <c r="AL426" s="29">
        <v>0</v>
      </c>
      <c r="AM426" s="29">
        <v>0</v>
      </c>
      <c r="AN426" s="29">
        <v>0</v>
      </c>
      <c r="AO426" s="29">
        <v>0</v>
      </c>
      <c r="AP426" s="29">
        <v>0</v>
      </c>
    </row>
    <row r="427" spans="1:42" x14ac:dyDescent="0.25">
      <c r="A427" s="29">
        <v>8</v>
      </c>
      <c r="B427" s="29">
        <v>13809</v>
      </c>
      <c r="C427" s="29">
        <v>2</v>
      </c>
      <c r="D427" s="29" t="s">
        <v>772</v>
      </c>
      <c r="E427" s="29"/>
      <c r="F427" s="29">
        <v>0</v>
      </c>
      <c r="G427" s="29">
        <v>0</v>
      </c>
      <c r="H427" s="29">
        <v>0</v>
      </c>
      <c r="I427" s="29">
        <v>0</v>
      </c>
      <c r="J427" s="29">
        <v>0</v>
      </c>
      <c r="K427" s="29" t="s">
        <v>882</v>
      </c>
      <c r="L427" s="19" t="str">
        <f t="shared" si="48"/>
        <v>Рихтовка</v>
      </c>
      <c r="M427" s="12">
        <f t="shared" si="49"/>
        <v>0</v>
      </c>
      <c r="N427" s="12">
        <f t="shared" si="50"/>
        <v>0</v>
      </c>
      <c r="O427" s="12">
        <f t="shared" si="51"/>
        <v>0</v>
      </c>
      <c r="P427" s="12">
        <f t="shared" si="52"/>
        <v>0</v>
      </c>
      <c r="Q427" s="12">
        <f t="shared" si="53"/>
        <v>0</v>
      </c>
      <c r="R427" s="12">
        <f t="shared" si="54"/>
        <v>0</v>
      </c>
      <c r="S427" s="12">
        <f t="shared" si="55"/>
        <v>0</v>
      </c>
      <c r="T427" s="29">
        <v>0</v>
      </c>
      <c r="U427" s="29">
        <v>0</v>
      </c>
      <c r="V427" s="29">
        <v>0</v>
      </c>
      <c r="W427" s="29">
        <v>0</v>
      </c>
      <c r="X427" s="29">
        <v>0</v>
      </c>
      <c r="Y427" s="29">
        <v>0</v>
      </c>
      <c r="Z427" s="29">
        <v>0</v>
      </c>
      <c r="AA427" s="29">
        <v>0</v>
      </c>
      <c r="AB427" s="29">
        <v>0</v>
      </c>
      <c r="AC427" s="29">
        <v>0</v>
      </c>
      <c r="AD427" s="29">
        <v>0</v>
      </c>
      <c r="AE427" s="29">
        <v>0</v>
      </c>
      <c r="AF427" s="29">
        <v>0</v>
      </c>
      <c r="AG427" s="29">
        <v>0</v>
      </c>
      <c r="AH427" s="29">
        <v>0</v>
      </c>
      <c r="AI427" s="29">
        <v>0</v>
      </c>
      <c r="AJ427" s="29">
        <v>0</v>
      </c>
      <c r="AK427" s="29">
        <v>0</v>
      </c>
      <c r="AL427" s="29">
        <v>0</v>
      </c>
      <c r="AM427" s="29">
        <v>0</v>
      </c>
      <c r="AN427" s="29">
        <v>0</v>
      </c>
      <c r="AO427" s="29">
        <v>0</v>
      </c>
      <c r="AP427" s="29">
        <v>0</v>
      </c>
    </row>
    <row r="428" spans="1:42" x14ac:dyDescent="0.25">
      <c r="A428" s="29">
        <v>8</v>
      </c>
      <c r="B428" s="29">
        <v>13809</v>
      </c>
      <c r="C428" s="29">
        <v>2</v>
      </c>
      <c r="D428" s="29" t="s">
        <v>774</v>
      </c>
      <c r="E428" s="29"/>
      <c r="F428" s="29">
        <v>0</v>
      </c>
      <c r="G428" s="29">
        <v>0</v>
      </c>
      <c r="H428" s="29">
        <v>0</v>
      </c>
      <c r="I428" s="29">
        <v>0</v>
      </c>
      <c r="J428" s="29">
        <v>0</v>
      </c>
      <c r="K428" s="29" t="s">
        <v>882</v>
      </c>
      <c r="L428" s="19" t="str">
        <f t="shared" si="48"/>
        <v>Рихтовка</v>
      </c>
      <c r="M428" s="12">
        <f t="shared" si="49"/>
        <v>0</v>
      </c>
      <c r="N428" s="12">
        <f t="shared" si="50"/>
        <v>0</v>
      </c>
      <c r="O428" s="12">
        <f t="shared" si="51"/>
        <v>0</v>
      </c>
      <c r="P428" s="12">
        <f t="shared" si="52"/>
        <v>0</v>
      </c>
      <c r="Q428" s="12">
        <f t="shared" si="53"/>
        <v>0</v>
      </c>
      <c r="R428" s="12">
        <f t="shared" si="54"/>
        <v>0</v>
      </c>
      <c r="S428" s="12">
        <f t="shared" si="55"/>
        <v>0</v>
      </c>
      <c r="T428" s="29">
        <v>0</v>
      </c>
      <c r="U428" s="29">
        <v>0</v>
      </c>
      <c r="V428" s="29">
        <v>0</v>
      </c>
      <c r="W428" s="29">
        <v>0</v>
      </c>
      <c r="X428" s="29">
        <v>0</v>
      </c>
      <c r="Y428" s="29">
        <v>0</v>
      </c>
      <c r="Z428" s="29">
        <v>0</v>
      </c>
      <c r="AA428" s="29">
        <v>0</v>
      </c>
      <c r="AB428" s="29">
        <v>0</v>
      </c>
      <c r="AC428" s="29">
        <v>0</v>
      </c>
      <c r="AD428" s="29">
        <v>0</v>
      </c>
      <c r="AE428" s="29">
        <v>0</v>
      </c>
      <c r="AF428" s="29">
        <v>0</v>
      </c>
      <c r="AG428" s="29">
        <v>0</v>
      </c>
      <c r="AH428" s="29">
        <v>0</v>
      </c>
      <c r="AI428" s="29">
        <v>0</v>
      </c>
      <c r="AJ428" s="29">
        <v>0</v>
      </c>
      <c r="AK428" s="29">
        <v>0</v>
      </c>
      <c r="AL428" s="29">
        <v>0</v>
      </c>
      <c r="AM428" s="29">
        <v>0</v>
      </c>
      <c r="AN428" s="29">
        <v>0</v>
      </c>
      <c r="AO428" s="29">
        <v>0</v>
      </c>
      <c r="AP428" s="29">
        <v>0</v>
      </c>
    </row>
    <row r="429" spans="1:42" x14ac:dyDescent="0.25">
      <c r="A429" s="29">
        <v>8</v>
      </c>
      <c r="B429" s="29">
        <v>13811</v>
      </c>
      <c r="C429" s="29" t="s">
        <v>239</v>
      </c>
      <c r="D429" s="29" t="s">
        <v>775</v>
      </c>
      <c r="E429" s="29"/>
      <c r="F429" s="29">
        <v>0</v>
      </c>
      <c r="G429" s="29">
        <v>0</v>
      </c>
      <c r="H429" s="29">
        <v>0</v>
      </c>
      <c r="I429" s="29">
        <v>0</v>
      </c>
      <c r="J429" s="29">
        <v>0</v>
      </c>
      <c r="K429" s="29" t="s">
        <v>882</v>
      </c>
      <c r="L429" s="19" t="str">
        <f t="shared" si="48"/>
        <v>Рихтовка</v>
      </c>
      <c r="M429" s="12">
        <f t="shared" si="49"/>
        <v>0</v>
      </c>
      <c r="N429" s="12">
        <f t="shared" si="50"/>
        <v>0</v>
      </c>
      <c r="O429" s="12">
        <f t="shared" si="51"/>
        <v>0</v>
      </c>
      <c r="P429" s="12">
        <f t="shared" si="52"/>
        <v>0</v>
      </c>
      <c r="Q429" s="12">
        <f t="shared" si="53"/>
        <v>0</v>
      </c>
      <c r="R429" s="12">
        <f t="shared" si="54"/>
        <v>0</v>
      </c>
      <c r="S429" s="12">
        <f t="shared" si="55"/>
        <v>0</v>
      </c>
      <c r="T429" s="29">
        <v>0</v>
      </c>
      <c r="U429" s="29">
        <v>0</v>
      </c>
      <c r="V429" s="29">
        <v>0</v>
      </c>
      <c r="W429" s="29">
        <v>0</v>
      </c>
      <c r="X429" s="29">
        <v>0</v>
      </c>
      <c r="Y429" s="29">
        <v>0</v>
      </c>
      <c r="Z429" s="29">
        <v>0</v>
      </c>
      <c r="AA429" s="29">
        <v>0</v>
      </c>
      <c r="AB429" s="29">
        <v>0</v>
      </c>
      <c r="AC429" s="29">
        <v>0</v>
      </c>
      <c r="AD429" s="29">
        <v>0</v>
      </c>
      <c r="AE429" s="29">
        <v>0</v>
      </c>
      <c r="AF429" s="29">
        <v>0</v>
      </c>
      <c r="AG429" s="29">
        <v>0</v>
      </c>
      <c r="AH429" s="29">
        <v>0</v>
      </c>
      <c r="AI429" s="29">
        <v>0</v>
      </c>
      <c r="AJ429" s="29">
        <v>0</v>
      </c>
      <c r="AK429" s="29">
        <v>0</v>
      </c>
      <c r="AL429" s="29">
        <v>0</v>
      </c>
      <c r="AM429" s="29">
        <v>0</v>
      </c>
      <c r="AN429" s="29">
        <v>0</v>
      </c>
      <c r="AO429" s="29">
        <v>0</v>
      </c>
      <c r="AP429" s="29">
        <v>0</v>
      </c>
    </row>
    <row r="430" spans="1:42" x14ac:dyDescent="0.25">
      <c r="A430" s="29">
        <v>8</v>
      </c>
      <c r="B430" s="29">
        <v>13811</v>
      </c>
      <c r="C430" s="29" t="s">
        <v>239</v>
      </c>
      <c r="D430" s="29" t="s">
        <v>776</v>
      </c>
      <c r="E430" s="29"/>
      <c r="F430" s="29">
        <v>0</v>
      </c>
      <c r="G430" s="29">
        <v>0</v>
      </c>
      <c r="H430" s="29">
        <v>0</v>
      </c>
      <c r="I430" s="29">
        <v>0</v>
      </c>
      <c r="J430" s="29">
        <v>0</v>
      </c>
      <c r="K430" s="29" t="s">
        <v>882</v>
      </c>
      <c r="L430" s="19" t="str">
        <f t="shared" si="48"/>
        <v>Рихтовка</v>
      </c>
      <c r="M430" s="12">
        <f t="shared" si="49"/>
        <v>0</v>
      </c>
      <c r="N430" s="12">
        <f t="shared" si="50"/>
        <v>0</v>
      </c>
      <c r="O430" s="12">
        <f t="shared" si="51"/>
        <v>0</v>
      </c>
      <c r="P430" s="12">
        <f t="shared" si="52"/>
        <v>0</v>
      </c>
      <c r="Q430" s="12">
        <f t="shared" si="53"/>
        <v>0</v>
      </c>
      <c r="R430" s="12">
        <f t="shared" si="54"/>
        <v>0</v>
      </c>
      <c r="S430" s="12">
        <f t="shared" si="55"/>
        <v>0</v>
      </c>
      <c r="T430" s="29">
        <v>0</v>
      </c>
      <c r="U430" s="29">
        <v>0</v>
      </c>
      <c r="V430" s="29">
        <v>0</v>
      </c>
      <c r="W430" s="29">
        <v>0</v>
      </c>
      <c r="X430" s="29">
        <v>0</v>
      </c>
      <c r="Y430" s="29">
        <v>0</v>
      </c>
      <c r="Z430" s="29">
        <v>0</v>
      </c>
      <c r="AA430" s="29">
        <v>0</v>
      </c>
      <c r="AB430" s="29">
        <v>0</v>
      </c>
      <c r="AC430" s="29">
        <v>0</v>
      </c>
      <c r="AD430" s="29">
        <v>0</v>
      </c>
      <c r="AE430" s="29">
        <v>0</v>
      </c>
      <c r="AF430" s="29">
        <v>0</v>
      </c>
      <c r="AG430" s="29">
        <v>0</v>
      </c>
      <c r="AH430" s="29">
        <v>0</v>
      </c>
      <c r="AI430" s="29">
        <v>0</v>
      </c>
      <c r="AJ430" s="29">
        <v>0</v>
      </c>
      <c r="AK430" s="29">
        <v>0</v>
      </c>
      <c r="AL430" s="29">
        <v>0</v>
      </c>
      <c r="AM430" s="29">
        <v>0</v>
      </c>
      <c r="AN430" s="29">
        <v>0</v>
      </c>
      <c r="AO430" s="29">
        <v>0</v>
      </c>
      <c r="AP430" s="29">
        <v>0</v>
      </c>
    </row>
    <row r="431" spans="1:42" x14ac:dyDescent="0.25">
      <c r="A431" s="29">
        <v>8</v>
      </c>
      <c r="B431" s="29">
        <v>13809</v>
      </c>
      <c r="C431" s="29">
        <v>1</v>
      </c>
      <c r="D431" s="29" t="s">
        <v>777</v>
      </c>
      <c r="E431" s="29"/>
      <c r="F431" s="29">
        <v>0</v>
      </c>
      <c r="G431" s="29">
        <v>0</v>
      </c>
      <c r="H431" s="29">
        <v>0</v>
      </c>
      <c r="I431" s="29">
        <v>0</v>
      </c>
      <c r="J431" s="29">
        <v>0</v>
      </c>
      <c r="K431" s="29" t="s">
        <v>882</v>
      </c>
      <c r="L431" s="19" t="str">
        <f t="shared" si="48"/>
        <v>Рихтовка</v>
      </c>
      <c r="M431" s="12">
        <f t="shared" si="49"/>
        <v>0</v>
      </c>
      <c r="N431" s="12">
        <f t="shared" si="50"/>
        <v>0</v>
      </c>
      <c r="O431" s="12">
        <f t="shared" si="51"/>
        <v>0</v>
      </c>
      <c r="P431" s="12">
        <f t="shared" si="52"/>
        <v>0</v>
      </c>
      <c r="Q431" s="12">
        <f t="shared" si="53"/>
        <v>0</v>
      </c>
      <c r="R431" s="12">
        <f t="shared" si="54"/>
        <v>0</v>
      </c>
      <c r="S431" s="12">
        <f t="shared" si="55"/>
        <v>0</v>
      </c>
      <c r="T431" s="29">
        <v>0</v>
      </c>
      <c r="U431" s="29">
        <v>0</v>
      </c>
      <c r="V431" s="29">
        <v>0</v>
      </c>
      <c r="W431" s="29">
        <v>0</v>
      </c>
      <c r="X431" s="29">
        <v>0</v>
      </c>
      <c r="Y431" s="29">
        <v>0</v>
      </c>
      <c r="Z431" s="29">
        <v>0</v>
      </c>
      <c r="AA431" s="29">
        <v>0</v>
      </c>
      <c r="AB431" s="29">
        <v>0</v>
      </c>
      <c r="AC431" s="29">
        <v>0</v>
      </c>
      <c r="AD431" s="29">
        <v>0</v>
      </c>
      <c r="AE431" s="29">
        <v>0</v>
      </c>
      <c r="AF431" s="29">
        <v>0</v>
      </c>
      <c r="AG431" s="29">
        <v>0</v>
      </c>
      <c r="AH431" s="29">
        <v>0</v>
      </c>
      <c r="AI431" s="29">
        <v>0</v>
      </c>
      <c r="AJ431" s="29">
        <v>0</v>
      </c>
      <c r="AK431" s="29">
        <v>0</v>
      </c>
      <c r="AL431" s="29">
        <v>0</v>
      </c>
      <c r="AM431" s="29">
        <v>0</v>
      </c>
      <c r="AN431" s="29">
        <v>0</v>
      </c>
      <c r="AO431" s="29">
        <v>0</v>
      </c>
      <c r="AP431" s="29">
        <v>0</v>
      </c>
    </row>
    <row r="432" spans="1:42" x14ac:dyDescent="0.25">
      <c r="A432" s="29">
        <v>8</v>
      </c>
      <c r="B432" s="29">
        <v>13809</v>
      </c>
      <c r="C432" s="29">
        <v>1</v>
      </c>
      <c r="D432" s="29" t="s">
        <v>778</v>
      </c>
      <c r="E432" s="29"/>
      <c r="F432" s="29">
        <v>0</v>
      </c>
      <c r="G432" s="29">
        <v>0</v>
      </c>
      <c r="H432" s="29">
        <v>0</v>
      </c>
      <c r="I432" s="29">
        <v>0</v>
      </c>
      <c r="J432" s="29">
        <v>0</v>
      </c>
      <c r="K432" s="29" t="s">
        <v>882</v>
      </c>
      <c r="L432" s="19" t="str">
        <f t="shared" si="48"/>
        <v>Рихтовка</v>
      </c>
      <c r="M432" s="12">
        <f t="shared" si="49"/>
        <v>0</v>
      </c>
      <c r="N432" s="12">
        <f t="shared" si="50"/>
        <v>0</v>
      </c>
      <c r="O432" s="12">
        <f t="shared" si="51"/>
        <v>0</v>
      </c>
      <c r="P432" s="12">
        <f t="shared" si="52"/>
        <v>0</v>
      </c>
      <c r="Q432" s="12">
        <f t="shared" si="53"/>
        <v>0</v>
      </c>
      <c r="R432" s="12">
        <f t="shared" si="54"/>
        <v>0</v>
      </c>
      <c r="S432" s="12">
        <f t="shared" si="55"/>
        <v>0</v>
      </c>
      <c r="T432" s="29">
        <v>0</v>
      </c>
      <c r="U432" s="29">
        <v>0</v>
      </c>
      <c r="V432" s="29">
        <v>0</v>
      </c>
      <c r="W432" s="29">
        <v>0</v>
      </c>
      <c r="X432" s="29">
        <v>0</v>
      </c>
      <c r="Y432" s="29">
        <v>0</v>
      </c>
      <c r="Z432" s="29">
        <v>0</v>
      </c>
      <c r="AA432" s="29">
        <v>0</v>
      </c>
      <c r="AB432" s="29">
        <v>0</v>
      </c>
      <c r="AC432" s="29">
        <v>0</v>
      </c>
      <c r="AD432" s="29">
        <v>0</v>
      </c>
      <c r="AE432" s="29">
        <v>0</v>
      </c>
      <c r="AF432" s="29">
        <v>0</v>
      </c>
      <c r="AG432" s="29">
        <v>0</v>
      </c>
      <c r="AH432" s="29">
        <v>0</v>
      </c>
      <c r="AI432" s="29">
        <v>0</v>
      </c>
      <c r="AJ432" s="29">
        <v>0</v>
      </c>
      <c r="AK432" s="29">
        <v>0</v>
      </c>
      <c r="AL432" s="29">
        <v>0</v>
      </c>
      <c r="AM432" s="29">
        <v>0</v>
      </c>
      <c r="AN432" s="29">
        <v>0</v>
      </c>
      <c r="AO432" s="29">
        <v>0</v>
      </c>
      <c r="AP432" s="29">
        <v>0</v>
      </c>
    </row>
    <row r="433" spans="1:42" x14ac:dyDescent="0.25">
      <c r="A433" s="29">
        <v>8</v>
      </c>
      <c r="B433" s="29">
        <v>13809</v>
      </c>
      <c r="C433" s="29">
        <v>1</v>
      </c>
      <c r="D433" s="29" t="s">
        <v>779</v>
      </c>
      <c r="E433" s="29"/>
      <c r="F433" s="29">
        <v>0</v>
      </c>
      <c r="G433" s="29">
        <v>0</v>
      </c>
      <c r="H433" s="29">
        <v>0</v>
      </c>
      <c r="I433" s="29">
        <v>0</v>
      </c>
      <c r="J433" s="29">
        <v>0</v>
      </c>
      <c r="K433" s="29" t="s">
        <v>882</v>
      </c>
      <c r="L433" s="19" t="str">
        <f t="shared" si="48"/>
        <v>Рихтовка</v>
      </c>
      <c r="M433" s="12">
        <f t="shared" si="49"/>
        <v>0</v>
      </c>
      <c r="N433" s="12">
        <f t="shared" si="50"/>
        <v>0</v>
      </c>
      <c r="O433" s="12">
        <f t="shared" si="51"/>
        <v>0</v>
      </c>
      <c r="P433" s="12">
        <f t="shared" si="52"/>
        <v>0</v>
      </c>
      <c r="Q433" s="12">
        <f t="shared" si="53"/>
        <v>0</v>
      </c>
      <c r="R433" s="12">
        <f t="shared" si="54"/>
        <v>0</v>
      </c>
      <c r="S433" s="12">
        <f t="shared" si="55"/>
        <v>0</v>
      </c>
      <c r="T433" s="29">
        <v>0</v>
      </c>
      <c r="U433" s="29">
        <v>0</v>
      </c>
      <c r="V433" s="29">
        <v>0</v>
      </c>
      <c r="W433" s="29">
        <v>0</v>
      </c>
      <c r="X433" s="29">
        <v>0</v>
      </c>
      <c r="Y433" s="29">
        <v>0</v>
      </c>
      <c r="Z433" s="29">
        <v>0</v>
      </c>
      <c r="AA433" s="29">
        <v>0</v>
      </c>
      <c r="AB433" s="29">
        <v>0</v>
      </c>
      <c r="AC433" s="29">
        <v>0</v>
      </c>
      <c r="AD433" s="29">
        <v>0</v>
      </c>
      <c r="AE433" s="29">
        <v>0</v>
      </c>
      <c r="AF433" s="29">
        <v>0</v>
      </c>
      <c r="AG433" s="29">
        <v>0</v>
      </c>
      <c r="AH433" s="29">
        <v>0</v>
      </c>
      <c r="AI433" s="29">
        <v>0</v>
      </c>
      <c r="AJ433" s="29">
        <v>0</v>
      </c>
      <c r="AK433" s="29">
        <v>0</v>
      </c>
      <c r="AL433" s="29">
        <v>0</v>
      </c>
      <c r="AM433" s="29">
        <v>0</v>
      </c>
      <c r="AN433" s="29">
        <v>0</v>
      </c>
      <c r="AO433" s="29">
        <v>0</v>
      </c>
      <c r="AP433" s="29">
        <v>0</v>
      </c>
    </row>
    <row r="434" spans="1:42" x14ac:dyDescent="0.25">
      <c r="A434" s="29">
        <v>8</v>
      </c>
      <c r="B434" s="29">
        <v>13809</v>
      </c>
      <c r="C434" s="29">
        <v>1</v>
      </c>
      <c r="D434" s="29" t="s">
        <v>780</v>
      </c>
      <c r="E434" s="29"/>
      <c r="F434" s="29">
        <v>0</v>
      </c>
      <c r="G434" s="29">
        <v>0</v>
      </c>
      <c r="H434" s="29">
        <v>0</v>
      </c>
      <c r="I434" s="29">
        <v>0</v>
      </c>
      <c r="J434" s="29">
        <v>0</v>
      </c>
      <c r="K434" s="29" t="s">
        <v>882</v>
      </c>
      <c r="L434" s="19" t="str">
        <f t="shared" si="48"/>
        <v>Рихтовка</v>
      </c>
      <c r="M434" s="12">
        <f t="shared" si="49"/>
        <v>0</v>
      </c>
      <c r="N434" s="12">
        <f t="shared" si="50"/>
        <v>0</v>
      </c>
      <c r="O434" s="12">
        <f t="shared" si="51"/>
        <v>0</v>
      </c>
      <c r="P434" s="12">
        <f t="shared" si="52"/>
        <v>0</v>
      </c>
      <c r="Q434" s="12">
        <f t="shared" si="53"/>
        <v>0</v>
      </c>
      <c r="R434" s="12">
        <f t="shared" si="54"/>
        <v>0</v>
      </c>
      <c r="S434" s="12">
        <f t="shared" si="55"/>
        <v>0</v>
      </c>
      <c r="T434" s="29">
        <v>0</v>
      </c>
      <c r="U434" s="29">
        <v>0</v>
      </c>
      <c r="V434" s="29">
        <v>0</v>
      </c>
      <c r="W434" s="29">
        <v>0</v>
      </c>
      <c r="X434" s="29">
        <v>0</v>
      </c>
      <c r="Y434" s="29">
        <v>0</v>
      </c>
      <c r="Z434" s="29">
        <v>0</v>
      </c>
      <c r="AA434" s="29">
        <v>0</v>
      </c>
      <c r="AB434" s="29">
        <v>0</v>
      </c>
      <c r="AC434" s="29">
        <v>0</v>
      </c>
      <c r="AD434" s="29">
        <v>0</v>
      </c>
      <c r="AE434" s="29">
        <v>0</v>
      </c>
      <c r="AF434" s="29">
        <v>0</v>
      </c>
      <c r="AG434" s="29">
        <v>0</v>
      </c>
      <c r="AH434" s="29">
        <v>0</v>
      </c>
      <c r="AI434" s="29">
        <v>0</v>
      </c>
      <c r="AJ434" s="29">
        <v>0</v>
      </c>
      <c r="AK434" s="29">
        <v>0</v>
      </c>
      <c r="AL434" s="29">
        <v>0</v>
      </c>
      <c r="AM434" s="29">
        <v>0</v>
      </c>
      <c r="AN434" s="29">
        <v>0</v>
      </c>
      <c r="AO434" s="29">
        <v>0</v>
      </c>
      <c r="AP434" s="29">
        <v>0</v>
      </c>
    </row>
    <row r="435" spans="1:42" x14ac:dyDescent="0.25">
      <c r="A435" s="29">
        <v>8</v>
      </c>
      <c r="B435" s="29">
        <v>13809</v>
      </c>
      <c r="C435" s="29">
        <v>1</v>
      </c>
      <c r="D435" s="29" t="s">
        <v>781</v>
      </c>
      <c r="E435" s="29"/>
      <c r="F435" s="29">
        <v>0</v>
      </c>
      <c r="G435" s="29">
        <v>0</v>
      </c>
      <c r="H435" s="29">
        <v>0</v>
      </c>
      <c r="I435" s="29">
        <v>0</v>
      </c>
      <c r="J435" s="29">
        <v>0</v>
      </c>
      <c r="K435" s="29" t="s">
        <v>882</v>
      </c>
      <c r="L435" s="19" t="str">
        <f t="shared" si="48"/>
        <v>Рихтовка</v>
      </c>
      <c r="M435" s="12">
        <f t="shared" si="49"/>
        <v>0</v>
      </c>
      <c r="N435" s="12">
        <f t="shared" si="50"/>
        <v>0</v>
      </c>
      <c r="O435" s="12">
        <f t="shared" si="51"/>
        <v>0</v>
      </c>
      <c r="P435" s="12">
        <f t="shared" si="52"/>
        <v>0</v>
      </c>
      <c r="Q435" s="12">
        <f t="shared" si="53"/>
        <v>0</v>
      </c>
      <c r="R435" s="12">
        <f t="shared" si="54"/>
        <v>0</v>
      </c>
      <c r="S435" s="12">
        <f t="shared" si="55"/>
        <v>0</v>
      </c>
      <c r="T435" s="29">
        <v>0</v>
      </c>
      <c r="U435" s="29">
        <v>0</v>
      </c>
      <c r="V435" s="29">
        <v>0</v>
      </c>
      <c r="W435" s="29">
        <v>0</v>
      </c>
      <c r="X435" s="29">
        <v>0</v>
      </c>
      <c r="Y435" s="29">
        <v>0</v>
      </c>
      <c r="Z435" s="29">
        <v>0</v>
      </c>
      <c r="AA435" s="29">
        <v>0</v>
      </c>
      <c r="AB435" s="29">
        <v>0</v>
      </c>
      <c r="AC435" s="29">
        <v>0</v>
      </c>
      <c r="AD435" s="29">
        <v>0</v>
      </c>
      <c r="AE435" s="29">
        <v>0</v>
      </c>
      <c r="AF435" s="29">
        <v>0</v>
      </c>
      <c r="AG435" s="29">
        <v>0</v>
      </c>
      <c r="AH435" s="29">
        <v>0</v>
      </c>
      <c r="AI435" s="29">
        <v>0</v>
      </c>
      <c r="AJ435" s="29">
        <v>0</v>
      </c>
      <c r="AK435" s="29">
        <v>0</v>
      </c>
      <c r="AL435" s="29">
        <v>0</v>
      </c>
      <c r="AM435" s="29">
        <v>0</v>
      </c>
      <c r="AN435" s="29">
        <v>0</v>
      </c>
      <c r="AO435" s="29">
        <v>0</v>
      </c>
      <c r="AP435" s="29">
        <v>0</v>
      </c>
    </row>
    <row r="436" spans="1:42" x14ac:dyDescent="0.25">
      <c r="A436" s="29">
        <v>8</v>
      </c>
      <c r="B436" s="29">
        <v>13809</v>
      </c>
      <c r="C436" s="29">
        <v>1</v>
      </c>
      <c r="D436" s="29" t="s">
        <v>782</v>
      </c>
      <c r="E436" s="29"/>
      <c r="F436" s="29">
        <v>0</v>
      </c>
      <c r="G436" s="29">
        <v>0</v>
      </c>
      <c r="H436" s="29">
        <v>0</v>
      </c>
      <c r="I436" s="29">
        <v>0</v>
      </c>
      <c r="J436" s="29">
        <v>0</v>
      </c>
      <c r="K436" s="29" t="s">
        <v>882</v>
      </c>
      <c r="L436" s="19" t="str">
        <f t="shared" si="48"/>
        <v>Рихтовка</v>
      </c>
      <c r="M436" s="12">
        <f t="shared" si="49"/>
        <v>0</v>
      </c>
      <c r="N436" s="12">
        <f t="shared" si="50"/>
        <v>0</v>
      </c>
      <c r="O436" s="12">
        <f t="shared" si="51"/>
        <v>0</v>
      </c>
      <c r="P436" s="12">
        <f t="shared" si="52"/>
        <v>0</v>
      </c>
      <c r="Q436" s="12">
        <f t="shared" si="53"/>
        <v>0</v>
      </c>
      <c r="R436" s="12">
        <f t="shared" si="54"/>
        <v>0</v>
      </c>
      <c r="S436" s="12">
        <f t="shared" si="55"/>
        <v>0</v>
      </c>
      <c r="T436" s="29">
        <v>0</v>
      </c>
      <c r="U436" s="29">
        <v>0</v>
      </c>
      <c r="V436" s="29">
        <v>0</v>
      </c>
      <c r="W436" s="29">
        <v>0</v>
      </c>
      <c r="X436" s="29">
        <v>0</v>
      </c>
      <c r="Y436" s="29">
        <v>0</v>
      </c>
      <c r="Z436" s="29">
        <v>0</v>
      </c>
      <c r="AA436" s="29">
        <v>0</v>
      </c>
      <c r="AB436" s="29">
        <v>0</v>
      </c>
      <c r="AC436" s="29">
        <v>0</v>
      </c>
      <c r="AD436" s="29">
        <v>0</v>
      </c>
      <c r="AE436" s="29">
        <v>0</v>
      </c>
      <c r="AF436" s="29">
        <v>0</v>
      </c>
      <c r="AG436" s="29">
        <v>0</v>
      </c>
      <c r="AH436" s="29">
        <v>0</v>
      </c>
      <c r="AI436" s="29">
        <v>0</v>
      </c>
      <c r="AJ436" s="29">
        <v>0</v>
      </c>
      <c r="AK436" s="29">
        <v>0</v>
      </c>
      <c r="AL436" s="29">
        <v>0</v>
      </c>
      <c r="AM436" s="29">
        <v>0</v>
      </c>
      <c r="AN436" s="29">
        <v>0</v>
      </c>
      <c r="AO436" s="29">
        <v>0</v>
      </c>
      <c r="AP436" s="29">
        <v>0</v>
      </c>
    </row>
    <row r="437" spans="1:42" x14ac:dyDescent="0.25">
      <c r="A437" s="29">
        <v>8</v>
      </c>
      <c r="B437" s="29">
        <v>13809</v>
      </c>
      <c r="C437" s="29">
        <v>2</v>
      </c>
      <c r="D437" s="29" t="s">
        <v>777</v>
      </c>
      <c r="E437" s="29"/>
      <c r="F437" s="29">
        <v>0</v>
      </c>
      <c r="G437" s="29">
        <v>0</v>
      </c>
      <c r="H437" s="29">
        <v>0</v>
      </c>
      <c r="I437" s="29">
        <v>0</v>
      </c>
      <c r="J437" s="29">
        <v>0</v>
      </c>
      <c r="K437" s="29" t="s">
        <v>882</v>
      </c>
      <c r="L437" s="19" t="str">
        <f t="shared" si="48"/>
        <v>Рихтовка</v>
      </c>
      <c r="M437" s="12">
        <f t="shared" si="49"/>
        <v>0</v>
      </c>
      <c r="N437" s="12">
        <f t="shared" si="50"/>
        <v>0</v>
      </c>
      <c r="O437" s="12">
        <f t="shared" si="51"/>
        <v>0</v>
      </c>
      <c r="P437" s="12">
        <f t="shared" si="52"/>
        <v>0</v>
      </c>
      <c r="Q437" s="12">
        <f t="shared" si="53"/>
        <v>0</v>
      </c>
      <c r="R437" s="12">
        <f t="shared" si="54"/>
        <v>0</v>
      </c>
      <c r="S437" s="12">
        <f t="shared" si="55"/>
        <v>0</v>
      </c>
      <c r="T437" s="29">
        <v>0</v>
      </c>
      <c r="U437" s="29">
        <v>0</v>
      </c>
      <c r="V437" s="29">
        <v>0</v>
      </c>
      <c r="W437" s="29">
        <v>0</v>
      </c>
      <c r="X437" s="29">
        <v>0</v>
      </c>
      <c r="Y437" s="29">
        <v>0</v>
      </c>
      <c r="Z437" s="29">
        <v>0</v>
      </c>
      <c r="AA437" s="29">
        <v>0</v>
      </c>
      <c r="AB437" s="29">
        <v>0</v>
      </c>
      <c r="AC437" s="29">
        <v>0</v>
      </c>
      <c r="AD437" s="29">
        <v>0</v>
      </c>
      <c r="AE437" s="29">
        <v>0</v>
      </c>
      <c r="AF437" s="29">
        <v>0</v>
      </c>
      <c r="AG437" s="29">
        <v>0</v>
      </c>
      <c r="AH437" s="29">
        <v>0</v>
      </c>
      <c r="AI437" s="29">
        <v>0</v>
      </c>
      <c r="AJ437" s="29">
        <v>0</v>
      </c>
      <c r="AK437" s="29">
        <v>0</v>
      </c>
      <c r="AL437" s="29">
        <v>0</v>
      </c>
      <c r="AM437" s="29">
        <v>0</v>
      </c>
      <c r="AN437" s="29">
        <v>0</v>
      </c>
      <c r="AO437" s="29">
        <v>0</v>
      </c>
      <c r="AP437" s="29">
        <v>0</v>
      </c>
    </row>
    <row r="438" spans="1:42" x14ac:dyDescent="0.25">
      <c r="A438" s="29">
        <v>8</v>
      </c>
      <c r="B438" s="29">
        <v>13809</v>
      </c>
      <c r="C438" s="29">
        <v>2</v>
      </c>
      <c r="D438" s="29" t="s">
        <v>778</v>
      </c>
      <c r="E438" s="29"/>
      <c r="F438" s="29">
        <v>0</v>
      </c>
      <c r="G438" s="29">
        <v>0</v>
      </c>
      <c r="H438" s="29">
        <v>0</v>
      </c>
      <c r="I438" s="29">
        <v>0</v>
      </c>
      <c r="J438" s="29">
        <v>0</v>
      </c>
      <c r="K438" s="29" t="s">
        <v>882</v>
      </c>
      <c r="L438" s="19" t="str">
        <f t="shared" si="48"/>
        <v>Рихтовка</v>
      </c>
      <c r="M438" s="12">
        <f t="shared" si="49"/>
        <v>0</v>
      </c>
      <c r="N438" s="12">
        <f t="shared" si="50"/>
        <v>0</v>
      </c>
      <c r="O438" s="12">
        <f t="shared" si="51"/>
        <v>0</v>
      </c>
      <c r="P438" s="12">
        <f t="shared" si="52"/>
        <v>0</v>
      </c>
      <c r="Q438" s="12">
        <f t="shared" si="53"/>
        <v>0</v>
      </c>
      <c r="R438" s="12">
        <f t="shared" si="54"/>
        <v>0</v>
      </c>
      <c r="S438" s="12">
        <f t="shared" si="55"/>
        <v>0</v>
      </c>
      <c r="T438" s="29">
        <v>0</v>
      </c>
      <c r="U438" s="29">
        <v>0</v>
      </c>
      <c r="V438" s="29">
        <v>0</v>
      </c>
      <c r="W438" s="29">
        <v>0</v>
      </c>
      <c r="X438" s="29">
        <v>0</v>
      </c>
      <c r="Y438" s="29">
        <v>0</v>
      </c>
      <c r="Z438" s="29">
        <v>0</v>
      </c>
      <c r="AA438" s="29">
        <v>0</v>
      </c>
      <c r="AB438" s="29">
        <v>0</v>
      </c>
      <c r="AC438" s="29">
        <v>0</v>
      </c>
      <c r="AD438" s="29">
        <v>0</v>
      </c>
      <c r="AE438" s="29">
        <v>0</v>
      </c>
      <c r="AF438" s="29">
        <v>0</v>
      </c>
      <c r="AG438" s="29">
        <v>0</v>
      </c>
      <c r="AH438" s="29">
        <v>0</v>
      </c>
      <c r="AI438" s="29">
        <v>0</v>
      </c>
      <c r="AJ438" s="29">
        <v>0</v>
      </c>
      <c r="AK438" s="29">
        <v>0</v>
      </c>
      <c r="AL438" s="29">
        <v>0</v>
      </c>
      <c r="AM438" s="29">
        <v>0</v>
      </c>
      <c r="AN438" s="29">
        <v>0</v>
      </c>
      <c r="AO438" s="29">
        <v>0</v>
      </c>
      <c r="AP438" s="29">
        <v>0</v>
      </c>
    </row>
    <row r="439" spans="1:42" x14ac:dyDescent="0.25">
      <c r="A439" s="29">
        <v>8</v>
      </c>
      <c r="B439" s="29">
        <v>13809</v>
      </c>
      <c r="C439" s="29">
        <v>2</v>
      </c>
      <c r="D439" s="29" t="s">
        <v>779</v>
      </c>
      <c r="E439" s="29"/>
      <c r="F439" s="29">
        <v>0</v>
      </c>
      <c r="G439" s="29">
        <v>0</v>
      </c>
      <c r="H439" s="29">
        <v>0</v>
      </c>
      <c r="I439" s="29">
        <v>0</v>
      </c>
      <c r="J439" s="29">
        <v>0</v>
      </c>
      <c r="K439" s="29" t="s">
        <v>882</v>
      </c>
      <c r="L439" s="19" t="str">
        <f t="shared" si="48"/>
        <v>Рихтовка</v>
      </c>
      <c r="M439" s="12">
        <f t="shared" si="49"/>
        <v>0</v>
      </c>
      <c r="N439" s="12">
        <f t="shared" si="50"/>
        <v>0</v>
      </c>
      <c r="O439" s="12">
        <f t="shared" si="51"/>
        <v>0</v>
      </c>
      <c r="P439" s="12">
        <f t="shared" si="52"/>
        <v>0</v>
      </c>
      <c r="Q439" s="12">
        <f t="shared" si="53"/>
        <v>0</v>
      </c>
      <c r="R439" s="12">
        <f t="shared" si="54"/>
        <v>0</v>
      </c>
      <c r="S439" s="12">
        <f t="shared" si="55"/>
        <v>0</v>
      </c>
      <c r="T439" s="29">
        <v>0</v>
      </c>
      <c r="U439" s="29">
        <v>0</v>
      </c>
      <c r="V439" s="29">
        <v>0</v>
      </c>
      <c r="W439" s="29">
        <v>0</v>
      </c>
      <c r="X439" s="29">
        <v>0</v>
      </c>
      <c r="Y439" s="29">
        <v>0</v>
      </c>
      <c r="Z439" s="29">
        <v>0</v>
      </c>
      <c r="AA439" s="29">
        <v>0</v>
      </c>
      <c r="AB439" s="29">
        <v>0</v>
      </c>
      <c r="AC439" s="29">
        <v>0</v>
      </c>
      <c r="AD439" s="29">
        <v>0</v>
      </c>
      <c r="AE439" s="29">
        <v>0</v>
      </c>
      <c r="AF439" s="29">
        <v>0</v>
      </c>
      <c r="AG439" s="29">
        <v>0</v>
      </c>
      <c r="AH439" s="29">
        <v>0</v>
      </c>
      <c r="AI439" s="29">
        <v>0</v>
      </c>
      <c r="AJ439" s="29">
        <v>0</v>
      </c>
      <c r="AK439" s="29">
        <v>0</v>
      </c>
      <c r="AL439" s="29">
        <v>0</v>
      </c>
      <c r="AM439" s="29">
        <v>0</v>
      </c>
      <c r="AN439" s="29">
        <v>0</v>
      </c>
      <c r="AO439" s="29">
        <v>0</v>
      </c>
      <c r="AP439" s="29">
        <v>0</v>
      </c>
    </row>
    <row r="440" spans="1:42" x14ac:dyDescent="0.25">
      <c r="A440" s="29">
        <v>8</v>
      </c>
      <c r="B440" s="29">
        <v>13809</v>
      </c>
      <c r="C440" s="29">
        <v>2</v>
      </c>
      <c r="D440" s="29" t="s">
        <v>780</v>
      </c>
      <c r="E440" s="29"/>
      <c r="F440" s="29">
        <v>0</v>
      </c>
      <c r="G440" s="29">
        <v>0</v>
      </c>
      <c r="H440" s="29">
        <v>0</v>
      </c>
      <c r="I440" s="29">
        <v>0</v>
      </c>
      <c r="J440" s="29">
        <v>0</v>
      </c>
      <c r="K440" s="29" t="s">
        <v>882</v>
      </c>
      <c r="L440" s="19" t="str">
        <f t="shared" si="48"/>
        <v>Рихтовка</v>
      </c>
      <c r="M440" s="12">
        <f t="shared" si="49"/>
        <v>0</v>
      </c>
      <c r="N440" s="12">
        <f t="shared" si="50"/>
        <v>0</v>
      </c>
      <c r="O440" s="12">
        <f t="shared" si="51"/>
        <v>0</v>
      </c>
      <c r="P440" s="12">
        <f t="shared" si="52"/>
        <v>0</v>
      </c>
      <c r="Q440" s="12">
        <f t="shared" si="53"/>
        <v>0</v>
      </c>
      <c r="R440" s="12">
        <f t="shared" si="54"/>
        <v>0</v>
      </c>
      <c r="S440" s="12">
        <f t="shared" si="55"/>
        <v>0</v>
      </c>
      <c r="T440" s="29">
        <v>0</v>
      </c>
      <c r="U440" s="29">
        <v>0</v>
      </c>
      <c r="V440" s="29">
        <v>0</v>
      </c>
      <c r="W440" s="29">
        <v>0</v>
      </c>
      <c r="X440" s="29">
        <v>0</v>
      </c>
      <c r="Y440" s="29">
        <v>0</v>
      </c>
      <c r="Z440" s="29">
        <v>0</v>
      </c>
      <c r="AA440" s="29">
        <v>0</v>
      </c>
      <c r="AB440" s="29">
        <v>0</v>
      </c>
      <c r="AC440" s="29">
        <v>0</v>
      </c>
      <c r="AD440" s="29">
        <v>0</v>
      </c>
      <c r="AE440" s="29">
        <v>0</v>
      </c>
      <c r="AF440" s="29">
        <v>0</v>
      </c>
      <c r="AG440" s="29">
        <v>0</v>
      </c>
      <c r="AH440" s="29">
        <v>0</v>
      </c>
      <c r="AI440" s="29">
        <v>0</v>
      </c>
      <c r="AJ440" s="29">
        <v>0</v>
      </c>
      <c r="AK440" s="29">
        <v>0</v>
      </c>
      <c r="AL440" s="29">
        <v>0</v>
      </c>
      <c r="AM440" s="29">
        <v>0</v>
      </c>
      <c r="AN440" s="29">
        <v>0</v>
      </c>
      <c r="AO440" s="29">
        <v>0</v>
      </c>
      <c r="AP440" s="29">
        <v>0</v>
      </c>
    </row>
    <row r="441" spans="1:42" x14ac:dyDescent="0.25">
      <c r="A441" s="29">
        <v>8</v>
      </c>
      <c r="B441" s="29">
        <v>13809</v>
      </c>
      <c r="C441" s="29">
        <v>2</v>
      </c>
      <c r="D441" s="29" t="s">
        <v>781</v>
      </c>
      <c r="E441" s="29"/>
      <c r="F441" s="29">
        <v>0</v>
      </c>
      <c r="G441" s="29">
        <v>0</v>
      </c>
      <c r="H441" s="29">
        <v>0</v>
      </c>
      <c r="I441" s="29">
        <v>0</v>
      </c>
      <c r="J441" s="29">
        <v>0</v>
      </c>
      <c r="K441" s="29" t="s">
        <v>882</v>
      </c>
      <c r="L441" s="19" t="str">
        <f t="shared" si="48"/>
        <v>Рихтовка</v>
      </c>
      <c r="M441" s="12">
        <f t="shared" si="49"/>
        <v>0</v>
      </c>
      <c r="N441" s="12">
        <f t="shared" si="50"/>
        <v>0</v>
      </c>
      <c r="O441" s="12">
        <f t="shared" si="51"/>
        <v>0</v>
      </c>
      <c r="P441" s="12">
        <f t="shared" si="52"/>
        <v>0</v>
      </c>
      <c r="Q441" s="12">
        <f t="shared" si="53"/>
        <v>0</v>
      </c>
      <c r="R441" s="12">
        <f t="shared" si="54"/>
        <v>0</v>
      </c>
      <c r="S441" s="12">
        <f t="shared" si="55"/>
        <v>0</v>
      </c>
      <c r="T441" s="29">
        <v>0</v>
      </c>
      <c r="U441" s="29">
        <v>0</v>
      </c>
      <c r="V441" s="29">
        <v>0</v>
      </c>
      <c r="W441" s="29">
        <v>0</v>
      </c>
      <c r="X441" s="29">
        <v>0</v>
      </c>
      <c r="Y441" s="29">
        <v>0</v>
      </c>
      <c r="Z441" s="29">
        <v>0</v>
      </c>
      <c r="AA441" s="29">
        <v>0</v>
      </c>
      <c r="AB441" s="29">
        <v>0</v>
      </c>
      <c r="AC441" s="29">
        <v>0</v>
      </c>
      <c r="AD441" s="29">
        <v>0</v>
      </c>
      <c r="AE441" s="29">
        <v>0</v>
      </c>
      <c r="AF441" s="29">
        <v>0</v>
      </c>
      <c r="AG441" s="29">
        <v>0</v>
      </c>
      <c r="AH441" s="29">
        <v>0</v>
      </c>
      <c r="AI441" s="29">
        <v>0</v>
      </c>
      <c r="AJ441" s="29">
        <v>0</v>
      </c>
      <c r="AK441" s="29">
        <v>0</v>
      </c>
      <c r="AL441" s="29">
        <v>0</v>
      </c>
      <c r="AM441" s="29">
        <v>0</v>
      </c>
      <c r="AN441" s="29">
        <v>0</v>
      </c>
      <c r="AO441" s="29">
        <v>0</v>
      </c>
      <c r="AP441" s="29">
        <v>0</v>
      </c>
    </row>
    <row r="442" spans="1:42" x14ac:dyDescent="0.25">
      <c r="A442" s="29">
        <v>8</v>
      </c>
      <c r="B442" s="29">
        <v>13809</v>
      </c>
      <c r="C442" s="29">
        <v>2</v>
      </c>
      <c r="D442" s="29" t="s">
        <v>782</v>
      </c>
      <c r="E442" s="29"/>
      <c r="F442" s="29">
        <v>0</v>
      </c>
      <c r="G442" s="29">
        <v>0</v>
      </c>
      <c r="H442" s="29">
        <v>0</v>
      </c>
      <c r="I442" s="29">
        <v>0</v>
      </c>
      <c r="J442" s="29">
        <v>0</v>
      </c>
      <c r="K442" s="29" t="s">
        <v>882</v>
      </c>
      <c r="L442" s="19" t="str">
        <f t="shared" si="48"/>
        <v>Рихтовка</v>
      </c>
      <c r="M442" s="12">
        <f t="shared" si="49"/>
        <v>0</v>
      </c>
      <c r="N442" s="12">
        <f t="shared" si="50"/>
        <v>0</v>
      </c>
      <c r="O442" s="12">
        <f t="shared" si="51"/>
        <v>0</v>
      </c>
      <c r="P442" s="12">
        <f t="shared" si="52"/>
        <v>0</v>
      </c>
      <c r="Q442" s="12">
        <f t="shared" si="53"/>
        <v>0</v>
      </c>
      <c r="R442" s="12">
        <f t="shared" si="54"/>
        <v>0</v>
      </c>
      <c r="S442" s="12">
        <f t="shared" si="55"/>
        <v>0</v>
      </c>
      <c r="T442" s="29">
        <v>0</v>
      </c>
      <c r="U442" s="29">
        <v>0</v>
      </c>
      <c r="V442" s="29">
        <v>0</v>
      </c>
      <c r="W442" s="29">
        <v>0</v>
      </c>
      <c r="X442" s="29">
        <v>0</v>
      </c>
      <c r="Y442" s="29">
        <v>0</v>
      </c>
      <c r="Z442" s="29">
        <v>0</v>
      </c>
      <c r="AA442" s="29">
        <v>0</v>
      </c>
      <c r="AB442" s="29">
        <v>0</v>
      </c>
      <c r="AC442" s="29">
        <v>0</v>
      </c>
      <c r="AD442" s="29">
        <v>0</v>
      </c>
      <c r="AE442" s="29">
        <v>0</v>
      </c>
      <c r="AF442" s="29">
        <v>0</v>
      </c>
      <c r="AG442" s="29">
        <v>0</v>
      </c>
      <c r="AH442" s="29">
        <v>0</v>
      </c>
      <c r="AI442" s="29">
        <v>0</v>
      </c>
      <c r="AJ442" s="29">
        <v>0</v>
      </c>
      <c r="AK442" s="29">
        <v>0</v>
      </c>
      <c r="AL442" s="29">
        <v>0</v>
      </c>
      <c r="AM442" s="29">
        <v>0</v>
      </c>
      <c r="AN442" s="29">
        <v>0</v>
      </c>
      <c r="AO442" s="29">
        <v>0</v>
      </c>
      <c r="AP442" s="29">
        <v>0</v>
      </c>
    </row>
    <row r="443" spans="1:42" x14ac:dyDescent="0.25">
      <c r="A443" s="29">
        <v>8</v>
      </c>
      <c r="B443" s="29">
        <v>13812</v>
      </c>
      <c r="C443" s="29" t="s">
        <v>239</v>
      </c>
      <c r="D443" s="29" t="s">
        <v>783</v>
      </c>
      <c r="E443" s="29"/>
      <c r="F443" s="29">
        <v>0</v>
      </c>
      <c r="G443" s="29">
        <v>0</v>
      </c>
      <c r="H443" s="29">
        <v>0</v>
      </c>
      <c r="I443" s="29">
        <v>0</v>
      </c>
      <c r="J443" s="29">
        <v>0</v>
      </c>
      <c r="K443" s="29" t="s">
        <v>882</v>
      </c>
      <c r="L443" s="19" t="str">
        <f t="shared" si="48"/>
        <v>Рихтовка</v>
      </c>
      <c r="M443" s="12">
        <f t="shared" si="49"/>
        <v>0</v>
      </c>
      <c r="N443" s="12">
        <f t="shared" si="50"/>
        <v>0</v>
      </c>
      <c r="O443" s="12">
        <f t="shared" si="51"/>
        <v>0</v>
      </c>
      <c r="P443" s="12">
        <f t="shared" si="52"/>
        <v>0</v>
      </c>
      <c r="Q443" s="12">
        <f t="shared" si="53"/>
        <v>0</v>
      </c>
      <c r="R443" s="12">
        <f t="shared" si="54"/>
        <v>0</v>
      </c>
      <c r="S443" s="12">
        <f t="shared" si="55"/>
        <v>0</v>
      </c>
      <c r="T443" s="29">
        <v>0</v>
      </c>
      <c r="U443" s="29">
        <v>0</v>
      </c>
      <c r="V443" s="29">
        <v>0</v>
      </c>
      <c r="W443" s="29">
        <v>0</v>
      </c>
      <c r="X443" s="29">
        <v>0</v>
      </c>
      <c r="Y443" s="29">
        <v>0</v>
      </c>
      <c r="Z443" s="29">
        <v>0</v>
      </c>
      <c r="AA443" s="29">
        <v>0</v>
      </c>
      <c r="AB443" s="29">
        <v>0</v>
      </c>
      <c r="AC443" s="29">
        <v>0</v>
      </c>
      <c r="AD443" s="29">
        <v>0</v>
      </c>
      <c r="AE443" s="29">
        <v>0</v>
      </c>
      <c r="AF443" s="29">
        <v>0</v>
      </c>
      <c r="AG443" s="29">
        <v>0</v>
      </c>
      <c r="AH443" s="29">
        <v>0</v>
      </c>
      <c r="AI443" s="29">
        <v>0</v>
      </c>
      <c r="AJ443" s="29">
        <v>0</v>
      </c>
      <c r="AK443" s="29">
        <v>0</v>
      </c>
      <c r="AL443" s="29">
        <v>0</v>
      </c>
      <c r="AM443" s="29">
        <v>0</v>
      </c>
      <c r="AN443" s="29">
        <v>0</v>
      </c>
      <c r="AO443" s="29">
        <v>0</v>
      </c>
      <c r="AP443" s="29">
        <v>0</v>
      </c>
    </row>
    <row r="444" spans="1:42" x14ac:dyDescent="0.25">
      <c r="A444" s="29">
        <v>8</v>
      </c>
      <c r="B444" s="29">
        <v>13812</v>
      </c>
      <c r="C444" s="29" t="s">
        <v>239</v>
      </c>
      <c r="D444" s="29" t="s">
        <v>784</v>
      </c>
      <c r="E444" s="29"/>
      <c r="F444" s="29">
        <v>0</v>
      </c>
      <c r="G444" s="29">
        <v>0</v>
      </c>
      <c r="H444" s="29">
        <v>0</v>
      </c>
      <c r="I444" s="29">
        <v>0</v>
      </c>
      <c r="J444" s="29">
        <v>0</v>
      </c>
      <c r="K444" s="29" t="s">
        <v>882</v>
      </c>
      <c r="L444" s="19" t="str">
        <f t="shared" si="48"/>
        <v>Рихтовка</v>
      </c>
      <c r="M444" s="12">
        <f t="shared" si="49"/>
        <v>0</v>
      </c>
      <c r="N444" s="12">
        <f t="shared" si="50"/>
        <v>0</v>
      </c>
      <c r="O444" s="12">
        <f t="shared" si="51"/>
        <v>0</v>
      </c>
      <c r="P444" s="12">
        <f t="shared" si="52"/>
        <v>0</v>
      </c>
      <c r="Q444" s="12">
        <f t="shared" si="53"/>
        <v>0</v>
      </c>
      <c r="R444" s="12">
        <f t="shared" si="54"/>
        <v>0</v>
      </c>
      <c r="S444" s="12">
        <f t="shared" si="55"/>
        <v>0</v>
      </c>
      <c r="T444" s="29">
        <v>0</v>
      </c>
      <c r="U444" s="29">
        <v>0</v>
      </c>
      <c r="V444" s="29">
        <v>0</v>
      </c>
      <c r="W444" s="29">
        <v>0</v>
      </c>
      <c r="X444" s="29">
        <v>0</v>
      </c>
      <c r="Y444" s="29">
        <v>0</v>
      </c>
      <c r="Z444" s="29">
        <v>0</v>
      </c>
      <c r="AA444" s="29">
        <v>0</v>
      </c>
      <c r="AB444" s="29">
        <v>0</v>
      </c>
      <c r="AC444" s="29">
        <v>0</v>
      </c>
      <c r="AD444" s="29">
        <v>0</v>
      </c>
      <c r="AE444" s="29">
        <v>0</v>
      </c>
      <c r="AF444" s="29">
        <v>0</v>
      </c>
      <c r="AG444" s="29">
        <v>0</v>
      </c>
      <c r="AH444" s="29">
        <v>0</v>
      </c>
      <c r="AI444" s="29">
        <v>0</v>
      </c>
      <c r="AJ444" s="29">
        <v>0</v>
      </c>
      <c r="AK444" s="29">
        <v>0</v>
      </c>
      <c r="AL444" s="29">
        <v>0</v>
      </c>
      <c r="AM444" s="29">
        <v>0</v>
      </c>
      <c r="AN444" s="29">
        <v>0</v>
      </c>
      <c r="AO444" s="29">
        <v>0</v>
      </c>
      <c r="AP444" s="29">
        <v>0</v>
      </c>
    </row>
    <row r="445" spans="1:42" x14ac:dyDescent="0.25">
      <c r="A445" s="29">
        <v>8</v>
      </c>
      <c r="B445" s="29">
        <v>13809</v>
      </c>
      <c r="C445" s="29">
        <v>2</v>
      </c>
      <c r="D445" s="29" t="s">
        <v>785</v>
      </c>
      <c r="E445" s="29"/>
      <c r="F445" s="29">
        <v>0</v>
      </c>
      <c r="G445" s="29">
        <v>0</v>
      </c>
      <c r="H445" s="29">
        <v>0</v>
      </c>
      <c r="I445" s="29">
        <v>0</v>
      </c>
      <c r="J445" s="29">
        <v>0</v>
      </c>
      <c r="K445" s="29" t="s">
        <v>882</v>
      </c>
      <c r="L445" s="19" t="str">
        <f t="shared" si="48"/>
        <v>Рихтовка</v>
      </c>
      <c r="M445" s="12">
        <f t="shared" si="49"/>
        <v>0</v>
      </c>
      <c r="N445" s="12">
        <f t="shared" si="50"/>
        <v>0</v>
      </c>
      <c r="O445" s="12">
        <f t="shared" si="51"/>
        <v>0</v>
      </c>
      <c r="P445" s="12">
        <f t="shared" si="52"/>
        <v>0</v>
      </c>
      <c r="Q445" s="12">
        <f t="shared" si="53"/>
        <v>0</v>
      </c>
      <c r="R445" s="12">
        <f t="shared" si="54"/>
        <v>0</v>
      </c>
      <c r="S445" s="12">
        <f t="shared" si="55"/>
        <v>0</v>
      </c>
      <c r="T445" s="29">
        <v>0</v>
      </c>
      <c r="U445" s="29">
        <v>0</v>
      </c>
      <c r="V445" s="29">
        <v>0</v>
      </c>
      <c r="W445" s="29">
        <v>0</v>
      </c>
      <c r="X445" s="29">
        <v>0</v>
      </c>
      <c r="Y445" s="29">
        <v>0</v>
      </c>
      <c r="Z445" s="29">
        <v>0</v>
      </c>
      <c r="AA445" s="29">
        <v>0</v>
      </c>
      <c r="AB445" s="29">
        <v>0</v>
      </c>
      <c r="AC445" s="29">
        <v>0</v>
      </c>
      <c r="AD445" s="29">
        <v>0</v>
      </c>
      <c r="AE445" s="29">
        <v>0</v>
      </c>
      <c r="AF445" s="29">
        <v>0</v>
      </c>
      <c r="AG445" s="29">
        <v>0</v>
      </c>
      <c r="AH445" s="29">
        <v>0</v>
      </c>
      <c r="AI445" s="29">
        <v>0</v>
      </c>
      <c r="AJ445" s="29">
        <v>0</v>
      </c>
      <c r="AK445" s="29">
        <v>0</v>
      </c>
      <c r="AL445" s="29">
        <v>0</v>
      </c>
      <c r="AM445" s="29">
        <v>0</v>
      </c>
      <c r="AN445" s="29">
        <v>0</v>
      </c>
      <c r="AO445" s="29">
        <v>0</v>
      </c>
      <c r="AP445" s="29">
        <v>0</v>
      </c>
    </row>
    <row r="446" spans="1:42" x14ac:dyDescent="0.25">
      <c r="A446" s="29">
        <v>8</v>
      </c>
      <c r="B446" s="29">
        <v>13809</v>
      </c>
      <c r="C446" s="29">
        <v>1</v>
      </c>
      <c r="D446" s="29" t="s">
        <v>957</v>
      </c>
      <c r="E446" s="29"/>
      <c r="F446" s="29">
        <v>0</v>
      </c>
      <c r="G446" s="29">
        <v>0</v>
      </c>
      <c r="H446" s="29">
        <v>0</v>
      </c>
      <c r="I446" s="29">
        <v>0</v>
      </c>
      <c r="J446" s="29">
        <v>0</v>
      </c>
      <c r="K446" s="29" t="s">
        <v>882</v>
      </c>
      <c r="L446" s="19" t="str">
        <f t="shared" si="48"/>
        <v>Рихтовка</v>
      </c>
      <c r="M446" s="12">
        <f t="shared" si="49"/>
        <v>0</v>
      </c>
      <c r="N446" s="12">
        <f t="shared" si="50"/>
        <v>0</v>
      </c>
      <c r="O446" s="12">
        <f t="shared" si="51"/>
        <v>0</v>
      </c>
      <c r="P446" s="12">
        <f t="shared" si="52"/>
        <v>0</v>
      </c>
      <c r="Q446" s="12">
        <f t="shared" si="53"/>
        <v>0</v>
      </c>
      <c r="R446" s="12">
        <f t="shared" si="54"/>
        <v>0</v>
      </c>
      <c r="S446" s="12">
        <f t="shared" si="55"/>
        <v>0</v>
      </c>
      <c r="T446" s="29">
        <v>0</v>
      </c>
      <c r="U446" s="29">
        <v>0</v>
      </c>
      <c r="V446" s="29">
        <v>0</v>
      </c>
      <c r="W446" s="29">
        <v>0</v>
      </c>
      <c r="X446" s="29">
        <v>0</v>
      </c>
      <c r="Y446" s="29">
        <v>0</v>
      </c>
      <c r="Z446" s="29">
        <v>0</v>
      </c>
      <c r="AA446" s="29">
        <v>0</v>
      </c>
      <c r="AB446" s="29">
        <v>0</v>
      </c>
      <c r="AC446" s="29">
        <v>0</v>
      </c>
      <c r="AD446" s="29">
        <v>0</v>
      </c>
      <c r="AE446" s="29">
        <v>0</v>
      </c>
      <c r="AF446" s="29">
        <v>0</v>
      </c>
      <c r="AG446" s="29">
        <v>0</v>
      </c>
      <c r="AH446" s="29">
        <v>0</v>
      </c>
      <c r="AI446" s="29">
        <v>0</v>
      </c>
      <c r="AJ446" s="29">
        <v>0</v>
      </c>
      <c r="AK446" s="29">
        <v>0</v>
      </c>
      <c r="AL446" s="29">
        <v>0</v>
      </c>
      <c r="AM446" s="29">
        <v>0</v>
      </c>
      <c r="AN446" s="29">
        <v>0</v>
      </c>
      <c r="AO446" s="29">
        <v>0</v>
      </c>
      <c r="AP446" s="29">
        <v>0</v>
      </c>
    </row>
    <row r="447" spans="1:42" x14ac:dyDescent="0.25">
      <c r="A447" s="29">
        <v>8</v>
      </c>
      <c r="B447" s="29">
        <v>13809</v>
      </c>
      <c r="C447" s="29">
        <v>2</v>
      </c>
      <c r="D447" s="29" t="s">
        <v>957</v>
      </c>
      <c r="E447" s="29"/>
      <c r="F447" s="29">
        <v>0</v>
      </c>
      <c r="G447" s="29">
        <v>0</v>
      </c>
      <c r="H447" s="29">
        <v>0</v>
      </c>
      <c r="I447" s="29">
        <v>0</v>
      </c>
      <c r="J447" s="29">
        <v>0</v>
      </c>
      <c r="K447" s="29" t="s">
        <v>882</v>
      </c>
      <c r="L447" s="19" t="str">
        <f t="shared" si="48"/>
        <v>Рихтовка</v>
      </c>
      <c r="M447" s="12">
        <f t="shared" si="49"/>
        <v>0</v>
      </c>
      <c r="N447" s="12">
        <f t="shared" si="50"/>
        <v>0</v>
      </c>
      <c r="O447" s="12">
        <f t="shared" si="51"/>
        <v>0</v>
      </c>
      <c r="P447" s="12">
        <f t="shared" si="52"/>
        <v>0</v>
      </c>
      <c r="Q447" s="12">
        <f t="shared" si="53"/>
        <v>0</v>
      </c>
      <c r="R447" s="12">
        <f t="shared" si="54"/>
        <v>0</v>
      </c>
      <c r="S447" s="12">
        <f t="shared" si="55"/>
        <v>0</v>
      </c>
      <c r="T447" s="29">
        <v>0</v>
      </c>
      <c r="U447" s="29">
        <v>0</v>
      </c>
      <c r="V447" s="29">
        <v>0</v>
      </c>
      <c r="W447" s="29">
        <v>0</v>
      </c>
      <c r="X447" s="29">
        <v>0</v>
      </c>
      <c r="Y447" s="29">
        <v>0</v>
      </c>
      <c r="Z447" s="29">
        <v>0</v>
      </c>
      <c r="AA447" s="29">
        <v>0</v>
      </c>
      <c r="AB447" s="29">
        <v>0</v>
      </c>
      <c r="AC447" s="29">
        <v>0</v>
      </c>
      <c r="AD447" s="29">
        <v>0</v>
      </c>
      <c r="AE447" s="29">
        <v>0</v>
      </c>
      <c r="AF447" s="29">
        <v>0</v>
      </c>
      <c r="AG447" s="29">
        <v>0</v>
      </c>
      <c r="AH447" s="29">
        <v>0</v>
      </c>
      <c r="AI447" s="29">
        <v>0</v>
      </c>
      <c r="AJ447" s="29">
        <v>0</v>
      </c>
      <c r="AK447" s="29">
        <v>0</v>
      </c>
      <c r="AL447" s="29">
        <v>0</v>
      </c>
      <c r="AM447" s="29">
        <v>0</v>
      </c>
      <c r="AN447" s="29">
        <v>0</v>
      </c>
      <c r="AO447" s="29">
        <v>0</v>
      </c>
      <c r="AP447" s="29">
        <v>0</v>
      </c>
    </row>
    <row r="448" spans="1:42" x14ac:dyDescent="0.25">
      <c r="A448" s="29">
        <v>8</v>
      </c>
      <c r="B448" s="29">
        <v>13809</v>
      </c>
      <c r="C448" s="29">
        <v>1</v>
      </c>
      <c r="D448" s="29" t="s">
        <v>958</v>
      </c>
      <c r="E448" s="29"/>
      <c r="F448" s="29">
        <v>0</v>
      </c>
      <c r="G448" s="29">
        <v>0</v>
      </c>
      <c r="H448" s="29">
        <v>0</v>
      </c>
      <c r="I448" s="29">
        <v>0</v>
      </c>
      <c r="J448" s="29">
        <v>0</v>
      </c>
      <c r="K448" s="29" t="s">
        <v>882</v>
      </c>
      <c r="L448" s="19" t="str">
        <f t="shared" si="48"/>
        <v>Рихтовка</v>
      </c>
      <c r="M448" s="12">
        <f t="shared" si="49"/>
        <v>0</v>
      </c>
      <c r="N448" s="12">
        <f t="shared" si="50"/>
        <v>0</v>
      </c>
      <c r="O448" s="12">
        <f t="shared" si="51"/>
        <v>0</v>
      </c>
      <c r="P448" s="12">
        <f t="shared" si="52"/>
        <v>0</v>
      </c>
      <c r="Q448" s="12">
        <f t="shared" si="53"/>
        <v>0</v>
      </c>
      <c r="R448" s="12">
        <f t="shared" si="54"/>
        <v>0</v>
      </c>
      <c r="S448" s="12">
        <f t="shared" si="55"/>
        <v>0</v>
      </c>
      <c r="T448" s="29">
        <v>0</v>
      </c>
      <c r="U448" s="29">
        <v>0</v>
      </c>
      <c r="V448" s="29">
        <v>0</v>
      </c>
      <c r="W448" s="29">
        <v>0</v>
      </c>
      <c r="X448" s="29">
        <v>0</v>
      </c>
      <c r="Y448" s="29">
        <v>0</v>
      </c>
      <c r="Z448" s="29">
        <v>0</v>
      </c>
      <c r="AA448" s="29">
        <v>0</v>
      </c>
      <c r="AB448" s="29">
        <v>0</v>
      </c>
      <c r="AC448" s="29">
        <v>0</v>
      </c>
      <c r="AD448" s="29">
        <v>0</v>
      </c>
      <c r="AE448" s="29">
        <v>0</v>
      </c>
      <c r="AF448" s="29">
        <v>0</v>
      </c>
      <c r="AG448" s="29">
        <v>0</v>
      </c>
      <c r="AH448" s="29">
        <v>0</v>
      </c>
      <c r="AI448" s="29">
        <v>0</v>
      </c>
      <c r="AJ448" s="29">
        <v>0</v>
      </c>
      <c r="AK448" s="29">
        <v>0</v>
      </c>
      <c r="AL448" s="29">
        <v>0</v>
      </c>
      <c r="AM448" s="29">
        <v>0</v>
      </c>
      <c r="AN448" s="29">
        <v>0</v>
      </c>
      <c r="AO448" s="29">
        <v>0</v>
      </c>
      <c r="AP448" s="29">
        <v>0</v>
      </c>
    </row>
    <row r="449" spans="1:42" x14ac:dyDescent="0.25">
      <c r="A449" s="29">
        <v>9</v>
      </c>
      <c r="B449" s="29">
        <v>13809</v>
      </c>
      <c r="C449" s="29">
        <v>1</v>
      </c>
      <c r="D449" s="29" t="s">
        <v>958</v>
      </c>
      <c r="E449" s="29"/>
      <c r="F449" s="29">
        <v>0</v>
      </c>
      <c r="G449" s="29">
        <v>0</v>
      </c>
      <c r="H449" s="29">
        <v>0</v>
      </c>
      <c r="I449" s="29">
        <v>0</v>
      </c>
      <c r="J449" s="29">
        <v>0</v>
      </c>
      <c r="K449" s="29" t="s">
        <v>882</v>
      </c>
      <c r="L449" s="19" t="str">
        <f t="shared" si="48"/>
        <v>Рихтовка</v>
      </c>
      <c r="M449" s="12">
        <f t="shared" si="49"/>
        <v>0</v>
      </c>
      <c r="N449" s="12">
        <f t="shared" si="50"/>
        <v>0</v>
      </c>
      <c r="O449" s="12">
        <f t="shared" si="51"/>
        <v>0</v>
      </c>
      <c r="P449" s="12">
        <f t="shared" si="52"/>
        <v>0</v>
      </c>
      <c r="Q449" s="12">
        <f t="shared" si="53"/>
        <v>0</v>
      </c>
      <c r="R449" s="12">
        <f t="shared" si="54"/>
        <v>0</v>
      </c>
      <c r="S449" s="12">
        <f t="shared" si="55"/>
        <v>0</v>
      </c>
      <c r="T449" s="29">
        <v>0</v>
      </c>
      <c r="U449" s="29">
        <v>0</v>
      </c>
      <c r="V449" s="29">
        <v>0</v>
      </c>
      <c r="W449" s="29">
        <v>0</v>
      </c>
      <c r="X449" s="29">
        <v>0</v>
      </c>
      <c r="Y449" s="29">
        <v>0</v>
      </c>
      <c r="Z449" s="29">
        <v>0</v>
      </c>
      <c r="AA449" s="29">
        <v>0</v>
      </c>
      <c r="AB449" s="29">
        <v>0</v>
      </c>
      <c r="AC449" s="29">
        <v>0</v>
      </c>
      <c r="AD449" s="29">
        <v>0</v>
      </c>
      <c r="AE449" s="29">
        <v>0</v>
      </c>
      <c r="AF449" s="29">
        <v>0</v>
      </c>
      <c r="AG449" s="29">
        <v>0</v>
      </c>
      <c r="AH449" s="29">
        <v>0</v>
      </c>
      <c r="AI449" s="29">
        <v>0</v>
      </c>
      <c r="AJ449" s="29">
        <v>0</v>
      </c>
      <c r="AK449" s="29">
        <v>0</v>
      </c>
      <c r="AL449" s="29">
        <v>0</v>
      </c>
      <c r="AM449" s="29">
        <v>0</v>
      </c>
      <c r="AN449" s="29">
        <v>0</v>
      </c>
      <c r="AO449" s="29">
        <v>0</v>
      </c>
      <c r="AP449" s="29">
        <v>0</v>
      </c>
    </row>
    <row r="450" spans="1:42" x14ac:dyDescent="0.25">
      <c r="A450" s="29">
        <v>8</v>
      </c>
      <c r="B450" s="29">
        <v>13809</v>
      </c>
      <c r="C450" s="29">
        <v>2</v>
      </c>
      <c r="D450" s="29" t="s">
        <v>958</v>
      </c>
      <c r="E450" s="29"/>
      <c r="F450" s="29">
        <v>0</v>
      </c>
      <c r="G450" s="29">
        <v>0</v>
      </c>
      <c r="H450" s="29">
        <v>0</v>
      </c>
      <c r="I450" s="29">
        <v>0</v>
      </c>
      <c r="J450" s="29">
        <v>0</v>
      </c>
      <c r="K450" s="29" t="s">
        <v>882</v>
      </c>
      <c r="L450" s="19" t="str">
        <f t="shared" ref="L450:L513" si="56">IF($M450=N450,$N$1,IF($M450=O450,$O$1,IF($M450=P450,$P$1,IF($M450=Q450,$Q$1,IF($M450=R450,$R$1,$S$1)))))</f>
        <v>Рихтовка</v>
      </c>
      <c r="M450" s="12">
        <f t="shared" si="49"/>
        <v>0</v>
      </c>
      <c r="N450" s="12">
        <f t="shared" si="50"/>
        <v>0</v>
      </c>
      <c r="O450" s="12">
        <f t="shared" si="51"/>
        <v>0</v>
      </c>
      <c r="P450" s="12">
        <f t="shared" si="52"/>
        <v>0</v>
      </c>
      <c r="Q450" s="12">
        <f t="shared" si="53"/>
        <v>0</v>
      </c>
      <c r="R450" s="12">
        <f t="shared" si="54"/>
        <v>0</v>
      </c>
      <c r="S450" s="12">
        <f t="shared" si="55"/>
        <v>0</v>
      </c>
      <c r="T450" s="29">
        <v>0</v>
      </c>
      <c r="U450" s="29">
        <v>0</v>
      </c>
      <c r="V450" s="29">
        <v>0</v>
      </c>
      <c r="W450" s="29">
        <v>0</v>
      </c>
      <c r="X450" s="29">
        <v>0</v>
      </c>
      <c r="Y450" s="29">
        <v>0</v>
      </c>
      <c r="Z450" s="29">
        <v>0</v>
      </c>
      <c r="AA450" s="29">
        <v>0</v>
      </c>
      <c r="AB450" s="29">
        <v>0</v>
      </c>
      <c r="AC450" s="29">
        <v>0</v>
      </c>
      <c r="AD450" s="29">
        <v>0</v>
      </c>
      <c r="AE450" s="29">
        <v>0</v>
      </c>
      <c r="AF450" s="29">
        <v>0</v>
      </c>
      <c r="AG450" s="29">
        <v>0</v>
      </c>
      <c r="AH450" s="29">
        <v>0</v>
      </c>
      <c r="AI450" s="29">
        <v>0</v>
      </c>
      <c r="AJ450" s="29">
        <v>0</v>
      </c>
      <c r="AK450" s="29">
        <v>0</v>
      </c>
      <c r="AL450" s="29">
        <v>0</v>
      </c>
      <c r="AM450" s="29">
        <v>0</v>
      </c>
      <c r="AN450" s="29">
        <v>0</v>
      </c>
      <c r="AO450" s="29">
        <v>0</v>
      </c>
      <c r="AP450" s="29">
        <v>0</v>
      </c>
    </row>
    <row r="451" spans="1:42" x14ac:dyDescent="0.25">
      <c r="A451" s="29">
        <v>9</v>
      </c>
      <c r="B451" s="29">
        <v>13809</v>
      </c>
      <c r="C451" s="29">
        <v>2</v>
      </c>
      <c r="D451" s="29" t="s">
        <v>958</v>
      </c>
      <c r="E451" s="29"/>
      <c r="F451" s="29">
        <v>0</v>
      </c>
      <c r="G451" s="29">
        <v>0</v>
      </c>
      <c r="H451" s="29">
        <v>0</v>
      </c>
      <c r="I451" s="29">
        <v>0</v>
      </c>
      <c r="J451" s="29">
        <v>0</v>
      </c>
      <c r="K451" s="29" t="s">
        <v>882</v>
      </c>
      <c r="L451" s="19" t="str">
        <f t="shared" si="56"/>
        <v>Рихтовка</v>
      </c>
      <c r="M451" s="12">
        <f t="shared" ref="M451:M514" si="57">MAX(N451,O451,P451,Q451,R451,S451)</f>
        <v>0</v>
      </c>
      <c r="N451" s="12">
        <f t="shared" ref="N451:N514" si="58">T451+U451+V451</f>
        <v>0</v>
      </c>
      <c r="O451" s="12">
        <f t="shared" ref="O451:O514" si="59">W451+X451+Y451</f>
        <v>0</v>
      </c>
      <c r="P451" s="12">
        <f t="shared" ref="P451:P514" si="60">Z451+AA451+AB451</f>
        <v>0</v>
      </c>
      <c r="Q451" s="12">
        <f t="shared" ref="Q451:Q514" si="61">AC451+AD451+AE451</f>
        <v>0</v>
      </c>
      <c r="R451" s="12">
        <f t="shared" ref="R451:R514" si="62">AF451+AG451+AH451</f>
        <v>0</v>
      </c>
      <c r="S451" s="12">
        <f t="shared" ref="S451:S514" si="63">AI451+AJ451+AK451</f>
        <v>0</v>
      </c>
      <c r="T451" s="29">
        <v>0</v>
      </c>
      <c r="U451" s="29">
        <v>0</v>
      </c>
      <c r="V451" s="29">
        <v>0</v>
      </c>
      <c r="W451" s="29">
        <v>0</v>
      </c>
      <c r="X451" s="29">
        <v>0</v>
      </c>
      <c r="Y451" s="29">
        <v>0</v>
      </c>
      <c r="Z451" s="29">
        <v>0</v>
      </c>
      <c r="AA451" s="29">
        <v>0</v>
      </c>
      <c r="AB451" s="29">
        <v>0</v>
      </c>
      <c r="AC451" s="29">
        <v>0</v>
      </c>
      <c r="AD451" s="29">
        <v>0</v>
      </c>
      <c r="AE451" s="29">
        <v>0</v>
      </c>
      <c r="AF451" s="29">
        <v>0</v>
      </c>
      <c r="AG451" s="29">
        <v>0</v>
      </c>
      <c r="AH451" s="29">
        <v>0</v>
      </c>
      <c r="AI451" s="29">
        <v>0</v>
      </c>
      <c r="AJ451" s="29">
        <v>0</v>
      </c>
      <c r="AK451" s="29">
        <v>0</v>
      </c>
      <c r="AL451" s="29">
        <v>0</v>
      </c>
      <c r="AM451" s="29">
        <v>0</v>
      </c>
      <c r="AN451" s="29">
        <v>0</v>
      </c>
      <c r="AO451" s="29">
        <v>0</v>
      </c>
      <c r="AP451" s="29">
        <v>0</v>
      </c>
    </row>
    <row r="452" spans="1:42" x14ac:dyDescent="0.25">
      <c r="A452" s="29">
        <v>9</v>
      </c>
      <c r="B452" s="29">
        <v>13809</v>
      </c>
      <c r="C452" s="29">
        <v>1</v>
      </c>
      <c r="D452" s="29" t="s">
        <v>786</v>
      </c>
      <c r="E452" s="29"/>
      <c r="F452" s="29">
        <v>0</v>
      </c>
      <c r="G452" s="29">
        <v>0</v>
      </c>
      <c r="H452" s="29">
        <v>0</v>
      </c>
      <c r="I452" s="29">
        <v>0</v>
      </c>
      <c r="J452" s="29">
        <v>0</v>
      </c>
      <c r="K452" s="29" t="s">
        <v>882</v>
      </c>
      <c r="L452" s="19" t="str">
        <f t="shared" si="56"/>
        <v>Рихтовка</v>
      </c>
      <c r="M452" s="12">
        <f t="shared" si="57"/>
        <v>0</v>
      </c>
      <c r="N452" s="12">
        <f t="shared" si="58"/>
        <v>0</v>
      </c>
      <c r="O452" s="12">
        <f t="shared" si="59"/>
        <v>0</v>
      </c>
      <c r="P452" s="12">
        <f t="shared" si="60"/>
        <v>0</v>
      </c>
      <c r="Q452" s="12">
        <f t="shared" si="61"/>
        <v>0</v>
      </c>
      <c r="R452" s="12">
        <f t="shared" si="62"/>
        <v>0</v>
      </c>
      <c r="S452" s="12">
        <f t="shared" si="63"/>
        <v>0</v>
      </c>
      <c r="T452" s="29">
        <v>0</v>
      </c>
      <c r="U452" s="29">
        <v>0</v>
      </c>
      <c r="V452" s="29">
        <v>0</v>
      </c>
      <c r="W452" s="29">
        <v>0</v>
      </c>
      <c r="X452" s="29">
        <v>0</v>
      </c>
      <c r="Y452" s="29">
        <v>0</v>
      </c>
      <c r="Z452" s="29">
        <v>0</v>
      </c>
      <c r="AA452" s="29">
        <v>0</v>
      </c>
      <c r="AB452" s="29">
        <v>0</v>
      </c>
      <c r="AC452" s="29">
        <v>0</v>
      </c>
      <c r="AD452" s="29">
        <v>0</v>
      </c>
      <c r="AE452" s="29">
        <v>0</v>
      </c>
      <c r="AF452" s="29">
        <v>0</v>
      </c>
      <c r="AG452" s="29">
        <v>0</v>
      </c>
      <c r="AH452" s="29">
        <v>0</v>
      </c>
      <c r="AI452" s="29">
        <v>0</v>
      </c>
      <c r="AJ452" s="29">
        <v>0</v>
      </c>
      <c r="AK452" s="29">
        <v>0</v>
      </c>
      <c r="AL452" s="29">
        <v>0</v>
      </c>
      <c r="AM452" s="29">
        <v>0</v>
      </c>
      <c r="AN452" s="29">
        <v>0</v>
      </c>
      <c r="AO452" s="29">
        <v>0</v>
      </c>
      <c r="AP452" s="29">
        <v>0</v>
      </c>
    </row>
    <row r="453" spans="1:42" x14ac:dyDescent="0.25">
      <c r="A453" s="29">
        <v>9</v>
      </c>
      <c r="B453" s="29">
        <v>13809</v>
      </c>
      <c r="C453" s="29">
        <v>1</v>
      </c>
      <c r="D453" s="29" t="s">
        <v>787</v>
      </c>
      <c r="E453" s="29"/>
      <c r="F453" s="29">
        <v>0</v>
      </c>
      <c r="G453" s="29">
        <v>0</v>
      </c>
      <c r="H453" s="29">
        <v>0</v>
      </c>
      <c r="I453" s="29">
        <v>0</v>
      </c>
      <c r="J453" s="29">
        <v>0</v>
      </c>
      <c r="K453" s="29" t="s">
        <v>882</v>
      </c>
      <c r="L453" s="19" t="str">
        <f t="shared" si="56"/>
        <v>Рихтовка</v>
      </c>
      <c r="M453" s="12">
        <f t="shared" si="57"/>
        <v>0</v>
      </c>
      <c r="N453" s="12">
        <f t="shared" si="58"/>
        <v>0</v>
      </c>
      <c r="O453" s="12">
        <f t="shared" si="59"/>
        <v>0</v>
      </c>
      <c r="P453" s="12">
        <f t="shared" si="60"/>
        <v>0</v>
      </c>
      <c r="Q453" s="12">
        <f t="shared" si="61"/>
        <v>0</v>
      </c>
      <c r="R453" s="12">
        <f t="shared" si="62"/>
        <v>0</v>
      </c>
      <c r="S453" s="12">
        <f t="shared" si="63"/>
        <v>0</v>
      </c>
      <c r="T453" s="29">
        <v>0</v>
      </c>
      <c r="U453" s="29">
        <v>0</v>
      </c>
      <c r="V453" s="29">
        <v>0</v>
      </c>
      <c r="W453" s="29">
        <v>0</v>
      </c>
      <c r="X453" s="29">
        <v>0</v>
      </c>
      <c r="Y453" s="29">
        <v>0</v>
      </c>
      <c r="Z453" s="29">
        <v>0</v>
      </c>
      <c r="AA453" s="29">
        <v>0</v>
      </c>
      <c r="AB453" s="29">
        <v>0</v>
      </c>
      <c r="AC453" s="29">
        <v>0</v>
      </c>
      <c r="AD453" s="29">
        <v>0</v>
      </c>
      <c r="AE453" s="29">
        <v>0</v>
      </c>
      <c r="AF453" s="29">
        <v>0</v>
      </c>
      <c r="AG453" s="29">
        <v>0</v>
      </c>
      <c r="AH453" s="29">
        <v>0</v>
      </c>
      <c r="AI453" s="29">
        <v>0</v>
      </c>
      <c r="AJ453" s="29">
        <v>0</v>
      </c>
      <c r="AK453" s="29">
        <v>0</v>
      </c>
      <c r="AL453" s="29">
        <v>0</v>
      </c>
      <c r="AM453" s="29">
        <v>0</v>
      </c>
      <c r="AN453" s="29">
        <v>0</v>
      </c>
      <c r="AO453" s="29">
        <v>0</v>
      </c>
      <c r="AP453" s="29">
        <v>0</v>
      </c>
    </row>
    <row r="454" spans="1:42" x14ac:dyDescent="0.25">
      <c r="A454" s="29">
        <v>9</v>
      </c>
      <c r="B454" s="29">
        <v>13809</v>
      </c>
      <c r="C454" s="29">
        <v>1</v>
      </c>
      <c r="D454" s="29" t="s">
        <v>788</v>
      </c>
      <c r="E454" s="29"/>
      <c r="F454" s="29">
        <v>0</v>
      </c>
      <c r="G454" s="29">
        <v>0</v>
      </c>
      <c r="H454" s="29">
        <v>0</v>
      </c>
      <c r="I454" s="29">
        <v>0</v>
      </c>
      <c r="J454" s="29">
        <v>0</v>
      </c>
      <c r="K454" s="29" t="s">
        <v>882</v>
      </c>
      <c r="L454" s="19" t="str">
        <f t="shared" si="56"/>
        <v>Рихтовка</v>
      </c>
      <c r="M454" s="12">
        <f t="shared" si="57"/>
        <v>0</v>
      </c>
      <c r="N454" s="12">
        <f t="shared" si="58"/>
        <v>0</v>
      </c>
      <c r="O454" s="12">
        <f t="shared" si="59"/>
        <v>0</v>
      </c>
      <c r="P454" s="12">
        <f t="shared" si="60"/>
        <v>0</v>
      </c>
      <c r="Q454" s="12">
        <f t="shared" si="61"/>
        <v>0</v>
      </c>
      <c r="R454" s="12">
        <f t="shared" si="62"/>
        <v>0</v>
      </c>
      <c r="S454" s="12">
        <f t="shared" si="63"/>
        <v>0</v>
      </c>
      <c r="T454" s="29">
        <v>0</v>
      </c>
      <c r="U454" s="29">
        <v>0</v>
      </c>
      <c r="V454" s="29">
        <v>0</v>
      </c>
      <c r="W454" s="29">
        <v>0</v>
      </c>
      <c r="X454" s="29">
        <v>0</v>
      </c>
      <c r="Y454" s="29">
        <v>0</v>
      </c>
      <c r="Z454" s="29">
        <v>0</v>
      </c>
      <c r="AA454" s="29">
        <v>0</v>
      </c>
      <c r="AB454" s="29">
        <v>0</v>
      </c>
      <c r="AC454" s="29">
        <v>0</v>
      </c>
      <c r="AD454" s="29">
        <v>0</v>
      </c>
      <c r="AE454" s="29">
        <v>0</v>
      </c>
      <c r="AF454" s="29">
        <v>0</v>
      </c>
      <c r="AG454" s="29">
        <v>0</v>
      </c>
      <c r="AH454" s="29">
        <v>0</v>
      </c>
      <c r="AI454" s="29">
        <v>0</v>
      </c>
      <c r="AJ454" s="29">
        <v>0</v>
      </c>
      <c r="AK454" s="29">
        <v>0</v>
      </c>
      <c r="AL454" s="29">
        <v>0</v>
      </c>
      <c r="AM454" s="29">
        <v>0</v>
      </c>
      <c r="AN454" s="29">
        <v>0</v>
      </c>
      <c r="AO454" s="29">
        <v>0</v>
      </c>
      <c r="AP454" s="29">
        <v>0</v>
      </c>
    </row>
    <row r="455" spans="1:42" x14ac:dyDescent="0.25">
      <c r="A455" s="29">
        <v>9</v>
      </c>
      <c r="B455" s="29">
        <v>13809</v>
      </c>
      <c r="C455" s="29">
        <v>1</v>
      </c>
      <c r="D455" s="29" t="s">
        <v>789</v>
      </c>
      <c r="E455" s="29"/>
      <c r="F455" s="29">
        <v>0</v>
      </c>
      <c r="G455" s="29">
        <v>0</v>
      </c>
      <c r="H455" s="29">
        <v>0</v>
      </c>
      <c r="I455" s="29">
        <v>0</v>
      </c>
      <c r="J455" s="29">
        <v>0</v>
      </c>
      <c r="K455" s="29" t="s">
        <v>882</v>
      </c>
      <c r="L455" s="19" t="str">
        <f t="shared" si="56"/>
        <v>Рихтовка</v>
      </c>
      <c r="M455" s="12">
        <f t="shared" si="57"/>
        <v>0</v>
      </c>
      <c r="N455" s="12">
        <f t="shared" si="58"/>
        <v>0</v>
      </c>
      <c r="O455" s="12">
        <f t="shared" si="59"/>
        <v>0</v>
      </c>
      <c r="P455" s="12">
        <f t="shared" si="60"/>
        <v>0</v>
      </c>
      <c r="Q455" s="12">
        <f t="shared" si="61"/>
        <v>0</v>
      </c>
      <c r="R455" s="12">
        <f t="shared" si="62"/>
        <v>0</v>
      </c>
      <c r="S455" s="12">
        <f t="shared" si="63"/>
        <v>0</v>
      </c>
      <c r="T455" s="29">
        <v>0</v>
      </c>
      <c r="U455" s="29">
        <v>0</v>
      </c>
      <c r="V455" s="29">
        <v>0</v>
      </c>
      <c r="W455" s="29">
        <v>0</v>
      </c>
      <c r="X455" s="29">
        <v>0</v>
      </c>
      <c r="Y455" s="29">
        <v>0</v>
      </c>
      <c r="Z455" s="29">
        <v>0</v>
      </c>
      <c r="AA455" s="29">
        <v>0</v>
      </c>
      <c r="AB455" s="29">
        <v>0</v>
      </c>
      <c r="AC455" s="29">
        <v>0</v>
      </c>
      <c r="AD455" s="29">
        <v>0</v>
      </c>
      <c r="AE455" s="29">
        <v>0</v>
      </c>
      <c r="AF455" s="29">
        <v>0</v>
      </c>
      <c r="AG455" s="29">
        <v>0</v>
      </c>
      <c r="AH455" s="29">
        <v>0</v>
      </c>
      <c r="AI455" s="29">
        <v>0</v>
      </c>
      <c r="AJ455" s="29">
        <v>0</v>
      </c>
      <c r="AK455" s="29">
        <v>0</v>
      </c>
      <c r="AL455" s="29">
        <v>0</v>
      </c>
      <c r="AM455" s="29">
        <v>0</v>
      </c>
      <c r="AN455" s="29">
        <v>0</v>
      </c>
      <c r="AO455" s="29">
        <v>0</v>
      </c>
      <c r="AP455" s="29">
        <v>0</v>
      </c>
    </row>
    <row r="456" spans="1:42" x14ac:dyDescent="0.25">
      <c r="A456" s="29">
        <v>9</v>
      </c>
      <c r="B456" s="29">
        <v>13809</v>
      </c>
      <c r="C456" s="29">
        <v>1</v>
      </c>
      <c r="D456" s="29" t="s">
        <v>790</v>
      </c>
      <c r="E456" s="29"/>
      <c r="F456" s="29">
        <v>0</v>
      </c>
      <c r="G456" s="29">
        <v>0</v>
      </c>
      <c r="H456" s="29">
        <v>0</v>
      </c>
      <c r="I456" s="29">
        <v>0</v>
      </c>
      <c r="J456" s="29">
        <v>0</v>
      </c>
      <c r="K456" s="29" t="s">
        <v>882</v>
      </c>
      <c r="L456" s="19" t="str">
        <f t="shared" si="56"/>
        <v>Рихтовка</v>
      </c>
      <c r="M456" s="12">
        <f t="shared" si="57"/>
        <v>0</v>
      </c>
      <c r="N456" s="12">
        <f t="shared" si="58"/>
        <v>0</v>
      </c>
      <c r="O456" s="12">
        <f t="shared" si="59"/>
        <v>0</v>
      </c>
      <c r="P456" s="12">
        <f t="shared" si="60"/>
        <v>0</v>
      </c>
      <c r="Q456" s="12">
        <f t="shared" si="61"/>
        <v>0</v>
      </c>
      <c r="R456" s="12">
        <f t="shared" si="62"/>
        <v>0</v>
      </c>
      <c r="S456" s="12">
        <f t="shared" si="63"/>
        <v>0</v>
      </c>
      <c r="T456" s="29">
        <v>0</v>
      </c>
      <c r="U456" s="29">
        <v>0</v>
      </c>
      <c r="V456" s="29">
        <v>0</v>
      </c>
      <c r="W456" s="29">
        <v>0</v>
      </c>
      <c r="X456" s="29">
        <v>0</v>
      </c>
      <c r="Y456" s="29">
        <v>0</v>
      </c>
      <c r="Z456" s="29">
        <v>0</v>
      </c>
      <c r="AA456" s="29">
        <v>0</v>
      </c>
      <c r="AB456" s="29">
        <v>0</v>
      </c>
      <c r="AC456" s="29">
        <v>0</v>
      </c>
      <c r="AD456" s="29">
        <v>0</v>
      </c>
      <c r="AE456" s="29">
        <v>0</v>
      </c>
      <c r="AF456" s="29">
        <v>0</v>
      </c>
      <c r="AG456" s="29">
        <v>0</v>
      </c>
      <c r="AH456" s="29">
        <v>0</v>
      </c>
      <c r="AI456" s="29">
        <v>0</v>
      </c>
      <c r="AJ456" s="29">
        <v>0</v>
      </c>
      <c r="AK456" s="29">
        <v>0</v>
      </c>
      <c r="AL456" s="29">
        <v>0</v>
      </c>
      <c r="AM456" s="29">
        <v>0</v>
      </c>
      <c r="AN456" s="29">
        <v>0</v>
      </c>
      <c r="AO456" s="29">
        <v>0</v>
      </c>
      <c r="AP456" s="29">
        <v>0</v>
      </c>
    </row>
    <row r="457" spans="1:42" x14ac:dyDescent="0.25">
      <c r="A457" s="29">
        <v>9</v>
      </c>
      <c r="B457" s="29">
        <v>13809</v>
      </c>
      <c r="C457" s="29">
        <v>1</v>
      </c>
      <c r="D457" s="29" t="s">
        <v>791</v>
      </c>
      <c r="E457" s="29"/>
      <c r="F457" s="29">
        <v>0</v>
      </c>
      <c r="G457" s="29">
        <v>0</v>
      </c>
      <c r="H457" s="29">
        <v>0</v>
      </c>
      <c r="I457" s="29">
        <v>0</v>
      </c>
      <c r="J457" s="29">
        <v>0</v>
      </c>
      <c r="K457" s="29" t="s">
        <v>882</v>
      </c>
      <c r="L457" s="19" t="str">
        <f t="shared" si="56"/>
        <v>Рихтовка</v>
      </c>
      <c r="M457" s="12">
        <f t="shared" si="57"/>
        <v>0</v>
      </c>
      <c r="N457" s="12">
        <f t="shared" si="58"/>
        <v>0</v>
      </c>
      <c r="O457" s="12">
        <f t="shared" si="59"/>
        <v>0</v>
      </c>
      <c r="P457" s="12">
        <f t="shared" si="60"/>
        <v>0</v>
      </c>
      <c r="Q457" s="12">
        <f t="shared" si="61"/>
        <v>0</v>
      </c>
      <c r="R457" s="12">
        <f t="shared" si="62"/>
        <v>0</v>
      </c>
      <c r="S457" s="12">
        <f t="shared" si="63"/>
        <v>0</v>
      </c>
      <c r="T457" s="29">
        <v>0</v>
      </c>
      <c r="U457" s="29">
        <v>0</v>
      </c>
      <c r="V457" s="29">
        <v>0</v>
      </c>
      <c r="W457" s="29">
        <v>0</v>
      </c>
      <c r="X457" s="29">
        <v>0</v>
      </c>
      <c r="Y457" s="29">
        <v>0</v>
      </c>
      <c r="Z457" s="29">
        <v>0</v>
      </c>
      <c r="AA457" s="29">
        <v>0</v>
      </c>
      <c r="AB457" s="29">
        <v>0</v>
      </c>
      <c r="AC457" s="29">
        <v>0</v>
      </c>
      <c r="AD457" s="29">
        <v>0</v>
      </c>
      <c r="AE457" s="29">
        <v>0</v>
      </c>
      <c r="AF457" s="29">
        <v>0</v>
      </c>
      <c r="AG457" s="29">
        <v>0</v>
      </c>
      <c r="AH457" s="29">
        <v>0</v>
      </c>
      <c r="AI457" s="29">
        <v>0</v>
      </c>
      <c r="AJ457" s="29">
        <v>0</v>
      </c>
      <c r="AK457" s="29">
        <v>0</v>
      </c>
      <c r="AL457" s="29">
        <v>0</v>
      </c>
      <c r="AM457" s="29">
        <v>0</v>
      </c>
      <c r="AN457" s="29">
        <v>0</v>
      </c>
      <c r="AO457" s="29">
        <v>0</v>
      </c>
      <c r="AP457" s="29">
        <v>0</v>
      </c>
    </row>
    <row r="458" spans="1:42" x14ac:dyDescent="0.25">
      <c r="A458" s="29">
        <v>9</v>
      </c>
      <c r="B458" s="29">
        <v>13809</v>
      </c>
      <c r="C458" s="29">
        <v>1</v>
      </c>
      <c r="D458" s="29" t="s">
        <v>792</v>
      </c>
      <c r="E458" s="29"/>
      <c r="F458" s="29">
        <v>0</v>
      </c>
      <c r="G458" s="29">
        <v>0</v>
      </c>
      <c r="H458" s="29">
        <v>0</v>
      </c>
      <c r="I458" s="29">
        <v>0</v>
      </c>
      <c r="J458" s="29">
        <v>0</v>
      </c>
      <c r="K458" s="29" t="s">
        <v>882</v>
      </c>
      <c r="L458" s="19" t="str">
        <f t="shared" si="56"/>
        <v>Рихтовка</v>
      </c>
      <c r="M458" s="12">
        <f t="shared" si="57"/>
        <v>0</v>
      </c>
      <c r="N458" s="12">
        <f t="shared" si="58"/>
        <v>0</v>
      </c>
      <c r="O458" s="12">
        <f t="shared" si="59"/>
        <v>0</v>
      </c>
      <c r="P458" s="12">
        <f t="shared" si="60"/>
        <v>0</v>
      </c>
      <c r="Q458" s="12">
        <f t="shared" si="61"/>
        <v>0</v>
      </c>
      <c r="R458" s="12">
        <f t="shared" si="62"/>
        <v>0</v>
      </c>
      <c r="S458" s="12">
        <f t="shared" si="63"/>
        <v>0</v>
      </c>
      <c r="T458" s="29">
        <v>0</v>
      </c>
      <c r="U458" s="29">
        <v>0</v>
      </c>
      <c r="V458" s="29">
        <v>0</v>
      </c>
      <c r="W458" s="29">
        <v>0</v>
      </c>
      <c r="X458" s="29">
        <v>0</v>
      </c>
      <c r="Y458" s="29">
        <v>0</v>
      </c>
      <c r="Z458" s="29">
        <v>0</v>
      </c>
      <c r="AA458" s="29">
        <v>0</v>
      </c>
      <c r="AB458" s="29">
        <v>0</v>
      </c>
      <c r="AC458" s="29">
        <v>0</v>
      </c>
      <c r="AD458" s="29">
        <v>0</v>
      </c>
      <c r="AE458" s="29">
        <v>0</v>
      </c>
      <c r="AF458" s="29">
        <v>0</v>
      </c>
      <c r="AG458" s="29">
        <v>0</v>
      </c>
      <c r="AH458" s="29">
        <v>0</v>
      </c>
      <c r="AI458" s="29">
        <v>0</v>
      </c>
      <c r="AJ458" s="29">
        <v>0</v>
      </c>
      <c r="AK458" s="29">
        <v>0</v>
      </c>
      <c r="AL458" s="29">
        <v>0</v>
      </c>
      <c r="AM458" s="29">
        <v>0</v>
      </c>
      <c r="AN458" s="29">
        <v>0</v>
      </c>
      <c r="AO458" s="29">
        <v>0</v>
      </c>
      <c r="AP458" s="29">
        <v>0</v>
      </c>
    </row>
    <row r="459" spans="1:42" x14ac:dyDescent="0.25">
      <c r="A459" s="29">
        <v>9</v>
      </c>
      <c r="B459" s="29">
        <v>13809</v>
      </c>
      <c r="C459" s="29">
        <v>1</v>
      </c>
      <c r="D459" s="29" t="s">
        <v>793</v>
      </c>
      <c r="E459" s="29"/>
      <c r="F459" s="29">
        <v>0</v>
      </c>
      <c r="G459" s="29">
        <v>0</v>
      </c>
      <c r="H459" s="29">
        <v>0</v>
      </c>
      <c r="I459" s="29">
        <v>0</v>
      </c>
      <c r="J459" s="29">
        <v>0</v>
      </c>
      <c r="K459" s="29" t="s">
        <v>882</v>
      </c>
      <c r="L459" s="19" t="str">
        <f t="shared" si="56"/>
        <v>Рихтовка</v>
      </c>
      <c r="M459" s="12">
        <f t="shared" si="57"/>
        <v>0</v>
      </c>
      <c r="N459" s="12">
        <f t="shared" si="58"/>
        <v>0</v>
      </c>
      <c r="O459" s="12">
        <f t="shared" si="59"/>
        <v>0</v>
      </c>
      <c r="P459" s="12">
        <f t="shared" si="60"/>
        <v>0</v>
      </c>
      <c r="Q459" s="12">
        <f t="shared" si="61"/>
        <v>0</v>
      </c>
      <c r="R459" s="12">
        <f t="shared" si="62"/>
        <v>0</v>
      </c>
      <c r="S459" s="12">
        <f t="shared" si="63"/>
        <v>0</v>
      </c>
      <c r="T459" s="29">
        <v>0</v>
      </c>
      <c r="U459" s="29">
        <v>0</v>
      </c>
      <c r="V459" s="29">
        <v>0</v>
      </c>
      <c r="W459" s="29">
        <v>0</v>
      </c>
      <c r="X459" s="29">
        <v>0</v>
      </c>
      <c r="Y459" s="29">
        <v>0</v>
      </c>
      <c r="Z459" s="29">
        <v>0</v>
      </c>
      <c r="AA459" s="29">
        <v>0</v>
      </c>
      <c r="AB459" s="29">
        <v>0</v>
      </c>
      <c r="AC459" s="29">
        <v>0</v>
      </c>
      <c r="AD459" s="29">
        <v>0</v>
      </c>
      <c r="AE459" s="29">
        <v>0</v>
      </c>
      <c r="AF459" s="29">
        <v>0</v>
      </c>
      <c r="AG459" s="29">
        <v>0</v>
      </c>
      <c r="AH459" s="29">
        <v>0</v>
      </c>
      <c r="AI459" s="29">
        <v>0</v>
      </c>
      <c r="AJ459" s="29">
        <v>0</v>
      </c>
      <c r="AK459" s="29">
        <v>0</v>
      </c>
      <c r="AL459" s="29">
        <v>0</v>
      </c>
      <c r="AM459" s="29">
        <v>0</v>
      </c>
      <c r="AN459" s="29">
        <v>0</v>
      </c>
      <c r="AO459" s="29">
        <v>0</v>
      </c>
      <c r="AP459" s="29">
        <v>0</v>
      </c>
    </row>
    <row r="460" spans="1:42" x14ac:dyDescent="0.25">
      <c r="A460" s="29">
        <v>9</v>
      </c>
      <c r="B460" s="29">
        <v>13809</v>
      </c>
      <c r="C460" s="29">
        <v>1</v>
      </c>
      <c r="D460" s="29" t="s">
        <v>794</v>
      </c>
      <c r="E460" s="29"/>
      <c r="F460" s="29">
        <v>0</v>
      </c>
      <c r="G460" s="29">
        <v>0</v>
      </c>
      <c r="H460" s="29">
        <v>0</v>
      </c>
      <c r="I460" s="29">
        <v>0</v>
      </c>
      <c r="J460" s="29">
        <v>0</v>
      </c>
      <c r="K460" s="29" t="s">
        <v>882</v>
      </c>
      <c r="L460" s="19" t="str">
        <f t="shared" si="56"/>
        <v>Рихтовка</v>
      </c>
      <c r="M460" s="12">
        <f t="shared" si="57"/>
        <v>0</v>
      </c>
      <c r="N460" s="12">
        <f t="shared" si="58"/>
        <v>0</v>
      </c>
      <c r="O460" s="12">
        <f t="shared" si="59"/>
        <v>0</v>
      </c>
      <c r="P460" s="12">
        <f t="shared" si="60"/>
        <v>0</v>
      </c>
      <c r="Q460" s="12">
        <f t="shared" si="61"/>
        <v>0</v>
      </c>
      <c r="R460" s="12">
        <f t="shared" si="62"/>
        <v>0</v>
      </c>
      <c r="S460" s="12">
        <f t="shared" si="63"/>
        <v>0</v>
      </c>
      <c r="T460" s="29">
        <v>0</v>
      </c>
      <c r="U460" s="29">
        <v>0</v>
      </c>
      <c r="V460" s="29">
        <v>0</v>
      </c>
      <c r="W460" s="29">
        <v>0</v>
      </c>
      <c r="X460" s="29">
        <v>0</v>
      </c>
      <c r="Y460" s="29">
        <v>0</v>
      </c>
      <c r="Z460" s="29">
        <v>0</v>
      </c>
      <c r="AA460" s="29">
        <v>0</v>
      </c>
      <c r="AB460" s="29">
        <v>0</v>
      </c>
      <c r="AC460" s="29">
        <v>0</v>
      </c>
      <c r="AD460" s="29">
        <v>0</v>
      </c>
      <c r="AE460" s="29">
        <v>0</v>
      </c>
      <c r="AF460" s="29">
        <v>0</v>
      </c>
      <c r="AG460" s="29">
        <v>0</v>
      </c>
      <c r="AH460" s="29">
        <v>0</v>
      </c>
      <c r="AI460" s="29">
        <v>0</v>
      </c>
      <c r="AJ460" s="29">
        <v>0</v>
      </c>
      <c r="AK460" s="29">
        <v>0</v>
      </c>
      <c r="AL460" s="29">
        <v>0</v>
      </c>
      <c r="AM460" s="29">
        <v>0</v>
      </c>
      <c r="AN460" s="29">
        <v>0</v>
      </c>
      <c r="AO460" s="29">
        <v>0</v>
      </c>
      <c r="AP460" s="29">
        <v>0</v>
      </c>
    </row>
    <row r="461" spans="1:42" x14ac:dyDescent="0.25">
      <c r="A461" s="29">
        <v>9</v>
      </c>
      <c r="B461" s="29">
        <v>13809</v>
      </c>
      <c r="C461" s="29">
        <v>2</v>
      </c>
      <c r="D461" s="29" t="s">
        <v>786</v>
      </c>
      <c r="E461" s="29"/>
      <c r="F461" s="29">
        <v>0</v>
      </c>
      <c r="G461" s="29">
        <v>0</v>
      </c>
      <c r="H461" s="29">
        <v>0</v>
      </c>
      <c r="I461" s="29">
        <v>0</v>
      </c>
      <c r="J461" s="29">
        <v>0</v>
      </c>
      <c r="K461" s="29" t="s">
        <v>882</v>
      </c>
      <c r="L461" s="19" t="str">
        <f t="shared" si="56"/>
        <v>Рихтовка</v>
      </c>
      <c r="M461" s="12">
        <f t="shared" si="57"/>
        <v>0</v>
      </c>
      <c r="N461" s="12">
        <f t="shared" si="58"/>
        <v>0</v>
      </c>
      <c r="O461" s="12">
        <f t="shared" si="59"/>
        <v>0</v>
      </c>
      <c r="P461" s="12">
        <f t="shared" si="60"/>
        <v>0</v>
      </c>
      <c r="Q461" s="12">
        <f t="shared" si="61"/>
        <v>0</v>
      </c>
      <c r="R461" s="12">
        <f t="shared" si="62"/>
        <v>0</v>
      </c>
      <c r="S461" s="12">
        <f t="shared" si="63"/>
        <v>0</v>
      </c>
      <c r="T461" s="29">
        <v>0</v>
      </c>
      <c r="U461" s="29">
        <v>0</v>
      </c>
      <c r="V461" s="29">
        <v>0</v>
      </c>
      <c r="W461" s="29">
        <v>0</v>
      </c>
      <c r="X461" s="29">
        <v>0</v>
      </c>
      <c r="Y461" s="29">
        <v>0</v>
      </c>
      <c r="Z461" s="29">
        <v>0</v>
      </c>
      <c r="AA461" s="29">
        <v>0</v>
      </c>
      <c r="AB461" s="29">
        <v>0</v>
      </c>
      <c r="AC461" s="29">
        <v>0</v>
      </c>
      <c r="AD461" s="29">
        <v>0</v>
      </c>
      <c r="AE461" s="29">
        <v>0</v>
      </c>
      <c r="AF461" s="29">
        <v>0</v>
      </c>
      <c r="AG461" s="29">
        <v>0</v>
      </c>
      <c r="AH461" s="29">
        <v>0</v>
      </c>
      <c r="AI461" s="29">
        <v>0</v>
      </c>
      <c r="AJ461" s="29">
        <v>0</v>
      </c>
      <c r="AK461" s="29">
        <v>0</v>
      </c>
      <c r="AL461" s="29">
        <v>0</v>
      </c>
      <c r="AM461" s="29">
        <v>0</v>
      </c>
      <c r="AN461" s="29">
        <v>0</v>
      </c>
      <c r="AO461" s="29">
        <v>0</v>
      </c>
      <c r="AP461" s="29">
        <v>0</v>
      </c>
    </row>
    <row r="462" spans="1:42" x14ac:dyDescent="0.25">
      <c r="A462" s="29">
        <v>9</v>
      </c>
      <c r="B462" s="29">
        <v>13809</v>
      </c>
      <c r="C462" s="29">
        <v>2</v>
      </c>
      <c r="D462" s="29" t="s">
        <v>787</v>
      </c>
      <c r="E462" s="29"/>
      <c r="F462" s="29">
        <v>0</v>
      </c>
      <c r="G462" s="29">
        <v>0</v>
      </c>
      <c r="H462" s="29">
        <v>0</v>
      </c>
      <c r="I462" s="29">
        <v>0</v>
      </c>
      <c r="J462" s="29">
        <v>0</v>
      </c>
      <c r="K462" s="29" t="s">
        <v>882</v>
      </c>
      <c r="L462" s="19" t="str">
        <f t="shared" si="56"/>
        <v>Рихтовка</v>
      </c>
      <c r="M462" s="12">
        <f t="shared" si="57"/>
        <v>0</v>
      </c>
      <c r="N462" s="12">
        <f t="shared" si="58"/>
        <v>0</v>
      </c>
      <c r="O462" s="12">
        <f t="shared" si="59"/>
        <v>0</v>
      </c>
      <c r="P462" s="12">
        <f t="shared" si="60"/>
        <v>0</v>
      </c>
      <c r="Q462" s="12">
        <f t="shared" si="61"/>
        <v>0</v>
      </c>
      <c r="R462" s="12">
        <f t="shared" si="62"/>
        <v>0</v>
      </c>
      <c r="S462" s="12">
        <f t="shared" si="63"/>
        <v>0</v>
      </c>
      <c r="T462" s="29">
        <v>0</v>
      </c>
      <c r="U462" s="29">
        <v>0</v>
      </c>
      <c r="V462" s="29">
        <v>0</v>
      </c>
      <c r="W462" s="29">
        <v>0</v>
      </c>
      <c r="X462" s="29">
        <v>0</v>
      </c>
      <c r="Y462" s="29">
        <v>0</v>
      </c>
      <c r="Z462" s="29">
        <v>0</v>
      </c>
      <c r="AA462" s="29">
        <v>0</v>
      </c>
      <c r="AB462" s="29">
        <v>0</v>
      </c>
      <c r="AC462" s="29">
        <v>0</v>
      </c>
      <c r="AD462" s="29">
        <v>0</v>
      </c>
      <c r="AE462" s="29">
        <v>0</v>
      </c>
      <c r="AF462" s="29">
        <v>0</v>
      </c>
      <c r="AG462" s="29">
        <v>0</v>
      </c>
      <c r="AH462" s="29">
        <v>0</v>
      </c>
      <c r="AI462" s="29">
        <v>0</v>
      </c>
      <c r="AJ462" s="29">
        <v>0</v>
      </c>
      <c r="AK462" s="29">
        <v>0</v>
      </c>
      <c r="AL462" s="29">
        <v>0</v>
      </c>
      <c r="AM462" s="29">
        <v>0</v>
      </c>
      <c r="AN462" s="29">
        <v>0</v>
      </c>
      <c r="AO462" s="29">
        <v>0</v>
      </c>
      <c r="AP462" s="29">
        <v>0</v>
      </c>
    </row>
    <row r="463" spans="1:42" x14ac:dyDescent="0.25">
      <c r="A463" s="29">
        <v>9</v>
      </c>
      <c r="B463" s="29">
        <v>13809</v>
      </c>
      <c r="C463" s="29">
        <v>2</v>
      </c>
      <c r="D463" s="29" t="s">
        <v>788</v>
      </c>
      <c r="E463" s="29"/>
      <c r="F463" s="29">
        <v>0</v>
      </c>
      <c r="G463" s="29">
        <v>0</v>
      </c>
      <c r="H463" s="29">
        <v>0</v>
      </c>
      <c r="I463" s="29">
        <v>0</v>
      </c>
      <c r="J463" s="29">
        <v>0</v>
      </c>
      <c r="K463" s="29" t="s">
        <v>882</v>
      </c>
      <c r="L463" s="19" t="str">
        <f t="shared" si="56"/>
        <v>Рихтовка</v>
      </c>
      <c r="M463" s="12">
        <f t="shared" si="57"/>
        <v>0</v>
      </c>
      <c r="N463" s="12">
        <f t="shared" si="58"/>
        <v>0</v>
      </c>
      <c r="O463" s="12">
        <f t="shared" si="59"/>
        <v>0</v>
      </c>
      <c r="P463" s="12">
        <f t="shared" si="60"/>
        <v>0</v>
      </c>
      <c r="Q463" s="12">
        <f t="shared" si="61"/>
        <v>0</v>
      </c>
      <c r="R463" s="12">
        <f t="shared" si="62"/>
        <v>0</v>
      </c>
      <c r="S463" s="12">
        <f t="shared" si="63"/>
        <v>0</v>
      </c>
      <c r="T463" s="29">
        <v>0</v>
      </c>
      <c r="U463" s="29">
        <v>0</v>
      </c>
      <c r="V463" s="29">
        <v>0</v>
      </c>
      <c r="W463" s="29">
        <v>0</v>
      </c>
      <c r="X463" s="29">
        <v>0</v>
      </c>
      <c r="Y463" s="29">
        <v>0</v>
      </c>
      <c r="Z463" s="29">
        <v>0</v>
      </c>
      <c r="AA463" s="29">
        <v>0</v>
      </c>
      <c r="AB463" s="29">
        <v>0</v>
      </c>
      <c r="AC463" s="29">
        <v>0</v>
      </c>
      <c r="AD463" s="29">
        <v>0</v>
      </c>
      <c r="AE463" s="29">
        <v>0</v>
      </c>
      <c r="AF463" s="29">
        <v>0</v>
      </c>
      <c r="AG463" s="29">
        <v>0</v>
      </c>
      <c r="AH463" s="29">
        <v>0</v>
      </c>
      <c r="AI463" s="29">
        <v>0</v>
      </c>
      <c r="AJ463" s="29">
        <v>0</v>
      </c>
      <c r="AK463" s="29">
        <v>0</v>
      </c>
      <c r="AL463" s="29">
        <v>0</v>
      </c>
      <c r="AM463" s="29">
        <v>0</v>
      </c>
      <c r="AN463" s="29">
        <v>0</v>
      </c>
      <c r="AO463" s="29">
        <v>0</v>
      </c>
      <c r="AP463" s="29">
        <v>0</v>
      </c>
    </row>
    <row r="464" spans="1:42" x14ac:dyDescent="0.25">
      <c r="A464" s="29">
        <v>9</v>
      </c>
      <c r="B464" s="29">
        <v>13809</v>
      </c>
      <c r="C464" s="29">
        <v>2</v>
      </c>
      <c r="D464" s="29" t="s">
        <v>789</v>
      </c>
      <c r="E464" s="29"/>
      <c r="F464" s="29">
        <v>0</v>
      </c>
      <c r="G464" s="29">
        <v>0</v>
      </c>
      <c r="H464" s="29">
        <v>0</v>
      </c>
      <c r="I464" s="29">
        <v>0</v>
      </c>
      <c r="J464" s="29">
        <v>0</v>
      </c>
      <c r="K464" s="29" t="s">
        <v>882</v>
      </c>
      <c r="L464" s="19" t="str">
        <f t="shared" si="56"/>
        <v>Рихтовка</v>
      </c>
      <c r="M464" s="12">
        <f t="shared" si="57"/>
        <v>0</v>
      </c>
      <c r="N464" s="12">
        <f t="shared" si="58"/>
        <v>0</v>
      </c>
      <c r="O464" s="12">
        <f t="shared" si="59"/>
        <v>0</v>
      </c>
      <c r="P464" s="12">
        <f t="shared" si="60"/>
        <v>0</v>
      </c>
      <c r="Q464" s="12">
        <f t="shared" si="61"/>
        <v>0</v>
      </c>
      <c r="R464" s="12">
        <f t="shared" si="62"/>
        <v>0</v>
      </c>
      <c r="S464" s="12">
        <f t="shared" si="63"/>
        <v>0</v>
      </c>
      <c r="T464" s="29">
        <v>0</v>
      </c>
      <c r="U464" s="29">
        <v>0</v>
      </c>
      <c r="V464" s="29">
        <v>0</v>
      </c>
      <c r="W464" s="29">
        <v>0</v>
      </c>
      <c r="X464" s="29">
        <v>0</v>
      </c>
      <c r="Y464" s="29">
        <v>0</v>
      </c>
      <c r="Z464" s="29">
        <v>0</v>
      </c>
      <c r="AA464" s="29">
        <v>0</v>
      </c>
      <c r="AB464" s="29">
        <v>0</v>
      </c>
      <c r="AC464" s="29">
        <v>0</v>
      </c>
      <c r="AD464" s="29">
        <v>0</v>
      </c>
      <c r="AE464" s="29">
        <v>0</v>
      </c>
      <c r="AF464" s="29">
        <v>0</v>
      </c>
      <c r="AG464" s="29">
        <v>0</v>
      </c>
      <c r="AH464" s="29">
        <v>0</v>
      </c>
      <c r="AI464" s="29">
        <v>0</v>
      </c>
      <c r="AJ464" s="29">
        <v>0</v>
      </c>
      <c r="AK464" s="29">
        <v>0</v>
      </c>
      <c r="AL464" s="29">
        <v>0</v>
      </c>
      <c r="AM464" s="29">
        <v>0</v>
      </c>
      <c r="AN464" s="29">
        <v>0</v>
      </c>
      <c r="AO464" s="29">
        <v>0</v>
      </c>
      <c r="AP464" s="29">
        <v>0</v>
      </c>
    </row>
    <row r="465" spans="1:42" x14ac:dyDescent="0.25">
      <c r="A465" s="29">
        <v>9</v>
      </c>
      <c r="B465" s="29">
        <v>13809</v>
      </c>
      <c r="C465" s="29">
        <v>2</v>
      </c>
      <c r="D465" s="29" t="s">
        <v>790</v>
      </c>
      <c r="E465" s="29"/>
      <c r="F465" s="29">
        <v>0</v>
      </c>
      <c r="G465" s="29">
        <v>0</v>
      </c>
      <c r="H465" s="29">
        <v>0</v>
      </c>
      <c r="I465" s="29">
        <v>0</v>
      </c>
      <c r="J465" s="29">
        <v>0</v>
      </c>
      <c r="K465" s="29" t="s">
        <v>882</v>
      </c>
      <c r="L465" s="19" t="str">
        <f t="shared" si="56"/>
        <v>Рихтовка</v>
      </c>
      <c r="M465" s="12">
        <f t="shared" si="57"/>
        <v>0</v>
      </c>
      <c r="N465" s="12">
        <f t="shared" si="58"/>
        <v>0</v>
      </c>
      <c r="O465" s="12">
        <f t="shared" si="59"/>
        <v>0</v>
      </c>
      <c r="P465" s="12">
        <f t="shared" si="60"/>
        <v>0</v>
      </c>
      <c r="Q465" s="12">
        <f t="shared" si="61"/>
        <v>0</v>
      </c>
      <c r="R465" s="12">
        <f t="shared" si="62"/>
        <v>0</v>
      </c>
      <c r="S465" s="12">
        <f t="shared" si="63"/>
        <v>0</v>
      </c>
      <c r="T465" s="29">
        <v>0</v>
      </c>
      <c r="U465" s="29">
        <v>0</v>
      </c>
      <c r="V465" s="29">
        <v>0</v>
      </c>
      <c r="W465" s="29">
        <v>0</v>
      </c>
      <c r="X465" s="29">
        <v>0</v>
      </c>
      <c r="Y465" s="29">
        <v>0</v>
      </c>
      <c r="Z465" s="29">
        <v>0</v>
      </c>
      <c r="AA465" s="29">
        <v>0</v>
      </c>
      <c r="AB465" s="29">
        <v>0</v>
      </c>
      <c r="AC465" s="29">
        <v>0</v>
      </c>
      <c r="AD465" s="29">
        <v>0</v>
      </c>
      <c r="AE465" s="29">
        <v>0</v>
      </c>
      <c r="AF465" s="29">
        <v>0</v>
      </c>
      <c r="AG465" s="29">
        <v>0</v>
      </c>
      <c r="AH465" s="29">
        <v>0</v>
      </c>
      <c r="AI465" s="29">
        <v>0</v>
      </c>
      <c r="AJ465" s="29">
        <v>0</v>
      </c>
      <c r="AK465" s="29">
        <v>0</v>
      </c>
      <c r="AL465" s="29">
        <v>0</v>
      </c>
      <c r="AM465" s="29">
        <v>0</v>
      </c>
      <c r="AN465" s="29">
        <v>0</v>
      </c>
      <c r="AO465" s="29">
        <v>0</v>
      </c>
      <c r="AP465" s="29">
        <v>0</v>
      </c>
    </row>
    <row r="466" spans="1:42" x14ac:dyDescent="0.25">
      <c r="A466" s="29">
        <v>9</v>
      </c>
      <c r="B466" s="29">
        <v>13809</v>
      </c>
      <c r="C466" s="29">
        <v>2</v>
      </c>
      <c r="D466" s="29" t="s">
        <v>791</v>
      </c>
      <c r="E466" s="29"/>
      <c r="F466" s="29">
        <v>0</v>
      </c>
      <c r="G466" s="29">
        <v>0</v>
      </c>
      <c r="H466" s="29">
        <v>0</v>
      </c>
      <c r="I466" s="29">
        <v>0</v>
      </c>
      <c r="J466" s="29">
        <v>0</v>
      </c>
      <c r="K466" s="29" t="s">
        <v>882</v>
      </c>
      <c r="L466" s="19" t="str">
        <f t="shared" si="56"/>
        <v>Рихтовка</v>
      </c>
      <c r="M466" s="12">
        <f t="shared" si="57"/>
        <v>0</v>
      </c>
      <c r="N466" s="12">
        <f t="shared" si="58"/>
        <v>0</v>
      </c>
      <c r="O466" s="12">
        <f t="shared" si="59"/>
        <v>0</v>
      </c>
      <c r="P466" s="12">
        <f t="shared" si="60"/>
        <v>0</v>
      </c>
      <c r="Q466" s="12">
        <f t="shared" si="61"/>
        <v>0</v>
      </c>
      <c r="R466" s="12">
        <f t="shared" si="62"/>
        <v>0</v>
      </c>
      <c r="S466" s="12">
        <f t="shared" si="63"/>
        <v>0</v>
      </c>
      <c r="T466" s="29">
        <v>0</v>
      </c>
      <c r="U466" s="29">
        <v>0</v>
      </c>
      <c r="V466" s="29">
        <v>0</v>
      </c>
      <c r="W466" s="29">
        <v>0</v>
      </c>
      <c r="X466" s="29">
        <v>0</v>
      </c>
      <c r="Y466" s="29">
        <v>0</v>
      </c>
      <c r="Z466" s="29">
        <v>0</v>
      </c>
      <c r="AA466" s="29">
        <v>0</v>
      </c>
      <c r="AB466" s="29">
        <v>0</v>
      </c>
      <c r="AC466" s="29">
        <v>0</v>
      </c>
      <c r="AD466" s="29">
        <v>0</v>
      </c>
      <c r="AE466" s="29">
        <v>0</v>
      </c>
      <c r="AF466" s="29">
        <v>0</v>
      </c>
      <c r="AG466" s="29">
        <v>0</v>
      </c>
      <c r="AH466" s="29">
        <v>0</v>
      </c>
      <c r="AI466" s="29">
        <v>0</v>
      </c>
      <c r="AJ466" s="29">
        <v>0</v>
      </c>
      <c r="AK466" s="29">
        <v>0</v>
      </c>
      <c r="AL466" s="29">
        <v>0</v>
      </c>
      <c r="AM466" s="29">
        <v>0</v>
      </c>
      <c r="AN466" s="29">
        <v>0</v>
      </c>
      <c r="AO466" s="29">
        <v>0</v>
      </c>
      <c r="AP466" s="29">
        <v>0</v>
      </c>
    </row>
    <row r="467" spans="1:42" x14ac:dyDescent="0.25">
      <c r="A467" s="29">
        <v>9</v>
      </c>
      <c r="B467" s="29">
        <v>13809</v>
      </c>
      <c r="C467" s="29">
        <v>2</v>
      </c>
      <c r="D467" s="29" t="s">
        <v>792</v>
      </c>
      <c r="E467" s="29"/>
      <c r="F467" s="29">
        <v>0</v>
      </c>
      <c r="G467" s="29">
        <v>0</v>
      </c>
      <c r="H467" s="29">
        <v>0</v>
      </c>
      <c r="I467" s="29">
        <v>0</v>
      </c>
      <c r="J467" s="29">
        <v>0</v>
      </c>
      <c r="K467" s="29" t="s">
        <v>882</v>
      </c>
      <c r="L467" s="19" t="str">
        <f t="shared" si="56"/>
        <v>Рихтовка</v>
      </c>
      <c r="M467" s="12">
        <f t="shared" si="57"/>
        <v>0</v>
      </c>
      <c r="N467" s="12">
        <f t="shared" si="58"/>
        <v>0</v>
      </c>
      <c r="O467" s="12">
        <f t="shared" si="59"/>
        <v>0</v>
      </c>
      <c r="P467" s="12">
        <f t="shared" si="60"/>
        <v>0</v>
      </c>
      <c r="Q467" s="12">
        <f t="shared" si="61"/>
        <v>0</v>
      </c>
      <c r="R467" s="12">
        <f t="shared" si="62"/>
        <v>0</v>
      </c>
      <c r="S467" s="12">
        <f t="shared" si="63"/>
        <v>0</v>
      </c>
      <c r="T467" s="29">
        <v>0</v>
      </c>
      <c r="U467" s="29">
        <v>0</v>
      </c>
      <c r="V467" s="29">
        <v>0</v>
      </c>
      <c r="W467" s="29">
        <v>0</v>
      </c>
      <c r="X467" s="29">
        <v>0</v>
      </c>
      <c r="Y467" s="29">
        <v>0</v>
      </c>
      <c r="Z467" s="29">
        <v>0</v>
      </c>
      <c r="AA467" s="29">
        <v>0</v>
      </c>
      <c r="AB467" s="29">
        <v>0</v>
      </c>
      <c r="AC467" s="29">
        <v>0</v>
      </c>
      <c r="AD467" s="29">
        <v>0</v>
      </c>
      <c r="AE467" s="29">
        <v>0</v>
      </c>
      <c r="AF467" s="29">
        <v>0</v>
      </c>
      <c r="AG467" s="29">
        <v>0</v>
      </c>
      <c r="AH467" s="29">
        <v>0</v>
      </c>
      <c r="AI467" s="29">
        <v>0</v>
      </c>
      <c r="AJ467" s="29">
        <v>0</v>
      </c>
      <c r="AK467" s="29">
        <v>0</v>
      </c>
      <c r="AL467" s="29">
        <v>0</v>
      </c>
      <c r="AM467" s="29">
        <v>0</v>
      </c>
      <c r="AN467" s="29">
        <v>0</v>
      </c>
      <c r="AO467" s="29">
        <v>0</v>
      </c>
      <c r="AP467" s="29">
        <v>0</v>
      </c>
    </row>
    <row r="468" spans="1:42" x14ac:dyDescent="0.25">
      <c r="A468" s="29">
        <v>9</v>
      </c>
      <c r="B468" s="29">
        <v>13809</v>
      </c>
      <c r="C468" s="29">
        <v>2</v>
      </c>
      <c r="D468" s="29" t="s">
        <v>793</v>
      </c>
      <c r="E468" s="29"/>
      <c r="F468" s="29">
        <v>0</v>
      </c>
      <c r="G468" s="29">
        <v>0</v>
      </c>
      <c r="H468" s="29">
        <v>0</v>
      </c>
      <c r="I468" s="29">
        <v>0</v>
      </c>
      <c r="J468" s="29">
        <v>0</v>
      </c>
      <c r="K468" s="29" t="s">
        <v>882</v>
      </c>
      <c r="L468" s="19" t="str">
        <f t="shared" si="56"/>
        <v>Рихтовка</v>
      </c>
      <c r="M468" s="12">
        <f t="shared" si="57"/>
        <v>0</v>
      </c>
      <c r="N468" s="12">
        <f t="shared" si="58"/>
        <v>0</v>
      </c>
      <c r="O468" s="12">
        <f t="shared" si="59"/>
        <v>0</v>
      </c>
      <c r="P468" s="12">
        <f t="shared" si="60"/>
        <v>0</v>
      </c>
      <c r="Q468" s="12">
        <f t="shared" si="61"/>
        <v>0</v>
      </c>
      <c r="R468" s="12">
        <f t="shared" si="62"/>
        <v>0</v>
      </c>
      <c r="S468" s="12">
        <f t="shared" si="63"/>
        <v>0</v>
      </c>
      <c r="T468" s="29">
        <v>0</v>
      </c>
      <c r="U468" s="29">
        <v>0</v>
      </c>
      <c r="V468" s="29">
        <v>0</v>
      </c>
      <c r="W468" s="29">
        <v>0</v>
      </c>
      <c r="X468" s="29">
        <v>0</v>
      </c>
      <c r="Y468" s="29">
        <v>0</v>
      </c>
      <c r="Z468" s="29">
        <v>0</v>
      </c>
      <c r="AA468" s="29">
        <v>0</v>
      </c>
      <c r="AB468" s="29">
        <v>0</v>
      </c>
      <c r="AC468" s="29">
        <v>0</v>
      </c>
      <c r="AD468" s="29">
        <v>0</v>
      </c>
      <c r="AE468" s="29">
        <v>0</v>
      </c>
      <c r="AF468" s="29">
        <v>0</v>
      </c>
      <c r="AG468" s="29">
        <v>0</v>
      </c>
      <c r="AH468" s="29">
        <v>0</v>
      </c>
      <c r="AI468" s="29">
        <v>0</v>
      </c>
      <c r="AJ468" s="29">
        <v>0</v>
      </c>
      <c r="AK468" s="29">
        <v>0</v>
      </c>
      <c r="AL468" s="29">
        <v>0</v>
      </c>
      <c r="AM468" s="29">
        <v>0</v>
      </c>
      <c r="AN468" s="29">
        <v>0</v>
      </c>
      <c r="AO468" s="29">
        <v>0</v>
      </c>
      <c r="AP468" s="29">
        <v>0</v>
      </c>
    </row>
    <row r="469" spans="1:42" x14ac:dyDescent="0.25">
      <c r="A469" s="29">
        <v>9</v>
      </c>
      <c r="B469" s="29">
        <v>13809</v>
      </c>
      <c r="C469" s="29">
        <v>2</v>
      </c>
      <c r="D469" s="29" t="s">
        <v>794</v>
      </c>
      <c r="E469" s="29"/>
      <c r="F469" s="29">
        <v>0</v>
      </c>
      <c r="G469" s="29">
        <v>0</v>
      </c>
      <c r="H469" s="29">
        <v>0</v>
      </c>
      <c r="I469" s="29">
        <v>0</v>
      </c>
      <c r="J469" s="29">
        <v>0</v>
      </c>
      <c r="K469" s="29" t="s">
        <v>882</v>
      </c>
      <c r="L469" s="19" t="str">
        <f t="shared" si="56"/>
        <v>Рихтовка</v>
      </c>
      <c r="M469" s="12">
        <f t="shared" si="57"/>
        <v>0</v>
      </c>
      <c r="N469" s="12">
        <f t="shared" si="58"/>
        <v>0</v>
      </c>
      <c r="O469" s="12">
        <f t="shared" si="59"/>
        <v>0</v>
      </c>
      <c r="P469" s="12">
        <f t="shared" si="60"/>
        <v>0</v>
      </c>
      <c r="Q469" s="12">
        <f t="shared" si="61"/>
        <v>0</v>
      </c>
      <c r="R469" s="12">
        <f t="shared" si="62"/>
        <v>0</v>
      </c>
      <c r="S469" s="12">
        <f t="shared" si="63"/>
        <v>0</v>
      </c>
      <c r="T469" s="29">
        <v>0</v>
      </c>
      <c r="U469" s="29">
        <v>0</v>
      </c>
      <c r="V469" s="29">
        <v>0</v>
      </c>
      <c r="W469" s="29">
        <v>0</v>
      </c>
      <c r="X469" s="29">
        <v>0</v>
      </c>
      <c r="Y469" s="29">
        <v>0</v>
      </c>
      <c r="Z469" s="29">
        <v>0</v>
      </c>
      <c r="AA469" s="29">
        <v>0</v>
      </c>
      <c r="AB469" s="29">
        <v>0</v>
      </c>
      <c r="AC469" s="29">
        <v>0</v>
      </c>
      <c r="AD469" s="29">
        <v>0</v>
      </c>
      <c r="AE469" s="29">
        <v>0</v>
      </c>
      <c r="AF469" s="29">
        <v>0</v>
      </c>
      <c r="AG469" s="29">
        <v>0</v>
      </c>
      <c r="AH469" s="29">
        <v>0</v>
      </c>
      <c r="AI469" s="29">
        <v>0</v>
      </c>
      <c r="AJ469" s="29">
        <v>0</v>
      </c>
      <c r="AK469" s="29">
        <v>0</v>
      </c>
      <c r="AL469" s="29">
        <v>0</v>
      </c>
      <c r="AM469" s="29">
        <v>0</v>
      </c>
      <c r="AN469" s="29">
        <v>0</v>
      </c>
      <c r="AO469" s="29">
        <v>0</v>
      </c>
      <c r="AP469" s="29">
        <v>0</v>
      </c>
    </row>
    <row r="470" spans="1:42" x14ac:dyDescent="0.25">
      <c r="A470" s="29">
        <v>10</v>
      </c>
      <c r="B470" s="29">
        <v>13809</v>
      </c>
      <c r="C470" s="29">
        <v>1</v>
      </c>
      <c r="D470" s="29" t="s">
        <v>795</v>
      </c>
      <c r="E470" s="29"/>
      <c r="F470" s="29">
        <v>0</v>
      </c>
      <c r="G470" s="29">
        <v>0</v>
      </c>
      <c r="H470" s="29">
        <v>0</v>
      </c>
      <c r="I470" s="29">
        <v>0</v>
      </c>
      <c r="J470" s="29">
        <v>0</v>
      </c>
      <c r="K470" s="29" t="s">
        <v>882</v>
      </c>
      <c r="L470" s="19" t="str">
        <f t="shared" si="56"/>
        <v>Рихтовка</v>
      </c>
      <c r="M470" s="12">
        <f t="shared" si="57"/>
        <v>0</v>
      </c>
      <c r="N470" s="12">
        <f t="shared" si="58"/>
        <v>0</v>
      </c>
      <c r="O470" s="12">
        <f t="shared" si="59"/>
        <v>0</v>
      </c>
      <c r="P470" s="12">
        <f t="shared" si="60"/>
        <v>0</v>
      </c>
      <c r="Q470" s="12">
        <f t="shared" si="61"/>
        <v>0</v>
      </c>
      <c r="R470" s="12">
        <f t="shared" si="62"/>
        <v>0</v>
      </c>
      <c r="S470" s="12">
        <f t="shared" si="63"/>
        <v>0</v>
      </c>
      <c r="T470" s="29">
        <v>0</v>
      </c>
      <c r="U470" s="29">
        <v>0</v>
      </c>
      <c r="V470" s="29">
        <v>0</v>
      </c>
      <c r="W470" s="29">
        <v>0</v>
      </c>
      <c r="X470" s="29">
        <v>0</v>
      </c>
      <c r="Y470" s="29">
        <v>0</v>
      </c>
      <c r="Z470" s="29">
        <v>0</v>
      </c>
      <c r="AA470" s="29">
        <v>0</v>
      </c>
      <c r="AB470" s="29">
        <v>0</v>
      </c>
      <c r="AC470" s="29">
        <v>0</v>
      </c>
      <c r="AD470" s="29">
        <v>0</v>
      </c>
      <c r="AE470" s="29">
        <v>0</v>
      </c>
      <c r="AF470" s="29">
        <v>0</v>
      </c>
      <c r="AG470" s="29">
        <v>0</v>
      </c>
      <c r="AH470" s="29">
        <v>0</v>
      </c>
      <c r="AI470" s="29">
        <v>0</v>
      </c>
      <c r="AJ470" s="29">
        <v>0</v>
      </c>
      <c r="AK470" s="29">
        <v>0</v>
      </c>
      <c r="AL470" s="29">
        <v>0</v>
      </c>
      <c r="AM470" s="29">
        <v>0</v>
      </c>
      <c r="AN470" s="29">
        <v>0</v>
      </c>
      <c r="AO470" s="29">
        <v>0</v>
      </c>
      <c r="AP470" s="29">
        <v>0</v>
      </c>
    </row>
    <row r="471" spans="1:42" x14ac:dyDescent="0.25">
      <c r="A471" s="29">
        <v>10</v>
      </c>
      <c r="B471" s="29">
        <v>13809</v>
      </c>
      <c r="C471" s="29">
        <v>2</v>
      </c>
      <c r="D471" s="29" t="s">
        <v>795</v>
      </c>
      <c r="E471" s="29"/>
      <c r="F471" s="29">
        <v>0</v>
      </c>
      <c r="G471" s="29">
        <v>0</v>
      </c>
      <c r="H471" s="29">
        <v>0</v>
      </c>
      <c r="I471" s="29">
        <v>0</v>
      </c>
      <c r="J471" s="29">
        <v>0</v>
      </c>
      <c r="K471" s="29" t="s">
        <v>882</v>
      </c>
      <c r="L471" s="19" t="str">
        <f t="shared" si="56"/>
        <v>Рихтовка</v>
      </c>
      <c r="M471" s="12">
        <f t="shared" si="57"/>
        <v>0</v>
      </c>
      <c r="N471" s="12">
        <f t="shared" si="58"/>
        <v>0</v>
      </c>
      <c r="O471" s="12">
        <f t="shared" si="59"/>
        <v>0</v>
      </c>
      <c r="P471" s="12">
        <f t="shared" si="60"/>
        <v>0</v>
      </c>
      <c r="Q471" s="12">
        <f t="shared" si="61"/>
        <v>0</v>
      </c>
      <c r="R471" s="12">
        <f t="shared" si="62"/>
        <v>0</v>
      </c>
      <c r="S471" s="12">
        <f t="shared" si="63"/>
        <v>0</v>
      </c>
      <c r="T471" s="29">
        <v>0</v>
      </c>
      <c r="U471" s="29">
        <v>0</v>
      </c>
      <c r="V471" s="29">
        <v>0</v>
      </c>
      <c r="W471" s="29">
        <v>0</v>
      </c>
      <c r="X471" s="29">
        <v>0</v>
      </c>
      <c r="Y471" s="29">
        <v>0</v>
      </c>
      <c r="Z471" s="29">
        <v>0</v>
      </c>
      <c r="AA471" s="29">
        <v>0</v>
      </c>
      <c r="AB471" s="29">
        <v>0</v>
      </c>
      <c r="AC471" s="29">
        <v>0</v>
      </c>
      <c r="AD471" s="29">
        <v>0</v>
      </c>
      <c r="AE471" s="29">
        <v>0</v>
      </c>
      <c r="AF471" s="29">
        <v>0</v>
      </c>
      <c r="AG471" s="29">
        <v>0</v>
      </c>
      <c r="AH471" s="29">
        <v>0</v>
      </c>
      <c r="AI471" s="29">
        <v>0</v>
      </c>
      <c r="AJ471" s="29">
        <v>0</v>
      </c>
      <c r="AK471" s="29">
        <v>0</v>
      </c>
      <c r="AL471" s="29">
        <v>0</v>
      </c>
      <c r="AM471" s="29">
        <v>0</v>
      </c>
      <c r="AN471" s="29">
        <v>0</v>
      </c>
      <c r="AO471" s="29">
        <v>0</v>
      </c>
      <c r="AP471" s="29">
        <v>0</v>
      </c>
    </row>
    <row r="472" spans="1:42" x14ac:dyDescent="0.25">
      <c r="A472" s="29">
        <v>10</v>
      </c>
      <c r="B472" s="29">
        <v>13809</v>
      </c>
      <c r="C472" s="29" t="s">
        <v>425</v>
      </c>
      <c r="D472" s="29" t="s">
        <v>795</v>
      </c>
      <c r="E472" s="29"/>
      <c r="F472" s="29">
        <v>0</v>
      </c>
      <c r="G472" s="29">
        <v>0</v>
      </c>
      <c r="H472" s="29">
        <v>0</v>
      </c>
      <c r="I472" s="29">
        <v>0</v>
      </c>
      <c r="J472" s="29">
        <v>0</v>
      </c>
      <c r="K472" s="29" t="s">
        <v>882</v>
      </c>
      <c r="L472" s="19" t="str">
        <f t="shared" si="56"/>
        <v>Рихтовка</v>
      </c>
      <c r="M472" s="12">
        <f t="shared" si="57"/>
        <v>0</v>
      </c>
      <c r="N472" s="12">
        <f t="shared" si="58"/>
        <v>0</v>
      </c>
      <c r="O472" s="12">
        <f t="shared" si="59"/>
        <v>0</v>
      </c>
      <c r="P472" s="12">
        <f t="shared" si="60"/>
        <v>0</v>
      </c>
      <c r="Q472" s="12">
        <f t="shared" si="61"/>
        <v>0</v>
      </c>
      <c r="R472" s="12">
        <f t="shared" si="62"/>
        <v>0</v>
      </c>
      <c r="S472" s="12">
        <f t="shared" si="63"/>
        <v>0</v>
      </c>
      <c r="T472" s="29">
        <v>0</v>
      </c>
      <c r="U472" s="29">
        <v>0</v>
      </c>
      <c r="V472" s="29">
        <v>0</v>
      </c>
      <c r="W472" s="29">
        <v>0</v>
      </c>
      <c r="X472" s="29">
        <v>0</v>
      </c>
      <c r="Y472" s="29">
        <v>0</v>
      </c>
      <c r="Z472" s="29">
        <v>0</v>
      </c>
      <c r="AA472" s="29">
        <v>0</v>
      </c>
      <c r="AB472" s="29">
        <v>0</v>
      </c>
      <c r="AC472" s="29">
        <v>0</v>
      </c>
      <c r="AD472" s="29">
        <v>0</v>
      </c>
      <c r="AE472" s="29">
        <v>0</v>
      </c>
      <c r="AF472" s="29">
        <v>0</v>
      </c>
      <c r="AG472" s="29">
        <v>0</v>
      </c>
      <c r="AH472" s="29">
        <v>0</v>
      </c>
      <c r="AI472" s="29">
        <v>0</v>
      </c>
      <c r="AJ472" s="29">
        <v>0</v>
      </c>
      <c r="AK472" s="29">
        <v>0</v>
      </c>
      <c r="AL472" s="29">
        <v>0</v>
      </c>
      <c r="AM472" s="29">
        <v>0</v>
      </c>
      <c r="AN472" s="29">
        <v>0</v>
      </c>
      <c r="AO472" s="29">
        <v>0</v>
      </c>
      <c r="AP472" s="29">
        <v>0</v>
      </c>
    </row>
    <row r="473" spans="1:42" x14ac:dyDescent="0.25">
      <c r="A473" s="29">
        <v>10</v>
      </c>
      <c r="B473" s="29">
        <v>25101</v>
      </c>
      <c r="C473" s="29" t="s">
        <v>217</v>
      </c>
      <c r="D473" s="29" t="s">
        <v>796</v>
      </c>
      <c r="E473" s="29"/>
      <c r="F473" s="29">
        <v>0</v>
      </c>
      <c r="G473" s="29">
        <v>0</v>
      </c>
      <c r="H473" s="29">
        <v>0</v>
      </c>
      <c r="I473" s="29">
        <v>0</v>
      </c>
      <c r="J473" s="29">
        <v>0</v>
      </c>
      <c r="K473" s="29" t="s">
        <v>882</v>
      </c>
      <c r="L473" s="19" t="str">
        <f t="shared" si="56"/>
        <v>Рихтовка</v>
      </c>
      <c r="M473" s="12">
        <f t="shared" si="57"/>
        <v>0</v>
      </c>
      <c r="N473" s="12">
        <f t="shared" si="58"/>
        <v>0</v>
      </c>
      <c r="O473" s="12">
        <f t="shared" si="59"/>
        <v>0</v>
      </c>
      <c r="P473" s="12">
        <f t="shared" si="60"/>
        <v>0</v>
      </c>
      <c r="Q473" s="12">
        <f t="shared" si="61"/>
        <v>0</v>
      </c>
      <c r="R473" s="12">
        <f t="shared" si="62"/>
        <v>0</v>
      </c>
      <c r="S473" s="12">
        <f t="shared" si="63"/>
        <v>0</v>
      </c>
      <c r="T473" s="29">
        <v>0</v>
      </c>
      <c r="U473" s="29">
        <v>0</v>
      </c>
      <c r="V473" s="29">
        <v>0</v>
      </c>
      <c r="W473" s="29">
        <v>0</v>
      </c>
      <c r="X473" s="29">
        <v>0</v>
      </c>
      <c r="Y473" s="29">
        <v>0</v>
      </c>
      <c r="Z473" s="29">
        <v>0</v>
      </c>
      <c r="AA473" s="29">
        <v>0</v>
      </c>
      <c r="AB473" s="29">
        <v>0</v>
      </c>
      <c r="AC473" s="29">
        <v>0</v>
      </c>
      <c r="AD473" s="29">
        <v>0</v>
      </c>
      <c r="AE473" s="29">
        <v>0</v>
      </c>
      <c r="AF473" s="29">
        <v>0</v>
      </c>
      <c r="AG473" s="29">
        <v>0</v>
      </c>
      <c r="AH473" s="29">
        <v>0</v>
      </c>
      <c r="AI473" s="29">
        <v>0</v>
      </c>
      <c r="AJ473" s="29">
        <v>0</v>
      </c>
      <c r="AK473" s="29">
        <v>0</v>
      </c>
      <c r="AL473" s="29">
        <v>0</v>
      </c>
      <c r="AM473" s="29">
        <v>0</v>
      </c>
      <c r="AN473" s="29">
        <v>0</v>
      </c>
      <c r="AO473" s="29">
        <v>0</v>
      </c>
      <c r="AP473" s="29">
        <v>0</v>
      </c>
    </row>
    <row r="474" spans="1:42" x14ac:dyDescent="0.25">
      <c r="A474" s="29">
        <v>10</v>
      </c>
      <c r="B474" s="29">
        <v>25101</v>
      </c>
      <c r="C474" s="29" t="s">
        <v>217</v>
      </c>
      <c r="D474" s="29" t="s">
        <v>797</v>
      </c>
      <c r="E474" s="29"/>
      <c r="F474" s="29">
        <v>0</v>
      </c>
      <c r="G474" s="29">
        <v>0</v>
      </c>
      <c r="H474" s="29">
        <v>0</v>
      </c>
      <c r="I474" s="29">
        <v>0</v>
      </c>
      <c r="J474" s="29">
        <v>0</v>
      </c>
      <c r="K474" s="29" t="s">
        <v>882</v>
      </c>
      <c r="L474" s="19" t="str">
        <f t="shared" si="56"/>
        <v>Рихтовка</v>
      </c>
      <c r="M474" s="12">
        <f t="shared" si="57"/>
        <v>0</v>
      </c>
      <c r="N474" s="12">
        <f t="shared" si="58"/>
        <v>0</v>
      </c>
      <c r="O474" s="12">
        <f t="shared" si="59"/>
        <v>0</v>
      </c>
      <c r="P474" s="12">
        <f t="shared" si="60"/>
        <v>0</v>
      </c>
      <c r="Q474" s="12">
        <f t="shared" si="61"/>
        <v>0</v>
      </c>
      <c r="R474" s="12">
        <f t="shared" si="62"/>
        <v>0</v>
      </c>
      <c r="S474" s="12">
        <f t="shared" si="63"/>
        <v>0</v>
      </c>
      <c r="T474" s="29">
        <v>0</v>
      </c>
      <c r="U474" s="29">
        <v>0</v>
      </c>
      <c r="V474" s="29">
        <v>0</v>
      </c>
      <c r="W474" s="29">
        <v>0</v>
      </c>
      <c r="X474" s="29">
        <v>0</v>
      </c>
      <c r="Y474" s="29">
        <v>0</v>
      </c>
      <c r="Z474" s="29">
        <v>0</v>
      </c>
      <c r="AA474" s="29">
        <v>0</v>
      </c>
      <c r="AB474" s="29">
        <v>0</v>
      </c>
      <c r="AC474" s="29">
        <v>0</v>
      </c>
      <c r="AD474" s="29">
        <v>0</v>
      </c>
      <c r="AE474" s="29">
        <v>0</v>
      </c>
      <c r="AF474" s="29">
        <v>0</v>
      </c>
      <c r="AG474" s="29">
        <v>0</v>
      </c>
      <c r="AH474" s="29">
        <v>0</v>
      </c>
      <c r="AI474" s="29">
        <v>0</v>
      </c>
      <c r="AJ474" s="29">
        <v>0</v>
      </c>
      <c r="AK474" s="29">
        <v>0</v>
      </c>
      <c r="AL474" s="29">
        <v>0</v>
      </c>
      <c r="AM474" s="29">
        <v>0</v>
      </c>
      <c r="AN474" s="29">
        <v>0</v>
      </c>
      <c r="AO474" s="29">
        <v>0</v>
      </c>
      <c r="AP474" s="29">
        <v>0</v>
      </c>
    </row>
    <row r="475" spans="1:42" x14ac:dyDescent="0.25">
      <c r="A475" s="29">
        <v>10</v>
      </c>
      <c r="B475" s="29">
        <v>25101</v>
      </c>
      <c r="C475" s="29" t="s">
        <v>217</v>
      </c>
      <c r="D475" s="29" t="s">
        <v>798</v>
      </c>
      <c r="E475" s="29"/>
      <c r="F475" s="29">
        <v>0</v>
      </c>
      <c r="G475" s="29">
        <v>0</v>
      </c>
      <c r="H475" s="29">
        <v>0</v>
      </c>
      <c r="I475" s="29">
        <v>0</v>
      </c>
      <c r="J475" s="29">
        <v>0</v>
      </c>
      <c r="K475" s="29" t="s">
        <v>882</v>
      </c>
      <c r="L475" s="19" t="str">
        <f t="shared" si="56"/>
        <v>Рихтовка</v>
      </c>
      <c r="M475" s="12">
        <f t="shared" si="57"/>
        <v>0</v>
      </c>
      <c r="N475" s="12">
        <f t="shared" si="58"/>
        <v>0</v>
      </c>
      <c r="O475" s="12">
        <f t="shared" si="59"/>
        <v>0</v>
      </c>
      <c r="P475" s="12">
        <f t="shared" si="60"/>
        <v>0</v>
      </c>
      <c r="Q475" s="12">
        <f t="shared" si="61"/>
        <v>0</v>
      </c>
      <c r="R475" s="12">
        <f t="shared" si="62"/>
        <v>0</v>
      </c>
      <c r="S475" s="12">
        <f t="shared" si="63"/>
        <v>0</v>
      </c>
      <c r="T475" s="29">
        <v>0</v>
      </c>
      <c r="U475" s="29">
        <v>0</v>
      </c>
      <c r="V475" s="29">
        <v>0</v>
      </c>
      <c r="W475" s="29">
        <v>0</v>
      </c>
      <c r="X475" s="29">
        <v>0</v>
      </c>
      <c r="Y475" s="29">
        <v>0</v>
      </c>
      <c r="Z475" s="29">
        <v>0</v>
      </c>
      <c r="AA475" s="29">
        <v>0</v>
      </c>
      <c r="AB475" s="29">
        <v>0</v>
      </c>
      <c r="AC475" s="29">
        <v>0</v>
      </c>
      <c r="AD475" s="29">
        <v>0</v>
      </c>
      <c r="AE475" s="29">
        <v>0</v>
      </c>
      <c r="AF475" s="29">
        <v>0</v>
      </c>
      <c r="AG475" s="29">
        <v>0</v>
      </c>
      <c r="AH475" s="29">
        <v>0</v>
      </c>
      <c r="AI475" s="29">
        <v>0</v>
      </c>
      <c r="AJ475" s="29">
        <v>0</v>
      </c>
      <c r="AK475" s="29">
        <v>0</v>
      </c>
      <c r="AL475" s="29">
        <v>0</v>
      </c>
      <c r="AM475" s="29">
        <v>0</v>
      </c>
      <c r="AN475" s="29">
        <v>0</v>
      </c>
      <c r="AO475" s="29">
        <v>0</v>
      </c>
      <c r="AP475" s="29">
        <v>0</v>
      </c>
    </row>
    <row r="476" spans="1:42" x14ac:dyDescent="0.25">
      <c r="A476" s="29">
        <v>10</v>
      </c>
      <c r="B476" s="29">
        <v>25101</v>
      </c>
      <c r="C476" s="29" t="s">
        <v>217</v>
      </c>
      <c r="D476" s="29" t="s">
        <v>799</v>
      </c>
      <c r="E476" s="29"/>
      <c r="F476" s="29">
        <v>0</v>
      </c>
      <c r="G476" s="29">
        <v>0</v>
      </c>
      <c r="H476" s="29">
        <v>0</v>
      </c>
      <c r="I476" s="29">
        <v>0</v>
      </c>
      <c r="J476" s="29">
        <v>0</v>
      </c>
      <c r="K476" s="29" t="s">
        <v>882</v>
      </c>
      <c r="L476" s="19" t="str">
        <f t="shared" si="56"/>
        <v>Рихтовка</v>
      </c>
      <c r="M476" s="12">
        <f t="shared" si="57"/>
        <v>0</v>
      </c>
      <c r="N476" s="12">
        <f t="shared" si="58"/>
        <v>0</v>
      </c>
      <c r="O476" s="12">
        <f t="shared" si="59"/>
        <v>0</v>
      </c>
      <c r="P476" s="12">
        <f t="shared" si="60"/>
        <v>0</v>
      </c>
      <c r="Q476" s="12">
        <f t="shared" si="61"/>
        <v>0</v>
      </c>
      <c r="R476" s="12">
        <f t="shared" si="62"/>
        <v>0</v>
      </c>
      <c r="S476" s="12">
        <f t="shared" si="63"/>
        <v>0</v>
      </c>
      <c r="T476" s="29">
        <v>0</v>
      </c>
      <c r="U476" s="29">
        <v>0</v>
      </c>
      <c r="V476" s="29">
        <v>0</v>
      </c>
      <c r="W476" s="29">
        <v>0</v>
      </c>
      <c r="X476" s="29">
        <v>0</v>
      </c>
      <c r="Y476" s="29">
        <v>0</v>
      </c>
      <c r="Z476" s="29">
        <v>0</v>
      </c>
      <c r="AA476" s="29">
        <v>0</v>
      </c>
      <c r="AB476" s="29">
        <v>0</v>
      </c>
      <c r="AC476" s="29">
        <v>0</v>
      </c>
      <c r="AD476" s="29">
        <v>0</v>
      </c>
      <c r="AE476" s="29">
        <v>0</v>
      </c>
      <c r="AF476" s="29">
        <v>0</v>
      </c>
      <c r="AG476" s="29">
        <v>0</v>
      </c>
      <c r="AH476" s="29">
        <v>0</v>
      </c>
      <c r="AI476" s="29">
        <v>0</v>
      </c>
      <c r="AJ476" s="29">
        <v>0</v>
      </c>
      <c r="AK476" s="29">
        <v>0</v>
      </c>
      <c r="AL476" s="29">
        <v>0</v>
      </c>
      <c r="AM476" s="29">
        <v>0</v>
      </c>
      <c r="AN476" s="29">
        <v>0</v>
      </c>
      <c r="AO476" s="29">
        <v>0</v>
      </c>
      <c r="AP476" s="29">
        <v>0</v>
      </c>
    </row>
    <row r="477" spans="1:42" x14ac:dyDescent="0.25">
      <c r="A477" s="29">
        <v>10</v>
      </c>
      <c r="B477" s="29">
        <v>25101</v>
      </c>
      <c r="C477" s="29" t="s">
        <v>217</v>
      </c>
      <c r="D477" s="29" t="s">
        <v>800</v>
      </c>
      <c r="E477" s="29"/>
      <c r="F477" s="29">
        <v>0</v>
      </c>
      <c r="G477" s="29">
        <v>0</v>
      </c>
      <c r="H477" s="29">
        <v>0</v>
      </c>
      <c r="I477" s="29">
        <v>0</v>
      </c>
      <c r="J477" s="29">
        <v>0</v>
      </c>
      <c r="K477" s="29" t="s">
        <v>882</v>
      </c>
      <c r="L477" s="19" t="str">
        <f t="shared" si="56"/>
        <v>Рихтовка</v>
      </c>
      <c r="M477" s="12">
        <f t="shared" si="57"/>
        <v>0</v>
      </c>
      <c r="N477" s="12">
        <f t="shared" si="58"/>
        <v>0</v>
      </c>
      <c r="O477" s="12">
        <f t="shared" si="59"/>
        <v>0</v>
      </c>
      <c r="P477" s="12">
        <f t="shared" si="60"/>
        <v>0</v>
      </c>
      <c r="Q477" s="12">
        <f t="shared" si="61"/>
        <v>0</v>
      </c>
      <c r="R477" s="12">
        <f t="shared" si="62"/>
        <v>0</v>
      </c>
      <c r="S477" s="12">
        <f t="shared" si="63"/>
        <v>0</v>
      </c>
      <c r="T477" s="29">
        <v>0</v>
      </c>
      <c r="U477" s="29">
        <v>0</v>
      </c>
      <c r="V477" s="29">
        <v>0</v>
      </c>
      <c r="W477" s="29">
        <v>0</v>
      </c>
      <c r="X477" s="29">
        <v>0</v>
      </c>
      <c r="Y477" s="29">
        <v>0</v>
      </c>
      <c r="Z477" s="29">
        <v>0</v>
      </c>
      <c r="AA477" s="29">
        <v>0</v>
      </c>
      <c r="AB477" s="29">
        <v>0</v>
      </c>
      <c r="AC477" s="29">
        <v>0</v>
      </c>
      <c r="AD477" s="29">
        <v>0</v>
      </c>
      <c r="AE477" s="29">
        <v>0</v>
      </c>
      <c r="AF477" s="29">
        <v>0</v>
      </c>
      <c r="AG477" s="29">
        <v>0</v>
      </c>
      <c r="AH477" s="29">
        <v>0</v>
      </c>
      <c r="AI477" s="29">
        <v>0</v>
      </c>
      <c r="AJ477" s="29">
        <v>0</v>
      </c>
      <c r="AK477" s="29">
        <v>0</v>
      </c>
      <c r="AL477" s="29">
        <v>0</v>
      </c>
      <c r="AM477" s="29">
        <v>0</v>
      </c>
      <c r="AN477" s="29">
        <v>0</v>
      </c>
      <c r="AO477" s="29">
        <v>0</v>
      </c>
      <c r="AP477" s="29">
        <v>0</v>
      </c>
    </row>
    <row r="478" spans="1:42" x14ac:dyDescent="0.25">
      <c r="A478" s="29">
        <v>10</v>
      </c>
      <c r="B478" s="29">
        <v>25101</v>
      </c>
      <c r="C478" s="29" t="s">
        <v>217</v>
      </c>
      <c r="D478" s="29" t="s">
        <v>801</v>
      </c>
      <c r="E478" s="29"/>
      <c r="F478" s="29">
        <v>0</v>
      </c>
      <c r="G478" s="29">
        <v>0</v>
      </c>
      <c r="H478" s="29">
        <v>0</v>
      </c>
      <c r="I478" s="29">
        <v>0</v>
      </c>
      <c r="J478" s="29">
        <v>0</v>
      </c>
      <c r="K478" s="29" t="s">
        <v>882</v>
      </c>
      <c r="L478" s="19" t="str">
        <f t="shared" si="56"/>
        <v>Рихтовка</v>
      </c>
      <c r="M478" s="12">
        <f t="shared" si="57"/>
        <v>0</v>
      </c>
      <c r="N478" s="12">
        <f t="shared" si="58"/>
        <v>0</v>
      </c>
      <c r="O478" s="12">
        <f t="shared" si="59"/>
        <v>0</v>
      </c>
      <c r="P478" s="12">
        <f t="shared" si="60"/>
        <v>0</v>
      </c>
      <c r="Q478" s="12">
        <f t="shared" si="61"/>
        <v>0</v>
      </c>
      <c r="R478" s="12">
        <f t="shared" si="62"/>
        <v>0</v>
      </c>
      <c r="S478" s="12">
        <f t="shared" si="63"/>
        <v>0</v>
      </c>
      <c r="T478" s="29">
        <v>0</v>
      </c>
      <c r="U478" s="29">
        <v>0</v>
      </c>
      <c r="V478" s="29">
        <v>0</v>
      </c>
      <c r="W478" s="29">
        <v>0</v>
      </c>
      <c r="X478" s="29">
        <v>0</v>
      </c>
      <c r="Y478" s="29">
        <v>0</v>
      </c>
      <c r="Z478" s="29">
        <v>0</v>
      </c>
      <c r="AA478" s="29">
        <v>0</v>
      </c>
      <c r="AB478" s="29">
        <v>0</v>
      </c>
      <c r="AC478" s="29">
        <v>0</v>
      </c>
      <c r="AD478" s="29">
        <v>0</v>
      </c>
      <c r="AE478" s="29">
        <v>0</v>
      </c>
      <c r="AF478" s="29">
        <v>0</v>
      </c>
      <c r="AG478" s="29">
        <v>0</v>
      </c>
      <c r="AH478" s="29">
        <v>0</v>
      </c>
      <c r="AI478" s="29">
        <v>0</v>
      </c>
      <c r="AJ478" s="29">
        <v>0</v>
      </c>
      <c r="AK478" s="29">
        <v>0</v>
      </c>
      <c r="AL478" s="29">
        <v>0</v>
      </c>
      <c r="AM478" s="29">
        <v>0</v>
      </c>
      <c r="AN478" s="29">
        <v>0</v>
      </c>
      <c r="AO478" s="29">
        <v>0</v>
      </c>
      <c r="AP478" s="29">
        <v>0</v>
      </c>
    </row>
    <row r="479" spans="1:42" x14ac:dyDescent="0.25">
      <c r="A479" s="29">
        <v>10</v>
      </c>
      <c r="B479" s="29">
        <v>25101</v>
      </c>
      <c r="C479" s="29" t="s">
        <v>217</v>
      </c>
      <c r="D479" s="29" t="s">
        <v>802</v>
      </c>
      <c r="E479" s="29"/>
      <c r="F479" s="29">
        <v>0</v>
      </c>
      <c r="G479" s="29">
        <v>0</v>
      </c>
      <c r="H479" s="29">
        <v>0</v>
      </c>
      <c r="I479" s="29">
        <v>0</v>
      </c>
      <c r="J479" s="29">
        <v>0</v>
      </c>
      <c r="K479" s="29" t="s">
        <v>882</v>
      </c>
      <c r="L479" s="19" t="str">
        <f t="shared" si="56"/>
        <v>Рихтовка</v>
      </c>
      <c r="M479" s="12">
        <f t="shared" si="57"/>
        <v>0</v>
      </c>
      <c r="N479" s="12">
        <f t="shared" si="58"/>
        <v>0</v>
      </c>
      <c r="O479" s="12">
        <f t="shared" si="59"/>
        <v>0</v>
      </c>
      <c r="P479" s="12">
        <f t="shared" si="60"/>
        <v>0</v>
      </c>
      <c r="Q479" s="12">
        <f t="shared" si="61"/>
        <v>0</v>
      </c>
      <c r="R479" s="12">
        <f t="shared" si="62"/>
        <v>0</v>
      </c>
      <c r="S479" s="12">
        <f t="shared" si="63"/>
        <v>0</v>
      </c>
      <c r="T479" s="29">
        <v>0</v>
      </c>
      <c r="U479" s="29">
        <v>0</v>
      </c>
      <c r="V479" s="29">
        <v>0</v>
      </c>
      <c r="W479" s="29">
        <v>0</v>
      </c>
      <c r="X479" s="29">
        <v>0</v>
      </c>
      <c r="Y479" s="29">
        <v>0</v>
      </c>
      <c r="Z479" s="29">
        <v>0</v>
      </c>
      <c r="AA479" s="29">
        <v>0</v>
      </c>
      <c r="AB479" s="29">
        <v>0</v>
      </c>
      <c r="AC479" s="29">
        <v>0</v>
      </c>
      <c r="AD479" s="29">
        <v>0</v>
      </c>
      <c r="AE479" s="29">
        <v>0</v>
      </c>
      <c r="AF479" s="29">
        <v>0</v>
      </c>
      <c r="AG479" s="29">
        <v>0</v>
      </c>
      <c r="AH479" s="29">
        <v>0</v>
      </c>
      <c r="AI479" s="29">
        <v>0</v>
      </c>
      <c r="AJ479" s="29">
        <v>0</v>
      </c>
      <c r="AK479" s="29">
        <v>0</v>
      </c>
      <c r="AL479" s="29">
        <v>0</v>
      </c>
      <c r="AM479" s="29">
        <v>0</v>
      </c>
      <c r="AN479" s="29">
        <v>0</v>
      </c>
      <c r="AO479" s="29">
        <v>0</v>
      </c>
      <c r="AP479" s="29">
        <v>0</v>
      </c>
    </row>
    <row r="480" spans="1:42" x14ac:dyDescent="0.25">
      <c r="A480" s="29">
        <v>10</v>
      </c>
      <c r="B480" s="29">
        <v>25101</v>
      </c>
      <c r="C480" s="29" t="s">
        <v>217</v>
      </c>
      <c r="D480" s="29" t="s">
        <v>803</v>
      </c>
      <c r="E480" s="29"/>
      <c r="F480" s="29">
        <v>0</v>
      </c>
      <c r="G480" s="29">
        <v>0</v>
      </c>
      <c r="H480" s="29">
        <v>0</v>
      </c>
      <c r="I480" s="29">
        <v>0</v>
      </c>
      <c r="J480" s="29">
        <v>0</v>
      </c>
      <c r="K480" s="29" t="s">
        <v>882</v>
      </c>
      <c r="L480" s="19" t="str">
        <f t="shared" si="56"/>
        <v>Рихтовка</v>
      </c>
      <c r="M480" s="12">
        <f t="shared" si="57"/>
        <v>0</v>
      </c>
      <c r="N480" s="12">
        <f t="shared" si="58"/>
        <v>0</v>
      </c>
      <c r="O480" s="12">
        <f t="shared" si="59"/>
        <v>0</v>
      </c>
      <c r="P480" s="12">
        <f t="shared" si="60"/>
        <v>0</v>
      </c>
      <c r="Q480" s="12">
        <f t="shared" si="61"/>
        <v>0</v>
      </c>
      <c r="R480" s="12">
        <f t="shared" si="62"/>
        <v>0</v>
      </c>
      <c r="S480" s="12">
        <f t="shared" si="63"/>
        <v>0</v>
      </c>
      <c r="T480" s="29">
        <v>0</v>
      </c>
      <c r="U480" s="29">
        <v>0</v>
      </c>
      <c r="V480" s="29">
        <v>0</v>
      </c>
      <c r="W480" s="29">
        <v>0</v>
      </c>
      <c r="X480" s="29">
        <v>0</v>
      </c>
      <c r="Y480" s="29">
        <v>0</v>
      </c>
      <c r="Z480" s="29">
        <v>0</v>
      </c>
      <c r="AA480" s="29">
        <v>0</v>
      </c>
      <c r="AB480" s="29">
        <v>0</v>
      </c>
      <c r="AC480" s="29">
        <v>0</v>
      </c>
      <c r="AD480" s="29">
        <v>0</v>
      </c>
      <c r="AE480" s="29">
        <v>0</v>
      </c>
      <c r="AF480" s="29">
        <v>0</v>
      </c>
      <c r="AG480" s="29">
        <v>0</v>
      </c>
      <c r="AH480" s="29">
        <v>0</v>
      </c>
      <c r="AI480" s="29">
        <v>0</v>
      </c>
      <c r="AJ480" s="29">
        <v>0</v>
      </c>
      <c r="AK480" s="29">
        <v>0</v>
      </c>
      <c r="AL480" s="29">
        <v>0</v>
      </c>
      <c r="AM480" s="29">
        <v>0</v>
      </c>
      <c r="AN480" s="29">
        <v>0</v>
      </c>
      <c r="AO480" s="29">
        <v>0</v>
      </c>
      <c r="AP480" s="29">
        <v>0</v>
      </c>
    </row>
    <row r="481" spans="1:42" x14ac:dyDescent="0.25">
      <c r="A481" s="29">
        <v>10</v>
      </c>
      <c r="B481" s="29">
        <v>25101</v>
      </c>
      <c r="C481" s="29" t="s">
        <v>217</v>
      </c>
      <c r="D481" s="29" t="s">
        <v>804</v>
      </c>
      <c r="E481" s="29"/>
      <c r="F481" s="29">
        <v>0</v>
      </c>
      <c r="G481" s="29">
        <v>0</v>
      </c>
      <c r="H481" s="29">
        <v>0</v>
      </c>
      <c r="I481" s="29">
        <v>0</v>
      </c>
      <c r="J481" s="29">
        <v>0</v>
      </c>
      <c r="K481" s="29" t="s">
        <v>882</v>
      </c>
      <c r="L481" s="19" t="str">
        <f t="shared" si="56"/>
        <v>Рихтовка</v>
      </c>
      <c r="M481" s="12">
        <f t="shared" si="57"/>
        <v>0</v>
      </c>
      <c r="N481" s="12">
        <f t="shared" si="58"/>
        <v>0</v>
      </c>
      <c r="O481" s="12">
        <f t="shared" si="59"/>
        <v>0</v>
      </c>
      <c r="P481" s="12">
        <f t="shared" si="60"/>
        <v>0</v>
      </c>
      <c r="Q481" s="12">
        <f t="shared" si="61"/>
        <v>0</v>
      </c>
      <c r="R481" s="12">
        <f t="shared" si="62"/>
        <v>0</v>
      </c>
      <c r="S481" s="12">
        <f t="shared" si="63"/>
        <v>0</v>
      </c>
      <c r="T481" s="29">
        <v>0</v>
      </c>
      <c r="U481" s="29">
        <v>0</v>
      </c>
      <c r="V481" s="29">
        <v>0</v>
      </c>
      <c r="W481" s="29">
        <v>0</v>
      </c>
      <c r="X481" s="29">
        <v>0</v>
      </c>
      <c r="Y481" s="29">
        <v>0</v>
      </c>
      <c r="Z481" s="29">
        <v>0</v>
      </c>
      <c r="AA481" s="29">
        <v>0</v>
      </c>
      <c r="AB481" s="29">
        <v>0</v>
      </c>
      <c r="AC481" s="29">
        <v>0</v>
      </c>
      <c r="AD481" s="29">
        <v>0</v>
      </c>
      <c r="AE481" s="29">
        <v>0</v>
      </c>
      <c r="AF481" s="29">
        <v>0</v>
      </c>
      <c r="AG481" s="29">
        <v>0</v>
      </c>
      <c r="AH481" s="29">
        <v>0</v>
      </c>
      <c r="AI481" s="29">
        <v>0</v>
      </c>
      <c r="AJ481" s="29">
        <v>0</v>
      </c>
      <c r="AK481" s="29">
        <v>0</v>
      </c>
      <c r="AL481" s="29">
        <v>0</v>
      </c>
      <c r="AM481" s="29">
        <v>0</v>
      </c>
      <c r="AN481" s="29">
        <v>0</v>
      </c>
      <c r="AO481" s="29">
        <v>0</v>
      </c>
      <c r="AP481" s="29">
        <v>0</v>
      </c>
    </row>
    <row r="482" spans="1:42" x14ac:dyDescent="0.25">
      <c r="A482" s="29">
        <v>10</v>
      </c>
      <c r="B482" s="29">
        <v>25101</v>
      </c>
      <c r="C482" s="29" t="s">
        <v>217</v>
      </c>
      <c r="D482" s="29" t="s">
        <v>805</v>
      </c>
      <c r="E482" s="29"/>
      <c r="F482" s="29">
        <v>0</v>
      </c>
      <c r="G482" s="29">
        <v>0</v>
      </c>
      <c r="H482" s="29">
        <v>0</v>
      </c>
      <c r="I482" s="29">
        <v>0</v>
      </c>
      <c r="J482" s="29">
        <v>0</v>
      </c>
      <c r="K482" s="29" t="s">
        <v>882</v>
      </c>
      <c r="L482" s="19" t="str">
        <f t="shared" si="56"/>
        <v>Рихтовка</v>
      </c>
      <c r="M482" s="12">
        <f t="shared" si="57"/>
        <v>0</v>
      </c>
      <c r="N482" s="12">
        <f t="shared" si="58"/>
        <v>0</v>
      </c>
      <c r="O482" s="12">
        <f t="shared" si="59"/>
        <v>0</v>
      </c>
      <c r="P482" s="12">
        <f t="shared" si="60"/>
        <v>0</v>
      </c>
      <c r="Q482" s="12">
        <f t="shared" si="61"/>
        <v>0</v>
      </c>
      <c r="R482" s="12">
        <f t="shared" si="62"/>
        <v>0</v>
      </c>
      <c r="S482" s="12">
        <f t="shared" si="63"/>
        <v>0</v>
      </c>
      <c r="T482" s="29">
        <v>0</v>
      </c>
      <c r="U482" s="29">
        <v>0</v>
      </c>
      <c r="V482" s="29">
        <v>0</v>
      </c>
      <c r="W482" s="29">
        <v>0</v>
      </c>
      <c r="X482" s="29">
        <v>0</v>
      </c>
      <c r="Y482" s="29">
        <v>0</v>
      </c>
      <c r="Z482" s="29">
        <v>0</v>
      </c>
      <c r="AA482" s="29">
        <v>0</v>
      </c>
      <c r="AB482" s="29">
        <v>0</v>
      </c>
      <c r="AC482" s="29">
        <v>0</v>
      </c>
      <c r="AD482" s="29">
        <v>0</v>
      </c>
      <c r="AE482" s="29">
        <v>0</v>
      </c>
      <c r="AF482" s="29">
        <v>0</v>
      </c>
      <c r="AG482" s="29">
        <v>0</v>
      </c>
      <c r="AH482" s="29">
        <v>0</v>
      </c>
      <c r="AI482" s="29">
        <v>0</v>
      </c>
      <c r="AJ482" s="29">
        <v>0</v>
      </c>
      <c r="AK482" s="29">
        <v>0</v>
      </c>
      <c r="AL482" s="29">
        <v>0</v>
      </c>
      <c r="AM482" s="29">
        <v>0</v>
      </c>
      <c r="AN482" s="29">
        <v>0</v>
      </c>
      <c r="AO482" s="29">
        <v>0</v>
      </c>
      <c r="AP482" s="29">
        <v>0</v>
      </c>
    </row>
    <row r="483" spans="1:42" x14ac:dyDescent="0.25">
      <c r="A483" s="29">
        <v>10</v>
      </c>
      <c r="B483" s="29">
        <v>25102</v>
      </c>
      <c r="C483" s="29" t="s">
        <v>217</v>
      </c>
      <c r="D483" s="29" t="s">
        <v>923</v>
      </c>
      <c r="E483" s="29"/>
      <c r="F483" s="29">
        <v>0</v>
      </c>
      <c r="G483" s="29">
        <v>0</v>
      </c>
      <c r="H483" s="29">
        <v>0</v>
      </c>
      <c r="I483" s="29">
        <v>0</v>
      </c>
      <c r="J483" s="29">
        <v>0</v>
      </c>
      <c r="K483" s="29" t="s">
        <v>882</v>
      </c>
      <c r="L483" s="19" t="str">
        <f t="shared" si="56"/>
        <v>Рихтовка</v>
      </c>
      <c r="M483" s="12">
        <f t="shared" si="57"/>
        <v>0</v>
      </c>
      <c r="N483" s="12">
        <f t="shared" si="58"/>
        <v>0</v>
      </c>
      <c r="O483" s="12">
        <f t="shared" si="59"/>
        <v>0</v>
      </c>
      <c r="P483" s="12">
        <f t="shared" si="60"/>
        <v>0</v>
      </c>
      <c r="Q483" s="12">
        <f t="shared" si="61"/>
        <v>0</v>
      </c>
      <c r="R483" s="12">
        <f t="shared" si="62"/>
        <v>0</v>
      </c>
      <c r="S483" s="12">
        <f t="shared" si="63"/>
        <v>0</v>
      </c>
      <c r="T483" s="29">
        <v>0</v>
      </c>
      <c r="U483" s="29">
        <v>0</v>
      </c>
      <c r="V483" s="29">
        <v>0</v>
      </c>
      <c r="W483" s="29">
        <v>0</v>
      </c>
      <c r="X483" s="29">
        <v>0</v>
      </c>
      <c r="Y483" s="29">
        <v>0</v>
      </c>
      <c r="Z483" s="29">
        <v>0</v>
      </c>
      <c r="AA483" s="29">
        <v>0</v>
      </c>
      <c r="AB483" s="29">
        <v>0</v>
      </c>
      <c r="AC483" s="29">
        <v>0</v>
      </c>
      <c r="AD483" s="29">
        <v>0</v>
      </c>
      <c r="AE483" s="29">
        <v>0</v>
      </c>
      <c r="AF483" s="29">
        <v>0</v>
      </c>
      <c r="AG483" s="29">
        <v>0</v>
      </c>
      <c r="AH483" s="29">
        <v>0</v>
      </c>
      <c r="AI483" s="29">
        <v>0</v>
      </c>
      <c r="AJ483" s="29">
        <v>0</v>
      </c>
      <c r="AK483" s="29">
        <v>0</v>
      </c>
      <c r="AL483" s="29">
        <v>0</v>
      </c>
      <c r="AM483" s="29">
        <v>0</v>
      </c>
      <c r="AN483" s="29">
        <v>0</v>
      </c>
      <c r="AO483" s="29">
        <v>0</v>
      </c>
      <c r="AP483" s="29">
        <v>0</v>
      </c>
    </row>
    <row r="484" spans="1:42" x14ac:dyDescent="0.25">
      <c r="A484" s="29">
        <v>10</v>
      </c>
      <c r="B484" s="29">
        <v>25137</v>
      </c>
      <c r="C484" s="29">
        <v>2</v>
      </c>
      <c r="D484" s="29" t="s">
        <v>924</v>
      </c>
      <c r="E484" s="29"/>
      <c r="F484" s="29">
        <v>0</v>
      </c>
      <c r="G484" s="29">
        <v>0</v>
      </c>
      <c r="H484" s="29">
        <v>0</v>
      </c>
      <c r="I484" s="29">
        <v>0</v>
      </c>
      <c r="J484" s="29">
        <v>0</v>
      </c>
      <c r="K484" s="29" t="s">
        <v>882</v>
      </c>
      <c r="L484" s="19" t="str">
        <f t="shared" si="56"/>
        <v>Рихтовка</v>
      </c>
      <c r="M484" s="12">
        <f t="shared" si="57"/>
        <v>0</v>
      </c>
      <c r="N484" s="12">
        <f t="shared" si="58"/>
        <v>0</v>
      </c>
      <c r="O484" s="12">
        <f t="shared" si="59"/>
        <v>0</v>
      </c>
      <c r="P484" s="12">
        <f t="shared" si="60"/>
        <v>0</v>
      </c>
      <c r="Q484" s="12">
        <f t="shared" si="61"/>
        <v>0</v>
      </c>
      <c r="R484" s="12">
        <f t="shared" si="62"/>
        <v>0</v>
      </c>
      <c r="S484" s="12">
        <f t="shared" si="63"/>
        <v>0</v>
      </c>
      <c r="T484" s="29">
        <v>0</v>
      </c>
      <c r="U484" s="29">
        <v>0</v>
      </c>
      <c r="V484" s="29">
        <v>0</v>
      </c>
      <c r="W484" s="29">
        <v>0</v>
      </c>
      <c r="X484" s="29">
        <v>0</v>
      </c>
      <c r="Y484" s="29">
        <v>0</v>
      </c>
      <c r="Z484" s="29">
        <v>0</v>
      </c>
      <c r="AA484" s="29">
        <v>0</v>
      </c>
      <c r="AB484" s="29">
        <v>0</v>
      </c>
      <c r="AC484" s="29">
        <v>0</v>
      </c>
      <c r="AD484" s="29">
        <v>0</v>
      </c>
      <c r="AE484" s="29">
        <v>0</v>
      </c>
      <c r="AF484" s="29">
        <v>0</v>
      </c>
      <c r="AG484" s="29">
        <v>0</v>
      </c>
      <c r="AH484" s="29">
        <v>0</v>
      </c>
      <c r="AI484" s="29">
        <v>0</v>
      </c>
      <c r="AJ484" s="29">
        <v>0</v>
      </c>
      <c r="AK484" s="29">
        <v>0</v>
      </c>
      <c r="AL484" s="29">
        <v>0</v>
      </c>
      <c r="AM484" s="29">
        <v>0</v>
      </c>
      <c r="AN484" s="29">
        <v>0</v>
      </c>
      <c r="AO484" s="29">
        <v>0</v>
      </c>
      <c r="AP484" s="29">
        <v>0</v>
      </c>
    </row>
    <row r="485" spans="1:42" x14ac:dyDescent="0.25">
      <c r="A485" s="29">
        <v>10</v>
      </c>
      <c r="B485" s="29">
        <v>25102</v>
      </c>
      <c r="C485" s="29" t="s">
        <v>217</v>
      </c>
      <c r="D485" s="29" t="s">
        <v>925</v>
      </c>
      <c r="E485" s="29"/>
      <c r="F485" s="29">
        <v>0</v>
      </c>
      <c r="G485" s="29">
        <v>0</v>
      </c>
      <c r="H485" s="29">
        <v>0</v>
      </c>
      <c r="I485" s="29">
        <v>0</v>
      </c>
      <c r="J485" s="29">
        <v>0</v>
      </c>
      <c r="K485" s="29" t="s">
        <v>882</v>
      </c>
      <c r="L485" s="19" t="str">
        <f t="shared" si="56"/>
        <v>Рихтовка</v>
      </c>
      <c r="M485" s="12">
        <f t="shared" si="57"/>
        <v>0</v>
      </c>
      <c r="N485" s="12">
        <f t="shared" si="58"/>
        <v>0</v>
      </c>
      <c r="O485" s="12">
        <f t="shared" si="59"/>
        <v>0</v>
      </c>
      <c r="P485" s="12">
        <f t="shared" si="60"/>
        <v>0</v>
      </c>
      <c r="Q485" s="12">
        <f t="shared" si="61"/>
        <v>0</v>
      </c>
      <c r="R485" s="12">
        <f t="shared" si="62"/>
        <v>0</v>
      </c>
      <c r="S485" s="12">
        <f t="shared" si="63"/>
        <v>0</v>
      </c>
      <c r="T485" s="29">
        <v>0</v>
      </c>
      <c r="U485" s="29">
        <v>0</v>
      </c>
      <c r="V485" s="29">
        <v>0</v>
      </c>
      <c r="W485" s="29">
        <v>0</v>
      </c>
      <c r="X485" s="29">
        <v>0</v>
      </c>
      <c r="Y485" s="29">
        <v>0</v>
      </c>
      <c r="Z485" s="29">
        <v>0</v>
      </c>
      <c r="AA485" s="29">
        <v>0</v>
      </c>
      <c r="AB485" s="29">
        <v>0</v>
      </c>
      <c r="AC485" s="29">
        <v>0</v>
      </c>
      <c r="AD485" s="29">
        <v>0</v>
      </c>
      <c r="AE485" s="29">
        <v>0</v>
      </c>
      <c r="AF485" s="29">
        <v>0</v>
      </c>
      <c r="AG485" s="29">
        <v>0</v>
      </c>
      <c r="AH485" s="29">
        <v>0</v>
      </c>
      <c r="AI485" s="29">
        <v>0</v>
      </c>
      <c r="AJ485" s="29">
        <v>0</v>
      </c>
      <c r="AK485" s="29">
        <v>0</v>
      </c>
      <c r="AL485" s="29">
        <v>0</v>
      </c>
      <c r="AM485" s="29">
        <v>0</v>
      </c>
      <c r="AN485" s="29">
        <v>0</v>
      </c>
      <c r="AO485" s="29">
        <v>0</v>
      </c>
      <c r="AP485" s="29">
        <v>0</v>
      </c>
    </row>
    <row r="486" spans="1:42" x14ac:dyDescent="0.25">
      <c r="A486" s="29">
        <v>10</v>
      </c>
      <c r="B486" s="29">
        <v>25102</v>
      </c>
      <c r="C486" s="29" t="s">
        <v>217</v>
      </c>
      <c r="D486" s="29" t="s">
        <v>926</v>
      </c>
      <c r="E486" s="29"/>
      <c r="F486" s="29">
        <v>0</v>
      </c>
      <c r="G486" s="29">
        <v>0</v>
      </c>
      <c r="H486" s="29">
        <v>0</v>
      </c>
      <c r="I486" s="29">
        <v>0</v>
      </c>
      <c r="J486" s="29">
        <v>0</v>
      </c>
      <c r="K486" s="29" t="s">
        <v>882</v>
      </c>
      <c r="L486" s="19" t="str">
        <f t="shared" si="56"/>
        <v>Рихтовка</v>
      </c>
      <c r="M486" s="12">
        <f t="shared" si="57"/>
        <v>0</v>
      </c>
      <c r="N486" s="12">
        <f t="shared" si="58"/>
        <v>0</v>
      </c>
      <c r="O486" s="12">
        <f t="shared" si="59"/>
        <v>0</v>
      </c>
      <c r="P486" s="12">
        <f t="shared" si="60"/>
        <v>0</v>
      </c>
      <c r="Q486" s="12">
        <f t="shared" si="61"/>
        <v>0</v>
      </c>
      <c r="R486" s="12">
        <f t="shared" si="62"/>
        <v>0</v>
      </c>
      <c r="S486" s="12">
        <f t="shared" si="63"/>
        <v>0</v>
      </c>
      <c r="T486" s="29">
        <v>0</v>
      </c>
      <c r="U486" s="29">
        <v>0</v>
      </c>
      <c r="V486" s="29">
        <v>0</v>
      </c>
      <c r="W486" s="29">
        <v>0</v>
      </c>
      <c r="X486" s="29">
        <v>0</v>
      </c>
      <c r="Y486" s="29">
        <v>0</v>
      </c>
      <c r="Z486" s="29">
        <v>0</v>
      </c>
      <c r="AA486" s="29">
        <v>0</v>
      </c>
      <c r="AB486" s="29">
        <v>0</v>
      </c>
      <c r="AC486" s="29">
        <v>0</v>
      </c>
      <c r="AD486" s="29">
        <v>0</v>
      </c>
      <c r="AE486" s="29">
        <v>0</v>
      </c>
      <c r="AF486" s="29">
        <v>0</v>
      </c>
      <c r="AG486" s="29">
        <v>0</v>
      </c>
      <c r="AH486" s="29">
        <v>0</v>
      </c>
      <c r="AI486" s="29">
        <v>0</v>
      </c>
      <c r="AJ486" s="29">
        <v>0</v>
      </c>
      <c r="AK486" s="29">
        <v>0</v>
      </c>
      <c r="AL486" s="29">
        <v>0</v>
      </c>
      <c r="AM486" s="29">
        <v>0</v>
      </c>
      <c r="AN486" s="29">
        <v>0</v>
      </c>
      <c r="AO486" s="29">
        <v>0</v>
      </c>
      <c r="AP486" s="29">
        <v>0</v>
      </c>
    </row>
    <row r="487" spans="1:42" x14ac:dyDescent="0.25">
      <c r="A487" s="29">
        <v>10</v>
      </c>
      <c r="B487" s="29">
        <v>25102</v>
      </c>
      <c r="C487" s="29" t="s">
        <v>217</v>
      </c>
      <c r="D487" s="29" t="s">
        <v>927</v>
      </c>
      <c r="E487" s="29"/>
      <c r="F487" s="29">
        <v>0</v>
      </c>
      <c r="G487" s="29">
        <v>0</v>
      </c>
      <c r="H487" s="29">
        <v>0</v>
      </c>
      <c r="I487" s="29">
        <v>0</v>
      </c>
      <c r="J487" s="29">
        <v>0</v>
      </c>
      <c r="K487" s="29" t="s">
        <v>882</v>
      </c>
      <c r="L487" s="19" t="str">
        <f t="shared" si="56"/>
        <v>Рихтовка</v>
      </c>
      <c r="M487" s="12">
        <f t="shared" si="57"/>
        <v>0</v>
      </c>
      <c r="N487" s="12">
        <f t="shared" si="58"/>
        <v>0</v>
      </c>
      <c r="O487" s="12">
        <f t="shared" si="59"/>
        <v>0</v>
      </c>
      <c r="P487" s="12">
        <f t="shared" si="60"/>
        <v>0</v>
      </c>
      <c r="Q487" s="12">
        <f t="shared" si="61"/>
        <v>0</v>
      </c>
      <c r="R487" s="12">
        <f t="shared" si="62"/>
        <v>0</v>
      </c>
      <c r="S487" s="12">
        <f t="shared" si="63"/>
        <v>0</v>
      </c>
      <c r="T487" s="29">
        <v>0</v>
      </c>
      <c r="U487" s="29">
        <v>0</v>
      </c>
      <c r="V487" s="29">
        <v>0</v>
      </c>
      <c r="W487" s="29">
        <v>0</v>
      </c>
      <c r="X487" s="29">
        <v>0</v>
      </c>
      <c r="Y487" s="29">
        <v>0</v>
      </c>
      <c r="Z487" s="29">
        <v>0</v>
      </c>
      <c r="AA487" s="29">
        <v>0</v>
      </c>
      <c r="AB487" s="29">
        <v>0</v>
      </c>
      <c r="AC487" s="29">
        <v>0</v>
      </c>
      <c r="AD487" s="29">
        <v>0</v>
      </c>
      <c r="AE487" s="29">
        <v>0</v>
      </c>
      <c r="AF487" s="29">
        <v>0</v>
      </c>
      <c r="AG487" s="29">
        <v>0</v>
      </c>
      <c r="AH487" s="29">
        <v>0</v>
      </c>
      <c r="AI487" s="29">
        <v>0</v>
      </c>
      <c r="AJ487" s="29">
        <v>0</v>
      </c>
      <c r="AK487" s="29">
        <v>0</v>
      </c>
      <c r="AL487" s="29">
        <v>0</v>
      </c>
      <c r="AM487" s="29">
        <v>0</v>
      </c>
      <c r="AN487" s="29">
        <v>0</v>
      </c>
      <c r="AO487" s="29">
        <v>0</v>
      </c>
      <c r="AP487" s="29">
        <v>0</v>
      </c>
    </row>
    <row r="488" spans="1:42" x14ac:dyDescent="0.25">
      <c r="A488" s="29">
        <v>10</v>
      </c>
      <c r="B488" s="29">
        <v>25102</v>
      </c>
      <c r="C488" s="29" t="s">
        <v>217</v>
      </c>
      <c r="D488" s="29" t="s">
        <v>928</v>
      </c>
      <c r="E488" s="29"/>
      <c r="F488" s="29">
        <v>0</v>
      </c>
      <c r="G488" s="29">
        <v>0</v>
      </c>
      <c r="H488" s="29">
        <v>0</v>
      </c>
      <c r="I488" s="29">
        <v>0</v>
      </c>
      <c r="J488" s="29">
        <v>0</v>
      </c>
      <c r="K488" s="29" t="s">
        <v>882</v>
      </c>
      <c r="L488" s="19" t="str">
        <f t="shared" si="56"/>
        <v>Рихтовка</v>
      </c>
      <c r="M488" s="12">
        <f t="shared" si="57"/>
        <v>0</v>
      </c>
      <c r="N488" s="12">
        <f t="shared" si="58"/>
        <v>0</v>
      </c>
      <c r="O488" s="12">
        <f t="shared" si="59"/>
        <v>0</v>
      </c>
      <c r="P488" s="12">
        <f t="shared" si="60"/>
        <v>0</v>
      </c>
      <c r="Q488" s="12">
        <f t="shared" si="61"/>
        <v>0</v>
      </c>
      <c r="R488" s="12">
        <f t="shared" si="62"/>
        <v>0</v>
      </c>
      <c r="S488" s="12">
        <f t="shared" si="63"/>
        <v>0</v>
      </c>
      <c r="T488" s="29">
        <v>0</v>
      </c>
      <c r="U488" s="29">
        <v>0</v>
      </c>
      <c r="V488" s="29">
        <v>0</v>
      </c>
      <c r="W488" s="29">
        <v>0</v>
      </c>
      <c r="X488" s="29">
        <v>0</v>
      </c>
      <c r="Y488" s="29">
        <v>0</v>
      </c>
      <c r="Z488" s="29">
        <v>0</v>
      </c>
      <c r="AA488" s="29">
        <v>0</v>
      </c>
      <c r="AB488" s="29">
        <v>0</v>
      </c>
      <c r="AC488" s="29">
        <v>0</v>
      </c>
      <c r="AD488" s="29">
        <v>0</v>
      </c>
      <c r="AE488" s="29">
        <v>0</v>
      </c>
      <c r="AF488" s="29">
        <v>0</v>
      </c>
      <c r="AG488" s="29">
        <v>0</v>
      </c>
      <c r="AH488" s="29">
        <v>0</v>
      </c>
      <c r="AI488" s="29">
        <v>0</v>
      </c>
      <c r="AJ488" s="29">
        <v>0</v>
      </c>
      <c r="AK488" s="29">
        <v>0</v>
      </c>
      <c r="AL488" s="29">
        <v>0</v>
      </c>
      <c r="AM488" s="29">
        <v>0</v>
      </c>
      <c r="AN488" s="29">
        <v>0</v>
      </c>
      <c r="AO488" s="29">
        <v>0</v>
      </c>
      <c r="AP488" s="29">
        <v>0</v>
      </c>
    </row>
    <row r="489" spans="1:42" x14ac:dyDescent="0.25">
      <c r="A489" s="29">
        <v>10</v>
      </c>
      <c r="B489" s="29">
        <v>25102</v>
      </c>
      <c r="C489" s="29" t="s">
        <v>217</v>
      </c>
      <c r="D489" s="29" t="s">
        <v>929</v>
      </c>
      <c r="E489" s="29"/>
      <c r="F489" s="29">
        <v>0</v>
      </c>
      <c r="G489" s="29">
        <v>0</v>
      </c>
      <c r="H489" s="29">
        <v>0</v>
      </c>
      <c r="I489" s="29">
        <v>0</v>
      </c>
      <c r="J489" s="29">
        <v>0</v>
      </c>
      <c r="K489" s="29" t="s">
        <v>882</v>
      </c>
      <c r="L489" s="19" t="str">
        <f t="shared" si="56"/>
        <v>Рихтовка</v>
      </c>
      <c r="M489" s="12">
        <f t="shared" si="57"/>
        <v>0</v>
      </c>
      <c r="N489" s="12">
        <f t="shared" si="58"/>
        <v>0</v>
      </c>
      <c r="O489" s="12">
        <f t="shared" si="59"/>
        <v>0</v>
      </c>
      <c r="P489" s="12">
        <f t="shared" si="60"/>
        <v>0</v>
      </c>
      <c r="Q489" s="12">
        <f t="shared" si="61"/>
        <v>0</v>
      </c>
      <c r="R489" s="12">
        <f t="shared" si="62"/>
        <v>0</v>
      </c>
      <c r="S489" s="12">
        <f t="shared" si="63"/>
        <v>0</v>
      </c>
      <c r="T489" s="29">
        <v>0</v>
      </c>
      <c r="U489" s="29">
        <v>0</v>
      </c>
      <c r="V489" s="29">
        <v>0</v>
      </c>
      <c r="W489" s="29">
        <v>0</v>
      </c>
      <c r="X489" s="29">
        <v>0</v>
      </c>
      <c r="Y489" s="29">
        <v>0</v>
      </c>
      <c r="Z489" s="29">
        <v>0</v>
      </c>
      <c r="AA489" s="29">
        <v>0</v>
      </c>
      <c r="AB489" s="29">
        <v>0</v>
      </c>
      <c r="AC489" s="29">
        <v>0</v>
      </c>
      <c r="AD489" s="29">
        <v>0</v>
      </c>
      <c r="AE489" s="29">
        <v>0</v>
      </c>
      <c r="AF489" s="29">
        <v>0</v>
      </c>
      <c r="AG489" s="29">
        <v>0</v>
      </c>
      <c r="AH489" s="29">
        <v>0</v>
      </c>
      <c r="AI489" s="29">
        <v>0</v>
      </c>
      <c r="AJ489" s="29">
        <v>0</v>
      </c>
      <c r="AK489" s="29">
        <v>0</v>
      </c>
      <c r="AL489" s="29">
        <v>0</v>
      </c>
      <c r="AM489" s="29">
        <v>0</v>
      </c>
      <c r="AN489" s="29">
        <v>0</v>
      </c>
      <c r="AO489" s="29">
        <v>0</v>
      </c>
      <c r="AP489" s="29">
        <v>0</v>
      </c>
    </row>
    <row r="490" spans="1:42" x14ac:dyDescent="0.25">
      <c r="A490" s="29">
        <v>11</v>
      </c>
      <c r="B490" s="29">
        <v>13809</v>
      </c>
      <c r="C490" s="29">
        <v>1</v>
      </c>
      <c r="D490" s="29" t="s">
        <v>806</v>
      </c>
      <c r="E490" s="29"/>
      <c r="F490" s="29">
        <v>0</v>
      </c>
      <c r="G490" s="29">
        <v>0</v>
      </c>
      <c r="H490" s="29">
        <v>0</v>
      </c>
      <c r="I490" s="29">
        <v>0</v>
      </c>
      <c r="J490" s="29">
        <v>0</v>
      </c>
      <c r="K490" s="29" t="s">
        <v>882</v>
      </c>
      <c r="L490" s="19" t="str">
        <f t="shared" si="56"/>
        <v>Рихтовка</v>
      </c>
      <c r="M490" s="12">
        <f t="shared" si="57"/>
        <v>0</v>
      </c>
      <c r="N490" s="12">
        <f t="shared" si="58"/>
        <v>0</v>
      </c>
      <c r="O490" s="12">
        <f t="shared" si="59"/>
        <v>0</v>
      </c>
      <c r="P490" s="12">
        <f t="shared" si="60"/>
        <v>0</v>
      </c>
      <c r="Q490" s="12">
        <f t="shared" si="61"/>
        <v>0</v>
      </c>
      <c r="R490" s="12">
        <f t="shared" si="62"/>
        <v>0</v>
      </c>
      <c r="S490" s="12">
        <f t="shared" si="63"/>
        <v>0</v>
      </c>
      <c r="T490" s="29">
        <v>0</v>
      </c>
      <c r="U490" s="29">
        <v>0</v>
      </c>
      <c r="V490" s="29">
        <v>0</v>
      </c>
      <c r="W490" s="29">
        <v>0</v>
      </c>
      <c r="X490" s="29">
        <v>0</v>
      </c>
      <c r="Y490" s="29">
        <v>0</v>
      </c>
      <c r="Z490" s="29">
        <v>0</v>
      </c>
      <c r="AA490" s="29">
        <v>0</v>
      </c>
      <c r="AB490" s="29">
        <v>0</v>
      </c>
      <c r="AC490" s="29">
        <v>0</v>
      </c>
      <c r="AD490" s="29">
        <v>0</v>
      </c>
      <c r="AE490" s="29">
        <v>0</v>
      </c>
      <c r="AF490" s="29">
        <v>0</v>
      </c>
      <c r="AG490" s="29">
        <v>0</v>
      </c>
      <c r="AH490" s="29">
        <v>0</v>
      </c>
      <c r="AI490" s="29">
        <v>0</v>
      </c>
      <c r="AJ490" s="29">
        <v>0</v>
      </c>
      <c r="AK490" s="29">
        <v>0</v>
      </c>
      <c r="AL490" s="29">
        <v>0</v>
      </c>
      <c r="AM490" s="29">
        <v>0</v>
      </c>
      <c r="AN490" s="29">
        <v>0</v>
      </c>
      <c r="AO490" s="29">
        <v>0</v>
      </c>
      <c r="AP490" s="29">
        <v>0</v>
      </c>
    </row>
    <row r="491" spans="1:42" x14ac:dyDescent="0.25">
      <c r="A491" s="29">
        <v>11</v>
      </c>
      <c r="B491" s="29">
        <v>13809</v>
      </c>
      <c r="C491" s="29">
        <v>1</v>
      </c>
      <c r="D491" s="29" t="s">
        <v>807</v>
      </c>
      <c r="E491" s="29"/>
      <c r="F491" s="29">
        <v>0</v>
      </c>
      <c r="G491" s="29">
        <v>0</v>
      </c>
      <c r="H491" s="29">
        <v>0</v>
      </c>
      <c r="I491" s="29">
        <v>0</v>
      </c>
      <c r="J491" s="29">
        <v>0</v>
      </c>
      <c r="K491" s="29" t="s">
        <v>882</v>
      </c>
      <c r="L491" s="19" t="str">
        <f t="shared" si="56"/>
        <v>Рихтовка</v>
      </c>
      <c r="M491" s="12">
        <f t="shared" si="57"/>
        <v>0</v>
      </c>
      <c r="N491" s="12">
        <f t="shared" si="58"/>
        <v>0</v>
      </c>
      <c r="O491" s="12">
        <f t="shared" si="59"/>
        <v>0</v>
      </c>
      <c r="P491" s="12">
        <f t="shared" si="60"/>
        <v>0</v>
      </c>
      <c r="Q491" s="12">
        <f t="shared" si="61"/>
        <v>0</v>
      </c>
      <c r="R491" s="12">
        <f t="shared" si="62"/>
        <v>0</v>
      </c>
      <c r="S491" s="12">
        <f t="shared" si="63"/>
        <v>0</v>
      </c>
      <c r="T491" s="29">
        <v>0</v>
      </c>
      <c r="U491" s="29">
        <v>0</v>
      </c>
      <c r="V491" s="29">
        <v>0</v>
      </c>
      <c r="W491" s="29">
        <v>0</v>
      </c>
      <c r="X491" s="29">
        <v>0</v>
      </c>
      <c r="Y491" s="29">
        <v>0</v>
      </c>
      <c r="Z491" s="29">
        <v>0</v>
      </c>
      <c r="AA491" s="29">
        <v>0</v>
      </c>
      <c r="AB491" s="29">
        <v>0</v>
      </c>
      <c r="AC491" s="29">
        <v>0</v>
      </c>
      <c r="AD491" s="29">
        <v>0</v>
      </c>
      <c r="AE491" s="29">
        <v>0</v>
      </c>
      <c r="AF491" s="29">
        <v>0</v>
      </c>
      <c r="AG491" s="29">
        <v>0</v>
      </c>
      <c r="AH491" s="29">
        <v>0</v>
      </c>
      <c r="AI491" s="29">
        <v>0</v>
      </c>
      <c r="AJ491" s="29">
        <v>0</v>
      </c>
      <c r="AK491" s="29">
        <v>0</v>
      </c>
      <c r="AL491" s="29">
        <v>0</v>
      </c>
      <c r="AM491" s="29">
        <v>0</v>
      </c>
      <c r="AN491" s="29">
        <v>0</v>
      </c>
      <c r="AO491" s="29">
        <v>0</v>
      </c>
      <c r="AP491" s="29">
        <v>0</v>
      </c>
    </row>
    <row r="492" spans="1:42" x14ac:dyDescent="0.25">
      <c r="A492" s="29">
        <v>11</v>
      </c>
      <c r="B492" s="29">
        <v>13809</v>
      </c>
      <c r="C492" s="29">
        <v>1</v>
      </c>
      <c r="D492" s="29" t="s">
        <v>808</v>
      </c>
      <c r="E492" s="29"/>
      <c r="F492" s="29">
        <v>0</v>
      </c>
      <c r="G492" s="29">
        <v>0</v>
      </c>
      <c r="H492" s="29">
        <v>0</v>
      </c>
      <c r="I492" s="29">
        <v>0</v>
      </c>
      <c r="J492" s="29">
        <v>0</v>
      </c>
      <c r="K492" s="29" t="s">
        <v>882</v>
      </c>
      <c r="L492" s="19" t="str">
        <f t="shared" si="56"/>
        <v>Рихтовка</v>
      </c>
      <c r="M492" s="12">
        <f t="shared" si="57"/>
        <v>0</v>
      </c>
      <c r="N492" s="12">
        <f t="shared" si="58"/>
        <v>0</v>
      </c>
      <c r="O492" s="12">
        <f t="shared" si="59"/>
        <v>0</v>
      </c>
      <c r="P492" s="12">
        <f t="shared" si="60"/>
        <v>0</v>
      </c>
      <c r="Q492" s="12">
        <f t="shared" si="61"/>
        <v>0</v>
      </c>
      <c r="R492" s="12">
        <f t="shared" si="62"/>
        <v>0</v>
      </c>
      <c r="S492" s="12">
        <f t="shared" si="63"/>
        <v>0</v>
      </c>
      <c r="T492" s="29">
        <v>0</v>
      </c>
      <c r="U492" s="29">
        <v>0</v>
      </c>
      <c r="V492" s="29">
        <v>0</v>
      </c>
      <c r="W492" s="29">
        <v>0</v>
      </c>
      <c r="X492" s="29">
        <v>0</v>
      </c>
      <c r="Y492" s="29">
        <v>0</v>
      </c>
      <c r="Z492" s="29">
        <v>0</v>
      </c>
      <c r="AA492" s="29">
        <v>0</v>
      </c>
      <c r="AB492" s="29">
        <v>0</v>
      </c>
      <c r="AC492" s="29">
        <v>0</v>
      </c>
      <c r="AD492" s="29">
        <v>0</v>
      </c>
      <c r="AE492" s="29">
        <v>0</v>
      </c>
      <c r="AF492" s="29">
        <v>0</v>
      </c>
      <c r="AG492" s="29">
        <v>0</v>
      </c>
      <c r="AH492" s="29">
        <v>0</v>
      </c>
      <c r="AI492" s="29">
        <v>0</v>
      </c>
      <c r="AJ492" s="29">
        <v>0</v>
      </c>
      <c r="AK492" s="29">
        <v>0</v>
      </c>
      <c r="AL492" s="29">
        <v>0</v>
      </c>
      <c r="AM492" s="29">
        <v>0</v>
      </c>
      <c r="AN492" s="29">
        <v>0</v>
      </c>
      <c r="AO492" s="29">
        <v>0</v>
      </c>
      <c r="AP492" s="29">
        <v>0</v>
      </c>
    </row>
    <row r="493" spans="1:42" x14ac:dyDescent="0.25">
      <c r="A493" s="29">
        <v>11</v>
      </c>
      <c r="B493" s="29">
        <v>13809</v>
      </c>
      <c r="C493" s="29">
        <v>1</v>
      </c>
      <c r="D493" s="29" t="s">
        <v>809</v>
      </c>
      <c r="E493" s="29"/>
      <c r="F493" s="29">
        <v>0</v>
      </c>
      <c r="G493" s="29">
        <v>0</v>
      </c>
      <c r="H493" s="29">
        <v>0</v>
      </c>
      <c r="I493" s="29">
        <v>0</v>
      </c>
      <c r="J493" s="29">
        <v>0</v>
      </c>
      <c r="K493" s="29" t="s">
        <v>882</v>
      </c>
      <c r="L493" s="19" t="str">
        <f t="shared" si="56"/>
        <v>Рихтовка</v>
      </c>
      <c r="M493" s="12">
        <f t="shared" si="57"/>
        <v>0</v>
      </c>
      <c r="N493" s="12">
        <f t="shared" si="58"/>
        <v>0</v>
      </c>
      <c r="O493" s="12">
        <f t="shared" si="59"/>
        <v>0</v>
      </c>
      <c r="P493" s="12">
        <f t="shared" si="60"/>
        <v>0</v>
      </c>
      <c r="Q493" s="12">
        <f t="shared" si="61"/>
        <v>0</v>
      </c>
      <c r="R493" s="12">
        <f t="shared" si="62"/>
        <v>0</v>
      </c>
      <c r="S493" s="12">
        <f t="shared" si="63"/>
        <v>0</v>
      </c>
      <c r="T493" s="29">
        <v>0</v>
      </c>
      <c r="U493" s="29">
        <v>0</v>
      </c>
      <c r="V493" s="29">
        <v>0</v>
      </c>
      <c r="W493" s="29">
        <v>0</v>
      </c>
      <c r="X493" s="29">
        <v>0</v>
      </c>
      <c r="Y493" s="29">
        <v>0</v>
      </c>
      <c r="Z493" s="29">
        <v>0</v>
      </c>
      <c r="AA493" s="29">
        <v>0</v>
      </c>
      <c r="AB493" s="29">
        <v>0</v>
      </c>
      <c r="AC493" s="29">
        <v>0</v>
      </c>
      <c r="AD493" s="29">
        <v>0</v>
      </c>
      <c r="AE493" s="29">
        <v>0</v>
      </c>
      <c r="AF493" s="29">
        <v>0</v>
      </c>
      <c r="AG493" s="29">
        <v>0</v>
      </c>
      <c r="AH493" s="29">
        <v>0</v>
      </c>
      <c r="AI493" s="29">
        <v>0</v>
      </c>
      <c r="AJ493" s="29">
        <v>0</v>
      </c>
      <c r="AK493" s="29">
        <v>0</v>
      </c>
      <c r="AL493" s="29">
        <v>0</v>
      </c>
      <c r="AM493" s="29">
        <v>0</v>
      </c>
      <c r="AN493" s="29">
        <v>0</v>
      </c>
      <c r="AO493" s="29">
        <v>0</v>
      </c>
      <c r="AP493" s="29">
        <v>0</v>
      </c>
    </row>
    <row r="494" spans="1:42" x14ac:dyDescent="0.25">
      <c r="A494" s="29">
        <v>11</v>
      </c>
      <c r="B494" s="29">
        <v>13809</v>
      </c>
      <c r="C494" s="29">
        <v>1</v>
      </c>
      <c r="D494" s="29" t="s">
        <v>810</v>
      </c>
      <c r="E494" s="29"/>
      <c r="F494" s="29">
        <v>0</v>
      </c>
      <c r="G494" s="29">
        <v>0</v>
      </c>
      <c r="H494" s="29">
        <v>0</v>
      </c>
      <c r="I494" s="29">
        <v>0</v>
      </c>
      <c r="J494" s="29">
        <v>0</v>
      </c>
      <c r="K494" s="29" t="s">
        <v>882</v>
      </c>
      <c r="L494" s="19" t="str">
        <f t="shared" si="56"/>
        <v>Рихтовка</v>
      </c>
      <c r="M494" s="12">
        <f t="shared" si="57"/>
        <v>0</v>
      </c>
      <c r="N494" s="12">
        <f t="shared" si="58"/>
        <v>0</v>
      </c>
      <c r="O494" s="12">
        <f t="shared" si="59"/>
        <v>0</v>
      </c>
      <c r="P494" s="12">
        <f t="shared" si="60"/>
        <v>0</v>
      </c>
      <c r="Q494" s="12">
        <f t="shared" si="61"/>
        <v>0</v>
      </c>
      <c r="R494" s="12">
        <f t="shared" si="62"/>
        <v>0</v>
      </c>
      <c r="S494" s="12">
        <f t="shared" si="63"/>
        <v>0</v>
      </c>
      <c r="T494" s="29">
        <v>0</v>
      </c>
      <c r="U494" s="29">
        <v>0</v>
      </c>
      <c r="V494" s="29">
        <v>0</v>
      </c>
      <c r="W494" s="29">
        <v>0</v>
      </c>
      <c r="X494" s="29">
        <v>0</v>
      </c>
      <c r="Y494" s="29">
        <v>0</v>
      </c>
      <c r="Z494" s="29">
        <v>0</v>
      </c>
      <c r="AA494" s="29">
        <v>0</v>
      </c>
      <c r="AB494" s="29">
        <v>0</v>
      </c>
      <c r="AC494" s="29">
        <v>0</v>
      </c>
      <c r="AD494" s="29">
        <v>0</v>
      </c>
      <c r="AE494" s="29">
        <v>0</v>
      </c>
      <c r="AF494" s="29">
        <v>0</v>
      </c>
      <c r="AG494" s="29">
        <v>0</v>
      </c>
      <c r="AH494" s="29">
        <v>0</v>
      </c>
      <c r="AI494" s="29">
        <v>0</v>
      </c>
      <c r="AJ494" s="29">
        <v>0</v>
      </c>
      <c r="AK494" s="29">
        <v>0</v>
      </c>
      <c r="AL494" s="29">
        <v>0</v>
      </c>
      <c r="AM494" s="29">
        <v>0</v>
      </c>
      <c r="AN494" s="29">
        <v>0</v>
      </c>
      <c r="AO494" s="29">
        <v>0</v>
      </c>
      <c r="AP494" s="29">
        <v>0</v>
      </c>
    </row>
    <row r="495" spans="1:42" x14ac:dyDescent="0.25">
      <c r="A495" s="29">
        <v>11</v>
      </c>
      <c r="B495" s="29">
        <v>13809</v>
      </c>
      <c r="C495" s="29">
        <v>1</v>
      </c>
      <c r="D495" s="29" t="s">
        <v>811</v>
      </c>
      <c r="E495" s="29"/>
      <c r="F495" s="29">
        <v>0</v>
      </c>
      <c r="G495" s="29">
        <v>0</v>
      </c>
      <c r="H495" s="29">
        <v>0</v>
      </c>
      <c r="I495" s="29">
        <v>0</v>
      </c>
      <c r="J495" s="29">
        <v>0</v>
      </c>
      <c r="K495" s="29" t="s">
        <v>882</v>
      </c>
      <c r="L495" s="19" t="str">
        <f t="shared" si="56"/>
        <v>Рихтовка</v>
      </c>
      <c r="M495" s="12">
        <f t="shared" si="57"/>
        <v>0</v>
      </c>
      <c r="N495" s="12">
        <f t="shared" si="58"/>
        <v>0</v>
      </c>
      <c r="O495" s="12">
        <f t="shared" si="59"/>
        <v>0</v>
      </c>
      <c r="P495" s="12">
        <f t="shared" si="60"/>
        <v>0</v>
      </c>
      <c r="Q495" s="12">
        <f t="shared" si="61"/>
        <v>0</v>
      </c>
      <c r="R495" s="12">
        <f t="shared" si="62"/>
        <v>0</v>
      </c>
      <c r="S495" s="12">
        <f t="shared" si="63"/>
        <v>0</v>
      </c>
      <c r="T495" s="29">
        <v>0</v>
      </c>
      <c r="U495" s="29">
        <v>0</v>
      </c>
      <c r="V495" s="29">
        <v>0</v>
      </c>
      <c r="W495" s="29">
        <v>0</v>
      </c>
      <c r="X495" s="29">
        <v>0</v>
      </c>
      <c r="Y495" s="29">
        <v>0</v>
      </c>
      <c r="Z495" s="29">
        <v>0</v>
      </c>
      <c r="AA495" s="29">
        <v>0</v>
      </c>
      <c r="AB495" s="29">
        <v>0</v>
      </c>
      <c r="AC495" s="29">
        <v>0</v>
      </c>
      <c r="AD495" s="29">
        <v>0</v>
      </c>
      <c r="AE495" s="29">
        <v>0</v>
      </c>
      <c r="AF495" s="29">
        <v>0</v>
      </c>
      <c r="AG495" s="29">
        <v>0</v>
      </c>
      <c r="AH495" s="29">
        <v>0</v>
      </c>
      <c r="AI495" s="29">
        <v>0</v>
      </c>
      <c r="AJ495" s="29">
        <v>0</v>
      </c>
      <c r="AK495" s="29">
        <v>0</v>
      </c>
      <c r="AL495" s="29">
        <v>0</v>
      </c>
      <c r="AM495" s="29">
        <v>0</v>
      </c>
      <c r="AN495" s="29">
        <v>0</v>
      </c>
      <c r="AO495" s="29">
        <v>0</v>
      </c>
      <c r="AP495" s="29">
        <v>0</v>
      </c>
    </row>
    <row r="496" spans="1:42" x14ac:dyDescent="0.25">
      <c r="A496" s="29">
        <v>11</v>
      </c>
      <c r="B496" s="29">
        <v>13809</v>
      </c>
      <c r="C496" s="29">
        <v>1</v>
      </c>
      <c r="D496" s="29" t="s">
        <v>812</v>
      </c>
      <c r="E496" s="29"/>
      <c r="F496" s="29">
        <v>0</v>
      </c>
      <c r="G496" s="29">
        <v>0</v>
      </c>
      <c r="H496" s="29">
        <v>0</v>
      </c>
      <c r="I496" s="29">
        <v>0</v>
      </c>
      <c r="J496" s="29">
        <v>0</v>
      </c>
      <c r="K496" s="29" t="s">
        <v>882</v>
      </c>
      <c r="L496" s="19" t="str">
        <f t="shared" si="56"/>
        <v>Рихтовка</v>
      </c>
      <c r="M496" s="12">
        <f t="shared" si="57"/>
        <v>0</v>
      </c>
      <c r="N496" s="12">
        <f t="shared" si="58"/>
        <v>0</v>
      </c>
      <c r="O496" s="12">
        <f t="shared" si="59"/>
        <v>0</v>
      </c>
      <c r="P496" s="12">
        <f t="shared" si="60"/>
        <v>0</v>
      </c>
      <c r="Q496" s="12">
        <f t="shared" si="61"/>
        <v>0</v>
      </c>
      <c r="R496" s="12">
        <f t="shared" si="62"/>
        <v>0</v>
      </c>
      <c r="S496" s="12">
        <f t="shared" si="63"/>
        <v>0</v>
      </c>
      <c r="T496" s="29">
        <v>0</v>
      </c>
      <c r="U496" s="29">
        <v>0</v>
      </c>
      <c r="V496" s="29">
        <v>0</v>
      </c>
      <c r="W496" s="29">
        <v>0</v>
      </c>
      <c r="X496" s="29">
        <v>0</v>
      </c>
      <c r="Y496" s="29">
        <v>0</v>
      </c>
      <c r="Z496" s="29">
        <v>0</v>
      </c>
      <c r="AA496" s="29">
        <v>0</v>
      </c>
      <c r="AB496" s="29">
        <v>0</v>
      </c>
      <c r="AC496" s="29">
        <v>0</v>
      </c>
      <c r="AD496" s="29">
        <v>0</v>
      </c>
      <c r="AE496" s="29">
        <v>0</v>
      </c>
      <c r="AF496" s="29">
        <v>0</v>
      </c>
      <c r="AG496" s="29">
        <v>0</v>
      </c>
      <c r="AH496" s="29">
        <v>0</v>
      </c>
      <c r="AI496" s="29">
        <v>0</v>
      </c>
      <c r="AJ496" s="29">
        <v>0</v>
      </c>
      <c r="AK496" s="29">
        <v>0</v>
      </c>
      <c r="AL496" s="29">
        <v>0</v>
      </c>
      <c r="AM496" s="29">
        <v>0</v>
      </c>
      <c r="AN496" s="29">
        <v>0</v>
      </c>
      <c r="AO496" s="29">
        <v>0</v>
      </c>
      <c r="AP496" s="29">
        <v>0</v>
      </c>
    </row>
    <row r="497" spans="1:42" x14ac:dyDescent="0.25">
      <c r="A497" s="29">
        <v>11</v>
      </c>
      <c r="B497" s="29">
        <v>13809</v>
      </c>
      <c r="C497" s="29">
        <v>1</v>
      </c>
      <c r="D497" s="29" t="s">
        <v>813</v>
      </c>
      <c r="E497" s="29"/>
      <c r="F497" s="29">
        <v>0</v>
      </c>
      <c r="G497" s="29">
        <v>0</v>
      </c>
      <c r="H497" s="29">
        <v>0</v>
      </c>
      <c r="I497" s="29">
        <v>0</v>
      </c>
      <c r="J497" s="29">
        <v>0</v>
      </c>
      <c r="K497" s="29" t="s">
        <v>882</v>
      </c>
      <c r="L497" s="19" t="str">
        <f t="shared" si="56"/>
        <v>Рихтовка</v>
      </c>
      <c r="M497" s="12">
        <f t="shared" si="57"/>
        <v>0</v>
      </c>
      <c r="N497" s="12">
        <f t="shared" si="58"/>
        <v>0</v>
      </c>
      <c r="O497" s="12">
        <f t="shared" si="59"/>
        <v>0</v>
      </c>
      <c r="P497" s="12">
        <f t="shared" si="60"/>
        <v>0</v>
      </c>
      <c r="Q497" s="12">
        <f t="shared" si="61"/>
        <v>0</v>
      </c>
      <c r="R497" s="12">
        <f t="shared" si="62"/>
        <v>0</v>
      </c>
      <c r="S497" s="12">
        <f t="shared" si="63"/>
        <v>0</v>
      </c>
      <c r="T497" s="29">
        <v>0</v>
      </c>
      <c r="U497" s="29">
        <v>0</v>
      </c>
      <c r="V497" s="29">
        <v>0</v>
      </c>
      <c r="W497" s="29">
        <v>0</v>
      </c>
      <c r="X497" s="29">
        <v>0</v>
      </c>
      <c r="Y497" s="29">
        <v>0</v>
      </c>
      <c r="Z497" s="29">
        <v>0</v>
      </c>
      <c r="AA497" s="29">
        <v>0</v>
      </c>
      <c r="AB497" s="29">
        <v>0</v>
      </c>
      <c r="AC497" s="29">
        <v>0</v>
      </c>
      <c r="AD497" s="29">
        <v>0</v>
      </c>
      <c r="AE497" s="29">
        <v>0</v>
      </c>
      <c r="AF497" s="29">
        <v>0</v>
      </c>
      <c r="AG497" s="29">
        <v>0</v>
      </c>
      <c r="AH497" s="29">
        <v>0</v>
      </c>
      <c r="AI497" s="29">
        <v>0</v>
      </c>
      <c r="AJ497" s="29">
        <v>0</v>
      </c>
      <c r="AK497" s="29">
        <v>0</v>
      </c>
      <c r="AL497" s="29">
        <v>0</v>
      </c>
      <c r="AM497" s="29">
        <v>0</v>
      </c>
      <c r="AN497" s="29">
        <v>0</v>
      </c>
      <c r="AO497" s="29">
        <v>0</v>
      </c>
      <c r="AP497" s="29">
        <v>0</v>
      </c>
    </row>
    <row r="498" spans="1:42" x14ac:dyDescent="0.25">
      <c r="A498" s="29">
        <v>11</v>
      </c>
      <c r="B498" s="29">
        <v>13809</v>
      </c>
      <c r="C498" s="29">
        <v>1</v>
      </c>
      <c r="D498" s="29" t="s">
        <v>814</v>
      </c>
      <c r="E498" s="29"/>
      <c r="F498" s="29">
        <v>0</v>
      </c>
      <c r="G498" s="29">
        <v>0</v>
      </c>
      <c r="H498" s="29">
        <v>0</v>
      </c>
      <c r="I498" s="29">
        <v>0</v>
      </c>
      <c r="J498" s="29">
        <v>0</v>
      </c>
      <c r="K498" s="29" t="s">
        <v>882</v>
      </c>
      <c r="L498" s="19" t="str">
        <f t="shared" si="56"/>
        <v>Рихтовка</v>
      </c>
      <c r="M498" s="12">
        <f t="shared" si="57"/>
        <v>0</v>
      </c>
      <c r="N498" s="12">
        <f t="shared" si="58"/>
        <v>0</v>
      </c>
      <c r="O498" s="12">
        <f t="shared" si="59"/>
        <v>0</v>
      </c>
      <c r="P498" s="12">
        <f t="shared" si="60"/>
        <v>0</v>
      </c>
      <c r="Q498" s="12">
        <f t="shared" si="61"/>
        <v>0</v>
      </c>
      <c r="R498" s="12">
        <f t="shared" si="62"/>
        <v>0</v>
      </c>
      <c r="S498" s="12">
        <f t="shared" si="63"/>
        <v>0</v>
      </c>
      <c r="T498" s="29">
        <v>0</v>
      </c>
      <c r="U498" s="29">
        <v>0</v>
      </c>
      <c r="V498" s="29">
        <v>0</v>
      </c>
      <c r="W498" s="29">
        <v>0</v>
      </c>
      <c r="X498" s="29">
        <v>0</v>
      </c>
      <c r="Y498" s="29">
        <v>0</v>
      </c>
      <c r="Z498" s="29">
        <v>0</v>
      </c>
      <c r="AA498" s="29">
        <v>0</v>
      </c>
      <c r="AB498" s="29">
        <v>0</v>
      </c>
      <c r="AC498" s="29">
        <v>0</v>
      </c>
      <c r="AD498" s="29">
        <v>0</v>
      </c>
      <c r="AE498" s="29">
        <v>0</v>
      </c>
      <c r="AF498" s="29">
        <v>0</v>
      </c>
      <c r="AG498" s="29">
        <v>0</v>
      </c>
      <c r="AH498" s="29">
        <v>0</v>
      </c>
      <c r="AI498" s="29">
        <v>0</v>
      </c>
      <c r="AJ498" s="29">
        <v>0</v>
      </c>
      <c r="AK498" s="29">
        <v>0</v>
      </c>
      <c r="AL498" s="29">
        <v>0</v>
      </c>
      <c r="AM498" s="29">
        <v>0</v>
      </c>
      <c r="AN498" s="29">
        <v>0</v>
      </c>
      <c r="AO498" s="29">
        <v>0</v>
      </c>
      <c r="AP498" s="29">
        <v>0</v>
      </c>
    </row>
    <row r="499" spans="1:42" x14ac:dyDescent="0.25">
      <c r="A499" s="29">
        <v>11</v>
      </c>
      <c r="B499" s="29">
        <v>13809</v>
      </c>
      <c r="C499" s="29">
        <v>1</v>
      </c>
      <c r="D499" s="29" t="s">
        <v>815</v>
      </c>
      <c r="E499" s="29"/>
      <c r="F499" s="29">
        <v>0</v>
      </c>
      <c r="G499" s="29">
        <v>0</v>
      </c>
      <c r="H499" s="29">
        <v>0</v>
      </c>
      <c r="I499" s="29">
        <v>0</v>
      </c>
      <c r="J499" s="29">
        <v>0</v>
      </c>
      <c r="K499" s="29" t="s">
        <v>882</v>
      </c>
      <c r="L499" s="19" t="str">
        <f t="shared" si="56"/>
        <v>Рихтовка</v>
      </c>
      <c r="M499" s="12">
        <f t="shared" si="57"/>
        <v>0</v>
      </c>
      <c r="N499" s="12">
        <f t="shared" si="58"/>
        <v>0</v>
      </c>
      <c r="O499" s="12">
        <f t="shared" si="59"/>
        <v>0</v>
      </c>
      <c r="P499" s="12">
        <f t="shared" si="60"/>
        <v>0</v>
      </c>
      <c r="Q499" s="12">
        <f t="shared" si="61"/>
        <v>0</v>
      </c>
      <c r="R499" s="12">
        <f t="shared" si="62"/>
        <v>0</v>
      </c>
      <c r="S499" s="12">
        <f t="shared" si="63"/>
        <v>0</v>
      </c>
      <c r="T499" s="29">
        <v>0</v>
      </c>
      <c r="U499" s="29">
        <v>0</v>
      </c>
      <c r="V499" s="29">
        <v>0</v>
      </c>
      <c r="W499" s="29">
        <v>0</v>
      </c>
      <c r="X499" s="29">
        <v>0</v>
      </c>
      <c r="Y499" s="29">
        <v>0</v>
      </c>
      <c r="Z499" s="29">
        <v>0</v>
      </c>
      <c r="AA499" s="29">
        <v>0</v>
      </c>
      <c r="AB499" s="29">
        <v>0</v>
      </c>
      <c r="AC499" s="29">
        <v>0</v>
      </c>
      <c r="AD499" s="29">
        <v>0</v>
      </c>
      <c r="AE499" s="29">
        <v>0</v>
      </c>
      <c r="AF499" s="29">
        <v>0</v>
      </c>
      <c r="AG499" s="29">
        <v>0</v>
      </c>
      <c r="AH499" s="29">
        <v>0</v>
      </c>
      <c r="AI499" s="29">
        <v>0</v>
      </c>
      <c r="AJ499" s="29">
        <v>0</v>
      </c>
      <c r="AK499" s="29">
        <v>0</v>
      </c>
      <c r="AL499" s="29">
        <v>0</v>
      </c>
      <c r="AM499" s="29">
        <v>0</v>
      </c>
      <c r="AN499" s="29">
        <v>0</v>
      </c>
      <c r="AO499" s="29">
        <v>0</v>
      </c>
      <c r="AP499" s="29">
        <v>0</v>
      </c>
    </row>
    <row r="500" spans="1:42" x14ac:dyDescent="0.25">
      <c r="A500" s="29">
        <v>11</v>
      </c>
      <c r="B500" s="29">
        <v>13809</v>
      </c>
      <c r="C500" s="29">
        <v>1</v>
      </c>
      <c r="D500" s="29" t="s">
        <v>816</v>
      </c>
      <c r="E500" s="29"/>
      <c r="F500" s="29">
        <v>0</v>
      </c>
      <c r="G500" s="29">
        <v>0</v>
      </c>
      <c r="H500" s="29">
        <v>0</v>
      </c>
      <c r="I500" s="29">
        <v>0</v>
      </c>
      <c r="J500" s="29">
        <v>0</v>
      </c>
      <c r="K500" s="29" t="s">
        <v>882</v>
      </c>
      <c r="L500" s="19" t="str">
        <f t="shared" si="56"/>
        <v>Рихтовка</v>
      </c>
      <c r="M500" s="12">
        <f t="shared" si="57"/>
        <v>0</v>
      </c>
      <c r="N500" s="12">
        <f t="shared" si="58"/>
        <v>0</v>
      </c>
      <c r="O500" s="12">
        <f t="shared" si="59"/>
        <v>0</v>
      </c>
      <c r="P500" s="12">
        <f t="shared" si="60"/>
        <v>0</v>
      </c>
      <c r="Q500" s="12">
        <f t="shared" si="61"/>
        <v>0</v>
      </c>
      <c r="R500" s="12">
        <f t="shared" si="62"/>
        <v>0</v>
      </c>
      <c r="S500" s="12">
        <f t="shared" si="63"/>
        <v>0</v>
      </c>
      <c r="T500" s="29">
        <v>0</v>
      </c>
      <c r="U500" s="29">
        <v>0</v>
      </c>
      <c r="V500" s="29">
        <v>0</v>
      </c>
      <c r="W500" s="29">
        <v>0</v>
      </c>
      <c r="X500" s="29">
        <v>0</v>
      </c>
      <c r="Y500" s="29">
        <v>0</v>
      </c>
      <c r="Z500" s="29">
        <v>0</v>
      </c>
      <c r="AA500" s="29">
        <v>0</v>
      </c>
      <c r="AB500" s="29">
        <v>0</v>
      </c>
      <c r="AC500" s="29">
        <v>0</v>
      </c>
      <c r="AD500" s="29">
        <v>0</v>
      </c>
      <c r="AE500" s="29">
        <v>0</v>
      </c>
      <c r="AF500" s="29">
        <v>0</v>
      </c>
      <c r="AG500" s="29">
        <v>0</v>
      </c>
      <c r="AH500" s="29">
        <v>0</v>
      </c>
      <c r="AI500" s="29">
        <v>0</v>
      </c>
      <c r="AJ500" s="29">
        <v>0</v>
      </c>
      <c r="AK500" s="29">
        <v>0</v>
      </c>
      <c r="AL500" s="29">
        <v>0</v>
      </c>
      <c r="AM500" s="29">
        <v>0</v>
      </c>
      <c r="AN500" s="29">
        <v>0</v>
      </c>
      <c r="AO500" s="29">
        <v>0</v>
      </c>
      <c r="AP500" s="29">
        <v>0</v>
      </c>
    </row>
    <row r="501" spans="1:42" x14ac:dyDescent="0.25">
      <c r="A501" s="29">
        <v>11</v>
      </c>
      <c r="B501" s="29">
        <v>13809</v>
      </c>
      <c r="C501" s="29">
        <v>2</v>
      </c>
      <c r="D501" s="29" t="s">
        <v>806</v>
      </c>
      <c r="E501" s="29"/>
      <c r="F501" s="29">
        <v>0</v>
      </c>
      <c r="G501" s="29">
        <v>0</v>
      </c>
      <c r="H501" s="29">
        <v>0</v>
      </c>
      <c r="I501" s="29">
        <v>0</v>
      </c>
      <c r="J501" s="29">
        <v>0</v>
      </c>
      <c r="K501" s="29" t="s">
        <v>882</v>
      </c>
      <c r="L501" s="19" t="str">
        <f t="shared" si="56"/>
        <v>Рихтовка</v>
      </c>
      <c r="M501" s="12">
        <f t="shared" si="57"/>
        <v>0</v>
      </c>
      <c r="N501" s="12">
        <f t="shared" si="58"/>
        <v>0</v>
      </c>
      <c r="O501" s="12">
        <f t="shared" si="59"/>
        <v>0</v>
      </c>
      <c r="P501" s="12">
        <f t="shared" si="60"/>
        <v>0</v>
      </c>
      <c r="Q501" s="12">
        <f t="shared" si="61"/>
        <v>0</v>
      </c>
      <c r="R501" s="12">
        <f t="shared" si="62"/>
        <v>0</v>
      </c>
      <c r="S501" s="12">
        <f t="shared" si="63"/>
        <v>0</v>
      </c>
      <c r="T501" s="29">
        <v>0</v>
      </c>
      <c r="U501" s="29">
        <v>0</v>
      </c>
      <c r="V501" s="29">
        <v>0</v>
      </c>
      <c r="W501" s="29">
        <v>0</v>
      </c>
      <c r="X501" s="29">
        <v>0</v>
      </c>
      <c r="Y501" s="29">
        <v>0</v>
      </c>
      <c r="Z501" s="29">
        <v>0</v>
      </c>
      <c r="AA501" s="29">
        <v>0</v>
      </c>
      <c r="AB501" s="29">
        <v>0</v>
      </c>
      <c r="AC501" s="29">
        <v>0</v>
      </c>
      <c r="AD501" s="29">
        <v>0</v>
      </c>
      <c r="AE501" s="29">
        <v>0</v>
      </c>
      <c r="AF501" s="29">
        <v>0</v>
      </c>
      <c r="AG501" s="29">
        <v>0</v>
      </c>
      <c r="AH501" s="29">
        <v>0</v>
      </c>
      <c r="AI501" s="29">
        <v>0</v>
      </c>
      <c r="AJ501" s="29">
        <v>0</v>
      </c>
      <c r="AK501" s="29">
        <v>0</v>
      </c>
      <c r="AL501" s="29">
        <v>0</v>
      </c>
      <c r="AM501" s="29">
        <v>0</v>
      </c>
      <c r="AN501" s="29">
        <v>0</v>
      </c>
      <c r="AO501" s="29">
        <v>0</v>
      </c>
      <c r="AP501" s="29">
        <v>0</v>
      </c>
    </row>
    <row r="502" spans="1:42" x14ac:dyDescent="0.25">
      <c r="A502" s="29">
        <v>11</v>
      </c>
      <c r="B502" s="29">
        <v>13809</v>
      </c>
      <c r="C502" s="29">
        <v>2</v>
      </c>
      <c r="D502" s="29" t="s">
        <v>807</v>
      </c>
      <c r="E502" s="29"/>
      <c r="F502" s="29">
        <v>0</v>
      </c>
      <c r="G502" s="29">
        <v>0</v>
      </c>
      <c r="H502" s="29">
        <v>0</v>
      </c>
      <c r="I502" s="29">
        <v>0</v>
      </c>
      <c r="J502" s="29">
        <v>0</v>
      </c>
      <c r="K502" s="29" t="s">
        <v>882</v>
      </c>
      <c r="L502" s="19" t="str">
        <f t="shared" si="56"/>
        <v>Рихтовка</v>
      </c>
      <c r="M502" s="12">
        <f t="shared" si="57"/>
        <v>0</v>
      </c>
      <c r="N502" s="12">
        <f t="shared" si="58"/>
        <v>0</v>
      </c>
      <c r="O502" s="12">
        <f t="shared" si="59"/>
        <v>0</v>
      </c>
      <c r="P502" s="12">
        <f t="shared" si="60"/>
        <v>0</v>
      </c>
      <c r="Q502" s="12">
        <f t="shared" si="61"/>
        <v>0</v>
      </c>
      <c r="R502" s="12">
        <f t="shared" si="62"/>
        <v>0</v>
      </c>
      <c r="S502" s="12">
        <f t="shared" si="63"/>
        <v>0</v>
      </c>
      <c r="T502" s="29">
        <v>0</v>
      </c>
      <c r="U502" s="29">
        <v>0</v>
      </c>
      <c r="V502" s="29">
        <v>0</v>
      </c>
      <c r="W502" s="29">
        <v>0</v>
      </c>
      <c r="X502" s="29">
        <v>0</v>
      </c>
      <c r="Y502" s="29">
        <v>0</v>
      </c>
      <c r="Z502" s="29">
        <v>0</v>
      </c>
      <c r="AA502" s="29">
        <v>0</v>
      </c>
      <c r="AB502" s="29">
        <v>0</v>
      </c>
      <c r="AC502" s="29">
        <v>0</v>
      </c>
      <c r="AD502" s="29">
        <v>0</v>
      </c>
      <c r="AE502" s="29">
        <v>0</v>
      </c>
      <c r="AF502" s="29">
        <v>0</v>
      </c>
      <c r="AG502" s="29">
        <v>0</v>
      </c>
      <c r="AH502" s="29">
        <v>0</v>
      </c>
      <c r="AI502" s="29">
        <v>0</v>
      </c>
      <c r="AJ502" s="29">
        <v>0</v>
      </c>
      <c r="AK502" s="29">
        <v>0</v>
      </c>
      <c r="AL502" s="29">
        <v>0</v>
      </c>
      <c r="AM502" s="29">
        <v>0</v>
      </c>
      <c r="AN502" s="29">
        <v>0</v>
      </c>
      <c r="AO502" s="29">
        <v>0</v>
      </c>
      <c r="AP502" s="29">
        <v>0</v>
      </c>
    </row>
    <row r="503" spans="1:42" x14ac:dyDescent="0.25">
      <c r="A503" s="29">
        <v>11</v>
      </c>
      <c r="B503" s="29">
        <v>13809</v>
      </c>
      <c r="C503" s="29">
        <v>2</v>
      </c>
      <c r="D503" s="29" t="s">
        <v>808</v>
      </c>
      <c r="E503" s="29"/>
      <c r="F503" s="29">
        <v>0</v>
      </c>
      <c r="G503" s="29">
        <v>0</v>
      </c>
      <c r="H503" s="29">
        <v>0</v>
      </c>
      <c r="I503" s="29">
        <v>0</v>
      </c>
      <c r="J503" s="29">
        <v>0</v>
      </c>
      <c r="K503" s="29" t="s">
        <v>882</v>
      </c>
      <c r="L503" s="19" t="str">
        <f t="shared" si="56"/>
        <v>Рихтовка</v>
      </c>
      <c r="M503" s="12">
        <f t="shared" si="57"/>
        <v>0</v>
      </c>
      <c r="N503" s="12">
        <f t="shared" si="58"/>
        <v>0</v>
      </c>
      <c r="O503" s="12">
        <f t="shared" si="59"/>
        <v>0</v>
      </c>
      <c r="P503" s="12">
        <f t="shared" si="60"/>
        <v>0</v>
      </c>
      <c r="Q503" s="12">
        <f t="shared" si="61"/>
        <v>0</v>
      </c>
      <c r="R503" s="12">
        <f t="shared" si="62"/>
        <v>0</v>
      </c>
      <c r="S503" s="12">
        <f t="shared" si="63"/>
        <v>0</v>
      </c>
      <c r="T503" s="29">
        <v>0</v>
      </c>
      <c r="U503" s="29">
        <v>0</v>
      </c>
      <c r="V503" s="29">
        <v>0</v>
      </c>
      <c r="W503" s="29">
        <v>0</v>
      </c>
      <c r="X503" s="29">
        <v>0</v>
      </c>
      <c r="Y503" s="29">
        <v>0</v>
      </c>
      <c r="Z503" s="29">
        <v>0</v>
      </c>
      <c r="AA503" s="29">
        <v>0</v>
      </c>
      <c r="AB503" s="29">
        <v>0</v>
      </c>
      <c r="AC503" s="29">
        <v>0</v>
      </c>
      <c r="AD503" s="29">
        <v>0</v>
      </c>
      <c r="AE503" s="29">
        <v>0</v>
      </c>
      <c r="AF503" s="29">
        <v>0</v>
      </c>
      <c r="AG503" s="29">
        <v>0</v>
      </c>
      <c r="AH503" s="29">
        <v>0</v>
      </c>
      <c r="AI503" s="29">
        <v>0</v>
      </c>
      <c r="AJ503" s="29">
        <v>0</v>
      </c>
      <c r="AK503" s="29">
        <v>0</v>
      </c>
      <c r="AL503" s="29">
        <v>0</v>
      </c>
      <c r="AM503" s="29">
        <v>0</v>
      </c>
      <c r="AN503" s="29">
        <v>0</v>
      </c>
      <c r="AO503" s="29">
        <v>0</v>
      </c>
      <c r="AP503" s="29">
        <v>0</v>
      </c>
    </row>
    <row r="504" spans="1:42" x14ac:dyDescent="0.25">
      <c r="A504" s="29">
        <v>11</v>
      </c>
      <c r="B504" s="29">
        <v>13809</v>
      </c>
      <c r="C504" s="29">
        <v>2</v>
      </c>
      <c r="D504" s="29" t="s">
        <v>809</v>
      </c>
      <c r="E504" s="29"/>
      <c r="F504" s="29">
        <v>0</v>
      </c>
      <c r="G504" s="29">
        <v>0</v>
      </c>
      <c r="H504" s="29">
        <v>0</v>
      </c>
      <c r="I504" s="29">
        <v>0</v>
      </c>
      <c r="J504" s="29">
        <v>0</v>
      </c>
      <c r="K504" s="29" t="s">
        <v>882</v>
      </c>
      <c r="L504" s="19" t="str">
        <f t="shared" si="56"/>
        <v>Рихтовка</v>
      </c>
      <c r="M504" s="12">
        <f t="shared" si="57"/>
        <v>0</v>
      </c>
      <c r="N504" s="12">
        <f t="shared" si="58"/>
        <v>0</v>
      </c>
      <c r="O504" s="12">
        <f t="shared" si="59"/>
        <v>0</v>
      </c>
      <c r="P504" s="12">
        <f t="shared" si="60"/>
        <v>0</v>
      </c>
      <c r="Q504" s="12">
        <f t="shared" si="61"/>
        <v>0</v>
      </c>
      <c r="R504" s="12">
        <f t="shared" si="62"/>
        <v>0</v>
      </c>
      <c r="S504" s="12">
        <f t="shared" si="63"/>
        <v>0</v>
      </c>
      <c r="T504" s="29">
        <v>0</v>
      </c>
      <c r="U504" s="29">
        <v>0</v>
      </c>
      <c r="V504" s="29">
        <v>0</v>
      </c>
      <c r="W504" s="29">
        <v>0</v>
      </c>
      <c r="X504" s="29">
        <v>0</v>
      </c>
      <c r="Y504" s="29">
        <v>0</v>
      </c>
      <c r="Z504" s="29">
        <v>0</v>
      </c>
      <c r="AA504" s="29">
        <v>0</v>
      </c>
      <c r="AB504" s="29">
        <v>0</v>
      </c>
      <c r="AC504" s="29">
        <v>0</v>
      </c>
      <c r="AD504" s="29">
        <v>0</v>
      </c>
      <c r="AE504" s="29">
        <v>0</v>
      </c>
      <c r="AF504" s="29">
        <v>0</v>
      </c>
      <c r="AG504" s="29">
        <v>0</v>
      </c>
      <c r="AH504" s="29">
        <v>0</v>
      </c>
      <c r="AI504" s="29">
        <v>0</v>
      </c>
      <c r="AJ504" s="29">
        <v>0</v>
      </c>
      <c r="AK504" s="29">
        <v>0</v>
      </c>
      <c r="AL504" s="29">
        <v>0</v>
      </c>
      <c r="AM504" s="29">
        <v>0</v>
      </c>
      <c r="AN504" s="29">
        <v>0</v>
      </c>
      <c r="AO504" s="29">
        <v>0</v>
      </c>
      <c r="AP504" s="29">
        <v>0</v>
      </c>
    </row>
    <row r="505" spans="1:42" x14ac:dyDescent="0.25">
      <c r="A505" s="29">
        <v>11</v>
      </c>
      <c r="B505" s="29">
        <v>13809</v>
      </c>
      <c r="C505" s="29">
        <v>2</v>
      </c>
      <c r="D505" s="29" t="s">
        <v>810</v>
      </c>
      <c r="E505" s="29"/>
      <c r="F505" s="29">
        <v>0</v>
      </c>
      <c r="G505" s="29">
        <v>0</v>
      </c>
      <c r="H505" s="29">
        <v>0</v>
      </c>
      <c r="I505" s="29">
        <v>0</v>
      </c>
      <c r="J505" s="29">
        <v>0</v>
      </c>
      <c r="K505" s="29" t="s">
        <v>882</v>
      </c>
      <c r="L505" s="19" t="str">
        <f t="shared" si="56"/>
        <v>Рихтовка</v>
      </c>
      <c r="M505" s="12">
        <f t="shared" si="57"/>
        <v>0</v>
      </c>
      <c r="N505" s="12">
        <f t="shared" si="58"/>
        <v>0</v>
      </c>
      <c r="O505" s="12">
        <f t="shared" si="59"/>
        <v>0</v>
      </c>
      <c r="P505" s="12">
        <f t="shared" si="60"/>
        <v>0</v>
      </c>
      <c r="Q505" s="12">
        <f t="shared" si="61"/>
        <v>0</v>
      </c>
      <c r="R505" s="12">
        <f t="shared" si="62"/>
        <v>0</v>
      </c>
      <c r="S505" s="12">
        <f t="shared" si="63"/>
        <v>0</v>
      </c>
      <c r="T505" s="29">
        <v>0</v>
      </c>
      <c r="U505" s="29">
        <v>0</v>
      </c>
      <c r="V505" s="29">
        <v>0</v>
      </c>
      <c r="W505" s="29">
        <v>0</v>
      </c>
      <c r="X505" s="29">
        <v>0</v>
      </c>
      <c r="Y505" s="29">
        <v>0</v>
      </c>
      <c r="Z505" s="29">
        <v>0</v>
      </c>
      <c r="AA505" s="29">
        <v>0</v>
      </c>
      <c r="AB505" s="29">
        <v>0</v>
      </c>
      <c r="AC505" s="29">
        <v>0</v>
      </c>
      <c r="AD505" s="29">
        <v>0</v>
      </c>
      <c r="AE505" s="29">
        <v>0</v>
      </c>
      <c r="AF505" s="29">
        <v>0</v>
      </c>
      <c r="AG505" s="29">
        <v>0</v>
      </c>
      <c r="AH505" s="29">
        <v>0</v>
      </c>
      <c r="AI505" s="29">
        <v>0</v>
      </c>
      <c r="AJ505" s="29">
        <v>0</v>
      </c>
      <c r="AK505" s="29">
        <v>0</v>
      </c>
      <c r="AL505" s="29">
        <v>0</v>
      </c>
      <c r="AM505" s="29">
        <v>0</v>
      </c>
      <c r="AN505" s="29">
        <v>0</v>
      </c>
      <c r="AO505" s="29">
        <v>0</v>
      </c>
      <c r="AP505" s="29">
        <v>0</v>
      </c>
    </row>
    <row r="506" spans="1:42" x14ac:dyDescent="0.25">
      <c r="A506" s="29">
        <v>11</v>
      </c>
      <c r="B506" s="29">
        <v>13809</v>
      </c>
      <c r="C506" s="29">
        <v>2</v>
      </c>
      <c r="D506" s="29" t="s">
        <v>811</v>
      </c>
      <c r="E506" s="29"/>
      <c r="F506" s="29">
        <v>0</v>
      </c>
      <c r="G506" s="29">
        <v>0</v>
      </c>
      <c r="H506" s="29">
        <v>0</v>
      </c>
      <c r="I506" s="29">
        <v>0</v>
      </c>
      <c r="J506" s="29">
        <v>0</v>
      </c>
      <c r="K506" s="29" t="s">
        <v>882</v>
      </c>
      <c r="L506" s="19" t="str">
        <f t="shared" si="56"/>
        <v>Рихтовка</v>
      </c>
      <c r="M506" s="12">
        <f t="shared" si="57"/>
        <v>0</v>
      </c>
      <c r="N506" s="12">
        <f t="shared" si="58"/>
        <v>0</v>
      </c>
      <c r="O506" s="12">
        <f t="shared" si="59"/>
        <v>0</v>
      </c>
      <c r="P506" s="12">
        <f t="shared" si="60"/>
        <v>0</v>
      </c>
      <c r="Q506" s="12">
        <f t="shared" si="61"/>
        <v>0</v>
      </c>
      <c r="R506" s="12">
        <f t="shared" si="62"/>
        <v>0</v>
      </c>
      <c r="S506" s="12">
        <f t="shared" si="63"/>
        <v>0</v>
      </c>
      <c r="T506" s="29">
        <v>0</v>
      </c>
      <c r="U506" s="29">
        <v>0</v>
      </c>
      <c r="V506" s="29">
        <v>0</v>
      </c>
      <c r="W506" s="29">
        <v>0</v>
      </c>
      <c r="X506" s="29">
        <v>0</v>
      </c>
      <c r="Y506" s="29">
        <v>0</v>
      </c>
      <c r="Z506" s="29">
        <v>0</v>
      </c>
      <c r="AA506" s="29">
        <v>0</v>
      </c>
      <c r="AB506" s="29">
        <v>0</v>
      </c>
      <c r="AC506" s="29">
        <v>0</v>
      </c>
      <c r="AD506" s="29">
        <v>0</v>
      </c>
      <c r="AE506" s="29">
        <v>0</v>
      </c>
      <c r="AF506" s="29">
        <v>0</v>
      </c>
      <c r="AG506" s="29">
        <v>0</v>
      </c>
      <c r="AH506" s="29">
        <v>0</v>
      </c>
      <c r="AI506" s="29">
        <v>0</v>
      </c>
      <c r="AJ506" s="29">
        <v>0</v>
      </c>
      <c r="AK506" s="29">
        <v>0</v>
      </c>
      <c r="AL506" s="29">
        <v>0</v>
      </c>
      <c r="AM506" s="29">
        <v>0</v>
      </c>
      <c r="AN506" s="29">
        <v>0</v>
      </c>
      <c r="AO506" s="29">
        <v>0</v>
      </c>
      <c r="AP506" s="29">
        <v>0</v>
      </c>
    </row>
    <row r="507" spans="1:42" x14ac:dyDescent="0.25">
      <c r="A507" s="29">
        <v>11</v>
      </c>
      <c r="B507" s="29">
        <v>13809</v>
      </c>
      <c r="C507" s="29">
        <v>2</v>
      </c>
      <c r="D507" s="29" t="s">
        <v>812</v>
      </c>
      <c r="E507" s="29"/>
      <c r="F507" s="29">
        <v>0</v>
      </c>
      <c r="G507" s="29">
        <v>0</v>
      </c>
      <c r="H507" s="29">
        <v>0</v>
      </c>
      <c r="I507" s="29">
        <v>0</v>
      </c>
      <c r="J507" s="29">
        <v>0</v>
      </c>
      <c r="K507" s="29" t="s">
        <v>882</v>
      </c>
      <c r="L507" s="19" t="str">
        <f t="shared" si="56"/>
        <v>Рихтовка</v>
      </c>
      <c r="M507" s="12">
        <f t="shared" si="57"/>
        <v>0</v>
      </c>
      <c r="N507" s="12">
        <f t="shared" si="58"/>
        <v>0</v>
      </c>
      <c r="O507" s="12">
        <f t="shared" si="59"/>
        <v>0</v>
      </c>
      <c r="P507" s="12">
        <f t="shared" si="60"/>
        <v>0</v>
      </c>
      <c r="Q507" s="12">
        <f t="shared" si="61"/>
        <v>0</v>
      </c>
      <c r="R507" s="12">
        <f t="shared" si="62"/>
        <v>0</v>
      </c>
      <c r="S507" s="12">
        <f t="shared" si="63"/>
        <v>0</v>
      </c>
      <c r="T507" s="29">
        <v>0</v>
      </c>
      <c r="U507" s="29">
        <v>0</v>
      </c>
      <c r="V507" s="29">
        <v>0</v>
      </c>
      <c r="W507" s="29">
        <v>0</v>
      </c>
      <c r="X507" s="29">
        <v>0</v>
      </c>
      <c r="Y507" s="29">
        <v>0</v>
      </c>
      <c r="Z507" s="29">
        <v>0</v>
      </c>
      <c r="AA507" s="29">
        <v>0</v>
      </c>
      <c r="AB507" s="29">
        <v>0</v>
      </c>
      <c r="AC507" s="29">
        <v>0</v>
      </c>
      <c r="AD507" s="29">
        <v>0</v>
      </c>
      <c r="AE507" s="29">
        <v>0</v>
      </c>
      <c r="AF507" s="29">
        <v>0</v>
      </c>
      <c r="AG507" s="29">
        <v>0</v>
      </c>
      <c r="AH507" s="29">
        <v>0</v>
      </c>
      <c r="AI507" s="29">
        <v>0</v>
      </c>
      <c r="AJ507" s="29">
        <v>0</v>
      </c>
      <c r="AK507" s="29">
        <v>0</v>
      </c>
      <c r="AL507" s="29">
        <v>0</v>
      </c>
      <c r="AM507" s="29">
        <v>0</v>
      </c>
      <c r="AN507" s="29">
        <v>0</v>
      </c>
      <c r="AO507" s="29">
        <v>0</v>
      </c>
      <c r="AP507" s="29">
        <v>0</v>
      </c>
    </row>
    <row r="508" spans="1:42" x14ac:dyDescent="0.25">
      <c r="A508" s="29">
        <v>11</v>
      </c>
      <c r="B508" s="29">
        <v>13809</v>
      </c>
      <c r="C508" s="29">
        <v>2</v>
      </c>
      <c r="D508" s="29" t="s">
        <v>813</v>
      </c>
      <c r="E508" s="29"/>
      <c r="F508" s="29">
        <v>0</v>
      </c>
      <c r="G508" s="29">
        <v>0</v>
      </c>
      <c r="H508" s="29">
        <v>0</v>
      </c>
      <c r="I508" s="29">
        <v>0</v>
      </c>
      <c r="J508" s="29">
        <v>0</v>
      </c>
      <c r="K508" s="29" t="s">
        <v>882</v>
      </c>
      <c r="L508" s="19" t="str">
        <f t="shared" si="56"/>
        <v>Рихтовка</v>
      </c>
      <c r="M508" s="12">
        <f t="shared" si="57"/>
        <v>0</v>
      </c>
      <c r="N508" s="12">
        <f t="shared" si="58"/>
        <v>0</v>
      </c>
      <c r="O508" s="12">
        <f t="shared" si="59"/>
        <v>0</v>
      </c>
      <c r="P508" s="12">
        <f t="shared" si="60"/>
        <v>0</v>
      </c>
      <c r="Q508" s="12">
        <f t="shared" si="61"/>
        <v>0</v>
      </c>
      <c r="R508" s="12">
        <f t="shared" si="62"/>
        <v>0</v>
      </c>
      <c r="S508" s="12">
        <f t="shared" si="63"/>
        <v>0</v>
      </c>
      <c r="T508" s="29">
        <v>0</v>
      </c>
      <c r="U508" s="29">
        <v>0</v>
      </c>
      <c r="V508" s="29">
        <v>0</v>
      </c>
      <c r="W508" s="29">
        <v>0</v>
      </c>
      <c r="X508" s="29">
        <v>0</v>
      </c>
      <c r="Y508" s="29">
        <v>0</v>
      </c>
      <c r="Z508" s="29">
        <v>0</v>
      </c>
      <c r="AA508" s="29">
        <v>0</v>
      </c>
      <c r="AB508" s="29">
        <v>0</v>
      </c>
      <c r="AC508" s="29">
        <v>0</v>
      </c>
      <c r="AD508" s="29">
        <v>0</v>
      </c>
      <c r="AE508" s="29">
        <v>0</v>
      </c>
      <c r="AF508" s="29">
        <v>0</v>
      </c>
      <c r="AG508" s="29">
        <v>0</v>
      </c>
      <c r="AH508" s="29">
        <v>0</v>
      </c>
      <c r="AI508" s="29">
        <v>0</v>
      </c>
      <c r="AJ508" s="29">
        <v>0</v>
      </c>
      <c r="AK508" s="29">
        <v>0</v>
      </c>
      <c r="AL508" s="29">
        <v>0</v>
      </c>
      <c r="AM508" s="29">
        <v>0</v>
      </c>
      <c r="AN508" s="29">
        <v>0</v>
      </c>
      <c r="AO508" s="29">
        <v>0</v>
      </c>
      <c r="AP508" s="29">
        <v>0</v>
      </c>
    </row>
    <row r="509" spans="1:42" x14ac:dyDescent="0.25">
      <c r="A509" s="29">
        <v>11</v>
      </c>
      <c r="B509" s="29">
        <v>13809</v>
      </c>
      <c r="C509" s="29">
        <v>2</v>
      </c>
      <c r="D509" s="29" t="s">
        <v>814</v>
      </c>
      <c r="E509" s="29"/>
      <c r="F509" s="29">
        <v>0</v>
      </c>
      <c r="G509" s="29">
        <v>0</v>
      </c>
      <c r="H509" s="29">
        <v>0</v>
      </c>
      <c r="I509" s="29">
        <v>0</v>
      </c>
      <c r="J509" s="29">
        <v>0</v>
      </c>
      <c r="K509" s="29" t="s">
        <v>882</v>
      </c>
      <c r="L509" s="19" t="str">
        <f t="shared" si="56"/>
        <v>Рихтовка</v>
      </c>
      <c r="M509" s="12">
        <f t="shared" si="57"/>
        <v>0</v>
      </c>
      <c r="N509" s="12">
        <f t="shared" si="58"/>
        <v>0</v>
      </c>
      <c r="O509" s="12">
        <f t="shared" si="59"/>
        <v>0</v>
      </c>
      <c r="P509" s="12">
        <f t="shared" si="60"/>
        <v>0</v>
      </c>
      <c r="Q509" s="12">
        <f t="shared" si="61"/>
        <v>0</v>
      </c>
      <c r="R509" s="12">
        <f t="shared" si="62"/>
        <v>0</v>
      </c>
      <c r="S509" s="12">
        <f t="shared" si="63"/>
        <v>0</v>
      </c>
      <c r="T509" s="29">
        <v>0</v>
      </c>
      <c r="U509" s="29">
        <v>0</v>
      </c>
      <c r="V509" s="29">
        <v>0</v>
      </c>
      <c r="W509" s="29">
        <v>0</v>
      </c>
      <c r="X509" s="29">
        <v>0</v>
      </c>
      <c r="Y509" s="29">
        <v>0</v>
      </c>
      <c r="Z509" s="29">
        <v>0</v>
      </c>
      <c r="AA509" s="29">
        <v>0</v>
      </c>
      <c r="AB509" s="29">
        <v>0</v>
      </c>
      <c r="AC509" s="29">
        <v>0</v>
      </c>
      <c r="AD509" s="29">
        <v>0</v>
      </c>
      <c r="AE509" s="29">
        <v>0</v>
      </c>
      <c r="AF509" s="29">
        <v>0</v>
      </c>
      <c r="AG509" s="29">
        <v>0</v>
      </c>
      <c r="AH509" s="29">
        <v>0</v>
      </c>
      <c r="AI509" s="29">
        <v>0</v>
      </c>
      <c r="AJ509" s="29">
        <v>0</v>
      </c>
      <c r="AK509" s="29">
        <v>0</v>
      </c>
      <c r="AL509" s="29">
        <v>0</v>
      </c>
      <c r="AM509" s="29">
        <v>0</v>
      </c>
      <c r="AN509" s="29">
        <v>0</v>
      </c>
      <c r="AO509" s="29">
        <v>0</v>
      </c>
      <c r="AP509" s="29">
        <v>0</v>
      </c>
    </row>
    <row r="510" spans="1:42" x14ac:dyDescent="0.25">
      <c r="A510" s="29">
        <v>11</v>
      </c>
      <c r="B510" s="29">
        <v>13809</v>
      </c>
      <c r="C510" s="29">
        <v>2</v>
      </c>
      <c r="D510" s="29" t="s">
        <v>815</v>
      </c>
      <c r="E510" s="29"/>
      <c r="F510" s="29">
        <v>0</v>
      </c>
      <c r="G510" s="29">
        <v>0</v>
      </c>
      <c r="H510" s="29">
        <v>0</v>
      </c>
      <c r="I510" s="29">
        <v>0</v>
      </c>
      <c r="J510" s="29">
        <v>0</v>
      </c>
      <c r="K510" s="29" t="s">
        <v>882</v>
      </c>
      <c r="L510" s="19" t="str">
        <f t="shared" si="56"/>
        <v>Рихтовка</v>
      </c>
      <c r="M510" s="12">
        <f t="shared" si="57"/>
        <v>0</v>
      </c>
      <c r="N510" s="12">
        <f t="shared" si="58"/>
        <v>0</v>
      </c>
      <c r="O510" s="12">
        <f t="shared" si="59"/>
        <v>0</v>
      </c>
      <c r="P510" s="12">
        <f t="shared" si="60"/>
        <v>0</v>
      </c>
      <c r="Q510" s="12">
        <f t="shared" si="61"/>
        <v>0</v>
      </c>
      <c r="R510" s="12">
        <f t="shared" si="62"/>
        <v>0</v>
      </c>
      <c r="S510" s="12">
        <f t="shared" si="63"/>
        <v>0</v>
      </c>
      <c r="T510" s="29">
        <v>0</v>
      </c>
      <c r="U510" s="29">
        <v>0</v>
      </c>
      <c r="V510" s="29">
        <v>0</v>
      </c>
      <c r="W510" s="29">
        <v>0</v>
      </c>
      <c r="X510" s="29">
        <v>0</v>
      </c>
      <c r="Y510" s="29">
        <v>0</v>
      </c>
      <c r="Z510" s="29">
        <v>0</v>
      </c>
      <c r="AA510" s="29">
        <v>0</v>
      </c>
      <c r="AB510" s="29">
        <v>0</v>
      </c>
      <c r="AC510" s="29">
        <v>0</v>
      </c>
      <c r="AD510" s="29">
        <v>0</v>
      </c>
      <c r="AE510" s="29">
        <v>0</v>
      </c>
      <c r="AF510" s="29">
        <v>0</v>
      </c>
      <c r="AG510" s="29">
        <v>0</v>
      </c>
      <c r="AH510" s="29">
        <v>0</v>
      </c>
      <c r="AI510" s="29">
        <v>0</v>
      </c>
      <c r="AJ510" s="29">
        <v>0</v>
      </c>
      <c r="AK510" s="29">
        <v>0</v>
      </c>
      <c r="AL510" s="29">
        <v>0</v>
      </c>
      <c r="AM510" s="29">
        <v>0</v>
      </c>
      <c r="AN510" s="29">
        <v>0</v>
      </c>
      <c r="AO510" s="29">
        <v>0</v>
      </c>
      <c r="AP510" s="29">
        <v>0</v>
      </c>
    </row>
    <row r="511" spans="1:42" x14ac:dyDescent="0.25">
      <c r="A511" s="29">
        <v>11</v>
      </c>
      <c r="B511" s="29">
        <v>13809</v>
      </c>
      <c r="C511" s="29">
        <v>2</v>
      </c>
      <c r="D511" s="29" t="s">
        <v>816</v>
      </c>
      <c r="E511" s="29"/>
      <c r="F511" s="29">
        <v>0</v>
      </c>
      <c r="G511" s="29">
        <v>0</v>
      </c>
      <c r="H511" s="29">
        <v>0</v>
      </c>
      <c r="I511" s="29">
        <v>0</v>
      </c>
      <c r="J511" s="29">
        <v>0</v>
      </c>
      <c r="K511" s="29" t="s">
        <v>882</v>
      </c>
      <c r="L511" s="19" t="str">
        <f t="shared" si="56"/>
        <v>Рихтовка</v>
      </c>
      <c r="M511" s="12">
        <f t="shared" si="57"/>
        <v>0</v>
      </c>
      <c r="N511" s="12">
        <f t="shared" si="58"/>
        <v>0</v>
      </c>
      <c r="O511" s="12">
        <f t="shared" si="59"/>
        <v>0</v>
      </c>
      <c r="P511" s="12">
        <f t="shared" si="60"/>
        <v>0</v>
      </c>
      <c r="Q511" s="12">
        <f t="shared" si="61"/>
        <v>0</v>
      </c>
      <c r="R511" s="12">
        <f t="shared" si="62"/>
        <v>0</v>
      </c>
      <c r="S511" s="12">
        <f t="shared" si="63"/>
        <v>0</v>
      </c>
      <c r="T511" s="29">
        <v>0</v>
      </c>
      <c r="U511" s="29">
        <v>0</v>
      </c>
      <c r="V511" s="29">
        <v>0</v>
      </c>
      <c r="W511" s="29">
        <v>0</v>
      </c>
      <c r="X511" s="29">
        <v>0</v>
      </c>
      <c r="Y511" s="29">
        <v>0</v>
      </c>
      <c r="Z511" s="29">
        <v>0</v>
      </c>
      <c r="AA511" s="29">
        <v>0</v>
      </c>
      <c r="AB511" s="29">
        <v>0</v>
      </c>
      <c r="AC511" s="29">
        <v>0</v>
      </c>
      <c r="AD511" s="29">
        <v>0</v>
      </c>
      <c r="AE511" s="29">
        <v>0</v>
      </c>
      <c r="AF511" s="29">
        <v>0</v>
      </c>
      <c r="AG511" s="29">
        <v>0</v>
      </c>
      <c r="AH511" s="29">
        <v>0</v>
      </c>
      <c r="AI511" s="29">
        <v>0</v>
      </c>
      <c r="AJ511" s="29">
        <v>0</v>
      </c>
      <c r="AK511" s="29">
        <v>0</v>
      </c>
      <c r="AL511" s="29">
        <v>0</v>
      </c>
      <c r="AM511" s="29">
        <v>0</v>
      </c>
      <c r="AN511" s="29">
        <v>0</v>
      </c>
      <c r="AO511" s="29">
        <v>0</v>
      </c>
      <c r="AP511" s="29">
        <v>0</v>
      </c>
    </row>
    <row r="512" spans="1:42" x14ac:dyDescent="0.25">
      <c r="A512" s="29">
        <v>11</v>
      </c>
      <c r="B512" s="29">
        <v>13879</v>
      </c>
      <c r="C512" s="29" t="s">
        <v>421</v>
      </c>
      <c r="D512" s="29" t="s">
        <v>817</v>
      </c>
      <c r="E512" s="29"/>
      <c r="F512" s="29">
        <v>0</v>
      </c>
      <c r="G512" s="29">
        <v>0</v>
      </c>
      <c r="H512" s="29">
        <v>0</v>
      </c>
      <c r="I512" s="29">
        <v>0</v>
      </c>
      <c r="J512" s="29">
        <v>0</v>
      </c>
      <c r="K512" s="29" t="s">
        <v>882</v>
      </c>
      <c r="L512" s="19" t="str">
        <f t="shared" si="56"/>
        <v>Рихтовка</v>
      </c>
      <c r="M512" s="12">
        <f t="shared" si="57"/>
        <v>0</v>
      </c>
      <c r="N512" s="12">
        <f t="shared" si="58"/>
        <v>0</v>
      </c>
      <c r="O512" s="12">
        <f t="shared" si="59"/>
        <v>0</v>
      </c>
      <c r="P512" s="12">
        <f t="shared" si="60"/>
        <v>0</v>
      </c>
      <c r="Q512" s="12">
        <f t="shared" si="61"/>
        <v>0</v>
      </c>
      <c r="R512" s="12">
        <f t="shared" si="62"/>
        <v>0</v>
      </c>
      <c r="S512" s="12">
        <f t="shared" si="63"/>
        <v>0</v>
      </c>
      <c r="T512" s="29">
        <v>0</v>
      </c>
      <c r="U512" s="29">
        <v>0</v>
      </c>
      <c r="V512" s="29">
        <v>0</v>
      </c>
      <c r="W512" s="29">
        <v>0</v>
      </c>
      <c r="X512" s="29">
        <v>0</v>
      </c>
      <c r="Y512" s="29">
        <v>0</v>
      </c>
      <c r="Z512" s="29">
        <v>0</v>
      </c>
      <c r="AA512" s="29">
        <v>0</v>
      </c>
      <c r="AB512" s="29">
        <v>0</v>
      </c>
      <c r="AC512" s="29">
        <v>0</v>
      </c>
      <c r="AD512" s="29">
        <v>0</v>
      </c>
      <c r="AE512" s="29">
        <v>0</v>
      </c>
      <c r="AF512" s="29">
        <v>0</v>
      </c>
      <c r="AG512" s="29">
        <v>0</v>
      </c>
      <c r="AH512" s="29">
        <v>0</v>
      </c>
      <c r="AI512" s="29">
        <v>0</v>
      </c>
      <c r="AJ512" s="29">
        <v>0</v>
      </c>
      <c r="AK512" s="29">
        <v>0</v>
      </c>
      <c r="AL512" s="29">
        <v>0</v>
      </c>
      <c r="AM512" s="29">
        <v>0</v>
      </c>
      <c r="AN512" s="29">
        <v>0</v>
      </c>
      <c r="AO512" s="29">
        <v>0</v>
      </c>
      <c r="AP512" s="29">
        <v>0</v>
      </c>
    </row>
    <row r="513" spans="1:42" x14ac:dyDescent="0.25">
      <c r="A513" s="29">
        <v>11</v>
      </c>
      <c r="B513" s="29">
        <v>25103</v>
      </c>
      <c r="C513" s="29" t="s">
        <v>217</v>
      </c>
      <c r="D513" s="29" t="s">
        <v>818</v>
      </c>
      <c r="E513" s="29"/>
      <c r="F513" s="29">
        <v>0</v>
      </c>
      <c r="G513" s="29">
        <v>0</v>
      </c>
      <c r="H513" s="29">
        <v>0</v>
      </c>
      <c r="I513" s="29">
        <v>0</v>
      </c>
      <c r="J513" s="29">
        <v>0</v>
      </c>
      <c r="K513" s="29" t="s">
        <v>882</v>
      </c>
      <c r="L513" s="19" t="str">
        <f t="shared" si="56"/>
        <v>Рихтовка</v>
      </c>
      <c r="M513" s="12">
        <f t="shared" si="57"/>
        <v>0</v>
      </c>
      <c r="N513" s="12">
        <f t="shared" si="58"/>
        <v>0</v>
      </c>
      <c r="O513" s="12">
        <f t="shared" si="59"/>
        <v>0</v>
      </c>
      <c r="P513" s="12">
        <f t="shared" si="60"/>
        <v>0</v>
      </c>
      <c r="Q513" s="12">
        <f t="shared" si="61"/>
        <v>0</v>
      </c>
      <c r="R513" s="12">
        <f t="shared" si="62"/>
        <v>0</v>
      </c>
      <c r="S513" s="12">
        <f t="shared" si="63"/>
        <v>0</v>
      </c>
      <c r="T513" s="29">
        <v>0</v>
      </c>
      <c r="U513" s="29">
        <v>0</v>
      </c>
      <c r="V513" s="29">
        <v>0</v>
      </c>
      <c r="W513" s="29">
        <v>0</v>
      </c>
      <c r="X513" s="29">
        <v>0</v>
      </c>
      <c r="Y513" s="29">
        <v>0</v>
      </c>
      <c r="Z513" s="29">
        <v>0</v>
      </c>
      <c r="AA513" s="29">
        <v>0</v>
      </c>
      <c r="AB513" s="29">
        <v>0</v>
      </c>
      <c r="AC513" s="29">
        <v>0</v>
      </c>
      <c r="AD513" s="29">
        <v>0</v>
      </c>
      <c r="AE513" s="29">
        <v>0</v>
      </c>
      <c r="AF513" s="29">
        <v>0</v>
      </c>
      <c r="AG513" s="29">
        <v>0</v>
      </c>
      <c r="AH513" s="29">
        <v>0</v>
      </c>
      <c r="AI513" s="29">
        <v>0</v>
      </c>
      <c r="AJ513" s="29">
        <v>0</v>
      </c>
      <c r="AK513" s="29">
        <v>0</v>
      </c>
      <c r="AL513" s="29">
        <v>0</v>
      </c>
      <c r="AM513" s="29">
        <v>0</v>
      </c>
      <c r="AN513" s="29">
        <v>0</v>
      </c>
      <c r="AO513" s="29">
        <v>0</v>
      </c>
      <c r="AP513" s="29">
        <v>0</v>
      </c>
    </row>
    <row r="514" spans="1:42" x14ac:dyDescent="0.25">
      <c r="A514" s="29">
        <v>11</v>
      </c>
      <c r="B514" s="29">
        <v>25103</v>
      </c>
      <c r="C514" s="29" t="s">
        <v>217</v>
      </c>
      <c r="D514" s="29" t="s">
        <v>819</v>
      </c>
      <c r="E514" s="29"/>
      <c r="F514" s="29">
        <v>0</v>
      </c>
      <c r="G514" s="29">
        <v>0</v>
      </c>
      <c r="H514" s="29">
        <v>0</v>
      </c>
      <c r="I514" s="29">
        <v>0</v>
      </c>
      <c r="J514" s="29">
        <v>0</v>
      </c>
      <c r="K514" s="29" t="s">
        <v>882</v>
      </c>
      <c r="L514" s="19" t="str">
        <f t="shared" ref="L514:L577" si="64">IF($M514=N514,$N$1,IF($M514=O514,$O$1,IF($M514=P514,$P$1,IF($M514=Q514,$Q$1,IF($M514=R514,$R$1,$S$1)))))</f>
        <v>Рихтовка</v>
      </c>
      <c r="M514" s="12">
        <f t="shared" si="57"/>
        <v>0</v>
      </c>
      <c r="N514" s="12">
        <f t="shared" si="58"/>
        <v>0</v>
      </c>
      <c r="O514" s="12">
        <f t="shared" si="59"/>
        <v>0</v>
      </c>
      <c r="P514" s="12">
        <f t="shared" si="60"/>
        <v>0</v>
      </c>
      <c r="Q514" s="12">
        <f t="shared" si="61"/>
        <v>0</v>
      </c>
      <c r="R514" s="12">
        <f t="shared" si="62"/>
        <v>0</v>
      </c>
      <c r="S514" s="12">
        <f t="shared" si="63"/>
        <v>0</v>
      </c>
      <c r="T514" s="29">
        <v>0</v>
      </c>
      <c r="U514" s="29">
        <v>0</v>
      </c>
      <c r="V514" s="29">
        <v>0</v>
      </c>
      <c r="W514" s="29">
        <v>0</v>
      </c>
      <c r="X514" s="29">
        <v>0</v>
      </c>
      <c r="Y514" s="29">
        <v>0</v>
      </c>
      <c r="Z514" s="29">
        <v>0</v>
      </c>
      <c r="AA514" s="29">
        <v>0</v>
      </c>
      <c r="AB514" s="29">
        <v>0</v>
      </c>
      <c r="AC514" s="29">
        <v>0</v>
      </c>
      <c r="AD514" s="29">
        <v>0</v>
      </c>
      <c r="AE514" s="29">
        <v>0</v>
      </c>
      <c r="AF514" s="29">
        <v>0</v>
      </c>
      <c r="AG514" s="29">
        <v>0</v>
      </c>
      <c r="AH514" s="29">
        <v>0</v>
      </c>
      <c r="AI514" s="29">
        <v>0</v>
      </c>
      <c r="AJ514" s="29">
        <v>0</v>
      </c>
      <c r="AK514" s="29">
        <v>0</v>
      </c>
      <c r="AL514" s="29">
        <v>0</v>
      </c>
      <c r="AM514" s="29">
        <v>0</v>
      </c>
      <c r="AN514" s="29">
        <v>0</v>
      </c>
      <c r="AO514" s="29">
        <v>0</v>
      </c>
      <c r="AP514" s="29">
        <v>0</v>
      </c>
    </row>
    <row r="515" spans="1:42" x14ac:dyDescent="0.25">
      <c r="A515" s="29">
        <v>11</v>
      </c>
      <c r="B515" s="29">
        <v>25103</v>
      </c>
      <c r="C515" s="29" t="s">
        <v>217</v>
      </c>
      <c r="D515" s="29" t="s">
        <v>820</v>
      </c>
      <c r="E515" s="29"/>
      <c r="F515" s="29">
        <v>0</v>
      </c>
      <c r="G515" s="29">
        <v>0</v>
      </c>
      <c r="H515" s="29">
        <v>0</v>
      </c>
      <c r="I515" s="29">
        <v>0</v>
      </c>
      <c r="J515" s="29">
        <v>0</v>
      </c>
      <c r="K515" s="29" t="s">
        <v>882</v>
      </c>
      <c r="L515" s="19" t="str">
        <f t="shared" si="64"/>
        <v>Рихтовка</v>
      </c>
      <c r="M515" s="12">
        <f t="shared" ref="M515:M578" si="65">MAX(N515,O515,P515,Q515,R515,S515)</f>
        <v>0</v>
      </c>
      <c r="N515" s="12">
        <f t="shared" ref="N515:N578" si="66">T515+U515+V515</f>
        <v>0</v>
      </c>
      <c r="O515" s="12">
        <f t="shared" ref="O515:O578" si="67">W515+X515+Y515</f>
        <v>0</v>
      </c>
      <c r="P515" s="12">
        <f t="shared" ref="P515:P578" si="68">Z515+AA515+AB515</f>
        <v>0</v>
      </c>
      <c r="Q515" s="12">
        <f t="shared" ref="Q515:Q578" si="69">AC515+AD515+AE515</f>
        <v>0</v>
      </c>
      <c r="R515" s="12">
        <f t="shared" ref="R515:R578" si="70">AF515+AG515+AH515</f>
        <v>0</v>
      </c>
      <c r="S515" s="12">
        <f t="shared" ref="S515:S578" si="71">AI515+AJ515+AK515</f>
        <v>0</v>
      </c>
      <c r="T515" s="29">
        <v>0</v>
      </c>
      <c r="U515" s="29">
        <v>0</v>
      </c>
      <c r="V515" s="29">
        <v>0</v>
      </c>
      <c r="W515" s="29">
        <v>0</v>
      </c>
      <c r="X515" s="29">
        <v>0</v>
      </c>
      <c r="Y515" s="29">
        <v>0</v>
      </c>
      <c r="Z515" s="29">
        <v>0</v>
      </c>
      <c r="AA515" s="29">
        <v>0</v>
      </c>
      <c r="AB515" s="29">
        <v>0</v>
      </c>
      <c r="AC515" s="29">
        <v>0</v>
      </c>
      <c r="AD515" s="29">
        <v>0</v>
      </c>
      <c r="AE515" s="29">
        <v>0</v>
      </c>
      <c r="AF515" s="29">
        <v>0</v>
      </c>
      <c r="AG515" s="29">
        <v>0</v>
      </c>
      <c r="AH515" s="29">
        <v>0</v>
      </c>
      <c r="AI515" s="29">
        <v>0</v>
      </c>
      <c r="AJ515" s="29">
        <v>0</v>
      </c>
      <c r="AK515" s="29">
        <v>0</v>
      </c>
      <c r="AL515" s="29">
        <v>0</v>
      </c>
      <c r="AM515" s="29">
        <v>0</v>
      </c>
      <c r="AN515" s="29">
        <v>0</v>
      </c>
      <c r="AO515" s="29">
        <v>0</v>
      </c>
      <c r="AP515" s="29">
        <v>0</v>
      </c>
    </row>
    <row r="516" spans="1:42" x14ac:dyDescent="0.25">
      <c r="A516" s="29">
        <v>11</v>
      </c>
      <c r="B516" s="29">
        <v>25103</v>
      </c>
      <c r="C516" s="29" t="s">
        <v>217</v>
      </c>
      <c r="D516" s="29" t="s">
        <v>821</v>
      </c>
      <c r="E516" s="29"/>
      <c r="F516" s="29">
        <v>0</v>
      </c>
      <c r="G516" s="29">
        <v>0</v>
      </c>
      <c r="H516" s="29">
        <v>0</v>
      </c>
      <c r="I516" s="29">
        <v>0</v>
      </c>
      <c r="J516" s="29">
        <v>0</v>
      </c>
      <c r="K516" s="29" t="s">
        <v>882</v>
      </c>
      <c r="L516" s="19" t="str">
        <f t="shared" si="64"/>
        <v>Рихтовка</v>
      </c>
      <c r="M516" s="12">
        <f t="shared" si="65"/>
        <v>0</v>
      </c>
      <c r="N516" s="12">
        <f t="shared" si="66"/>
        <v>0</v>
      </c>
      <c r="O516" s="12">
        <f t="shared" si="67"/>
        <v>0</v>
      </c>
      <c r="P516" s="12">
        <f t="shared" si="68"/>
        <v>0</v>
      </c>
      <c r="Q516" s="12">
        <f t="shared" si="69"/>
        <v>0</v>
      </c>
      <c r="R516" s="12">
        <f t="shared" si="70"/>
        <v>0</v>
      </c>
      <c r="S516" s="12">
        <f t="shared" si="71"/>
        <v>0</v>
      </c>
      <c r="T516" s="29">
        <v>0</v>
      </c>
      <c r="U516" s="29">
        <v>0</v>
      </c>
      <c r="V516" s="29">
        <v>0</v>
      </c>
      <c r="W516" s="29">
        <v>0</v>
      </c>
      <c r="X516" s="29">
        <v>0</v>
      </c>
      <c r="Y516" s="29">
        <v>0</v>
      </c>
      <c r="Z516" s="29">
        <v>0</v>
      </c>
      <c r="AA516" s="29">
        <v>0</v>
      </c>
      <c r="AB516" s="29">
        <v>0</v>
      </c>
      <c r="AC516" s="29">
        <v>0</v>
      </c>
      <c r="AD516" s="29">
        <v>0</v>
      </c>
      <c r="AE516" s="29">
        <v>0</v>
      </c>
      <c r="AF516" s="29">
        <v>0</v>
      </c>
      <c r="AG516" s="29">
        <v>0</v>
      </c>
      <c r="AH516" s="29">
        <v>0</v>
      </c>
      <c r="AI516" s="29">
        <v>0</v>
      </c>
      <c r="AJ516" s="29">
        <v>0</v>
      </c>
      <c r="AK516" s="29">
        <v>0</v>
      </c>
      <c r="AL516" s="29">
        <v>0</v>
      </c>
      <c r="AM516" s="29">
        <v>0</v>
      </c>
      <c r="AN516" s="29">
        <v>0</v>
      </c>
      <c r="AO516" s="29">
        <v>0</v>
      </c>
      <c r="AP516" s="29">
        <v>0</v>
      </c>
    </row>
    <row r="517" spans="1:42" x14ac:dyDescent="0.25">
      <c r="A517" s="29">
        <v>11</v>
      </c>
      <c r="B517" s="29">
        <v>25103</v>
      </c>
      <c r="C517" s="29" t="s">
        <v>217</v>
      </c>
      <c r="D517" s="29" t="s">
        <v>822</v>
      </c>
      <c r="E517" s="29"/>
      <c r="F517" s="29">
        <v>0</v>
      </c>
      <c r="G517" s="29">
        <v>0</v>
      </c>
      <c r="H517" s="29">
        <v>0</v>
      </c>
      <c r="I517" s="29">
        <v>0</v>
      </c>
      <c r="J517" s="29">
        <v>0</v>
      </c>
      <c r="K517" s="29" t="s">
        <v>882</v>
      </c>
      <c r="L517" s="19" t="str">
        <f t="shared" si="64"/>
        <v>Рихтовка</v>
      </c>
      <c r="M517" s="12">
        <f t="shared" si="65"/>
        <v>0</v>
      </c>
      <c r="N517" s="12">
        <f t="shared" si="66"/>
        <v>0</v>
      </c>
      <c r="O517" s="12">
        <f t="shared" si="67"/>
        <v>0</v>
      </c>
      <c r="P517" s="12">
        <f t="shared" si="68"/>
        <v>0</v>
      </c>
      <c r="Q517" s="12">
        <f t="shared" si="69"/>
        <v>0</v>
      </c>
      <c r="R517" s="12">
        <f t="shared" si="70"/>
        <v>0</v>
      </c>
      <c r="S517" s="12">
        <f t="shared" si="71"/>
        <v>0</v>
      </c>
      <c r="T517" s="29">
        <v>0</v>
      </c>
      <c r="U517" s="29">
        <v>0</v>
      </c>
      <c r="V517" s="29">
        <v>0</v>
      </c>
      <c r="W517" s="29">
        <v>0</v>
      </c>
      <c r="X517" s="29">
        <v>0</v>
      </c>
      <c r="Y517" s="29">
        <v>0</v>
      </c>
      <c r="Z517" s="29">
        <v>0</v>
      </c>
      <c r="AA517" s="29">
        <v>0</v>
      </c>
      <c r="AB517" s="29">
        <v>0</v>
      </c>
      <c r="AC517" s="29">
        <v>0</v>
      </c>
      <c r="AD517" s="29">
        <v>0</v>
      </c>
      <c r="AE517" s="29">
        <v>0</v>
      </c>
      <c r="AF517" s="29">
        <v>0</v>
      </c>
      <c r="AG517" s="29">
        <v>0</v>
      </c>
      <c r="AH517" s="29">
        <v>0</v>
      </c>
      <c r="AI517" s="29">
        <v>0</v>
      </c>
      <c r="AJ517" s="29">
        <v>0</v>
      </c>
      <c r="AK517" s="29">
        <v>0</v>
      </c>
      <c r="AL517" s="29">
        <v>0</v>
      </c>
      <c r="AM517" s="29">
        <v>0</v>
      </c>
      <c r="AN517" s="29">
        <v>0</v>
      </c>
      <c r="AO517" s="29">
        <v>0</v>
      </c>
      <c r="AP517" s="29">
        <v>0</v>
      </c>
    </row>
    <row r="518" spans="1:42" x14ac:dyDescent="0.25">
      <c r="A518" s="29">
        <v>11</v>
      </c>
      <c r="B518" s="29">
        <v>25103</v>
      </c>
      <c r="C518" s="29" t="s">
        <v>217</v>
      </c>
      <c r="D518" s="29" t="s">
        <v>823</v>
      </c>
      <c r="E518" s="29"/>
      <c r="F518" s="29">
        <v>0</v>
      </c>
      <c r="G518" s="29">
        <v>0</v>
      </c>
      <c r="H518" s="29">
        <v>0</v>
      </c>
      <c r="I518" s="29">
        <v>0</v>
      </c>
      <c r="J518" s="29">
        <v>0</v>
      </c>
      <c r="K518" s="29" t="s">
        <v>882</v>
      </c>
      <c r="L518" s="19" t="str">
        <f t="shared" si="64"/>
        <v>Рихтовка</v>
      </c>
      <c r="M518" s="12">
        <f t="shared" si="65"/>
        <v>0</v>
      </c>
      <c r="N518" s="12">
        <f t="shared" si="66"/>
        <v>0</v>
      </c>
      <c r="O518" s="12">
        <f t="shared" si="67"/>
        <v>0</v>
      </c>
      <c r="P518" s="12">
        <f t="shared" si="68"/>
        <v>0</v>
      </c>
      <c r="Q518" s="12">
        <f t="shared" si="69"/>
        <v>0</v>
      </c>
      <c r="R518" s="12">
        <f t="shared" si="70"/>
        <v>0</v>
      </c>
      <c r="S518" s="12">
        <f t="shared" si="71"/>
        <v>0</v>
      </c>
      <c r="T518" s="29">
        <v>0</v>
      </c>
      <c r="U518" s="29">
        <v>0</v>
      </c>
      <c r="V518" s="29">
        <v>0</v>
      </c>
      <c r="W518" s="29">
        <v>0</v>
      </c>
      <c r="X518" s="29">
        <v>0</v>
      </c>
      <c r="Y518" s="29">
        <v>0</v>
      </c>
      <c r="Z518" s="29">
        <v>0</v>
      </c>
      <c r="AA518" s="29">
        <v>0</v>
      </c>
      <c r="AB518" s="29">
        <v>0</v>
      </c>
      <c r="AC518" s="29">
        <v>0</v>
      </c>
      <c r="AD518" s="29">
        <v>0</v>
      </c>
      <c r="AE518" s="29">
        <v>0</v>
      </c>
      <c r="AF518" s="29">
        <v>0</v>
      </c>
      <c r="AG518" s="29">
        <v>0</v>
      </c>
      <c r="AH518" s="29">
        <v>0</v>
      </c>
      <c r="AI518" s="29">
        <v>0</v>
      </c>
      <c r="AJ518" s="29">
        <v>0</v>
      </c>
      <c r="AK518" s="29">
        <v>0</v>
      </c>
      <c r="AL518" s="29">
        <v>0</v>
      </c>
      <c r="AM518" s="29">
        <v>0</v>
      </c>
      <c r="AN518" s="29">
        <v>0</v>
      </c>
      <c r="AO518" s="29">
        <v>0</v>
      </c>
      <c r="AP518" s="29">
        <v>0</v>
      </c>
    </row>
    <row r="519" spans="1:42" x14ac:dyDescent="0.25">
      <c r="A519" s="29">
        <v>11</v>
      </c>
      <c r="B519" s="29">
        <v>25103</v>
      </c>
      <c r="C519" s="29" t="s">
        <v>217</v>
      </c>
      <c r="D519" s="29" t="s">
        <v>824</v>
      </c>
      <c r="E519" s="29"/>
      <c r="F519" s="29">
        <v>0</v>
      </c>
      <c r="G519" s="29">
        <v>0</v>
      </c>
      <c r="H519" s="29">
        <v>0</v>
      </c>
      <c r="I519" s="29">
        <v>0</v>
      </c>
      <c r="J519" s="29">
        <v>0</v>
      </c>
      <c r="K519" s="29" t="s">
        <v>882</v>
      </c>
      <c r="L519" s="19" t="str">
        <f t="shared" si="64"/>
        <v>Рихтовка</v>
      </c>
      <c r="M519" s="12">
        <f t="shared" si="65"/>
        <v>0</v>
      </c>
      <c r="N519" s="12">
        <f t="shared" si="66"/>
        <v>0</v>
      </c>
      <c r="O519" s="12">
        <f t="shared" si="67"/>
        <v>0</v>
      </c>
      <c r="P519" s="12">
        <f t="shared" si="68"/>
        <v>0</v>
      </c>
      <c r="Q519" s="12">
        <f t="shared" si="69"/>
        <v>0</v>
      </c>
      <c r="R519" s="12">
        <f t="shared" si="70"/>
        <v>0</v>
      </c>
      <c r="S519" s="12">
        <f t="shared" si="71"/>
        <v>0</v>
      </c>
      <c r="T519" s="29">
        <v>0</v>
      </c>
      <c r="U519" s="29">
        <v>0</v>
      </c>
      <c r="V519" s="29">
        <v>0</v>
      </c>
      <c r="W519" s="29">
        <v>0</v>
      </c>
      <c r="X519" s="29">
        <v>0</v>
      </c>
      <c r="Y519" s="29">
        <v>0</v>
      </c>
      <c r="Z519" s="29">
        <v>0</v>
      </c>
      <c r="AA519" s="29">
        <v>0</v>
      </c>
      <c r="AB519" s="29">
        <v>0</v>
      </c>
      <c r="AC519" s="29">
        <v>0</v>
      </c>
      <c r="AD519" s="29">
        <v>0</v>
      </c>
      <c r="AE519" s="29">
        <v>0</v>
      </c>
      <c r="AF519" s="29">
        <v>0</v>
      </c>
      <c r="AG519" s="29">
        <v>0</v>
      </c>
      <c r="AH519" s="29">
        <v>0</v>
      </c>
      <c r="AI519" s="29">
        <v>0</v>
      </c>
      <c r="AJ519" s="29">
        <v>0</v>
      </c>
      <c r="AK519" s="29">
        <v>0</v>
      </c>
      <c r="AL519" s="29">
        <v>0</v>
      </c>
      <c r="AM519" s="29">
        <v>0</v>
      </c>
      <c r="AN519" s="29">
        <v>0</v>
      </c>
      <c r="AO519" s="29">
        <v>0</v>
      </c>
      <c r="AP519" s="29">
        <v>0</v>
      </c>
    </row>
    <row r="520" spans="1:42" x14ac:dyDescent="0.25">
      <c r="A520" s="29">
        <v>11</v>
      </c>
      <c r="B520" s="29">
        <v>25103</v>
      </c>
      <c r="C520" s="29" t="s">
        <v>217</v>
      </c>
      <c r="D520" s="29" t="s">
        <v>825</v>
      </c>
      <c r="E520" s="29"/>
      <c r="F520" s="29">
        <v>0</v>
      </c>
      <c r="G520" s="29">
        <v>0</v>
      </c>
      <c r="H520" s="29">
        <v>0</v>
      </c>
      <c r="I520" s="29">
        <v>0</v>
      </c>
      <c r="J520" s="29">
        <v>0</v>
      </c>
      <c r="K520" s="29" t="s">
        <v>882</v>
      </c>
      <c r="L520" s="19" t="str">
        <f t="shared" si="64"/>
        <v>Рихтовка</v>
      </c>
      <c r="M520" s="12">
        <f t="shared" si="65"/>
        <v>0</v>
      </c>
      <c r="N520" s="12">
        <f t="shared" si="66"/>
        <v>0</v>
      </c>
      <c r="O520" s="12">
        <f t="shared" si="67"/>
        <v>0</v>
      </c>
      <c r="P520" s="12">
        <f t="shared" si="68"/>
        <v>0</v>
      </c>
      <c r="Q520" s="12">
        <f t="shared" si="69"/>
        <v>0</v>
      </c>
      <c r="R520" s="12">
        <f t="shared" si="70"/>
        <v>0</v>
      </c>
      <c r="S520" s="12">
        <f t="shared" si="71"/>
        <v>0</v>
      </c>
      <c r="T520" s="29">
        <v>0</v>
      </c>
      <c r="U520" s="29">
        <v>0</v>
      </c>
      <c r="V520" s="29">
        <v>0</v>
      </c>
      <c r="W520" s="29">
        <v>0</v>
      </c>
      <c r="X520" s="29">
        <v>0</v>
      </c>
      <c r="Y520" s="29">
        <v>0</v>
      </c>
      <c r="Z520" s="29">
        <v>0</v>
      </c>
      <c r="AA520" s="29">
        <v>0</v>
      </c>
      <c r="AB520" s="29">
        <v>0</v>
      </c>
      <c r="AC520" s="29">
        <v>0</v>
      </c>
      <c r="AD520" s="29">
        <v>0</v>
      </c>
      <c r="AE520" s="29">
        <v>0</v>
      </c>
      <c r="AF520" s="29">
        <v>0</v>
      </c>
      <c r="AG520" s="29">
        <v>0</v>
      </c>
      <c r="AH520" s="29">
        <v>0</v>
      </c>
      <c r="AI520" s="29">
        <v>0</v>
      </c>
      <c r="AJ520" s="29">
        <v>0</v>
      </c>
      <c r="AK520" s="29">
        <v>0</v>
      </c>
      <c r="AL520" s="29">
        <v>0</v>
      </c>
      <c r="AM520" s="29">
        <v>0</v>
      </c>
      <c r="AN520" s="29">
        <v>0</v>
      </c>
      <c r="AO520" s="29">
        <v>0</v>
      </c>
      <c r="AP520" s="29">
        <v>0</v>
      </c>
    </row>
    <row r="521" spans="1:42" x14ac:dyDescent="0.25">
      <c r="A521" s="29">
        <v>11</v>
      </c>
      <c r="B521" s="29">
        <v>25103</v>
      </c>
      <c r="C521" s="29" t="s">
        <v>217</v>
      </c>
      <c r="D521" s="29" t="s">
        <v>826</v>
      </c>
      <c r="E521" s="29"/>
      <c r="F521" s="29">
        <v>0</v>
      </c>
      <c r="G521" s="29">
        <v>0</v>
      </c>
      <c r="H521" s="29">
        <v>0</v>
      </c>
      <c r="I521" s="29">
        <v>0</v>
      </c>
      <c r="J521" s="29">
        <v>0</v>
      </c>
      <c r="K521" s="29" t="s">
        <v>882</v>
      </c>
      <c r="L521" s="19" t="str">
        <f t="shared" si="64"/>
        <v>Рихтовка</v>
      </c>
      <c r="M521" s="12">
        <f t="shared" si="65"/>
        <v>0</v>
      </c>
      <c r="N521" s="12">
        <f t="shared" si="66"/>
        <v>0</v>
      </c>
      <c r="O521" s="12">
        <f t="shared" si="67"/>
        <v>0</v>
      </c>
      <c r="P521" s="12">
        <f t="shared" si="68"/>
        <v>0</v>
      </c>
      <c r="Q521" s="12">
        <f t="shared" si="69"/>
        <v>0</v>
      </c>
      <c r="R521" s="12">
        <f t="shared" si="70"/>
        <v>0</v>
      </c>
      <c r="S521" s="12">
        <f t="shared" si="71"/>
        <v>0</v>
      </c>
      <c r="T521" s="29">
        <v>0</v>
      </c>
      <c r="U521" s="29">
        <v>0</v>
      </c>
      <c r="V521" s="29">
        <v>0</v>
      </c>
      <c r="W521" s="29">
        <v>0</v>
      </c>
      <c r="X521" s="29">
        <v>0</v>
      </c>
      <c r="Y521" s="29">
        <v>0</v>
      </c>
      <c r="Z521" s="29">
        <v>0</v>
      </c>
      <c r="AA521" s="29">
        <v>0</v>
      </c>
      <c r="AB521" s="29">
        <v>0</v>
      </c>
      <c r="AC521" s="29">
        <v>0</v>
      </c>
      <c r="AD521" s="29">
        <v>0</v>
      </c>
      <c r="AE521" s="29">
        <v>0</v>
      </c>
      <c r="AF521" s="29">
        <v>0</v>
      </c>
      <c r="AG521" s="29">
        <v>0</v>
      </c>
      <c r="AH521" s="29">
        <v>0</v>
      </c>
      <c r="AI521" s="29">
        <v>0</v>
      </c>
      <c r="AJ521" s="29">
        <v>0</v>
      </c>
      <c r="AK521" s="29">
        <v>0</v>
      </c>
      <c r="AL521" s="29">
        <v>0</v>
      </c>
      <c r="AM521" s="29">
        <v>0</v>
      </c>
      <c r="AN521" s="29">
        <v>0</v>
      </c>
      <c r="AO521" s="29">
        <v>0</v>
      </c>
      <c r="AP521" s="29">
        <v>0</v>
      </c>
    </row>
    <row r="522" spans="1:42" x14ac:dyDescent="0.25">
      <c r="A522" s="29">
        <v>11</v>
      </c>
      <c r="B522" s="29">
        <v>25103</v>
      </c>
      <c r="C522" s="29" t="s">
        <v>217</v>
      </c>
      <c r="D522" s="29" t="s">
        <v>827</v>
      </c>
      <c r="E522" s="29"/>
      <c r="F522" s="29">
        <v>0</v>
      </c>
      <c r="G522" s="29">
        <v>0</v>
      </c>
      <c r="H522" s="29">
        <v>0</v>
      </c>
      <c r="I522" s="29">
        <v>0</v>
      </c>
      <c r="J522" s="29">
        <v>0</v>
      </c>
      <c r="K522" s="29" t="s">
        <v>882</v>
      </c>
      <c r="L522" s="19" t="str">
        <f t="shared" si="64"/>
        <v>Рихтовка</v>
      </c>
      <c r="M522" s="12">
        <f t="shared" si="65"/>
        <v>0</v>
      </c>
      <c r="N522" s="12">
        <f t="shared" si="66"/>
        <v>0</v>
      </c>
      <c r="O522" s="12">
        <f t="shared" si="67"/>
        <v>0</v>
      </c>
      <c r="P522" s="12">
        <f t="shared" si="68"/>
        <v>0</v>
      </c>
      <c r="Q522" s="12">
        <f t="shared" si="69"/>
        <v>0</v>
      </c>
      <c r="R522" s="12">
        <f t="shared" si="70"/>
        <v>0</v>
      </c>
      <c r="S522" s="12">
        <f t="shared" si="71"/>
        <v>0</v>
      </c>
      <c r="T522" s="29">
        <v>0</v>
      </c>
      <c r="U522" s="29">
        <v>0</v>
      </c>
      <c r="V522" s="29">
        <v>0</v>
      </c>
      <c r="W522" s="29">
        <v>0</v>
      </c>
      <c r="X522" s="29">
        <v>0</v>
      </c>
      <c r="Y522" s="29">
        <v>0</v>
      </c>
      <c r="Z522" s="29">
        <v>0</v>
      </c>
      <c r="AA522" s="29">
        <v>0</v>
      </c>
      <c r="AB522" s="29">
        <v>0</v>
      </c>
      <c r="AC522" s="29">
        <v>0</v>
      </c>
      <c r="AD522" s="29">
        <v>0</v>
      </c>
      <c r="AE522" s="29">
        <v>0</v>
      </c>
      <c r="AF522" s="29">
        <v>0</v>
      </c>
      <c r="AG522" s="29">
        <v>0</v>
      </c>
      <c r="AH522" s="29">
        <v>0</v>
      </c>
      <c r="AI522" s="29">
        <v>0</v>
      </c>
      <c r="AJ522" s="29">
        <v>0</v>
      </c>
      <c r="AK522" s="29">
        <v>0</v>
      </c>
      <c r="AL522" s="29">
        <v>0</v>
      </c>
      <c r="AM522" s="29">
        <v>0</v>
      </c>
      <c r="AN522" s="29">
        <v>0</v>
      </c>
      <c r="AO522" s="29">
        <v>0</v>
      </c>
      <c r="AP522" s="29">
        <v>0</v>
      </c>
    </row>
    <row r="523" spans="1:42" x14ac:dyDescent="0.25">
      <c r="A523" s="29">
        <v>11</v>
      </c>
      <c r="B523" s="29">
        <v>25104</v>
      </c>
      <c r="C523" s="29" t="s">
        <v>217</v>
      </c>
      <c r="D523" s="29" t="s">
        <v>828</v>
      </c>
      <c r="E523" s="29"/>
      <c r="F523" s="29">
        <v>0</v>
      </c>
      <c r="G523" s="29">
        <v>0</v>
      </c>
      <c r="H523" s="29">
        <v>0</v>
      </c>
      <c r="I523" s="29">
        <v>0</v>
      </c>
      <c r="J523" s="29">
        <v>0</v>
      </c>
      <c r="K523" s="29" t="s">
        <v>882</v>
      </c>
      <c r="L523" s="19" t="str">
        <f t="shared" si="64"/>
        <v>Рихтовка</v>
      </c>
      <c r="M523" s="12">
        <f t="shared" si="65"/>
        <v>0</v>
      </c>
      <c r="N523" s="12">
        <f t="shared" si="66"/>
        <v>0</v>
      </c>
      <c r="O523" s="12">
        <f t="shared" si="67"/>
        <v>0</v>
      </c>
      <c r="P523" s="12">
        <f t="shared" si="68"/>
        <v>0</v>
      </c>
      <c r="Q523" s="12">
        <f t="shared" si="69"/>
        <v>0</v>
      </c>
      <c r="R523" s="12">
        <f t="shared" si="70"/>
        <v>0</v>
      </c>
      <c r="S523" s="12">
        <f t="shared" si="71"/>
        <v>0</v>
      </c>
      <c r="T523" s="29">
        <v>0</v>
      </c>
      <c r="U523" s="29">
        <v>0</v>
      </c>
      <c r="V523" s="29">
        <v>0</v>
      </c>
      <c r="W523" s="29">
        <v>0</v>
      </c>
      <c r="X523" s="29">
        <v>0</v>
      </c>
      <c r="Y523" s="29">
        <v>0</v>
      </c>
      <c r="Z523" s="29">
        <v>0</v>
      </c>
      <c r="AA523" s="29">
        <v>0</v>
      </c>
      <c r="AB523" s="29">
        <v>0</v>
      </c>
      <c r="AC523" s="29">
        <v>0</v>
      </c>
      <c r="AD523" s="29">
        <v>0</v>
      </c>
      <c r="AE523" s="29">
        <v>0</v>
      </c>
      <c r="AF523" s="29">
        <v>0</v>
      </c>
      <c r="AG523" s="29">
        <v>0</v>
      </c>
      <c r="AH523" s="29">
        <v>0</v>
      </c>
      <c r="AI523" s="29">
        <v>0</v>
      </c>
      <c r="AJ523" s="29">
        <v>0</v>
      </c>
      <c r="AK523" s="29">
        <v>0</v>
      </c>
      <c r="AL523" s="29">
        <v>0</v>
      </c>
      <c r="AM523" s="29">
        <v>0</v>
      </c>
      <c r="AN523" s="29">
        <v>0</v>
      </c>
      <c r="AO523" s="29">
        <v>0</v>
      </c>
      <c r="AP523" s="29">
        <v>0</v>
      </c>
    </row>
    <row r="524" spans="1:42" x14ac:dyDescent="0.25">
      <c r="A524" s="29">
        <v>12</v>
      </c>
      <c r="B524" s="29">
        <v>25104</v>
      </c>
      <c r="C524" s="29" t="s">
        <v>217</v>
      </c>
      <c r="D524" s="29" t="s">
        <v>828</v>
      </c>
      <c r="E524" s="29"/>
      <c r="F524" s="29">
        <v>0</v>
      </c>
      <c r="G524" s="29">
        <v>0</v>
      </c>
      <c r="H524" s="29">
        <v>0</v>
      </c>
      <c r="I524" s="29">
        <v>0</v>
      </c>
      <c r="J524" s="29">
        <v>0</v>
      </c>
      <c r="K524" s="29" t="s">
        <v>882</v>
      </c>
      <c r="L524" s="19" t="str">
        <f t="shared" si="64"/>
        <v>Рихтовка</v>
      </c>
      <c r="M524" s="12">
        <f t="shared" si="65"/>
        <v>0</v>
      </c>
      <c r="N524" s="12">
        <f t="shared" si="66"/>
        <v>0</v>
      </c>
      <c r="O524" s="12">
        <f t="shared" si="67"/>
        <v>0</v>
      </c>
      <c r="P524" s="12">
        <f t="shared" si="68"/>
        <v>0</v>
      </c>
      <c r="Q524" s="12">
        <f t="shared" si="69"/>
        <v>0</v>
      </c>
      <c r="R524" s="12">
        <f t="shared" si="70"/>
        <v>0</v>
      </c>
      <c r="S524" s="12">
        <f t="shared" si="71"/>
        <v>0</v>
      </c>
      <c r="T524" s="29">
        <v>0</v>
      </c>
      <c r="U524" s="29">
        <v>0</v>
      </c>
      <c r="V524" s="29">
        <v>0</v>
      </c>
      <c r="W524" s="29">
        <v>0</v>
      </c>
      <c r="X524" s="29">
        <v>0</v>
      </c>
      <c r="Y524" s="29">
        <v>0</v>
      </c>
      <c r="Z524" s="29">
        <v>0</v>
      </c>
      <c r="AA524" s="29">
        <v>0</v>
      </c>
      <c r="AB524" s="29">
        <v>0</v>
      </c>
      <c r="AC524" s="29">
        <v>0</v>
      </c>
      <c r="AD524" s="29">
        <v>0</v>
      </c>
      <c r="AE524" s="29">
        <v>0</v>
      </c>
      <c r="AF524" s="29">
        <v>0</v>
      </c>
      <c r="AG524" s="29">
        <v>0</v>
      </c>
      <c r="AH524" s="29">
        <v>0</v>
      </c>
      <c r="AI524" s="29">
        <v>0</v>
      </c>
      <c r="AJ524" s="29">
        <v>0</v>
      </c>
      <c r="AK524" s="29">
        <v>0</v>
      </c>
      <c r="AL524" s="29">
        <v>0</v>
      </c>
      <c r="AM524" s="29">
        <v>0</v>
      </c>
      <c r="AN524" s="29">
        <v>0</v>
      </c>
      <c r="AO524" s="29">
        <v>0</v>
      </c>
      <c r="AP524" s="29">
        <v>0</v>
      </c>
    </row>
    <row r="525" spans="1:42" x14ac:dyDescent="0.25">
      <c r="A525" s="29">
        <v>12</v>
      </c>
      <c r="B525" s="29">
        <v>25104</v>
      </c>
      <c r="C525" s="29" t="s">
        <v>217</v>
      </c>
      <c r="D525" s="29" t="s">
        <v>829</v>
      </c>
      <c r="E525" s="29"/>
      <c r="F525" s="29">
        <v>0</v>
      </c>
      <c r="G525" s="29">
        <v>0</v>
      </c>
      <c r="H525" s="29">
        <v>0</v>
      </c>
      <c r="I525" s="29">
        <v>0</v>
      </c>
      <c r="J525" s="29">
        <v>0</v>
      </c>
      <c r="K525" s="29" t="s">
        <v>882</v>
      </c>
      <c r="L525" s="19" t="str">
        <f t="shared" si="64"/>
        <v>Рихтовка</v>
      </c>
      <c r="M525" s="12">
        <f t="shared" si="65"/>
        <v>0</v>
      </c>
      <c r="N525" s="12">
        <f t="shared" si="66"/>
        <v>0</v>
      </c>
      <c r="O525" s="12">
        <f t="shared" si="67"/>
        <v>0</v>
      </c>
      <c r="P525" s="12">
        <f t="shared" si="68"/>
        <v>0</v>
      </c>
      <c r="Q525" s="12">
        <f t="shared" si="69"/>
        <v>0</v>
      </c>
      <c r="R525" s="12">
        <f t="shared" si="70"/>
        <v>0</v>
      </c>
      <c r="S525" s="12">
        <f t="shared" si="71"/>
        <v>0</v>
      </c>
      <c r="T525" s="29">
        <v>0</v>
      </c>
      <c r="U525" s="29">
        <v>0</v>
      </c>
      <c r="V525" s="29">
        <v>0</v>
      </c>
      <c r="W525" s="29">
        <v>0</v>
      </c>
      <c r="X525" s="29">
        <v>0</v>
      </c>
      <c r="Y525" s="29">
        <v>0</v>
      </c>
      <c r="Z525" s="29">
        <v>0</v>
      </c>
      <c r="AA525" s="29">
        <v>0</v>
      </c>
      <c r="AB525" s="29">
        <v>0</v>
      </c>
      <c r="AC525" s="29">
        <v>0</v>
      </c>
      <c r="AD525" s="29">
        <v>0</v>
      </c>
      <c r="AE525" s="29">
        <v>0</v>
      </c>
      <c r="AF525" s="29">
        <v>0</v>
      </c>
      <c r="AG525" s="29">
        <v>0</v>
      </c>
      <c r="AH525" s="29">
        <v>0</v>
      </c>
      <c r="AI525" s="29">
        <v>0</v>
      </c>
      <c r="AJ525" s="29">
        <v>0</v>
      </c>
      <c r="AK525" s="29">
        <v>0</v>
      </c>
      <c r="AL525" s="29">
        <v>0</v>
      </c>
      <c r="AM525" s="29">
        <v>0</v>
      </c>
      <c r="AN525" s="29">
        <v>0</v>
      </c>
      <c r="AO525" s="29">
        <v>0</v>
      </c>
      <c r="AP525" s="29">
        <v>0</v>
      </c>
    </row>
    <row r="526" spans="1:42" x14ac:dyDescent="0.25">
      <c r="A526" s="29">
        <v>12</v>
      </c>
      <c r="B526" s="29">
        <v>25104</v>
      </c>
      <c r="C526" s="29" t="s">
        <v>217</v>
      </c>
      <c r="D526" s="29" t="s">
        <v>830</v>
      </c>
      <c r="E526" s="29"/>
      <c r="F526" s="29">
        <v>0</v>
      </c>
      <c r="G526" s="29">
        <v>0</v>
      </c>
      <c r="H526" s="29">
        <v>0</v>
      </c>
      <c r="I526" s="29">
        <v>0</v>
      </c>
      <c r="J526" s="29">
        <v>0</v>
      </c>
      <c r="K526" s="29" t="s">
        <v>882</v>
      </c>
      <c r="L526" s="19" t="str">
        <f t="shared" si="64"/>
        <v>Рихтовка</v>
      </c>
      <c r="M526" s="12">
        <f t="shared" si="65"/>
        <v>0</v>
      </c>
      <c r="N526" s="12">
        <f t="shared" si="66"/>
        <v>0</v>
      </c>
      <c r="O526" s="12">
        <f t="shared" si="67"/>
        <v>0</v>
      </c>
      <c r="P526" s="12">
        <f t="shared" si="68"/>
        <v>0</v>
      </c>
      <c r="Q526" s="12">
        <f t="shared" si="69"/>
        <v>0</v>
      </c>
      <c r="R526" s="12">
        <f t="shared" si="70"/>
        <v>0</v>
      </c>
      <c r="S526" s="12">
        <f t="shared" si="71"/>
        <v>0</v>
      </c>
      <c r="T526" s="29">
        <v>0</v>
      </c>
      <c r="U526" s="29">
        <v>0</v>
      </c>
      <c r="V526" s="29">
        <v>0</v>
      </c>
      <c r="W526" s="29">
        <v>0</v>
      </c>
      <c r="X526" s="29">
        <v>0</v>
      </c>
      <c r="Y526" s="29">
        <v>0</v>
      </c>
      <c r="Z526" s="29">
        <v>0</v>
      </c>
      <c r="AA526" s="29">
        <v>0</v>
      </c>
      <c r="AB526" s="29">
        <v>0</v>
      </c>
      <c r="AC526" s="29">
        <v>0</v>
      </c>
      <c r="AD526" s="29">
        <v>0</v>
      </c>
      <c r="AE526" s="29">
        <v>0</v>
      </c>
      <c r="AF526" s="29">
        <v>0</v>
      </c>
      <c r="AG526" s="29">
        <v>0</v>
      </c>
      <c r="AH526" s="29">
        <v>0</v>
      </c>
      <c r="AI526" s="29">
        <v>0</v>
      </c>
      <c r="AJ526" s="29">
        <v>0</v>
      </c>
      <c r="AK526" s="29">
        <v>0</v>
      </c>
      <c r="AL526" s="29">
        <v>0</v>
      </c>
      <c r="AM526" s="29">
        <v>0</v>
      </c>
      <c r="AN526" s="29">
        <v>0</v>
      </c>
      <c r="AO526" s="29">
        <v>0</v>
      </c>
      <c r="AP526" s="29">
        <v>0</v>
      </c>
    </row>
    <row r="527" spans="1:42" x14ac:dyDescent="0.25">
      <c r="A527" s="29">
        <v>12</v>
      </c>
      <c r="B527" s="29">
        <v>25104</v>
      </c>
      <c r="C527" s="29" t="s">
        <v>217</v>
      </c>
      <c r="D527" s="29" t="s">
        <v>831</v>
      </c>
      <c r="E527" s="29"/>
      <c r="F527" s="29">
        <v>0</v>
      </c>
      <c r="G527" s="29">
        <v>0</v>
      </c>
      <c r="H527" s="29">
        <v>0</v>
      </c>
      <c r="I527" s="29">
        <v>0</v>
      </c>
      <c r="J527" s="29">
        <v>0</v>
      </c>
      <c r="K527" s="29" t="s">
        <v>882</v>
      </c>
      <c r="L527" s="19" t="str">
        <f t="shared" si="64"/>
        <v>Рихтовка</v>
      </c>
      <c r="M527" s="12">
        <f t="shared" si="65"/>
        <v>0</v>
      </c>
      <c r="N527" s="12">
        <f t="shared" si="66"/>
        <v>0</v>
      </c>
      <c r="O527" s="12">
        <f t="shared" si="67"/>
        <v>0</v>
      </c>
      <c r="P527" s="12">
        <f t="shared" si="68"/>
        <v>0</v>
      </c>
      <c r="Q527" s="12">
        <f t="shared" si="69"/>
        <v>0</v>
      </c>
      <c r="R527" s="12">
        <f t="shared" si="70"/>
        <v>0</v>
      </c>
      <c r="S527" s="12">
        <f t="shared" si="71"/>
        <v>0</v>
      </c>
      <c r="T527" s="29">
        <v>0</v>
      </c>
      <c r="U527" s="29">
        <v>0</v>
      </c>
      <c r="V527" s="29">
        <v>0</v>
      </c>
      <c r="W527" s="29">
        <v>0</v>
      </c>
      <c r="X527" s="29">
        <v>0</v>
      </c>
      <c r="Y527" s="29">
        <v>0</v>
      </c>
      <c r="Z527" s="29">
        <v>0</v>
      </c>
      <c r="AA527" s="29">
        <v>0</v>
      </c>
      <c r="AB527" s="29">
        <v>0</v>
      </c>
      <c r="AC527" s="29">
        <v>0</v>
      </c>
      <c r="AD527" s="29">
        <v>0</v>
      </c>
      <c r="AE527" s="29">
        <v>0</v>
      </c>
      <c r="AF527" s="29">
        <v>0</v>
      </c>
      <c r="AG527" s="29">
        <v>0</v>
      </c>
      <c r="AH527" s="29">
        <v>0</v>
      </c>
      <c r="AI527" s="29">
        <v>0</v>
      </c>
      <c r="AJ527" s="29">
        <v>0</v>
      </c>
      <c r="AK527" s="29">
        <v>0</v>
      </c>
      <c r="AL527" s="29">
        <v>0</v>
      </c>
      <c r="AM527" s="29">
        <v>0</v>
      </c>
      <c r="AN527" s="29">
        <v>0</v>
      </c>
      <c r="AO527" s="29">
        <v>0</v>
      </c>
      <c r="AP527" s="29">
        <v>0</v>
      </c>
    </row>
    <row r="528" spans="1:42" x14ac:dyDescent="0.25">
      <c r="A528" s="29">
        <v>12</v>
      </c>
      <c r="B528" s="29">
        <v>25104</v>
      </c>
      <c r="C528" s="29" t="s">
        <v>217</v>
      </c>
      <c r="D528" s="29" t="s">
        <v>832</v>
      </c>
      <c r="E528" s="29"/>
      <c r="F528" s="29">
        <v>0</v>
      </c>
      <c r="G528" s="29">
        <v>0</v>
      </c>
      <c r="H528" s="29">
        <v>0</v>
      </c>
      <c r="I528" s="29">
        <v>0</v>
      </c>
      <c r="J528" s="29">
        <v>0</v>
      </c>
      <c r="K528" s="29" t="s">
        <v>882</v>
      </c>
      <c r="L528" s="19" t="str">
        <f t="shared" si="64"/>
        <v>Рихтовка</v>
      </c>
      <c r="M528" s="12">
        <f t="shared" si="65"/>
        <v>0</v>
      </c>
      <c r="N528" s="12">
        <f t="shared" si="66"/>
        <v>0</v>
      </c>
      <c r="O528" s="12">
        <f t="shared" si="67"/>
        <v>0</v>
      </c>
      <c r="P528" s="12">
        <f t="shared" si="68"/>
        <v>0</v>
      </c>
      <c r="Q528" s="12">
        <f t="shared" si="69"/>
        <v>0</v>
      </c>
      <c r="R528" s="12">
        <f t="shared" si="70"/>
        <v>0</v>
      </c>
      <c r="S528" s="12">
        <f t="shared" si="71"/>
        <v>0</v>
      </c>
      <c r="T528" s="29">
        <v>0</v>
      </c>
      <c r="U528" s="29">
        <v>0</v>
      </c>
      <c r="V528" s="29">
        <v>0</v>
      </c>
      <c r="W528" s="29">
        <v>0</v>
      </c>
      <c r="X528" s="29">
        <v>0</v>
      </c>
      <c r="Y528" s="29">
        <v>0</v>
      </c>
      <c r="Z528" s="29">
        <v>0</v>
      </c>
      <c r="AA528" s="29">
        <v>0</v>
      </c>
      <c r="AB528" s="29">
        <v>0</v>
      </c>
      <c r="AC528" s="29">
        <v>0</v>
      </c>
      <c r="AD528" s="29">
        <v>0</v>
      </c>
      <c r="AE528" s="29">
        <v>0</v>
      </c>
      <c r="AF528" s="29">
        <v>0</v>
      </c>
      <c r="AG528" s="29">
        <v>0</v>
      </c>
      <c r="AH528" s="29">
        <v>0</v>
      </c>
      <c r="AI528" s="29">
        <v>0</v>
      </c>
      <c r="AJ528" s="29">
        <v>0</v>
      </c>
      <c r="AK528" s="29">
        <v>0</v>
      </c>
      <c r="AL528" s="29">
        <v>0</v>
      </c>
      <c r="AM528" s="29">
        <v>0</v>
      </c>
      <c r="AN528" s="29">
        <v>0</v>
      </c>
      <c r="AO528" s="29">
        <v>0</v>
      </c>
      <c r="AP528" s="29">
        <v>0</v>
      </c>
    </row>
    <row r="529" spans="1:42" x14ac:dyDescent="0.25">
      <c r="A529" s="29">
        <v>12</v>
      </c>
      <c r="B529" s="29">
        <v>25104</v>
      </c>
      <c r="C529" s="29" t="s">
        <v>217</v>
      </c>
      <c r="D529" s="29" t="s">
        <v>833</v>
      </c>
      <c r="E529" s="29"/>
      <c r="F529" s="29">
        <v>0</v>
      </c>
      <c r="G529" s="29">
        <v>0</v>
      </c>
      <c r="H529" s="29">
        <v>0</v>
      </c>
      <c r="I529" s="29">
        <v>0</v>
      </c>
      <c r="J529" s="29">
        <v>0</v>
      </c>
      <c r="K529" s="29" t="s">
        <v>882</v>
      </c>
      <c r="L529" s="19" t="str">
        <f t="shared" si="64"/>
        <v>Рихтовка</v>
      </c>
      <c r="M529" s="12">
        <f t="shared" si="65"/>
        <v>0</v>
      </c>
      <c r="N529" s="12">
        <f t="shared" si="66"/>
        <v>0</v>
      </c>
      <c r="O529" s="12">
        <f t="shared" si="67"/>
        <v>0</v>
      </c>
      <c r="P529" s="12">
        <f t="shared" si="68"/>
        <v>0</v>
      </c>
      <c r="Q529" s="12">
        <f t="shared" si="69"/>
        <v>0</v>
      </c>
      <c r="R529" s="12">
        <f t="shared" si="70"/>
        <v>0</v>
      </c>
      <c r="S529" s="12">
        <f t="shared" si="71"/>
        <v>0</v>
      </c>
      <c r="T529" s="29">
        <v>0</v>
      </c>
      <c r="U529" s="29">
        <v>0</v>
      </c>
      <c r="V529" s="29">
        <v>0</v>
      </c>
      <c r="W529" s="29">
        <v>0</v>
      </c>
      <c r="X529" s="29">
        <v>0</v>
      </c>
      <c r="Y529" s="29">
        <v>0</v>
      </c>
      <c r="Z529" s="29">
        <v>0</v>
      </c>
      <c r="AA529" s="29">
        <v>0</v>
      </c>
      <c r="AB529" s="29">
        <v>0</v>
      </c>
      <c r="AC529" s="29">
        <v>0</v>
      </c>
      <c r="AD529" s="29">
        <v>0</v>
      </c>
      <c r="AE529" s="29">
        <v>0</v>
      </c>
      <c r="AF529" s="29">
        <v>0</v>
      </c>
      <c r="AG529" s="29">
        <v>0</v>
      </c>
      <c r="AH529" s="29">
        <v>0</v>
      </c>
      <c r="AI529" s="29">
        <v>0</v>
      </c>
      <c r="AJ529" s="29">
        <v>0</v>
      </c>
      <c r="AK529" s="29">
        <v>0</v>
      </c>
      <c r="AL529" s="29">
        <v>0</v>
      </c>
      <c r="AM529" s="29">
        <v>0</v>
      </c>
      <c r="AN529" s="29">
        <v>0</v>
      </c>
      <c r="AO529" s="29">
        <v>0</v>
      </c>
      <c r="AP529" s="29">
        <v>0</v>
      </c>
    </row>
    <row r="530" spans="1:42" x14ac:dyDescent="0.25">
      <c r="A530" s="29">
        <v>12</v>
      </c>
      <c r="B530" s="29">
        <v>25104</v>
      </c>
      <c r="C530" s="29" t="s">
        <v>217</v>
      </c>
      <c r="D530" s="29" t="s">
        <v>834</v>
      </c>
      <c r="E530" s="29"/>
      <c r="F530" s="29">
        <v>0</v>
      </c>
      <c r="G530" s="29">
        <v>0</v>
      </c>
      <c r="H530" s="29">
        <v>0</v>
      </c>
      <c r="I530" s="29">
        <v>0</v>
      </c>
      <c r="J530" s="29">
        <v>0</v>
      </c>
      <c r="K530" s="29" t="s">
        <v>882</v>
      </c>
      <c r="L530" s="19" t="str">
        <f t="shared" si="64"/>
        <v>Рихтовка</v>
      </c>
      <c r="M530" s="12">
        <f t="shared" si="65"/>
        <v>0</v>
      </c>
      <c r="N530" s="12">
        <f t="shared" si="66"/>
        <v>0</v>
      </c>
      <c r="O530" s="12">
        <f t="shared" si="67"/>
        <v>0</v>
      </c>
      <c r="P530" s="12">
        <f t="shared" si="68"/>
        <v>0</v>
      </c>
      <c r="Q530" s="12">
        <f t="shared" si="69"/>
        <v>0</v>
      </c>
      <c r="R530" s="12">
        <f t="shared" si="70"/>
        <v>0</v>
      </c>
      <c r="S530" s="12">
        <f t="shared" si="71"/>
        <v>0</v>
      </c>
      <c r="T530" s="29">
        <v>0</v>
      </c>
      <c r="U530" s="29">
        <v>0</v>
      </c>
      <c r="V530" s="29">
        <v>0</v>
      </c>
      <c r="W530" s="29">
        <v>0</v>
      </c>
      <c r="X530" s="29">
        <v>0</v>
      </c>
      <c r="Y530" s="29">
        <v>0</v>
      </c>
      <c r="Z530" s="29">
        <v>0</v>
      </c>
      <c r="AA530" s="29">
        <v>0</v>
      </c>
      <c r="AB530" s="29">
        <v>0</v>
      </c>
      <c r="AC530" s="29">
        <v>0</v>
      </c>
      <c r="AD530" s="29">
        <v>0</v>
      </c>
      <c r="AE530" s="29">
        <v>0</v>
      </c>
      <c r="AF530" s="29">
        <v>0</v>
      </c>
      <c r="AG530" s="29">
        <v>0</v>
      </c>
      <c r="AH530" s="29">
        <v>0</v>
      </c>
      <c r="AI530" s="29">
        <v>0</v>
      </c>
      <c r="AJ530" s="29">
        <v>0</v>
      </c>
      <c r="AK530" s="29">
        <v>0</v>
      </c>
      <c r="AL530" s="29">
        <v>0</v>
      </c>
      <c r="AM530" s="29">
        <v>0</v>
      </c>
      <c r="AN530" s="29">
        <v>0</v>
      </c>
      <c r="AO530" s="29">
        <v>0</v>
      </c>
      <c r="AP530" s="29">
        <v>0</v>
      </c>
    </row>
    <row r="531" spans="1:42" x14ac:dyDescent="0.25">
      <c r="A531" s="29">
        <v>12</v>
      </c>
      <c r="B531" s="29">
        <v>25104</v>
      </c>
      <c r="C531" s="29" t="s">
        <v>217</v>
      </c>
      <c r="D531" s="29" t="s">
        <v>835</v>
      </c>
      <c r="E531" s="29"/>
      <c r="F531" s="29">
        <v>0</v>
      </c>
      <c r="G531" s="29">
        <v>0</v>
      </c>
      <c r="H531" s="29">
        <v>0</v>
      </c>
      <c r="I531" s="29">
        <v>0</v>
      </c>
      <c r="J531" s="29">
        <v>0</v>
      </c>
      <c r="K531" s="29" t="s">
        <v>882</v>
      </c>
      <c r="L531" s="19" t="str">
        <f t="shared" si="64"/>
        <v>Рихтовка</v>
      </c>
      <c r="M531" s="12">
        <f t="shared" si="65"/>
        <v>0</v>
      </c>
      <c r="N531" s="12">
        <f t="shared" si="66"/>
        <v>0</v>
      </c>
      <c r="O531" s="12">
        <f t="shared" si="67"/>
        <v>0</v>
      </c>
      <c r="P531" s="12">
        <f t="shared" si="68"/>
        <v>0</v>
      </c>
      <c r="Q531" s="12">
        <f t="shared" si="69"/>
        <v>0</v>
      </c>
      <c r="R531" s="12">
        <f t="shared" si="70"/>
        <v>0</v>
      </c>
      <c r="S531" s="12">
        <f t="shared" si="71"/>
        <v>0</v>
      </c>
      <c r="T531" s="29">
        <v>0</v>
      </c>
      <c r="U531" s="29">
        <v>0</v>
      </c>
      <c r="V531" s="29">
        <v>0</v>
      </c>
      <c r="W531" s="29">
        <v>0</v>
      </c>
      <c r="X531" s="29">
        <v>0</v>
      </c>
      <c r="Y531" s="29">
        <v>0</v>
      </c>
      <c r="Z531" s="29">
        <v>0</v>
      </c>
      <c r="AA531" s="29">
        <v>0</v>
      </c>
      <c r="AB531" s="29">
        <v>0</v>
      </c>
      <c r="AC531" s="29">
        <v>0</v>
      </c>
      <c r="AD531" s="29">
        <v>0</v>
      </c>
      <c r="AE531" s="29">
        <v>0</v>
      </c>
      <c r="AF531" s="29">
        <v>0</v>
      </c>
      <c r="AG531" s="29">
        <v>0</v>
      </c>
      <c r="AH531" s="29">
        <v>0</v>
      </c>
      <c r="AI531" s="29">
        <v>0</v>
      </c>
      <c r="AJ531" s="29">
        <v>0</v>
      </c>
      <c r="AK531" s="29">
        <v>0</v>
      </c>
      <c r="AL531" s="29">
        <v>0</v>
      </c>
      <c r="AM531" s="29">
        <v>0</v>
      </c>
      <c r="AN531" s="29">
        <v>0</v>
      </c>
      <c r="AO531" s="29">
        <v>0</v>
      </c>
      <c r="AP531" s="29">
        <v>0</v>
      </c>
    </row>
    <row r="532" spans="1:42" x14ac:dyDescent="0.25">
      <c r="A532" s="29">
        <v>12</v>
      </c>
      <c r="B532" s="29">
        <v>25130</v>
      </c>
      <c r="C532" s="29" t="s">
        <v>217</v>
      </c>
      <c r="D532" s="29" t="s">
        <v>930</v>
      </c>
      <c r="E532" s="29"/>
      <c r="F532" s="29">
        <v>0</v>
      </c>
      <c r="G532" s="29">
        <v>0</v>
      </c>
      <c r="H532" s="29">
        <v>0</v>
      </c>
      <c r="I532" s="29">
        <v>0</v>
      </c>
      <c r="J532" s="29">
        <v>0</v>
      </c>
      <c r="K532" s="29" t="s">
        <v>882</v>
      </c>
      <c r="L532" s="19" t="str">
        <f t="shared" si="64"/>
        <v>Рихтовка</v>
      </c>
      <c r="M532" s="12">
        <f t="shared" si="65"/>
        <v>0</v>
      </c>
      <c r="N532" s="12">
        <f t="shared" si="66"/>
        <v>0</v>
      </c>
      <c r="O532" s="12">
        <f t="shared" si="67"/>
        <v>0</v>
      </c>
      <c r="P532" s="12">
        <f t="shared" si="68"/>
        <v>0</v>
      </c>
      <c r="Q532" s="12">
        <f t="shared" si="69"/>
        <v>0</v>
      </c>
      <c r="R532" s="12">
        <f t="shared" si="70"/>
        <v>0</v>
      </c>
      <c r="S532" s="12">
        <f t="shared" si="71"/>
        <v>0</v>
      </c>
      <c r="T532" s="29">
        <v>0</v>
      </c>
      <c r="U532" s="29">
        <v>0</v>
      </c>
      <c r="V532" s="29">
        <v>0</v>
      </c>
      <c r="W532" s="29">
        <v>0</v>
      </c>
      <c r="X532" s="29">
        <v>0</v>
      </c>
      <c r="Y532" s="29">
        <v>0</v>
      </c>
      <c r="Z532" s="29">
        <v>0</v>
      </c>
      <c r="AA532" s="29">
        <v>0</v>
      </c>
      <c r="AB532" s="29">
        <v>0</v>
      </c>
      <c r="AC532" s="29">
        <v>0</v>
      </c>
      <c r="AD532" s="29">
        <v>0</v>
      </c>
      <c r="AE532" s="29">
        <v>0</v>
      </c>
      <c r="AF532" s="29">
        <v>0</v>
      </c>
      <c r="AG532" s="29">
        <v>0</v>
      </c>
      <c r="AH532" s="29">
        <v>0</v>
      </c>
      <c r="AI532" s="29">
        <v>0</v>
      </c>
      <c r="AJ532" s="29">
        <v>0</v>
      </c>
      <c r="AK532" s="29">
        <v>0</v>
      </c>
      <c r="AL532" s="29">
        <v>0</v>
      </c>
      <c r="AM532" s="29">
        <v>0</v>
      </c>
      <c r="AN532" s="29">
        <v>0</v>
      </c>
      <c r="AO532" s="29">
        <v>0</v>
      </c>
      <c r="AP532" s="29">
        <v>0</v>
      </c>
    </row>
    <row r="533" spans="1:42" x14ac:dyDescent="0.25">
      <c r="A533" s="29">
        <v>12</v>
      </c>
      <c r="B533" s="29">
        <v>25104</v>
      </c>
      <c r="C533" s="29" t="s">
        <v>217</v>
      </c>
      <c r="D533" s="29" t="s">
        <v>836</v>
      </c>
      <c r="E533" s="29"/>
      <c r="F533" s="29">
        <v>0</v>
      </c>
      <c r="G533" s="29">
        <v>0</v>
      </c>
      <c r="H533" s="29">
        <v>0</v>
      </c>
      <c r="I533" s="29">
        <v>0</v>
      </c>
      <c r="J533" s="29">
        <v>0</v>
      </c>
      <c r="K533" s="29" t="s">
        <v>882</v>
      </c>
      <c r="L533" s="19" t="str">
        <f t="shared" si="64"/>
        <v>Рихтовка</v>
      </c>
      <c r="M533" s="12">
        <f t="shared" si="65"/>
        <v>0</v>
      </c>
      <c r="N533" s="12">
        <f t="shared" si="66"/>
        <v>0</v>
      </c>
      <c r="O533" s="12">
        <f t="shared" si="67"/>
        <v>0</v>
      </c>
      <c r="P533" s="12">
        <f t="shared" si="68"/>
        <v>0</v>
      </c>
      <c r="Q533" s="12">
        <f t="shared" si="69"/>
        <v>0</v>
      </c>
      <c r="R533" s="12">
        <f t="shared" si="70"/>
        <v>0</v>
      </c>
      <c r="S533" s="12">
        <f t="shared" si="71"/>
        <v>0</v>
      </c>
      <c r="T533" s="29">
        <v>0</v>
      </c>
      <c r="U533" s="29">
        <v>0</v>
      </c>
      <c r="V533" s="29">
        <v>0</v>
      </c>
      <c r="W533" s="29">
        <v>0</v>
      </c>
      <c r="X533" s="29">
        <v>0</v>
      </c>
      <c r="Y533" s="29">
        <v>0</v>
      </c>
      <c r="Z533" s="29">
        <v>0</v>
      </c>
      <c r="AA533" s="29">
        <v>0</v>
      </c>
      <c r="AB533" s="29">
        <v>0</v>
      </c>
      <c r="AC533" s="29">
        <v>0</v>
      </c>
      <c r="AD533" s="29">
        <v>0</v>
      </c>
      <c r="AE533" s="29">
        <v>0</v>
      </c>
      <c r="AF533" s="29">
        <v>0</v>
      </c>
      <c r="AG533" s="29">
        <v>0</v>
      </c>
      <c r="AH533" s="29">
        <v>0</v>
      </c>
      <c r="AI533" s="29">
        <v>0</v>
      </c>
      <c r="AJ533" s="29">
        <v>0</v>
      </c>
      <c r="AK533" s="29">
        <v>0</v>
      </c>
      <c r="AL533" s="29">
        <v>0</v>
      </c>
      <c r="AM533" s="29">
        <v>0</v>
      </c>
      <c r="AN533" s="29">
        <v>0</v>
      </c>
      <c r="AO533" s="29">
        <v>0</v>
      </c>
      <c r="AP533" s="29">
        <v>0</v>
      </c>
    </row>
    <row r="534" spans="1:42" x14ac:dyDescent="0.25">
      <c r="A534" s="29">
        <v>12</v>
      </c>
      <c r="B534" s="29">
        <v>25104</v>
      </c>
      <c r="C534" s="29" t="s">
        <v>217</v>
      </c>
      <c r="D534" s="29" t="s">
        <v>837</v>
      </c>
      <c r="E534" s="29"/>
      <c r="F534" s="29">
        <v>0</v>
      </c>
      <c r="G534" s="29">
        <v>0</v>
      </c>
      <c r="H534" s="29">
        <v>0</v>
      </c>
      <c r="I534" s="29">
        <v>0</v>
      </c>
      <c r="J534" s="29">
        <v>0</v>
      </c>
      <c r="K534" s="29" t="s">
        <v>882</v>
      </c>
      <c r="L534" s="19" t="str">
        <f t="shared" si="64"/>
        <v>Рихтовка</v>
      </c>
      <c r="M534" s="12">
        <f t="shared" si="65"/>
        <v>0</v>
      </c>
      <c r="N534" s="12">
        <f t="shared" si="66"/>
        <v>0</v>
      </c>
      <c r="O534" s="12">
        <f t="shared" si="67"/>
        <v>0</v>
      </c>
      <c r="P534" s="12">
        <f t="shared" si="68"/>
        <v>0</v>
      </c>
      <c r="Q534" s="12">
        <f t="shared" si="69"/>
        <v>0</v>
      </c>
      <c r="R534" s="12">
        <f t="shared" si="70"/>
        <v>0</v>
      </c>
      <c r="S534" s="12">
        <f t="shared" si="71"/>
        <v>0</v>
      </c>
      <c r="T534" s="29">
        <v>0</v>
      </c>
      <c r="U534" s="29">
        <v>0</v>
      </c>
      <c r="V534" s="29">
        <v>0</v>
      </c>
      <c r="W534" s="29">
        <v>0</v>
      </c>
      <c r="X534" s="29">
        <v>0</v>
      </c>
      <c r="Y534" s="29">
        <v>0</v>
      </c>
      <c r="Z534" s="29">
        <v>0</v>
      </c>
      <c r="AA534" s="29">
        <v>0</v>
      </c>
      <c r="AB534" s="29">
        <v>0</v>
      </c>
      <c r="AC534" s="29">
        <v>0</v>
      </c>
      <c r="AD534" s="29">
        <v>0</v>
      </c>
      <c r="AE534" s="29">
        <v>0</v>
      </c>
      <c r="AF534" s="29">
        <v>0</v>
      </c>
      <c r="AG534" s="29">
        <v>0</v>
      </c>
      <c r="AH534" s="29">
        <v>0</v>
      </c>
      <c r="AI534" s="29">
        <v>0</v>
      </c>
      <c r="AJ534" s="29">
        <v>0</v>
      </c>
      <c r="AK534" s="29">
        <v>0</v>
      </c>
      <c r="AL534" s="29">
        <v>0</v>
      </c>
      <c r="AM534" s="29">
        <v>0</v>
      </c>
      <c r="AN534" s="29">
        <v>0</v>
      </c>
      <c r="AO534" s="29">
        <v>0</v>
      </c>
      <c r="AP534" s="29">
        <v>0</v>
      </c>
    </row>
    <row r="535" spans="1:42" x14ac:dyDescent="0.25">
      <c r="A535" s="29">
        <v>12</v>
      </c>
      <c r="B535" s="29">
        <v>25104</v>
      </c>
      <c r="C535" s="29" t="s">
        <v>217</v>
      </c>
      <c r="D535" s="29" t="s">
        <v>838</v>
      </c>
      <c r="E535" s="29"/>
      <c r="F535" s="29">
        <v>0</v>
      </c>
      <c r="G535" s="29">
        <v>0</v>
      </c>
      <c r="H535" s="29">
        <v>0</v>
      </c>
      <c r="I535" s="29">
        <v>0</v>
      </c>
      <c r="J535" s="29">
        <v>0</v>
      </c>
      <c r="K535" s="29" t="s">
        <v>882</v>
      </c>
      <c r="L535" s="19" t="str">
        <f t="shared" si="64"/>
        <v>Рихтовка</v>
      </c>
      <c r="M535" s="12">
        <f t="shared" si="65"/>
        <v>0</v>
      </c>
      <c r="N535" s="12">
        <f t="shared" si="66"/>
        <v>0</v>
      </c>
      <c r="O535" s="12">
        <f t="shared" si="67"/>
        <v>0</v>
      </c>
      <c r="P535" s="12">
        <f t="shared" si="68"/>
        <v>0</v>
      </c>
      <c r="Q535" s="12">
        <f t="shared" si="69"/>
        <v>0</v>
      </c>
      <c r="R535" s="12">
        <f t="shared" si="70"/>
        <v>0</v>
      </c>
      <c r="S535" s="12">
        <f t="shared" si="71"/>
        <v>0</v>
      </c>
      <c r="T535" s="29">
        <v>0</v>
      </c>
      <c r="U535" s="29">
        <v>0</v>
      </c>
      <c r="V535" s="29">
        <v>0</v>
      </c>
      <c r="W535" s="29">
        <v>0</v>
      </c>
      <c r="X535" s="29">
        <v>0</v>
      </c>
      <c r="Y535" s="29">
        <v>0</v>
      </c>
      <c r="Z535" s="29">
        <v>0</v>
      </c>
      <c r="AA535" s="29">
        <v>0</v>
      </c>
      <c r="AB535" s="29">
        <v>0</v>
      </c>
      <c r="AC535" s="29">
        <v>0</v>
      </c>
      <c r="AD535" s="29">
        <v>0</v>
      </c>
      <c r="AE535" s="29">
        <v>0</v>
      </c>
      <c r="AF535" s="29">
        <v>0</v>
      </c>
      <c r="AG535" s="29">
        <v>0</v>
      </c>
      <c r="AH535" s="29">
        <v>0</v>
      </c>
      <c r="AI535" s="29">
        <v>0</v>
      </c>
      <c r="AJ535" s="29">
        <v>0</v>
      </c>
      <c r="AK535" s="29">
        <v>0</v>
      </c>
      <c r="AL535" s="29">
        <v>0</v>
      </c>
      <c r="AM535" s="29">
        <v>0</v>
      </c>
      <c r="AN535" s="29">
        <v>0</v>
      </c>
      <c r="AO535" s="29">
        <v>0</v>
      </c>
      <c r="AP535" s="29">
        <v>0</v>
      </c>
    </row>
    <row r="536" spans="1:42" x14ac:dyDescent="0.25">
      <c r="A536" s="29">
        <v>12</v>
      </c>
      <c r="B536" s="29">
        <v>25131</v>
      </c>
      <c r="C536" s="29" t="s">
        <v>217</v>
      </c>
      <c r="D536" s="29" t="s">
        <v>931</v>
      </c>
      <c r="E536" s="29"/>
      <c r="F536" s="29">
        <v>0</v>
      </c>
      <c r="G536" s="29">
        <v>0</v>
      </c>
      <c r="H536" s="29">
        <v>0</v>
      </c>
      <c r="I536" s="29">
        <v>0</v>
      </c>
      <c r="J536" s="29">
        <v>0</v>
      </c>
      <c r="K536" s="29" t="s">
        <v>882</v>
      </c>
      <c r="L536" s="19" t="str">
        <f t="shared" si="64"/>
        <v>Рихтовка</v>
      </c>
      <c r="M536" s="12">
        <f t="shared" si="65"/>
        <v>0</v>
      </c>
      <c r="N536" s="12">
        <f t="shared" si="66"/>
        <v>0</v>
      </c>
      <c r="O536" s="12">
        <f t="shared" si="67"/>
        <v>0</v>
      </c>
      <c r="P536" s="12">
        <f t="shared" si="68"/>
        <v>0</v>
      </c>
      <c r="Q536" s="12">
        <f t="shared" si="69"/>
        <v>0</v>
      </c>
      <c r="R536" s="12">
        <f t="shared" si="70"/>
        <v>0</v>
      </c>
      <c r="S536" s="12">
        <f t="shared" si="71"/>
        <v>0</v>
      </c>
      <c r="T536" s="29">
        <v>0</v>
      </c>
      <c r="U536" s="29">
        <v>0</v>
      </c>
      <c r="V536" s="29">
        <v>0</v>
      </c>
      <c r="W536" s="29">
        <v>0</v>
      </c>
      <c r="X536" s="29">
        <v>0</v>
      </c>
      <c r="Y536" s="29">
        <v>0</v>
      </c>
      <c r="Z536" s="29">
        <v>0</v>
      </c>
      <c r="AA536" s="29">
        <v>0</v>
      </c>
      <c r="AB536" s="29">
        <v>0</v>
      </c>
      <c r="AC536" s="29">
        <v>0</v>
      </c>
      <c r="AD536" s="29">
        <v>0</v>
      </c>
      <c r="AE536" s="29">
        <v>0</v>
      </c>
      <c r="AF536" s="29">
        <v>0</v>
      </c>
      <c r="AG536" s="29">
        <v>0</v>
      </c>
      <c r="AH536" s="29">
        <v>0</v>
      </c>
      <c r="AI536" s="29">
        <v>0</v>
      </c>
      <c r="AJ536" s="29">
        <v>0</v>
      </c>
      <c r="AK536" s="29">
        <v>0</v>
      </c>
      <c r="AL536" s="29">
        <v>0</v>
      </c>
      <c r="AM536" s="29">
        <v>0</v>
      </c>
      <c r="AN536" s="29">
        <v>0</v>
      </c>
      <c r="AO536" s="29">
        <v>0</v>
      </c>
      <c r="AP536" s="29">
        <v>0</v>
      </c>
    </row>
    <row r="537" spans="1:42" x14ac:dyDescent="0.25">
      <c r="A537" s="29">
        <v>12</v>
      </c>
      <c r="B537" s="29">
        <v>25104</v>
      </c>
      <c r="C537" s="29" t="s">
        <v>217</v>
      </c>
      <c r="D537" s="29" t="s">
        <v>839</v>
      </c>
      <c r="E537" s="29"/>
      <c r="F537" s="29">
        <v>0</v>
      </c>
      <c r="G537" s="29">
        <v>0</v>
      </c>
      <c r="H537" s="29">
        <v>0</v>
      </c>
      <c r="I537" s="29">
        <v>0</v>
      </c>
      <c r="J537" s="29">
        <v>0</v>
      </c>
      <c r="K537" s="29" t="s">
        <v>882</v>
      </c>
      <c r="L537" s="19" t="str">
        <f t="shared" si="64"/>
        <v>Рихтовка</v>
      </c>
      <c r="M537" s="12">
        <f t="shared" si="65"/>
        <v>0</v>
      </c>
      <c r="N537" s="12">
        <f t="shared" si="66"/>
        <v>0</v>
      </c>
      <c r="O537" s="12">
        <f t="shared" si="67"/>
        <v>0</v>
      </c>
      <c r="P537" s="12">
        <f t="shared" si="68"/>
        <v>0</v>
      </c>
      <c r="Q537" s="12">
        <f t="shared" si="69"/>
        <v>0</v>
      </c>
      <c r="R537" s="12">
        <f t="shared" si="70"/>
        <v>0</v>
      </c>
      <c r="S537" s="12">
        <f t="shared" si="71"/>
        <v>0</v>
      </c>
      <c r="T537" s="29">
        <v>0</v>
      </c>
      <c r="U537" s="29">
        <v>0</v>
      </c>
      <c r="V537" s="29">
        <v>0</v>
      </c>
      <c r="W537" s="29">
        <v>0</v>
      </c>
      <c r="X537" s="29">
        <v>0</v>
      </c>
      <c r="Y537" s="29">
        <v>0</v>
      </c>
      <c r="Z537" s="29">
        <v>0</v>
      </c>
      <c r="AA537" s="29">
        <v>0</v>
      </c>
      <c r="AB537" s="29">
        <v>0</v>
      </c>
      <c r="AC537" s="29">
        <v>0</v>
      </c>
      <c r="AD537" s="29">
        <v>0</v>
      </c>
      <c r="AE537" s="29">
        <v>0</v>
      </c>
      <c r="AF537" s="29">
        <v>0</v>
      </c>
      <c r="AG537" s="29">
        <v>0</v>
      </c>
      <c r="AH537" s="29">
        <v>0</v>
      </c>
      <c r="AI537" s="29">
        <v>0</v>
      </c>
      <c r="AJ537" s="29">
        <v>0</v>
      </c>
      <c r="AK537" s="29">
        <v>0</v>
      </c>
      <c r="AL537" s="29">
        <v>0</v>
      </c>
      <c r="AM537" s="29">
        <v>0</v>
      </c>
      <c r="AN537" s="29">
        <v>0</v>
      </c>
      <c r="AO537" s="29">
        <v>0</v>
      </c>
      <c r="AP537" s="29">
        <v>0</v>
      </c>
    </row>
    <row r="538" spans="1:42" x14ac:dyDescent="0.25">
      <c r="A538" s="29">
        <v>12</v>
      </c>
      <c r="B538" s="29">
        <v>25104</v>
      </c>
      <c r="C538" s="29" t="s">
        <v>217</v>
      </c>
      <c r="D538" s="29" t="s">
        <v>840</v>
      </c>
      <c r="E538" s="29"/>
      <c r="F538" s="29">
        <v>0</v>
      </c>
      <c r="G538" s="29">
        <v>0</v>
      </c>
      <c r="H538" s="29">
        <v>0</v>
      </c>
      <c r="I538" s="29">
        <v>0</v>
      </c>
      <c r="J538" s="29">
        <v>0</v>
      </c>
      <c r="K538" s="29" t="s">
        <v>882</v>
      </c>
      <c r="L538" s="19" t="str">
        <f t="shared" si="64"/>
        <v>Рихтовка</v>
      </c>
      <c r="M538" s="12">
        <f t="shared" si="65"/>
        <v>0</v>
      </c>
      <c r="N538" s="12">
        <f t="shared" si="66"/>
        <v>0</v>
      </c>
      <c r="O538" s="12">
        <f t="shared" si="67"/>
        <v>0</v>
      </c>
      <c r="P538" s="12">
        <f t="shared" si="68"/>
        <v>0</v>
      </c>
      <c r="Q538" s="12">
        <f t="shared" si="69"/>
        <v>0</v>
      </c>
      <c r="R538" s="12">
        <f t="shared" si="70"/>
        <v>0</v>
      </c>
      <c r="S538" s="12">
        <f t="shared" si="71"/>
        <v>0</v>
      </c>
      <c r="T538" s="29">
        <v>0</v>
      </c>
      <c r="U538" s="29">
        <v>0</v>
      </c>
      <c r="V538" s="29">
        <v>0</v>
      </c>
      <c r="W538" s="29">
        <v>0</v>
      </c>
      <c r="X538" s="29">
        <v>0</v>
      </c>
      <c r="Y538" s="29">
        <v>0</v>
      </c>
      <c r="Z538" s="29">
        <v>0</v>
      </c>
      <c r="AA538" s="29">
        <v>0</v>
      </c>
      <c r="AB538" s="29">
        <v>0</v>
      </c>
      <c r="AC538" s="29">
        <v>0</v>
      </c>
      <c r="AD538" s="29">
        <v>0</v>
      </c>
      <c r="AE538" s="29">
        <v>0</v>
      </c>
      <c r="AF538" s="29">
        <v>0</v>
      </c>
      <c r="AG538" s="29">
        <v>0</v>
      </c>
      <c r="AH538" s="29">
        <v>0</v>
      </c>
      <c r="AI538" s="29">
        <v>0</v>
      </c>
      <c r="AJ538" s="29">
        <v>0</v>
      </c>
      <c r="AK538" s="29">
        <v>0</v>
      </c>
      <c r="AL538" s="29">
        <v>0</v>
      </c>
      <c r="AM538" s="29">
        <v>0</v>
      </c>
      <c r="AN538" s="29">
        <v>0</v>
      </c>
      <c r="AO538" s="29">
        <v>0</v>
      </c>
      <c r="AP538" s="29">
        <v>0</v>
      </c>
    </row>
    <row r="539" spans="1:42" x14ac:dyDescent="0.25">
      <c r="A539" s="29">
        <v>12</v>
      </c>
      <c r="B539" s="29">
        <v>25104</v>
      </c>
      <c r="C539" s="29" t="s">
        <v>217</v>
      </c>
      <c r="D539" s="29" t="s">
        <v>841</v>
      </c>
      <c r="E539" s="29"/>
      <c r="F539" s="29">
        <v>0</v>
      </c>
      <c r="G539" s="29">
        <v>0</v>
      </c>
      <c r="H539" s="29">
        <v>0</v>
      </c>
      <c r="I539" s="29">
        <v>0</v>
      </c>
      <c r="J539" s="29">
        <v>0</v>
      </c>
      <c r="K539" s="29" t="s">
        <v>882</v>
      </c>
      <c r="L539" s="19" t="str">
        <f t="shared" si="64"/>
        <v>Рихтовка</v>
      </c>
      <c r="M539" s="12">
        <f t="shared" si="65"/>
        <v>0</v>
      </c>
      <c r="N539" s="12">
        <f t="shared" si="66"/>
        <v>0</v>
      </c>
      <c r="O539" s="12">
        <f t="shared" si="67"/>
        <v>0</v>
      </c>
      <c r="P539" s="12">
        <f t="shared" si="68"/>
        <v>0</v>
      </c>
      <c r="Q539" s="12">
        <f t="shared" si="69"/>
        <v>0</v>
      </c>
      <c r="R539" s="12">
        <f t="shared" si="70"/>
        <v>0</v>
      </c>
      <c r="S539" s="12">
        <f t="shared" si="71"/>
        <v>0</v>
      </c>
      <c r="T539" s="29">
        <v>0</v>
      </c>
      <c r="U539" s="29">
        <v>0</v>
      </c>
      <c r="V539" s="29">
        <v>0</v>
      </c>
      <c r="W539" s="29">
        <v>0</v>
      </c>
      <c r="X539" s="29">
        <v>0</v>
      </c>
      <c r="Y539" s="29">
        <v>0</v>
      </c>
      <c r="Z539" s="29">
        <v>0</v>
      </c>
      <c r="AA539" s="29">
        <v>0</v>
      </c>
      <c r="AB539" s="29">
        <v>0</v>
      </c>
      <c r="AC539" s="29">
        <v>0</v>
      </c>
      <c r="AD539" s="29">
        <v>0</v>
      </c>
      <c r="AE539" s="29">
        <v>0</v>
      </c>
      <c r="AF539" s="29">
        <v>0</v>
      </c>
      <c r="AG539" s="29">
        <v>0</v>
      </c>
      <c r="AH539" s="29">
        <v>0</v>
      </c>
      <c r="AI539" s="29">
        <v>0</v>
      </c>
      <c r="AJ539" s="29">
        <v>0</v>
      </c>
      <c r="AK539" s="29">
        <v>0</v>
      </c>
      <c r="AL539" s="29">
        <v>0</v>
      </c>
      <c r="AM539" s="29">
        <v>0</v>
      </c>
      <c r="AN539" s="29">
        <v>0</v>
      </c>
      <c r="AO539" s="29">
        <v>0</v>
      </c>
      <c r="AP539" s="29">
        <v>0</v>
      </c>
    </row>
    <row r="540" spans="1:42" x14ac:dyDescent="0.25">
      <c r="A540" s="29">
        <v>12</v>
      </c>
      <c r="B540" s="29">
        <v>25150</v>
      </c>
      <c r="C540" s="29" t="s">
        <v>217</v>
      </c>
      <c r="D540" s="29" t="s">
        <v>959</v>
      </c>
      <c r="E540" s="29"/>
      <c r="F540" s="29">
        <v>0</v>
      </c>
      <c r="G540" s="29">
        <v>0</v>
      </c>
      <c r="H540" s="29">
        <v>0</v>
      </c>
      <c r="I540" s="29">
        <v>0</v>
      </c>
      <c r="J540" s="29">
        <v>0</v>
      </c>
      <c r="K540" s="29" t="s">
        <v>882</v>
      </c>
      <c r="L540" s="19" t="str">
        <f t="shared" si="64"/>
        <v>Рихтовка</v>
      </c>
      <c r="M540" s="12">
        <f t="shared" si="65"/>
        <v>0</v>
      </c>
      <c r="N540" s="12">
        <f t="shared" si="66"/>
        <v>0</v>
      </c>
      <c r="O540" s="12">
        <f t="shared" si="67"/>
        <v>0</v>
      </c>
      <c r="P540" s="12">
        <f t="shared" si="68"/>
        <v>0</v>
      </c>
      <c r="Q540" s="12">
        <f t="shared" si="69"/>
        <v>0</v>
      </c>
      <c r="R540" s="12">
        <f t="shared" si="70"/>
        <v>0</v>
      </c>
      <c r="S540" s="12">
        <f t="shared" si="71"/>
        <v>0</v>
      </c>
      <c r="T540" s="29">
        <v>0</v>
      </c>
      <c r="U540" s="29">
        <v>0</v>
      </c>
      <c r="V540" s="29">
        <v>0</v>
      </c>
      <c r="W540" s="29">
        <v>0</v>
      </c>
      <c r="X540" s="29">
        <v>0</v>
      </c>
      <c r="Y540" s="29">
        <v>0</v>
      </c>
      <c r="Z540" s="29">
        <v>0</v>
      </c>
      <c r="AA540" s="29">
        <v>0</v>
      </c>
      <c r="AB540" s="29">
        <v>0</v>
      </c>
      <c r="AC540" s="29">
        <v>0</v>
      </c>
      <c r="AD540" s="29">
        <v>0</v>
      </c>
      <c r="AE540" s="29">
        <v>0</v>
      </c>
      <c r="AF540" s="29">
        <v>0</v>
      </c>
      <c r="AG540" s="29">
        <v>0</v>
      </c>
      <c r="AH540" s="29">
        <v>0</v>
      </c>
      <c r="AI540" s="29">
        <v>0</v>
      </c>
      <c r="AJ540" s="29">
        <v>0</v>
      </c>
      <c r="AK540" s="29">
        <v>0</v>
      </c>
      <c r="AL540" s="29">
        <v>0</v>
      </c>
      <c r="AM540" s="29">
        <v>0</v>
      </c>
      <c r="AN540" s="29">
        <v>0</v>
      </c>
      <c r="AO540" s="29">
        <v>0</v>
      </c>
      <c r="AP540" s="29">
        <v>0</v>
      </c>
    </row>
    <row r="541" spans="1:42" x14ac:dyDescent="0.25">
      <c r="A541" s="29">
        <v>11</v>
      </c>
      <c r="B541" s="29">
        <v>13809</v>
      </c>
      <c r="C541" s="29">
        <v>1</v>
      </c>
      <c r="D541" s="29" t="s">
        <v>842</v>
      </c>
      <c r="E541" s="29"/>
      <c r="F541" s="29">
        <v>0</v>
      </c>
      <c r="G541" s="29">
        <v>0</v>
      </c>
      <c r="H541" s="29">
        <v>0</v>
      </c>
      <c r="I541" s="29">
        <v>0</v>
      </c>
      <c r="J541" s="29">
        <v>0</v>
      </c>
      <c r="K541" s="29" t="s">
        <v>882</v>
      </c>
      <c r="L541" s="19" t="str">
        <f t="shared" si="64"/>
        <v>Рихтовка</v>
      </c>
      <c r="M541" s="12">
        <f t="shared" si="65"/>
        <v>0</v>
      </c>
      <c r="N541" s="12">
        <f t="shared" si="66"/>
        <v>0</v>
      </c>
      <c r="O541" s="12">
        <f t="shared" si="67"/>
        <v>0</v>
      </c>
      <c r="P541" s="12">
        <f t="shared" si="68"/>
        <v>0</v>
      </c>
      <c r="Q541" s="12">
        <f t="shared" si="69"/>
        <v>0</v>
      </c>
      <c r="R541" s="12">
        <f t="shared" si="70"/>
        <v>0</v>
      </c>
      <c r="S541" s="12">
        <f t="shared" si="71"/>
        <v>0</v>
      </c>
      <c r="T541" s="29">
        <v>0</v>
      </c>
      <c r="U541" s="29">
        <v>0</v>
      </c>
      <c r="V541" s="29">
        <v>0</v>
      </c>
      <c r="W541" s="29">
        <v>0</v>
      </c>
      <c r="X541" s="29">
        <v>0</v>
      </c>
      <c r="Y541" s="29">
        <v>0</v>
      </c>
      <c r="Z541" s="29">
        <v>0</v>
      </c>
      <c r="AA541" s="29">
        <v>0</v>
      </c>
      <c r="AB541" s="29">
        <v>0</v>
      </c>
      <c r="AC541" s="29">
        <v>0</v>
      </c>
      <c r="AD541" s="29">
        <v>0</v>
      </c>
      <c r="AE541" s="29">
        <v>0</v>
      </c>
      <c r="AF541" s="29">
        <v>0</v>
      </c>
      <c r="AG541" s="29">
        <v>0</v>
      </c>
      <c r="AH541" s="29">
        <v>0</v>
      </c>
      <c r="AI541" s="29">
        <v>0</v>
      </c>
      <c r="AJ541" s="29">
        <v>0</v>
      </c>
      <c r="AK541" s="29">
        <v>0</v>
      </c>
      <c r="AL541" s="29">
        <v>0</v>
      </c>
      <c r="AM541" s="29">
        <v>0</v>
      </c>
      <c r="AN541" s="29">
        <v>0</v>
      </c>
      <c r="AO541" s="29">
        <v>0</v>
      </c>
      <c r="AP541" s="29">
        <v>0</v>
      </c>
    </row>
    <row r="542" spans="1:42" x14ac:dyDescent="0.25">
      <c r="A542" s="29">
        <v>11</v>
      </c>
      <c r="B542" s="29">
        <v>13809</v>
      </c>
      <c r="C542" s="29">
        <v>2</v>
      </c>
      <c r="D542" s="29" t="s">
        <v>842</v>
      </c>
      <c r="E542" s="29"/>
      <c r="F542" s="29">
        <v>0</v>
      </c>
      <c r="G542" s="29">
        <v>0</v>
      </c>
      <c r="H542" s="29">
        <v>0</v>
      </c>
      <c r="I542" s="29">
        <v>0</v>
      </c>
      <c r="J542" s="29">
        <v>0</v>
      </c>
      <c r="K542" s="29" t="s">
        <v>882</v>
      </c>
      <c r="L542" s="19" t="str">
        <f t="shared" si="64"/>
        <v>Рихтовка</v>
      </c>
      <c r="M542" s="12">
        <f t="shared" si="65"/>
        <v>0</v>
      </c>
      <c r="N542" s="12">
        <f t="shared" si="66"/>
        <v>0</v>
      </c>
      <c r="O542" s="12">
        <f t="shared" si="67"/>
        <v>0</v>
      </c>
      <c r="P542" s="12">
        <f t="shared" si="68"/>
        <v>0</v>
      </c>
      <c r="Q542" s="12">
        <f t="shared" si="69"/>
        <v>0</v>
      </c>
      <c r="R542" s="12">
        <f t="shared" si="70"/>
        <v>0</v>
      </c>
      <c r="S542" s="12">
        <f t="shared" si="71"/>
        <v>0</v>
      </c>
      <c r="T542" s="29">
        <v>0</v>
      </c>
      <c r="U542" s="29">
        <v>0</v>
      </c>
      <c r="V542" s="29">
        <v>0</v>
      </c>
      <c r="W542" s="29">
        <v>0</v>
      </c>
      <c r="X542" s="29">
        <v>0</v>
      </c>
      <c r="Y542" s="29">
        <v>0</v>
      </c>
      <c r="Z542" s="29">
        <v>0</v>
      </c>
      <c r="AA542" s="29">
        <v>0</v>
      </c>
      <c r="AB542" s="29">
        <v>0</v>
      </c>
      <c r="AC542" s="29">
        <v>0</v>
      </c>
      <c r="AD542" s="29">
        <v>0</v>
      </c>
      <c r="AE542" s="29">
        <v>0</v>
      </c>
      <c r="AF542" s="29">
        <v>0</v>
      </c>
      <c r="AG542" s="29">
        <v>0</v>
      </c>
      <c r="AH542" s="29">
        <v>0</v>
      </c>
      <c r="AI542" s="29">
        <v>0</v>
      </c>
      <c r="AJ542" s="29">
        <v>0</v>
      </c>
      <c r="AK542" s="29">
        <v>0</v>
      </c>
      <c r="AL542" s="29">
        <v>0</v>
      </c>
      <c r="AM542" s="29">
        <v>0</v>
      </c>
      <c r="AN542" s="29">
        <v>0</v>
      </c>
      <c r="AO542" s="29">
        <v>0</v>
      </c>
      <c r="AP542" s="29">
        <v>0</v>
      </c>
    </row>
    <row r="543" spans="1:42" x14ac:dyDescent="0.25">
      <c r="A543" s="29">
        <v>13</v>
      </c>
      <c r="B543" s="29">
        <v>13809</v>
      </c>
      <c r="C543" s="29">
        <v>1</v>
      </c>
      <c r="D543" s="29" t="s">
        <v>842</v>
      </c>
      <c r="E543" s="29"/>
      <c r="F543" s="29">
        <v>0</v>
      </c>
      <c r="G543" s="29">
        <v>0</v>
      </c>
      <c r="H543" s="29">
        <v>0</v>
      </c>
      <c r="I543" s="29">
        <v>0</v>
      </c>
      <c r="J543" s="29">
        <v>0</v>
      </c>
      <c r="K543" s="29" t="s">
        <v>882</v>
      </c>
      <c r="L543" s="19" t="str">
        <f t="shared" si="64"/>
        <v>Рихтовка</v>
      </c>
      <c r="M543" s="12">
        <f t="shared" si="65"/>
        <v>0</v>
      </c>
      <c r="N543" s="12">
        <f t="shared" si="66"/>
        <v>0</v>
      </c>
      <c r="O543" s="12">
        <f t="shared" si="67"/>
        <v>0</v>
      </c>
      <c r="P543" s="12">
        <f t="shared" si="68"/>
        <v>0</v>
      </c>
      <c r="Q543" s="12">
        <f t="shared" si="69"/>
        <v>0</v>
      </c>
      <c r="R543" s="12">
        <f t="shared" si="70"/>
        <v>0</v>
      </c>
      <c r="S543" s="12">
        <f t="shared" si="71"/>
        <v>0</v>
      </c>
      <c r="T543" s="29">
        <v>0</v>
      </c>
      <c r="U543" s="29">
        <v>0</v>
      </c>
      <c r="V543" s="29">
        <v>0</v>
      </c>
      <c r="W543" s="29">
        <v>0</v>
      </c>
      <c r="X543" s="29">
        <v>0</v>
      </c>
      <c r="Y543" s="29">
        <v>0</v>
      </c>
      <c r="Z543" s="29">
        <v>0</v>
      </c>
      <c r="AA543" s="29">
        <v>0</v>
      </c>
      <c r="AB543" s="29">
        <v>0</v>
      </c>
      <c r="AC543" s="29">
        <v>0</v>
      </c>
      <c r="AD543" s="29">
        <v>0</v>
      </c>
      <c r="AE543" s="29">
        <v>0</v>
      </c>
      <c r="AF543" s="29">
        <v>0</v>
      </c>
      <c r="AG543" s="29">
        <v>0</v>
      </c>
      <c r="AH543" s="29">
        <v>0</v>
      </c>
      <c r="AI543" s="29">
        <v>0</v>
      </c>
      <c r="AJ543" s="29">
        <v>0</v>
      </c>
      <c r="AK543" s="29">
        <v>0</v>
      </c>
      <c r="AL543" s="29">
        <v>0</v>
      </c>
      <c r="AM543" s="29">
        <v>0</v>
      </c>
      <c r="AN543" s="29">
        <v>0</v>
      </c>
      <c r="AO543" s="29">
        <v>0</v>
      </c>
      <c r="AP543" s="29">
        <v>0</v>
      </c>
    </row>
    <row r="544" spans="1:42" x14ac:dyDescent="0.25">
      <c r="A544" s="29">
        <v>13</v>
      </c>
      <c r="B544" s="29">
        <v>13809</v>
      </c>
      <c r="C544" s="29">
        <v>2</v>
      </c>
      <c r="D544" s="29" t="s">
        <v>842</v>
      </c>
      <c r="E544" s="29"/>
      <c r="F544" s="29">
        <v>0</v>
      </c>
      <c r="G544" s="29">
        <v>0</v>
      </c>
      <c r="H544" s="29">
        <v>0</v>
      </c>
      <c r="I544" s="29">
        <v>0</v>
      </c>
      <c r="J544" s="29">
        <v>0</v>
      </c>
      <c r="K544" s="29" t="s">
        <v>882</v>
      </c>
      <c r="L544" s="19" t="str">
        <f t="shared" si="64"/>
        <v>Рихтовка</v>
      </c>
      <c r="M544" s="12">
        <f t="shared" si="65"/>
        <v>0</v>
      </c>
      <c r="N544" s="12">
        <f t="shared" si="66"/>
        <v>0</v>
      </c>
      <c r="O544" s="12">
        <f t="shared" si="67"/>
        <v>0</v>
      </c>
      <c r="P544" s="12">
        <f t="shared" si="68"/>
        <v>0</v>
      </c>
      <c r="Q544" s="12">
        <f t="shared" si="69"/>
        <v>0</v>
      </c>
      <c r="R544" s="12">
        <f t="shared" si="70"/>
        <v>0</v>
      </c>
      <c r="S544" s="12">
        <f t="shared" si="71"/>
        <v>0</v>
      </c>
      <c r="T544" s="29">
        <v>0</v>
      </c>
      <c r="U544" s="29">
        <v>0</v>
      </c>
      <c r="V544" s="29">
        <v>0</v>
      </c>
      <c r="W544" s="29">
        <v>0</v>
      </c>
      <c r="X544" s="29">
        <v>0</v>
      </c>
      <c r="Y544" s="29">
        <v>0</v>
      </c>
      <c r="Z544" s="29">
        <v>0</v>
      </c>
      <c r="AA544" s="29">
        <v>0</v>
      </c>
      <c r="AB544" s="29">
        <v>0</v>
      </c>
      <c r="AC544" s="29">
        <v>0</v>
      </c>
      <c r="AD544" s="29">
        <v>0</v>
      </c>
      <c r="AE544" s="29">
        <v>0</v>
      </c>
      <c r="AF544" s="29">
        <v>0</v>
      </c>
      <c r="AG544" s="29">
        <v>0</v>
      </c>
      <c r="AH544" s="29">
        <v>0</v>
      </c>
      <c r="AI544" s="29">
        <v>0</v>
      </c>
      <c r="AJ544" s="29">
        <v>0</v>
      </c>
      <c r="AK544" s="29">
        <v>0</v>
      </c>
      <c r="AL544" s="29">
        <v>0</v>
      </c>
      <c r="AM544" s="29">
        <v>0</v>
      </c>
      <c r="AN544" s="29">
        <v>0</v>
      </c>
      <c r="AO544" s="29">
        <v>0</v>
      </c>
      <c r="AP544" s="29">
        <v>0</v>
      </c>
    </row>
    <row r="545" spans="1:42" x14ac:dyDescent="0.25">
      <c r="A545" s="29">
        <v>13</v>
      </c>
      <c r="B545" s="29">
        <v>13809</v>
      </c>
      <c r="C545" s="29">
        <v>1</v>
      </c>
      <c r="D545" s="29" t="s">
        <v>843</v>
      </c>
      <c r="E545" s="29"/>
      <c r="F545" s="29">
        <v>0</v>
      </c>
      <c r="G545" s="29">
        <v>0</v>
      </c>
      <c r="H545" s="29">
        <v>0</v>
      </c>
      <c r="I545" s="29">
        <v>0</v>
      </c>
      <c r="J545" s="29">
        <v>0</v>
      </c>
      <c r="K545" s="29" t="s">
        <v>882</v>
      </c>
      <c r="L545" s="19" t="str">
        <f t="shared" si="64"/>
        <v>Рихтовка</v>
      </c>
      <c r="M545" s="12">
        <f t="shared" si="65"/>
        <v>0</v>
      </c>
      <c r="N545" s="12">
        <f t="shared" si="66"/>
        <v>0</v>
      </c>
      <c r="O545" s="12">
        <f t="shared" si="67"/>
        <v>0</v>
      </c>
      <c r="P545" s="12">
        <f t="shared" si="68"/>
        <v>0</v>
      </c>
      <c r="Q545" s="12">
        <f t="shared" si="69"/>
        <v>0</v>
      </c>
      <c r="R545" s="12">
        <f t="shared" si="70"/>
        <v>0</v>
      </c>
      <c r="S545" s="12">
        <f t="shared" si="71"/>
        <v>0</v>
      </c>
      <c r="T545" s="29">
        <v>0</v>
      </c>
      <c r="U545" s="29">
        <v>0</v>
      </c>
      <c r="V545" s="29">
        <v>0</v>
      </c>
      <c r="W545" s="29">
        <v>0</v>
      </c>
      <c r="X545" s="29">
        <v>0</v>
      </c>
      <c r="Y545" s="29">
        <v>0</v>
      </c>
      <c r="Z545" s="29">
        <v>0</v>
      </c>
      <c r="AA545" s="29">
        <v>0</v>
      </c>
      <c r="AB545" s="29">
        <v>0</v>
      </c>
      <c r="AC545" s="29">
        <v>0</v>
      </c>
      <c r="AD545" s="29">
        <v>0</v>
      </c>
      <c r="AE545" s="29">
        <v>0</v>
      </c>
      <c r="AF545" s="29">
        <v>0</v>
      </c>
      <c r="AG545" s="29">
        <v>0</v>
      </c>
      <c r="AH545" s="29">
        <v>0</v>
      </c>
      <c r="AI545" s="29">
        <v>0</v>
      </c>
      <c r="AJ545" s="29">
        <v>0</v>
      </c>
      <c r="AK545" s="29">
        <v>0</v>
      </c>
      <c r="AL545" s="29">
        <v>0</v>
      </c>
      <c r="AM545" s="29">
        <v>0</v>
      </c>
      <c r="AN545" s="29">
        <v>0</v>
      </c>
      <c r="AO545" s="29">
        <v>0</v>
      </c>
      <c r="AP545" s="29">
        <v>0</v>
      </c>
    </row>
    <row r="546" spans="1:42" x14ac:dyDescent="0.25">
      <c r="A546" s="29">
        <v>13</v>
      </c>
      <c r="B546" s="29">
        <v>13809</v>
      </c>
      <c r="C546" s="29">
        <v>1</v>
      </c>
      <c r="D546" s="29" t="s">
        <v>844</v>
      </c>
      <c r="E546" s="29"/>
      <c r="F546" s="29">
        <v>0</v>
      </c>
      <c r="G546" s="29">
        <v>0</v>
      </c>
      <c r="H546" s="29">
        <v>0</v>
      </c>
      <c r="I546" s="29">
        <v>0</v>
      </c>
      <c r="J546" s="29">
        <v>0</v>
      </c>
      <c r="K546" s="29" t="s">
        <v>882</v>
      </c>
      <c r="L546" s="19" t="str">
        <f t="shared" si="64"/>
        <v>Рихтовка</v>
      </c>
      <c r="M546" s="12">
        <f t="shared" si="65"/>
        <v>0</v>
      </c>
      <c r="N546" s="12">
        <f t="shared" si="66"/>
        <v>0</v>
      </c>
      <c r="O546" s="12">
        <f t="shared" si="67"/>
        <v>0</v>
      </c>
      <c r="P546" s="12">
        <f t="shared" si="68"/>
        <v>0</v>
      </c>
      <c r="Q546" s="12">
        <f t="shared" si="69"/>
        <v>0</v>
      </c>
      <c r="R546" s="12">
        <f t="shared" si="70"/>
        <v>0</v>
      </c>
      <c r="S546" s="12">
        <f t="shared" si="71"/>
        <v>0</v>
      </c>
      <c r="T546" s="29">
        <v>0</v>
      </c>
      <c r="U546" s="29">
        <v>0</v>
      </c>
      <c r="V546" s="29">
        <v>0</v>
      </c>
      <c r="W546" s="29">
        <v>0</v>
      </c>
      <c r="X546" s="29">
        <v>0</v>
      </c>
      <c r="Y546" s="29">
        <v>0</v>
      </c>
      <c r="Z546" s="29">
        <v>0</v>
      </c>
      <c r="AA546" s="29">
        <v>0</v>
      </c>
      <c r="AB546" s="29">
        <v>0</v>
      </c>
      <c r="AC546" s="29">
        <v>0</v>
      </c>
      <c r="AD546" s="29">
        <v>0</v>
      </c>
      <c r="AE546" s="29">
        <v>0</v>
      </c>
      <c r="AF546" s="29">
        <v>0</v>
      </c>
      <c r="AG546" s="29">
        <v>0</v>
      </c>
      <c r="AH546" s="29">
        <v>0</v>
      </c>
      <c r="AI546" s="29">
        <v>0</v>
      </c>
      <c r="AJ546" s="29">
        <v>0</v>
      </c>
      <c r="AK546" s="29">
        <v>0</v>
      </c>
      <c r="AL546" s="29">
        <v>0</v>
      </c>
      <c r="AM546" s="29">
        <v>0</v>
      </c>
      <c r="AN546" s="29">
        <v>0</v>
      </c>
      <c r="AO546" s="29">
        <v>0</v>
      </c>
      <c r="AP546" s="29">
        <v>0</v>
      </c>
    </row>
    <row r="547" spans="1:42" x14ac:dyDescent="0.25">
      <c r="A547" s="29">
        <v>13</v>
      </c>
      <c r="B547" s="29">
        <v>13809</v>
      </c>
      <c r="C547" s="29">
        <v>1</v>
      </c>
      <c r="D547" s="29" t="s">
        <v>845</v>
      </c>
      <c r="E547" s="29"/>
      <c r="F547" s="29">
        <v>0</v>
      </c>
      <c r="G547" s="29">
        <v>0</v>
      </c>
      <c r="H547" s="29">
        <v>0</v>
      </c>
      <c r="I547" s="29">
        <v>0</v>
      </c>
      <c r="J547" s="29">
        <v>0</v>
      </c>
      <c r="K547" s="29" t="s">
        <v>882</v>
      </c>
      <c r="L547" s="19" t="str">
        <f t="shared" si="64"/>
        <v>Рихтовка</v>
      </c>
      <c r="M547" s="12">
        <f t="shared" si="65"/>
        <v>0</v>
      </c>
      <c r="N547" s="12">
        <f t="shared" si="66"/>
        <v>0</v>
      </c>
      <c r="O547" s="12">
        <f t="shared" si="67"/>
        <v>0</v>
      </c>
      <c r="P547" s="12">
        <f t="shared" si="68"/>
        <v>0</v>
      </c>
      <c r="Q547" s="12">
        <f t="shared" si="69"/>
        <v>0</v>
      </c>
      <c r="R547" s="12">
        <f t="shared" si="70"/>
        <v>0</v>
      </c>
      <c r="S547" s="12">
        <f t="shared" si="71"/>
        <v>0</v>
      </c>
      <c r="T547" s="29">
        <v>0</v>
      </c>
      <c r="U547" s="29">
        <v>0</v>
      </c>
      <c r="V547" s="29">
        <v>0</v>
      </c>
      <c r="W547" s="29">
        <v>0</v>
      </c>
      <c r="X547" s="29">
        <v>0</v>
      </c>
      <c r="Y547" s="29">
        <v>0</v>
      </c>
      <c r="Z547" s="29">
        <v>0</v>
      </c>
      <c r="AA547" s="29">
        <v>0</v>
      </c>
      <c r="AB547" s="29">
        <v>0</v>
      </c>
      <c r="AC547" s="29">
        <v>0</v>
      </c>
      <c r="AD547" s="29">
        <v>0</v>
      </c>
      <c r="AE547" s="29">
        <v>0</v>
      </c>
      <c r="AF547" s="29">
        <v>0</v>
      </c>
      <c r="AG547" s="29">
        <v>0</v>
      </c>
      <c r="AH547" s="29">
        <v>0</v>
      </c>
      <c r="AI547" s="29">
        <v>0</v>
      </c>
      <c r="AJ547" s="29">
        <v>0</v>
      </c>
      <c r="AK547" s="29">
        <v>0</v>
      </c>
      <c r="AL547" s="29">
        <v>0</v>
      </c>
      <c r="AM547" s="29">
        <v>0</v>
      </c>
      <c r="AN547" s="29">
        <v>0</v>
      </c>
      <c r="AO547" s="29">
        <v>0</v>
      </c>
      <c r="AP547" s="29">
        <v>0</v>
      </c>
    </row>
    <row r="548" spans="1:42" x14ac:dyDescent="0.25">
      <c r="A548" s="29">
        <v>13</v>
      </c>
      <c r="B548" s="29">
        <v>13809</v>
      </c>
      <c r="C548" s="29">
        <v>1</v>
      </c>
      <c r="D548" s="29" t="s">
        <v>846</v>
      </c>
      <c r="E548" s="29"/>
      <c r="F548" s="29">
        <v>0</v>
      </c>
      <c r="G548" s="29">
        <v>0</v>
      </c>
      <c r="H548" s="29">
        <v>0</v>
      </c>
      <c r="I548" s="29">
        <v>0</v>
      </c>
      <c r="J548" s="29">
        <v>0</v>
      </c>
      <c r="K548" s="29" t="s">
        <v>882</v>
      </c>
      <c r="L548" s="19" t="str">
        <f t="shared" si="64"/>
        <v>Рихтовка</v>
      </c>
      <c r="M548" s="12">
        <f t="shared" si="65"/>
        <v>0</v>
      </c>
      <c r="N548" s="12">
        <f t="shared" si="66"/>
        <v>0</v>
      </c>
      <c r="O548" s="12">
        <f t="shared" si="67"/>
        <v>0</v>
      </c>
      <c r="P548" s="12">
        <f t="shared" si="68"/>
        <v>0</v>
      </c>
      <c r="Q548" s="12">
        <f t="shared" si="69"/>
        <v>0</v>
      </c>
      <c r="R548" s="12">
        <f t="shared" si="70"/>
        <v>0</v>
      </c>
      <c r="S548" s="12">
        <f t="shared" si="71"/>
        <v>0</v>
      </c>
      <c r="T548" s="29">
        <v>0</v>
      </c>
      <c r="U548" s="29">
        <v>0</v>
      </c>
      <c r="V548" s="29">
        <v>0</v>
      </c>
      <c r="W548" s="29">
        <v>0</v>
      </c>
      <c r="X548" s="29">
        <v>0</v>
      </c>
      <c r="Y548" s="29">
        <v>0</v>
      </c>
      <c r="Z548" s="29">
        <v>0</v>
      </c>
      <c r="AA548" s="29">
        <v>0</v>
      </c>
      <c r="AB548" s="29">
        <v>0</v>
      </c>
      <c r="AC548" s="29">
        <v>0</v>
      </c>
      <c r="AD548" s="29">
        <v>0</v>
      </c>
      <c r="AE548" s="29">
        <v>0</v>
      </c>
      <c r="AF548" s="29">
        <v>0</v>
      </c>
      <c r="AG548" s="29">
        <v>0</v>
      </c>
      <c r="AH548" s="29">
        <v>0</v>
      </c>
      <c r="AI548" s="29">
        <v>0</v>
      </c>
      <c r="AJ548" s="29">
        <v>0</v>
      </c>
      <c r="AK548" s="29">
        <v>0</v>
      </c>
      <c r="AL548" s="29">
        <v>0</v>
      </c>
      <c r="AM548" s="29">
        <v>0</v>
      </c>
      <c r="AN548" s="29">
        <v>0</v>
      </c>
      <c r="AO548" s="29">
        <v>0</v>
      </c>
      <c r="AP548" s="29">
        <v>0</v>
      </c>
    </row>
    <row r="549" spans="1:42" x14ac:dyDescent="0.25">
      <c r="A549" s="29">
        <v>13</v>
      </c>
      <c r="B549" s="29">
        <v>13809</v>
      </c>
      <c r="C549" s="29">
        <v>1</v>
      </c>
      <c r="D549" s="29" t="s">
        <v>847</v>
      </c>
      <c r="E549" s="29"/>
      <c r="F549" s="29">
        <v>0</v>
      </c>
      <c r="G549" s="29">
        <v>0</v>
      </c>
      <c r="H549" s="29">
        <v>0</v>
      </c>
      <c r="I549" s="29">
        <v>0</v>
      </c>
      <c r="J549" s="29">
        <v>0</v>
      </c>
      <c r="K549" s="29" t="s">
        <v>882</v>
      </c>
      <c r="L549" s="19" t="str">
        <f t="shared" si="64"/>
        <v>Рихтовка</v>
      </c>
      <c r="M549" s="12">
        <f t="shared" si="65"/>
        <v>0</v>
      </c>
      <c r="N549" s="12">
        <f t="shared" si="66"/>
        <v>0</v>
      </c>
      <c r="O549" s="12">
        <f t="shared" si="67"/>
        <v>0</v>
      </c>
      <c r="P549" s="12">
        <f t="shared" si="68"/>
        <v>0</v>
      </c>
      <c r="Q549" s="12">
        <f t="shared" si="69"/>
        <v>0</v>
      </c>
      <c r="R549" s="12">
        <f t="shared" si="70"/>
        <v>0</v>
      </c>
      <c r="S549" s="12">
        <f t="shared" si="71"/>
        <v>0</v>
      </c>
      <c r="T549" s="29">
        <v>0</v>
      </c>
      <c r="U549" s="29">
        <v>0</v>
      </c>
      <c r="V549" s="29">
        <v>0</v>
      </c>
      <c r="W549" s="29">
        <v>0</v>
      </c>
      <c r="X549" s="29">
        <v>0</v>
      </c>
      <c r="Y549" s="29">
        <v>0</v>
      </c>
      <c r="Z549" s="29">
        <v>0</v>
      </c>
      <c r="AA549" s="29">
        <v>0</v>
      </c>
      <c r="AB549" s="29">
        <v>0</v>
      </c>
      <c r="AC549" s="29">
        <v>0</v>
      </c>
      <c r="AD549" s="29">
        <v>0</v>
      </c>
      <c r="AE549" s="29">
        <v>0</v>
      </c>
      <c r="AF549" s="29">
        <v>0</v>
      </c>
      <c r="AG549" s="29">
        <v>0</v>
      </c>
      <c r="AH549" s="29">
        <v>0</v>
      </c>
      <c r="AI549" s="29">
        <v>0</v>
      </c>
      <c r="AJ549" s="29">
        <v>0</v>
      </c>
      <c r="AK549" s="29">
        <v>0</v>
      </c>
      <c r="AL549" s="29">
        <v>0</v>
      </c>
      <c r="AM549" s="29">
        <v>0</v>
      </c>
      <c r="AN549" s="29">
        <v>0</v>
      </c>
      <c r="AO549" s="29">
        <v>0</v>
      </c>
      <c r="AP549" s="29">
        <v>0</v>
      </c>
    </row>
    <row r="550" spans="1:42" x14ac:dyDescent="0.25">
      <c r="A550" s="29">
        <v>13</v>
      </c>
      <c r="B550" s="29">
        <v>13809</v>
      </c>
      <c r="C550" s="29">
        <v>1</v>
      </c>
      <c r="D550" s="29" t="s">
        <v>848</v>
      </c>
      <c r="E550" s="29"/>
      <c r="F550" s="29">
        <v>0</v>
      </c>
      <c r="G550" s="29">
        <v>0</v>
      </c>
      <c r="H550" s="29">
        <v>0</v>
      </c>
      <c r="I550" s="29">
        <v>0</v>
      </c>
      <c r="J550" s="29">
        <v>0</v>
      </c>
      <c r="K550" s="29" t="s">
        <v>882</v>
      </c>
      <c r="L550" s="19" t="str">
        <f t="shared" si="64"/>
        <v>Рихтовка</v>
      </c>
      <c r="M550" s="12">
        <f t="shared" si="65"/>
        <v>0</v>
      </c>
      <c r="N550" s="12">
        <f t="shared" si="66"/>
        <v>0</v>
      </c>
      <c r="O550" s="12">
        <f t="shared" si="67"/>
        <v>0</v>
      </c>
      <c r="P550" s="12">
        <f t="shared" si="68"/>
        <v>0</v>
      </c>
      <c r="Q550" s="12">
        <f t="shared" si="69"/>
        <v>0</v>
      </c>
      <c r="R550" s="12">
        <f t="shared" si="70"/>
        <v>0</v>
      </c>
      <c r="S550" s="12">
        <f t="shared" si="71"/>
        <v>0</v>
      </c>
      <c r="T550" s="29">
        <v>0</v>
      </c>
      <c r="U550" s="29">
        <v>0</v>
      </c>
      <c r="V550" s="29">
        <v>0</v>
      </c>
      <c r="W550" s="29">
        <v>0</v>
      </c>
      <c r="X550" s="29">
        <v>0</v>
      </c>
      <c r="Y550" s="29">
        <v>0</v>
      </c>
      <c r="Z550" s="29">
        <v>0</v>
      </c>
      <c r="AA550" s="29">
        <v>0</v>
      </c>
      <c r="AB550" s="29">
        <v>0</v>
      </c>
      <c r="AC550" s="29">
        <v>0</v>
      </c>
      <c r="AD550" s="29">
        <v>0</v>
      </c>
      <c r="AE550" s="29">
        <v>0</v>
      </c>
      <c r="AF550" s="29">
        <v>0</v>
      </c>
      <c r="AG550" s="29">
        <v>0</v>
      </c>
      <c r="AH550" s="29">
        <v>0</v>
      </c>
      <c r="AI550" s="29">
        <v>0</v>
      </c>
      <c r="AJ550" s="29">
        <v>0</v>
      </c>
      <c r="AK550" s="29">
        <v>0</v>
      </c>
      <c r="AL550" s="29">
        <v>0</v>
      </c>
      <c r="AM550" s="29">
        <v>0</v>
      </c>
      <c r="AN550" s="29">
        <v>0</v>
      </c>
      <c r="AO550" s="29">
        <v>0</v>
      </c>
      <c r="AP550" s="29">
        <v>0</v>
      </c>
    </row>
    <row r="551" spans="1:42" x14ac:dyDescent="0.25">
      <c r="A551" s="29">
        <v>13</v>
      </c>
      <c r="B551" s="29">
        <v>13809</v>
      </c>
      <c r="C551" s="29">
        <v>1</v>
      </c>
      <c r="D551" s="29" t="s">
        <v>849</v>
      </c>
      <c r="E551" s="29"/>
      <c r="F551" s="29">
        <v>0</v>
      </c>
      <c r="G551" s="29">
        <v>0</v>
      </c>
      <c r="H551" s="29">
        <v>0</v>
      </c>
      <c r="I551" s="29">
        <v>0</v>
      </c>
      <c r="J551" s="29">
        <v>0</v>
      </c>
      <c r="K551" s="29" t="s">
        <v>882</v>
      </c>
      <c r="L551" s="19" t="str">
        <f t="shared" si="64"/>
        <v>Рихтовка</v>
      </c>
      <c r="M551" s="12">
        <f t="shared" si="65"/>
        <v>0</v>
      </c>
      <c r="N551" s="12">
        <f t="shared" si="66"/>
        <v>0</v>
      </c>
      <c r="O551" s="12">
        <f t="shared" si="67"/>
        <v>0</v>
      </c>
      <c r="P551" s="12">
        <f t="shared" si="68"/>
        <v>0</v>
      </c>
      <c r="Q551" s="12">
        <f t="shared" si="69"/>
        <v>0</v>
      </c>
      <c r="R551" s="12">
        <f t="shared" si="70"/>
        <v>0</v>
      </c>
      <c r="S551" s="12">
        <f t="shared" si="71"/>
        <v>0</v>
      </c>
      <c r="T551" s="29">
        <v>0</v>
      </c>
      <c r="U551" s="29">
        <v>0</v>
      </c>
      <c r="V551" s="29">
        <v>0</v>
      </c>
      <c r="W551" s="29">
        <v>0</v>
      </c>
      <c r="X551" s="29">
        <v>0</v>
      </c>
      <c r="Y551" s="29">
        <v>0</v>
      </c>
      <c r="Z551" s="29">
        <v>0</v>
      </c>
      <c r="AA551" s="29">
        <v>0</v>
      </c>
      <c r="AB551" s="29">
        <v>0</v>
      </c>
      <c r="AC551" s="29">
        <v>0</v>
      </c>
      <c r="AD551" s="29">
        <v>0</v>
      </c>
      <c r="AE551" s="29">
        <v>0</v>
      </c>
      <c r="AF551" s="29">
        <v>0</v>
      </c>
      <c r="AG551" s="29">
        <v>0</v>
      </c>
      <c r="AH551" s="29">
        <v>0</v>
      </c>
      <c r="AI551" s="29">
        <v>0</v>
      </c>
      <c r="AJ551" s="29">
        <v>0</v>
      </c>
      <c r="AK551" s="29">
        <v>0</v>
      </c>
      <c r="AL551" s="29">
        <v>0</v>
      </c>
      <c r="AM551" s="29">
        <v>0</v>
      </c>
      <c r="AN551" s="29">
        <v>0</v>
      </c>
      <c r="AO551" s="29">
        <v>0</v>
      </c>
      <c r="AP551" s="29">
        <v>0</v>
      </c>
    </row>
    <row r="552" spans="1:42" x14ac:dyDescent="0.25">
      <c r="A552" s="29">
        <v>13</v>
      </c>
      <c r="B552" s="29">
        <v>13809</v>
      </c>
      <c r="C552" s="29">
        <v>1</v>
      </c>
      <c r="D552" s="29" t="s">
        <v>850</v>
      </c>
      <c r="E552" s="29"/>
      <c r="F552" s="29">
        <v>0</v>
      </c>
      <c r="G552" s="29">
        <v>0</v>
      </c>
      <c r="H552" s="29">
        <v>0</v>
      </c>
      <c r="I552" s="29">
        <v>0</v>
      </c>
      <c r="J552" s="29">
        <v>0</v>
      </c>
      <c r="K552" s="29" t="s">
        <v>882</v>
      </c>
      <c r="L552" s="19" t="str">
        <f t="shared" si="64"/>
        <v>Рихтовка</v>
      </c>
      <c r="M552" s="12">
        <f t="shared" si="65"/>
        <v>0</v>
      </c>
      <c r="N552" s="12">
        <f t="shared" si="66"/>
        <v>0</v>
      </c>
      <c r="O552" s="12">
        <f t="shared" si="67"/>
        <v>0</v>
      </c>
      <c r="P552" s="12">
        <f t="shared" si="68"/>
        <v>0</v>
      </c>
      <c r="Q552" s="12">
        <f t="shared" si="69"/>
        <v>0</v>
      </c>
      <c r="R552" s="12">
        <f t="shared" si="70"/>
        <v>0</v>
      </c>
      <c r="S552" s="12">
        <f t="shared" si="71"/>
        <v>0</v>
      </c>
      <c r="T552" s="29">
        <v>0</v>
      </c>
      <c r="U552" s="29">
        <v>0</v>
      </c>
      <c r="V552" s="29">
        <v>0</v>
      </c>
      <c r="W552" s="29">
        <v>0</v>
      </c>
      <c r="X552" s="29">
        <v>0</v>
      </c>
      <c r="Y552" s="29">
        <v>0</v>
      </c>
      <c r="Z552" s="29">
        <v>0</v>
      </c>
      <c r="AA552" s="29">
        <v>0</v>
      </c>
      <c r="AB552" s="29">
        <v>0</v>
      </c>
      <c r="AC552" s="29">
        <v>0</v>
      </c>
      <c r="AD552" s="29">
        <v>0</v>
      </c>
      <c r="AE552" s="29">
        <v>0</v>
      </c>
      <c r="AF552" s="29">
        <v>0</v>
      </c>
      <c r="AG552" s="29">
        <v>0</v>
      </c>
      <c r="AH552" s="29">
        <v>0</v>
      </c>
      <c r="AI552" s="29">
        <v>0</v>
      </c>
      <c r="AJ552" s="29">
        <v>0</v>
      </c>
      <c r="AK552" s="29">
        <v>0</v>
      </c>
      <c r="AL552" s="29">
        <v>0</v>
      </c>
      <c r="AM552" s="29">
        <v>0</v>
      </c>
      <c r="AN552" s="29">
        <v>0</v>
      </c>
      <c r="AO552" s="29">
        <v>0</v>
      </c>
      <c r="AP552" s="29">
        <v>0</v>
      </c>
    </row>
    <row r="553" spans="1:42" x14ac:dyDescent="0.25">
      <c r="A553" s="29">
        <v>13</v>
      </c>
      <c r="B553" s="29">
        <v>13809</v>
      </c>
      <c r="C553" s="29">
        <v>2</v>
      </c>
      <c r="D553" s="29" t="s">
        <v>843</v>
      </c>
      <c r="E553" s="29"/>
      <c r="F553" s="29">
        <v>0</v>
      </c>
      <c r="G553" s="29">
        <v>0</v>
      </c>
      <c r="H553" s="29">
        <v>0</v>
      </c>
      <c r="I553" s="29">
        <v>0</v>
      </c>
      <c r="J553" s="29">
        <v>0</v>
      </c>
      <c r="K553" s="29" t="s">
        <v>882</v>
      </c>
      <c r="L553" s="19" t="str">
        <f t="shared" si="64"/>
        <v>Рихтовка</v>
      </c>
      <c r="M553" s="12">
        <f t="shared" si="65"/>
        <v>0</v>
      </c>
      <c r="N553" s="12">
        <f t="shared" si="66"/>
        <v>0</v>
      </c>
      <c r="O553" s="12">
        <f t="shared" si="67"/>
        <v>0</v>
      </c>
      <c r="P553" s="12">
        <f t="shared" si="68"/>
        <v>0</v>
      </c>
      <c r="Q553" s="12">
        <f t="shared" si="69"/>
        <v>0</v>
      </c>
      <c r="R553" s="12">
        <f t="shared" si="70"/>
        <v>0</v>
      </c>
      <c r="S553" s="12">
        <f t="shared" si="71"/>
        <v>0</v>
      </c>
      <c r="T553" s="29">
        <v>0</v>
      </c>
      <c r="U553" s="29">
        <v>0</v>
      </c>
      <c r="V553" s="29">
        <v>0</v>
      </c>
      <c r="W553" s="29">
        <v>0</v>
      </c>
      <c r="X553" s="29">
        <v>0</v>
      </c>
      <c r="Y553" s="29">
        <v>0</v>
      </c>
      <c r="Z553" s="29">
        <v>0</v>
      </c>
      <c r="AA553" s="29">
        <v>0</v>
      </c>
      <c r="AB553" s="29">
        <v>0</v>
      </c>
      <c r="AC553" s="29">
        <v>0</v>
      </c>
      <c r="AD553" s="29">
        <v>0</v>
      </c>
      <c r="AE553" s="29">
        <v>0</v>
      </c>
      <c r="AF553" s="29">
        <v>0</v>
      </c>
      <c r="AG553" s="29">
        <v>0</v>
      </c>
      <c r="AH553" s="29">
        <v>0</v>
      </c>
      <c r="AI553" s="29">
        <v>0</v>
      </c>
      <c r="AJ553" s="29">
        <v>0</v>
      </c>
      <c r="AK553" s="29">
        <v>0</v>
      </c>
      <c r="AL553" s="29">
        <v>0</v>
      </c>
      <c r="AM553" s="29">
        <v>0</v>
      </c>
      <c r="AN553" s="29">
        <v>0</v>
      </c>
      <c r="AO553" s="29">
        <v>0</v>
      </c>
      <c r="AP553" s="29">
        <v>0</v>
      </c>
    </row>
    <row r="554" spans="1:42" x14ac:dyDescent="0.25">
      <c r="A554" s="29">
        <v>13</v>
      </c>
      <c r="B554" s="29">
        <v>13809</v>
      </c>
      <c r="C554" s="29">
        <v>2</v>
      </c>
      <c r="D554" s="29" t="s">
        <v>844</v>
      </c>
      <c r="E554" s="29"/>
      <c r="F554" s="29">
        <v>0</v>
      </c>
      <c r="G554" s="29">
        <v>0</v>
      </c>
      <c r="H554" s="29">
        <v>0</v>
      </c>
      <c r="I554" s="29">
        <v>0</v>
      </c>
      <c r="J554" s="29">
        <v>0</v>
      </c>
      <c r="K554" s="29" t="s">
        <v>882</v>
      </c>
      <c r="L554" s="19" t="str">
        <f t="shared" si="64"/>
        <v>Рихтовка</v>
      </c>
      <c r="M554" s="12">
        <f t="shared" si="65"/>
        <v>0</v>
      </c>
      <c r="N554" s="12">
        <f t="shared" si="66"/>
        <v>0</v>
      </c>
      <c r="O554" s="12">
        <f t="shared" si="67"/>
        <v>0</v>
      </c>
      <c r="P554" s="12">
        <f t="shared" si="68"/>
        <v>0</v>
      </c>
      <c r="Q554" s="12">
        <f t="shared" si="69"/>
        <v>0</v>
      </c>
      <c r="R554" s="12">
        <f t="shared" si="70"/>
        <v>0</v>
      </c>
      <c r="S554" s="12">
        <f t="shared" si="71"/>
        <v>0</v>
      </c>
      <c r="T554" s="29">
        <v>0</v>
      </c>
      <c r="U554" s="29">
        <v>0</v>
      </c>
      <c r="V554" s="29">
        <v>0</v>
      </c>
      <c r="W554" s="29">
        <v>0</v>
      </c>
      <c r="X554" s="29">
        <v>0</v>
      </c>
      <c r="Y554" s="29">
        <v>0</v>
      </c>
      <c r="Z554" s="29">
        <v>0</v>
      </c>
      <c r="AA554" s="29">
        <v>0</v>
      </c>
      <c r="AB554" s="29">
        <v>0</v>
      </c>
      <c r="AC554" s="29">
        <v>0</v>
      </c>
      <c r="AD554" s="29">
        <v>0</v>
      </c>
      <c r="AE554" s="29">
        <v>0</v>
      </c>
      <c r="AF554" s="29">
        <v>0</v>
      </c>
      <c r="AG554" s="29">
        <v>0</v>
      </c>
      <c r="AH554" s="29">
        <v>0</v>
      </c>
      <c r="AI554" s="29">
        <v>0</v>
      </c>
      <c r="AJ554" s="29">
        <v>0</v>
      </c>
      <c r="AK554" s="29">
        <v>0</v>
      </c>
      <c r="AL554" s="29">
        <v>0</v>
      </c>
      <c r="AM554" s="29">
        <v>0</v>
      </c>
      <c r="AN554" s="29">
        <v>0</v>
      </c>
      <c r="AO554" s="29">
        <v>0</v>
      </c>
      <c r="AP554" s="29">
        <v>0</v>
      </c>
    </row>
    <row r="555" spans="1:42" x14ac:dyDescent="0.25">
      <c r="A555" s="29">
        <v>13</v>
      </c>
      <c r="B555" s="29">
        <v>13809</v>
      </c>
      <c r="C555" s="29">
        <v>2</v>
      </c>
      <c r="D555" s="29" t="s">
        <v>845</v>
      </c>
      <c r="E555" s="29"/>
      <c r="F555" s="29">
        <v>0</v>
      </c>
      <c r="G555" s="29">
        <v>0</v>
      </c>
      <c r="H555" s="29">
        <v>0</v>
      </c>
      <c r="I555" s="29">
        <v>0</v>
      </c>
      <c r="J555" s="29">
        <v>0</v>
      </c>
      <c r="K555" s="29" t="s">
        <v>882</v>
      </c>
      <c r="L555" s="19" t="str">
        <f t="shared" si="64"/>
        <v>Рихтовка</v>
      </c>
      <c r="M555" s="12">
        <f t="shared" si="65"/>
        <v>0</v>
      </c>
      <c r="N555" s="12">
        <f t="shared" si="66"/>
        <v>0</v>
      </c>
      <c r="O555" s="12">
        <f t="shared" si="67"/>
        <v>0</v>
      </c>
      <c r="P555" s="12">
        <f t="shared" si="68"/>
        <v>0</v>
      </c>
      <c r="Q555" s="12">
        <f t="shared" si="69"/>
        <v>0</v>
      </c>
      <c r="R555" s="12">
        <f t="shared" si="70"/>
        <v>0</v>
      </c>
      <c r="S555" s="12">
        <f t="shared" si="71"/>
        <v>0</v>
      </c>
      <c r="T555" s="29">
        <v>0</v>
      </c>
      <c r="U555" s="29">
        <v>0</v>
      </c>
      <c r="V555" s="29">
        <v>0</v>
      </c>
      <c r="W555" s="29">
        <v>0</v>
      </c>
      <c r="X555" s="29">
        <v>0</v>
      </c>
      <c r="Y555" s="29">
        <v>0</v>
      </c>
      <c r="Z555" s="29">
        <v>0</v>
      </c>
      <c r="AA555" s="29">
        <v>0</v>
      </c>
      <c r="AB555" s="29">
        <v>0</v>
      </c>
      <c r="AC555" s="29">
        <v>0</v>
      </c>
      <c r="AD555" s="29">
        <v>0</v>
      </c>
      <c r="AE555" s="29">
        <v>0</v>
      </c>
      <c r="AF555" s="29">
        <v>0</v>
      </c>
      <c r="AG555" s="29">
        <v>0</v>
      </c>
      <c r="AH555" s="29">
        <v>0</v>
      </c>
      <c r="AI555" s="29">
        <v>0</v>
      </c>
      <c r="AJ555" s="29">
        <v>0</v>
      </c>
      <c r="AK555" s="29">
        <v>0</v>
      </c>
      <c r="AL555" s="29">
        <v>0</v>
      </c>
      <c r="AM555" s="29">
        <v>0</v>
      </c>
      <c r="AN555" s="29">
        <v>0</v>
      </c>
      <c r="AO555" s="29">
        <v>0</v>
      </c>
      <c r="AP555" s="29">
        <v>0</v>
      </c>
    </row>
    <row r="556" spans="1:42" x14ac:dyDescent="0.25">
      <c r="A556" s="29">
        <v>13</v>
      </c>
      <c r="B556" s="29">
        <v>13809</v>
      </c>
      <c r="C556" s="29">
        <v>2</v>
      </c>
      <c r="D556" s="29" t="s">
        <v>846</v>
      </c>
      <c r="E556" s="29"/>
      <c r="F556" s="29">
        <v>0</v>
      </c>
      <c r="G556" s="29">
        <v>0</v>
      </c>
      <c r="H556" s="29">
        <v>0</v>
      </c>
      <c r="I556" s="29">
        <v>0</v>
      </c>
      <c r="J556" s="29">
        <v>0</v>
      </c>
      <c r="K556" s="29" t="s">
        <v>882</v>
      </c>
      <c r="L556" s="19" t="str">
        <f t="shared" si="64"/>
        <v>Рихтовка</v>
      </c>
      <c r="M556" s="12">
        <f t="shared" si="65"/>
        <v>0</v>
      </c>
      <c r="N556" s="12">
        <f t="shared" si="66"/>
        <v>0</v>
      </c>
      <c r="O556" s="12">
        <f t="shared" si="67"/>
        <v>0</v>
      </c>
      <c r="P556" s="12">
        <f t="shared" si="68"/>
        <v>0</v>
      </c>
      <c r="Q556" s="12">
        <f t="shared" si="69"/>
        <v>0</v>
      </c>
      <c r="R556" s="12">
        <f t="shared" si="70"/>
        <v>0</v>
      </c>
      <c r="S556" s="12">
        <f t="shared" si="71"/>
        <v>0</v>
      </c>
      <c r="T556" s="29">
        <v>0</v>
      </c>
      <c r="U556" s="29">
        <v>0</v>
      </c>
      <c r="V556" s="29">
        <v>0</v>
      </c>
      <c r="W556" s="29">
        <v>0</v>
      </c>
      <c r="X556" s="29">
        <v>0</v>
      </c>
      <c r="Y556" s="29">
        <v>0</v>
      </c>
      <c r="Z556" s="29">
        <v>0</v>
      </c>
      <c r="AA556" s="29">
        <v>0</v>
      </c>
      <c r="AB556" s="29">
        <v>0</v>
      </c>
      <c r="AC556" s="29">
        <v>0</v>
      </c>
      <c r="AD556" s="29">
        <v>0</v>
      </c>
      <c r="AE556" s="29">
        <v>0</v>
      </c>
      <c r="AF556" s="29">
        <v>0</v>
      </c>
      <c r="AG556" s="29">
        <v>0</v>
      </c>
      <c r="AH556" s="29">
        <v>0</v>
      </c>
      <c r="AI556" s="29">
        <v>0</v>
      </c>
      <c r="AJ556" s="29">
        <v>0</v>
      </c>
      <c r="AK556" s="29">
        <v>0</v>
      </c>
      <c r="AL556" s="29">
        <v>0</v>
      </c>
      <c r="AM556" s="29">
        <v>0</v>
      </c>
      <c r="AN556" s="29">
        <v>0</v>
      </c>
      <c r="AO556" s="29">
        <v>0</v>
      </c>
      <c r="AP556" s="29">
        <v>0</v>
      </c>
    </row>
    <row r="557" spans="1:42" x14ac:dyDescent="0.25">
      <c r="A557" s="29">
        <v>13</v>
      </c>
      <c r="B557" s="29">
        <v>13809</v>
      </c>
      <c r="C557" s="29">
        <v>2</v>
      </c>
      <c r="D557" s="29" t="s">
        <v>847</v>
      </c>
      <c r="E557" s="29"/>
      <c r="F557" s="29">
        <v>0</v>
      </c>
      <c r="G557" s="29">
        <v>0</v>
      </c>
      <c r="H557" s="29">
        <v>0</v>
      </c>
      <c r="I557" s="29">
        <v>0</v>
      </c>
      <c r="J557" s="29">
        <v>0</v>
      </c>
      <c r="K557" s="29" t="s">
        <v>882</v>
      </c>
      <c r="L557" s="19" t="str">
        <f t="shared" si="64"/>
        <v>Рихтовка</v>
      </c>
      <c r="M557" s="12">
        <f t="shared" si="65"/>
        <v>0</v>
      </c>
      <c r="N557" s="12">
        <f t="shared" si="66"/>
        <v>0</v>
      </c>
      <c r="O557" s="12">
        <f t="shared" si="67"/>
        <v>0</v>
      </c>
      <c r="P557" s="12">
        <f t="shared" si="68"/>
        <v>0</v>
      </c>
      <c r="Q557" s="12">
        <f t="shared" si="69"/>
        <v>0</v>
      </c>
      <c r="R557" s="12">
        <f t="shared" si="70"/>
        <v>0</v>
      </c>
      <c r="S557" s="12">
        <f t="shared" si="71"/>
        <v>0</v>
      </c>
      <c r="T557" s="29">
        <v>0</v>
      </c>
      <c r="U557" s="29">
        <v>0</v>
      </c>
      <c r="V557" s="29">
        <v>0</v>
      </c>
      <c r="W557" s="29">
        <v>0</v>
      </c>
      <c r="X557" s="29">
        <v>0</v>
      </c>
      <c r="Y557" s="29">
        <v>0</v>
      </c>
      <c r="Z557" s="29">
        <v>0</v>
      </c>
      <c r="AA557" s="29">
        <v>0</v>
      </c>
      <c r="AB557" s="29">
        <v>0</v>
      </c>
      <c r="AC557" s="29">
        <v>0</v>
      </c>
      <c r="AD557" s="29">
        <v>0</v>
      </c>
      <c r="AE557" s="29">
        <v>0</v>
      </c>
      <c r="AF557" s="29">
        <v>0</v>
      </c>
      <c r="AG557" s="29">
        <v>0</v>
      </c>
      <c r="AH557" s="29">
        <v>0</v>
      </c>
      <c r="AI557" s="29">
        <v>0</v>
      </c>
      <c r="AJ557" s="29">
        <v>0</v>
      </c>
      <c r="AK557" s="29">
        <v>0</v>
      </c>
      <c r="AL557" s="29">
        <v>0</v>
      </c>
      <c r="AM557" s="29">
        <v>0</v>
      </c>
      <c r="AN557" s="29">
        <v>0</v>
      </c>
      <c r="AO557" s="29">
        <v>0</v>
      </c>
      <c r="AP557" s="29">
        <v>0</v>
      </c>
    </row>
    <row r="558" spans="1:42" x14ac:dyDescent="0.25">
      <c r="A558" s="29">
        <v>13</v>
      </c>
      <c r="B558" s="29">
        <v>13809</v>
      </c>
      <c r="C558" s="29">
        <v>2</v>
      </c>
      <c r="D558" s="29" t="s">
        <v>848</v>
      </c>
      <c r="E558" s="29"/>
      <c r="F558" s="29">
        <v>0</v>
      </c>
      <c r="G558" s="29">
        <v>0</v>
      </c>
      <c r="H558" s="29">
        <v>0</v>
      </c>
      <c r="I558" s="29">
        <v>0</v>
      </c>
      <c r="J558" s="29">
        <v>0</v>
      </c>
      <c r="K558" s="29" t="s">
        <v>882</v>
      </c>
      <c r="L558" s="19" t="str">
        <f t="shared" si="64"/>
        <v>Рихтовка</v>
      </c>
      <c r="M558" s="12">
        <f t="shared" si="65"/>
        <v>0</v>
      </c>
      <c r="N558" s="12">
        <f t="shared" si="66"/>
        <v>0</v>
      </c>
      <c r="O558" s="12">
        <f t="shared" si="67"/>
        <v>0</v>
      </c>
      <c r="P558" s="12">
        <f t="shared" si="68"/>
        <v>0</v>
      </c>
      <c r="Q558" s="12">
        <f t="shared" si="69"/>
        <v>0</v>
      </c>
      <c r="R558" s="12">
        <f t="shared" si="70"/>
        <v>0</v>
      </c>
      <c r="S558" s="12">
        <f t="shared" si="71"/>
        <v>0</v>
      </c>
      <c r="T558" s="29">
        <v>0</v>
      </c>
      <c r="U558" s="29">
        <v>0</v>
      </c>
      <c r="V558" s="29">
        <v>0</v>
      </c>
      <c r="W558" s="29">
        <v>0</v>
      </c>
      <c r="X558" s="29">
        <v>0</v>
      </c>
      <c r="Y558" s="29">
        <v>0</v>
      </c>
      <c r="Z558" s="29">
        <v>0</v>
      </c>
      <c r="AA558" s="29">
        <v>0</v>
      </c>
      <c r="AB558" s="29">
        <v>0</v>
      </c>
      <c r="AC558" s="29">
        <v>0</v>
      </c>
      <c r="AD558" s="29">
        <v>0</v>
      </c>
      <c r="AE558" s="29">
        <v>0</v>
      </c>
      <c r="AF558" s="29">
        <v>0</v>
      </c>
      <c r="AG558" s="29">
        <v>0</v>
      </c>
      <c r="AH558" s="29">
        <v>0</v>
      </c>
      <c r="AI558" s="29">
        <v>0</v>
      </c>
      <c r="AJ558" s="29">
        <v>0</v>
      </c>
      <c r="AK558" s="29">
        <v>0</v>
      </c>
      <c r="AL558" s="29">
        <v>0</v>
      </c>
      <c r="AM558" s="29">
        <v>0</v>
      </c>
      <c r="AN558" s="29">
        <v>0</v>
      </c>
      <c r="AO558" s="29">
        <v>0</v>
      </c>
      <c r="AP558" s="29">
        <v>0</v>
      </c>
    </row>
    <row r="559" spans="1:42" x14ac:dyDescent="0.25">
      <c r="A559" s="29">
        <v>13</v>
      </c>
      <c r="B559" s="29">
        <v>13809</v>
      </c>
      <c r="C559" s="29">
        <v>2</v>
      </c>
      <c r="D559" s="29" t="s">
        <v>849</v>
      </c>
      <c r="E559" s="29"/>
      <c r="F559" s="29">
        <v>0</v>
      </c>
      <c r="G559" s="29">
        <v>0</v>
      </c>
      <c r="H559" s="29">
        <v>0</v>
      </c>
      <c r="I559" s="29">
        <v>0</v>
      </c>
      <c r="J559" s="29">
        <v>0</v>
      </c>
      <c r="K559" s="29" t="s">
        <v>882</v>
      </c>
      <c r="L559" s="19" t="str">
        <f t="shared" si="64"/>
        <v>Рихтовка</v>
      </c>
      <c r="M559" s="12">
        <f t="shared" si="65"/>
        <v>0</v>
      </c>
      <c r="N559" s="12">
        <f t="shared" si="66"/>
        <v>0</v>
      </c>
      <c r="O559" s="12">
        <f t="shared" si="67"/>
        <v>0</v>
      </c>
      <c r="P559" s="12">
        <f t="shared" si="68"/>
        <v>0</v>
      </c>
      <c r="Q559" s="12">
        <f t="shared" si="69"/>
        <v>0</v>
      </c>
      <c r="R559" s="12">
        <f t="shared" si="70"/>
        <v>0</v>
      </c>
      <c r="S559" s="12">
        <f t="shared" si="71"/>
        <v>0</v>
      </c>
      <c r="T559" s="29">
        <v>0</v>
      </c>
      <c r="U559" s="29">
        <v>0</v>
      </c>
      <c r="V559" s="29">
        <v>0</v>
      </c>
      <c r="W559" s="29">
        <v>0</v>
      </c>
      <c r="X559" s="29">
        <v>0</v>
      </c>
      <c r="Y559" s="29">
        <v>0</v>
      </c>
      <c r="Z559" s="29">
        <v>0</v>
      </c>
      <c r="AA559" s="29">
        <v>0</v>
      </c>
      <c r="AB559" s="29">
        <v>0</v>
      </c>
      <c r="AC559" s="29">
        <v>0</v>
      </c>
      <c r="AD559" s="29">
        <v>0</v>
      </c>
      <c r="AE559" s="29">
        <v>0</v>
      </c>
      <c r="AF559" s="29">
        <v>0</v>
      </c>
      <c r="AG559" s="29">
        <v>0</v>
      </c>
      <c r="AH559" s="29">
        <v>0</v>
      </c>
      <c r="AI559" s="29">
        <v>0</v>
      </c>
      <c r="AJ559" s="29">
        <v>0</v>
      </c>
      <c r="AK559" s="29">
        <v>0</v>
      </c>
      <c r="AL559" s="29">
        <v>0</v>
      </c>
      <c r="AM559" s="29">
        <v>0</v>
      </c>
      <c r="AN559" s="29">
        <v>0</v>
      </c>
      <c r="AO559" s="29">
        <v>0</v>
      </c>
      <c r="AP559" s="29">
        <v>0</v>
      </c>
    </row>
    <row r="560" spans="1:42" x14ac:dyDescent="0.25">
      <c r="A560" s="29">
        <v>13</v>
      </c>
      <c r="B560" s="29">
        <v>13809</v>
      </c>
      <c r="C560" s="29">
        <v>2</v>
      </c>
      <c r="D560" s="29" t="s">
        <v>850</v>
      </c>
      <c r="E560" s="29"/>
      <c r="F560" s="29">
        <v>0</v>
      </c>
      <c r="G560" s="29">
        <v>0</v>
      </c>
      <c r="H560" s="29">
        <v>0</v>
      </c>
      <c r="I560" s="29">
        <v>0</v>
      </c>
      <c r="J560" s="29">
        <v>0</v>
      </c>
      <c r="K560" s="29" t="s">
        <v>882</v>
      </c>
      <c r="L560" s="19" t="str">
        <f t="shared" si="64"/>
        <v>Рихтовка</v>
      </c>
      <c r="M560" s="12">
        <f t="shared" si="65"/>
        <v>0</v>
      </c>
      <c r="N560" s="12">
        <f t="shared" si="66"/>
        <v>0</v>
      </c>
      <c r="O560" s="12">
        <f t="shared" si="67"/>
        <v>0</v>
      </c>
      <c r="P560" s="12">
        <f t="shared" si="68"/>
        <v>0</v>
      </c>
      <c r="Q560" s="12">
        <f t="shared" si="69"/>
        <v>0</v>
      </c>
      <c r="R560" s="12">
        <f t="shared" si="70"/>
        <v>0</v>
      </c>
      <c r="S560" s="12">
        <f t="shared" si="71"/>
        <v>0</v>
      </c>
      <c r="T560" s="29">
        <v>0</v>
      </c>
      <c r="U560" s="29">
        <v>0</v>
      </c>
      <c r="V560" s="29">
        <v>0</v>
      </c>
      <c r="W560" s="29">
        <v>0</v>
      </c>
      <c r="X560" s="29">
        <v>0</v>
      </c>
      <c r="Y560" s="29">
        <v>0</v>
      </c>
      <c r="Z560" s="29">
        <v>0</v>
      </c>
      <c r="AA560" s="29">
        <v>0</v>
      </c>
      <c r="AB560" s="29">
        <v>0</v>
      </c>
      <c r="AC560" s="29">
        <v>0</v>
      </c>
      <c r="AD560" s="29">
        <v>0</v>
      </c>
      <c r="AE560" s="29">
        <v>0</v>
      </c>
      <c r="AF560" s="29">
        <v>0</v>
      </c>
      <c r="AG560" s="29">
        <v>0</v>
      </c>
      <c r="AH560" s="29">
        <v>0</v>
      </c>
      <c r="AI560" s="29">
        <v>0</v>
      </c>
      <c r="AJ560" s="29">
        <v>0</v>
      </c>
      <c r="AK560" s="29">
        <v>0</v>
      </c>
      <c r="AL560" s="29">
        <v>0</v>
      </c>
      <c r="AM560" s="29">
        <v>0</v>
      </c>
      <c r="AN560" s="29">
        <v>0</v>
      </c>
      <c r="AO560" s="29">
        <v>0</v>
      </c>
      <c r="AP560" s="29">
        <v>0</v>
      </c>
    </row>
    <row r="561" spans="1:42" x14ac:dyDescent="0.25">
      <c r="A561" s="29">
        <v>13</v>
      </c>
      <c r="B561" s="29">
        <v>13883</v>
      </c>
      <c r="C561" s="29">
        <v>1</v>
      </c>
      <c r="D561" s="29" t="s">
        <v>932</v>
      </c>
      <c r="E561" s="29"/>
      <c r="F561" s="29">
        <v>0</v>
      </c>
      <c r="G561" s="29">
        <v>0</v>
      </c>
      <c r="H561" s="29">
        <v>0</v>
      </c>
      <c r="I561" s="29">
        <v>0</v>
      </c>
      <c r="J561" s="29">
        <v>0</v>
      </c>
      <c r="K561" s="29" t="s">
        <v>882</v>
      </c>
      <c r="L561" s="19" t="str">
        <f t="shared" si="64"/>
        <v>Рихтовка</v>
      </c>
      <c r="M561" s="12">
        <f t="shared" si="65"/>
        <v>0</v>
      </c>
      <c r="N561" s="12">
        <f t="shared" si="66"/>
        <v>0</v>
      </c>
      <c r="O561" s="12">
        <f t="shared" si="67"/>
        <v>0</v>
      </c>
      <c r="P561" s="12">
        <f t="shared" si="68"/>
        <v>0</v>
      </c>
      <c r="Q561" s="12">
        <f t="shared" si="69"/>
        <v>0</v>
      </c>
      <c r="R561" s="12">
        <f t="shared" si="70"/>
        <v>0</v>
      </c>
      <c r="S561" s="12">
        <f t="shared" si="71"/>
        <v>0</v>
      </c>
      <c r="T561" s="29">
        <v>0</v>
      </c>
      <c r="U561" s="29">
        <v>0</v>
      </c>
      <c r="V561" s="29">
        <v>0</v>
      </c>
      <c r="W561" s="29">
        <v>0</v>
      </c>
      <c r="X561" s="29">
        <v>0</v>
      </c>
      <c r="Y561" s="29">
        <v>0</v>
      </c>
      <c r="Z561" s="29">
        <v>0</v>
      </c>
      <c r="AA561" s="29">
        <v>0</v>
      </c>
      <c r="AB561" s="29">
        <v>0</v>
      </c>
      <c r="AC561" s="29">
        <v>0</v>
      </c>
      <c r="AD561" s="29">
        <v>0</v>
      </c>
      <c r="AE561" s="29">
        <v>0</v>
      </c>
      <c r="AF561" s="29">
        <v>0</v>
      </c>
      <c r="AG561" s="29">
        <v>0</v>
      </c>
      <c r="AH561" s="29">
        <v>0</v>
      </c>
      <c r="AI561" s="29">
        <v>0</v>
      </c>
      <c r="AJ561" s="29">
        <v>0</v>
      </c>
      <c r="AK561" s="29">
        <v>0</v>
      </c>
      <c r="AL561" s="29">
        <v>0</v>
      </c>
      <c r="AM561" s="29">
        <v>0</v>
      </c>
      <c r="AN561" s="29">
        <v>0</v>
      </c>
      <c r="AO561" s="29">
        <v>0</v>
      </c>
      <c r="AP561" s="29">
        <v>0</v>
      </c>
    </row>
    <row r="562" spans="1:42" x14ac:dyDescent="0.25">
      <c r="A562" s="29">
        <v>13</v>
      </c>
      <c r="B562" s="29">
        <v>13882</v>
      </c>
      <c r="C562" s="29">
        <v>2</v>
      </c>
      <c r="D562" s="29" t="s">
        <v>851</v>
      </c>
      <c r="E562" s="29"/>
      <c r="F562" s="29">
        <v>0</v>
      </c>
      <c r="G562" s="29">
        <v>0</v>
      </c>
      <c r="H562" s="29">
        <v>0</v>
      </c>
      <c r="I562" s="29">
        <v>0</v>
      </c>
      <c r="J562" s="29">
        <v>0</v>
      </c>
      <c r="K562" s="29" t="s">
        <v>882</v>
      </c>
      <c r="L562" s="19" t="str">
        <f t="shared" si="64"/>
        <v>Рихтовка</v>
      </c>
      <c r="M562" s="12">
        <f t="shared" si="65"/>
        <v>0</v>
      </c>
      <c r="N562" s="12">
        <f t="shared" si="66"/>
        <v>0</v>
      </c>
      <c r="O562" s="12">
        <f t="shared" si="67"/>
        <v>0</v>
      </c>
      <c r="P562" s="12">
        <f t="shared" si="68"/>
        <v>0</v>
      </c>
      <c r="Q562" s="12">
        <f t="shared" si="69"/>
        <v>0</v>
      </c>
      <c r="R562" s="12">
        <f t="shared" si="70"/>
        <v>0</v>
      </c>
      <c r="S562" s="12">
        <f t="shared" si="71"/>
        <v>0</v>
      </c>
      <c r="T562" s="29">
        <v>0</v>
      </c>
      <c r="U562" s="29">
        <v>0</v>
      </c>
      <c r="V562" s="29">
        <v>0</v>
      </c>
      <c r="W562" s="29">
        <v>0</v>
      </c>
      <c r="X562" s="29">
        <v>0</v>
      </c>
      <c r="Y562" s="29">
        <v>0</v>
      </c>
      <c r="Z562" s="29">
        <v>0</v>
      </c>
      <c r="AA562" s="29">
        <v>0</v>
      </c>
      <c r="AB562" s="29">
        <v>0</v>
      </c>
      <c r="AC562" s="29">
        <v>0</v>
      </c>
      <c r="AD562" s="29">
        <v>0</v>
      </c>
      <c r="AE562" s="29">
        <v>0</v>
      </c>
      <c r="AF562" s="29">
        <v>0</v>
      </c>
      <c r="AG562" s="29">
        <v>0</v>
      </c>
      <c r="AH562" s="29">
        <v>0</v>
      </c>
      <c r="AI562" s="29">
        <v>0</v>
      </c>
      <c r="AJ562" s="29">
        <v>0</v>
      </c>
      <c r="AK562" s="29">
        <v>0</v>
      </c>
      <c r="AL562" s="29">
        <v>0</v>
      </c>
      <c r="AM562" s="29">
        <v>0</v>
      </c>
      <c r="AN562" s="29">
        <v>0</v>
      </c>
      <c r="AO562" s="29">
        <v>0</v>
      </c>
      <c r="AP562" s="29">
        <v>0</v>
      </c>
    </row>
    <row r="563" spans="1:42" x14ac:dyDescent="0.25">
      <c r="A563" s="29">
        <v>13</v>
      </c>
      <c r="B563" s="29">
        <v>13882</v>
      </c>
      <c r="C563" s="29">
        <v>2</v>
      </c>
      <c r="D563" s="29" t="s">
        <v>852</v>
      </c>
      <c r="E563" s="29"/>
      <c r="F563" s="29">
        <v>0</v>
      </c>
      <c r="G563" s="29">
        <v>0</v>
      </c>
      <c r="H563" s="29">
        <v>0</v>
      </c>
      <c r="I563" s="29">
        <v>0</v>
      </c>
      <c r="J563" s="29">
        <v>0</v>
      </c>
      <c r="K563" s="29" t="s">
        <v>882</v>
      </c>
      <c r="L563" s="19" t="str">
        <f t="shared" si="64"/>
        <v>Рихтовка</v>
      </c>
      <c r="M563" s="12">
        <f t="shared" si="65"/>
        <v>0</v>
      </c>
      <c r="N563" s="12">
        <f t="shared" si="66"/>
        <v>0</v>
      </c>
      <c r="O563" s="12">
        <f t="shared" si="67"/>
        <v>0</v>
      </c>
      <c r="P563" s="12">
        <f t="shared" si="68"/>
        <v>0</v>
      </c>
      <c r="Q563" s="12">
        <f t="shared" si="69"/>
        <v>0</v>
      </c>
      <c r="R563" s="12">
        <f t="shared" si="70"/>
        <v>0</v>
      </c>
      <c r="S563" s="12">
        <f t="shared" si="71"/>
        <v>0</v>
      </c>
      <c r="T563" s="29">
        <v>0</v>
      </c>
      <c r="U563" s="29">
        <v>0</v>
      </c>
      <c r="V563" s="29">
        <v>0</v>
      </c>
      <c r="W563" s="29">
        <v>0</v>
      </c>
      <c r="X563" s="29">
        <v>0</v>
      </c>
      <c r="Y563" s="29">
        <v>0</v>
      </c>
      <c r="Z563" s="29">
        <v>0</v>
      </c>
      <c r="AA563" s="29">
        <v>0</v>
      </c>
      <c r="AB563" s="29">
        <v>0</v>
      </c>
      <c r="AC563" s="29">
        <v>0</v>
      </c>
      <c r="AD563" s="29">
        <v>0</v>
      </c>
      <c r="AE563" s="29">
        <v>0</v>
      </c>
      <c r="AF563" s="29">
        <v>0</v>
      </c>
      <c r="AG563" s="29">
        <v>0</v>
      </c>
      <c r="AH563" s="29">
        <v>0</v>
      </c>
      <c r="AI563" s="29">
        <v>0</v>
      </c>
      <c r="AJ563" s="29">
        <v>0</v>
      </c>
      <c r="AK563" s="29">
        <v>0</v>
      </c>
      <c r="AL563" s="29">
        <v>0</v>
      </c>
      <c r="AM563" s="29">
        <v>0</v>
      </c>
      <c r="AN563" s="29">
        <v>0</v>
      </c>
      <c r="AO563" s="29">
        <v>0</v>
      </c>
      <c r="AP563" s="29">
        <v>0</v>
      </c>
    </row>
    <row r="564" spans="1:42" x14ac:dyDescent="0.25">
      <c r="A564" s="29">
        <v>13</v>
      </c>
      <c r="B564" s="29">
        <v>13882</v>
      </c>
      <c r="C564" s="29">
        <v>2</v>
      </c>
      <c r="D564" s="29" t="s">
        <v>853</v>
      </c>
      <c r="E564" s="29"/>
      <c r="F564" s="29">
        <v>0</v>
      </c>
      <c r="G564" s="29">
        <v>0</v>
      </c>
      <c r="H564" s="29">
        <v>0</v>
      </c>
      <c r="I564" s="29">
        <v>0</v>
      </c>
      <c r="J564" s="29">
        <v>0</v>
      </c>
      <c r="K564" s="29" t="s">
        <v>882</v>
      </c>
      <c r="L564" s="19" t="str">
        <f t="shared" si="64"/>
        <v>Рихтовка</v>
      </c>
      <c r="M564" s="12">
        <f t="shared" si="65"/>
        <v>0</v>
      </c>
      <c r="N564" s="12">
        <f t="shared" si="66"/>
        <v>0</v>
      </c>
      <c r="O564" s="12">
        <f t="shared" si="67"/>
        <v>0</v>
      </c>
      <c r="P564" s="12">
        <f t="shared" si="68"/>
        <v>0</v>
      </c>
      <c r="Q564" s="12">
        <f t="shared" si="69"/>
        <v>0</v>
      </c>
      <c r="R564" s="12">
        <f t="shared" si="70"/>
        <v>0</v>
      </c>
      <c r="S564" s="12">
        <f t="shared" si="71"/>
        <v>0</v>
      </c>
      <c r="T564" s="29">
        <v>0</v>
      </c>
      <c r="U564" s="29">
        <v>0</v>
      </c>
      <c r="V564" s="29">
        <v>0</v>
      </c>
      <c r="W564" s="29">
        <v>0</v>
      </c>
      <c r="X564" s="29">
        <v>0</v>
      </c>
      <c r="Y564" s="29">
        <v>0</v>
      </c>
      <c r="Z564" s="29">
        <v>0</v>
      </c>
      <c r="AA564" s="29">
        <v>0</v>
      </c>
      <c r="AB564" s="29">
        <v>0</v>
      </c>
      <c r="AC564" s="29">
        <v>0</v>
      </c>
      <c r="AD564" s="29">
        <v>0</v>
      </c>
      <c r="AE564" s="29">
        <v>0</v>
      </c>
      <c r="AF564" s="29">
        <v>0</v>
      </c>
      <c r="AG564" s="29">
        <v>0</v>
      </c>
      <c r="AH564" s="29">
        <v>0</v>
      </c>
      <c r="AI564" s="29">
        <v>0</v>
      </c>
      <c r="AJ564" s="29">
        <v>0</v>
      </c>
      <c r="AK564" s="29">
        <v>0</v>
      </c>
      <c r="AL564" s="29">
        <v>0</v>
      </c>
      <c r="AM564" s="29">
        <v>0</v>
      </c>
      <c r="AN564" s="29">
        <v>0</v>
      </c>
      <c r="AO564" s="29">
        <v>0</v>
      </c>
      <c r="AP564" s="29">
        <v>0</v>
      </c>
    </row>
    <row r="565" spans="1:42" x14ac:dyDescent="0.25">
      <c r="A565" s="29">
        <v>13</v>
      </c>
      <c r="B565" s="29">
        <v>25138</v>
      </c>
      <c r="C565" s="29" t="s">
        <v>439</v>
      </c>
      <c r="D565" s="29" t="s">
        <v>933</v>
      </c>
      <c r="E565" s="29"/>
      <c r="F565" s="29">
        <v>0</v>
      </c>
      <c r="G565" s="29">
        <v>0</v>
      </c>
      <c r="H565" s="29">
        <v>0</v>
      </c>
      <c r="I565" s="29">
        <v>0</v>
      </c>
      <c r="J565" s="29">
        <v>0</v>
      </c>
      <c r="K565" s="29" t="s">
        <v>882</v>
      </c>
      <c r="L565" s="19" t="str">
        <f t="shared" si="64"/>
        <v>Рихтовка</v>
      </c>
      <c r="M565" s="12">
        <f t="shared" si="65"/>
        <v>0</v>
      </c>
      <c r="N565" s="12">
        <f t="shared" si="66"/>
        <v>0</v>
      </c>
      <c r="O565" s="12">
        <f t="shared" si="67"/>
        <v>0</v>
      </c>
      <c r="P565" s="12">
        <f t="shared" si="68"/>
        <v>0</v>
      </c>
      <c r="Q565" s="12">
        <f t="shared" si="69"/>
        <v>0</v>
      </c>
      <c r="R565" s="12">
        <f t="shared" si="70"/>
        <v>0</v>
      </c>
      <c r="S565" s="12">
        <f t="shared" si="71"/>
        <v>0</v>
      </c>
      <c r="T565" s="29">
        <v>0</v>
      </c>
      <c r="U565" s="29">
        <v>0</v>
      </c>
      <c r="V565" s="29">
        <v>0</v>
      </c>
      <c r="W565" s="29">
        <v>0</v>
      </c>
      <c r="X565" s="29">
        <v>0</v>
      </c>
      <c r="Y565" s="29">
        <v>0</v>
      </c>
      <c r="Z565" s="29">
        <v>0</v>
      </c>
      <c r="AA565" s="29">
        <v>0</v>
      </c>
      <c r="AB565" s="29">
        <v>0</v>
      </c>
      <c r="AC565" s="29">
        <v>0</v>
      </c>
      <c r="AD565" s="29">
        <v>0</v>
      </c>
      <c r="AE565" s="29">
        <v>0</v>
      </c>
      <c r="AF565" s="29">
        <v>0</v>
      </c>
      <c r="AG565" s="29">
        <v>0</v>
      </c>
      <c r="AH565" s="29">
        <v>0</v>
      </c>
      <c r="AI565" s="29">
        <v>0</v>
      </c>
      <c r="AJ565" s="29">
        <v>0</v>
      </c>
      <c r="AK565" s="29">
        <v>0</v>
      </c>
      <c r="AL565" s="29">
        <v>0</v>
      </c>
      <c r="AM565" s="29">
        <v>0</v>
      </c>
      <c r="AN565" s="29">
        <v>0</v>
      </c>
      <c r="AO565" s="29">
        <v>0</v>
      </c>
      <c r="AP565" s="29">
        <v>0</v>
      </c>
    </row>
    <row r="566" spans="1:42" x14ac:dyDescent="0.25">
      <c r="A566" s="29">
        <v>13</v>
      </c>
      <c r="B566" s="29">
        <v>25138</v>
      </c>
      <c r="C566" s="29" t="s">
        <v>440</v>
      </c>
      <c r="D566" s="29" t="s">
        <v>934</v>
      </c>
      <c r="E566" s="29"/>
      <c r="F566" s="29">
        <v>0</v>
      </c>
      <c r="G566" s="29">
        <v>0</v>
      </c>
      <c r="H566" s="29">
        <v>0</v>
      </c>
      <c r="I566" s="29">
        <v>0</v>
      </c>
      <c r="J566" s="29">
        <v>0</v>
      </c>
      <c r="K566" s="29" t="s">
        <v>882</v>
      </c>
      <c r="L566" s="19" t="str">
        <f t="shared" si="64"/>
        <v>Рихтовка</v>
      </c>
      <c r="M566" s="12">
        <f t="shared" si="65"/>
        <v>0</v>
      </c>
      <c r="N566" s="12">
        <f t="shared" si="66"/>
        <v>0</v>
      </c>
      <c r="O566" s="12">
        <f t="shared" si="67"/>
        <v>0</v>
      </c>
      <c r="P566" s="12">
        <f t="shared" si="68"/>
        <v>0</v>
      </c>
      <c r="Q566" s="12">
        <f t="shared" si="69"/>
        <v>0</v>
      </c>
      <c r="R566" s="12">
        <f t="shared" si="70"/>
        <v>0</v>
      </c>
      <c r="S566" s="12">
        <f t="shared" si="71"/>
        <v>0</v>
      </c>
      <c r="T566" s="29">
        <v>0</v>
      </c>
      <c r="U566" s="29">
        <v>0</v>
      </c>
      <c r="V566" s="29">
        <v>0</v>
      </c>
      <c r="W566" s="29">
        <v>0</v>
      </c>
      <c r="X566" s="29">
        <v>0</v>
      </c>
      <c r="Y566" s="29">
        <v>0</v>
      </c>
      <c r="Z566" s="29">
        <v>0</v>
      </c>
      <c r="AA566" s="29">
        <v>0</v>
      </c>
      <c r="AB566" s="29">
        <v>0</v>
      </c>
      <c r="AC566" s="29">
        <v>0</v>
      </c>
      <c r="AD566" s="29">
        <v>0</v>
      </c>
      <c r="AE566" s="29">
        <v>0</v>
      </c>
      <c r="AF566" s="29">
        <v>0</v>
      </c>
      <c r="AG566" s="29">
        <v>0</v>
      </c>
      <c r="AH566" s="29">
        <v>0</v>
      </c>
      <c r="AI566" s="29">
        <v>0</v>
      </c>
      <c r="AJ566" s="29">
        <v>0</v>
      </c>
      <c r="AK566" s="29">
        <v>0</v>
      </c>
      <c r="AL566" s="29">
        <v>0</v>
      </c>
      <c r="AM566" s="29">
        <v>0</v>
      </c>
      <c r="AN566" s="29">
        <v>0</v>
      </c>
      <c r="AO566" s="29">
        <v>0</v>
      </c>
      <c r="AP566" s="29">
        <v>0</v>
      </c>
    </row>
    <row r="567" spans="1:42" x14ac:dyDescent="0.25">
      <c r="A567" s="29">
        <v>13</v>
      </c>
      <c r="B567" s="29">
        <v>25105</v>
      </c>
      <c r="C567" s="29">
        <v>3</v>
      </c>
      <c r="D567" s="29" t="s">
        <v>854</v>
      </c>
      <c r="E567" s="29"/>
      <c r="F567" s="29">
        <v>0</v>
      </c>
      <c r="G567" s="29">
        <v>0</v>
      </c>
      <c r="H567" s="29">
        <v>0</v>
      </c>
      <c r="I567" s="29">
        <v>0</v>
      </c>
      <c r="J567" s="29">
        <v>0</v>
      </c>
      <c r="K567" s="29" t="s">
        <v>882</v>
      </c>
      <c r="L567" s="19" t="str">
        <f t="shared" si="64"/>
        <v>Рихтовка</v>
      </c>
      <c r="M567" s="12">
        <f t="shared" si="65"/>
        <v>0</v>
      </c>
      <c r="N567" s="12">
        <f t="shared" si="66"/>
        <v>0</v>
      </c>
      <c r="O567" s="12">
        <f t="shared" si="67"/>
        <v>0</v>
      </c>
      <c r="P567" s="12">
        <f t="shared" si="68"/>
        <v>0</v>
      </c>
      <c r="Q567" s="12">
        <f t="shared" si="69"/>
        <v>0</v>
      </c>
      <c r="R567" s="12">
        <f t="shared" si="70"/>
        <v>0</v>
      </c>
      <c r="S567" s="12">
        <f t="shared" si="71"/>
        <v>0</v>
      </c>
      <c r="T567" s="29">
        <v>0</v>
      </c>
      <c r="U567" s="29">
        <v>0</v>
      </c>
      <c r="V567" s="29">
        <v>0</v>
      </c>
      <c r="W567" s="29">
        <v>0</v>
      </c>
      <c r="X567" s="29">
        <v>0</v>
      </c>
      <c r="Y567" s="29">
        <v>0</v>
      </c>
      <c r="Z567" s="29">
        <v>0</v>
      </c>
      <c r="AA567" s="29">
        <v>0</v>
      </c>
      <c r="AB567" s="29">
        <v>0</v>
      </c>
      <c r="AC567" s="29">
        <v>0</v>
      </c>
      <c r="AD567" s="29">
        <v>0</v>
      </c>
      <c r="AE567" s="29">
        <v>0</v>
      </c>
      <c r="AF567" s="29">
        <v>0</v>
      </c>
      <c r="AG567" s="29">
        <v>0</v>
      </c>
      <c r="AH567" s="29">
        <v>0</v>
      </c>
      <c r="AI567" s="29">
        <v>0</v>
      </c>
      <c r="AJ567" s="29">
        <v>0</v>
      </c>
      <c r="AK567" s="29">
        <v>0</v>
      </c>
      <c r="AL567" s="29">
        <v>0</v>
      </c>
      <c r="AM567" s="29">
        <v>0</v>
      </c>
      <c r="AN567" s="29">
        <v>0</v>
      </c>
      <c r="AO567" s="29">
        <v>0</v>
      </c>
      <c r="AP567" s="29">
        <v>0</v>
      </c>
    </row>
    <row r="568" spans="1:42" x14ac:dyDescent="0.25">
      <c r="A568" s="29">
        <v>13</v>
      </c>
      <c r="B568" s="29">
        <v>25133</v>
      </c>
      <c r="C568" s="29" t="s">
        <v>446</v>
      </c>
      <c r="D568" s="29" t="s">
        <v>935</v>
      </c>
      <c r="E568" s="29"/>
      <c r="F568" s="29">
        <v>0</v>
      </c>
      <c r="G568" s="29">
        <v>0</v>
      </c>
      <c r="H568" s="29">
        <v>0</v>
      </c>
      <c r="I568" s="29">
        <v>0</v>
      </c>
      <c r="J568" s="29">
        <v>0</v>
      </c>
      <c r="K568" s="29" t="s">
        <v>882</v>
      </c>
      <c r="L568" s="19" t="str">
        <f t="shared" si="64"/>
        <v>Рихтовка</v>
      </c>
      <c r="M568" s="12">
        <f t="shared" si="65"/>
        <v>0</v>
      </c>
      <c r="N568" s="12">
        <f t="shared" si="66"/>
        <v>0</v>
      </c>
      <c r="O568" s="12">
        <f t="shared" si="67"/>
        <v>0</v>
      </c>
      <c r="P568" s="12">
        <f t="shared" si="68"/>
        <v>0</v>
      </c>
      <c r="Q568" s="12">
        <f t="shared" si="69"/>
        <v>0</v>
      </c>
      <c r="R568" s="12">
        <f t="shared" si="70"/>
        <v>0</v>
      </c>
      <c r="S568" s="12">
        <f t="shared" si="71"/>
        <v>0</v>
      </c>
      <c r="T568" s="29">
        <v>0</v>
      </c>
      <c r="U568" s="29">
        <v>0</v>
      </c>
      <c r="V568" s="29">
        <v>0</v>
      </c>
      <c r="W568" s="29">
        <v>0</v>
      </c>
      <c r="X568" s="29">
        <v>0</v>
      </c>
      <c r="Y568" s="29">
        <v>0</v>
      </c>
      <c r="Z568" s="29">
        <v>0</v>
      </c>
      <c r="AA568" s="29">
        <v>0</v>
      </c>
      <c r="AB568" s="29">
        <v>0</v>
      </c>
      <c r="AC568" s="29">
        <v>0</v>
      </c>
      <c r="AD568" s="29">
        <v>0</v>
      </c>
      <c r="AE568" s="29">
        <v>0</v>
      </c>
      <c r="AF568" s="29">
        <v>0</v>
      </c>
      <c r="AG568" s="29">
        <v>0</v>
      </c>
      <c r="AH568" s="29">
        <v>0</v>
      </c>
      <c r="AI568" s="29">
        <v>0</v>
      </c>
      <c r="AJ568" s="29">
        <v>0</v>
      </c>
      <c r="AK568" s="29">
        <v>0</v>
      </c>
      <c r="AL568" s="29">
        <v>0</v>
      </c>
      <c r="AM568" s="29">
        <v>0</v>
      </c>
      <c r="AN568" s="29">
        <v>0</v>
      </c>
      <c r="AO568" s="29">
        <v>0</v>
      </c>
      <c r="AP568" s="29">
        <v>0</v>
      </c>
    </row>
    <row r="569" spans="1:42" x14ac:dyDescent="0.25">
      <c r="A569" s="29">
        <v>13</v>
      </c>
      <c r="B569" s="29">
        <v>25133</v>
      </c>
      <c r="C569" s="29" t="s">
        <v>446</v>
      </c>
      <c r="D569" s="29" t="s">
        <v>936</v>
      </c>
      <c r="E569" s="29"/>
      <c r="F569" s="29">
        <v>0</v>
      </c>
      <c r="G569" s="29">
        <v>0</v>
      </c>
      <c r="H569" s="29">
        <v>0</v>
      </c>
      <c r="I569" s="29">
        <v>0</v>
      </c>
      <c r="J569" s="29">
        <v>0</v>
      </c>
      <c r="K569" s="29" t="s">
        <v>882</v>
      </c>
      <c r="L569" s="19" t="str">
        <f t="shared" si="64"/>
        <v>Рихтовка</v>
      </c>
      <c r="M569" s="12">
        <f t="shared" si="65"/>
        <v>0</v>
      </c>
      <c r="N569" s="12">
        <f t="shared" si="66"/>
        <v>0</v>
      </c>
      <c r="O569" s="12">
        <f t="shared" si="67"/>
        <v>0</v>
      </c>
      <c r="P569" s="12">
        <f t="shared" si="68"/>
        <v>0</v>
      </c>
      <c r="Q569" s="12">
        <f t="shared" si="69"/>
        <v>0</v>
      </c>
      <c r="R569" s="12">
        <f t="shared" si="70"/>
        <v>0</v>
      </c>
      <c r="S569" s="12">
        <f t="shared" si="71"/>
        <v>0</v>
      </c>
      <c r="T569" s="29">
        <v>0</v>
      </c>
      <c r="U569" s="29">
        <v>0</v>
      </c>
      <c r="V569" s="29">
        <v>0</v>
      </c>
      <c r="W569" s="29">
        <v>0</v>
      </c>
      <c r="X569" s="29">
        <v>0</v>
      </c>
      <c r="Y569" s="29">
        <v>0</v>
      </c>
      <c r="Z569" s="29">
        <v>0</v>
      </c>
      <c r="AA569" s="29">
        <v>0</v>
      </c>
      <c r="AB569" s="29">
        <v>0</v>
      </c>
      <c r="AC569" s="29">
        <v>0</v>
      </c>
      <c r="AD569" s="29">
        <v>0</v>
      </c>
      <c r="AE569" s="29">
        <v>0</v>
      </c>
      <c r="AF569" s="29">
        <v>0</v>
      </c>
      <c r="AG569" s="29">
        <v>0</v>
      </c>
      <c r="AH569" s="29">
        <v>0</v>
      </c>
      <c r="AI569" s="29">
        <v>0</v>
      </c>
      <c r="AJ569" s="29">
        <v>0</v>
      </c>
      <c r="AK569" s="29">
        <v>0</v>
      </c>
      <c r="AL569" s="29">
        <v>0</v>
      </c>
      <c r="AM569" s="29">
        <v>0</v>
      </c>
      <c r="AN569" s="29">
        <v>0</v>
      </c>
      <c r="AO569" s="29">
        <v>0</v>
      </c>
      <c r="AP569" s="29">
        <v>0</v>
      </c>
    </row>
    <row r="570" spans="1:42" x14ac:dyDescent="0.25">
      <c r="A570" s="29">
        <v>13</v>
      </c>
      <c r="B570" s="29">
        <v>25133</v>
      </c>
      <c r="C570" s="29" t="s">
        <v>446</v>
      </c>
      <c r="D570" s="29" t="s">
        <v>937</v>
      </c>
      <c r="E570" s="29"/>
      <c r="F570" s="29">
        <v>0</v>
      </c>
      <c r="G570" s="29">
        <v>0</v>
      </c>
      <c r="H570" s="29">
        <v>0</v>
      </c>
      <c r="I570" s="29">
        <v>0</v>
      </c>
      <c r="J570" s="29">
        <v>0</v>
      </c>
      <c r="K570" s="29" t="s">
        <v>882</v>
      </c>
      <c r="L570" s="19" t="str">
        <f t="shared" si="64"/>
        <v>Рихтовка</v>
      </c>
      <c r="M570" s="12">
        <f t="shared" si="65"/>
        <v>0</v>
      </c>
      <c r="N570" s="12">
        <f t="shared" si="66"/>
        <v>0</v>
      </c>
      <c r="O570" s="12">
        <f t="shared" si="67"/>
        <v>0</v>
      </c>
      <c r="P570" s="12">
        <f t="shared" si="68"/>
        <v>0</v>
      </c>
      <c r="Q570" s="12">
        <f t="shared" si="69"/>
        <v>0</v>
      </c>
      <c r="R570" s="12">
        <f t="shared" si="70"/>
        <v>0</v>
      </c>
      <c r="S570" s="12">
        <f t="shared" si="71"/>
        <v>0</v>
      </c>
      <c r="T570" s="29">
        <v>0</v>
      </c>
      <c r="U570" s="29">
        <v>0</v>
      </c>
      <c r="V570" s="29">
        <v>0</v>
      </c>
      <c r="W570" s="29">
        <v>0</v>
      </c>
      <c r="X570" s="29">
        <v>0</v>
      </c>
      <c r="Y570" s="29">
        <v>0</v>
      </c>
      <c r="Z570" s="29">
        <v>0</v>
      </c>
      <c r="AA570" s="29">
        <v>0</v>
      </c>
      <c r="AB570" s="29">
        <v>0</v>
      </c>
      <c r="AC570" s="29">
        <v>0</v>
      </c>
      <c r="AD570" s="29">
        <v>0</v>
      </c>
      <c r="AE570" s="29">
        <v>0</v>
      </c>
      <c r="AF570" s="29">
        <v>0</v>
      </c>
      <c r="AG570" s="29">
        <v>0</v>
      </c>
      <c r="AH570" s="29">
        <v>0</v>
      </c>
      <c r="AI570" s="29">
        <v>0</v>
      </c>
      <c r="AJ570" s="29">
        <v>0</v>
      </c>
      <c r="AK570" s="29">
        <v>0</v>
      </c>
      <c r="AL570" s="29">
        <v>0</v>
      </c>
      <c r="AM570" s="29">
        <v>0</v>
      </c>
      <c r="AN570" s="29">
        <v>0</v>
      </c>
      <c r="AO570" s="29">
        <v>0</v>
      </c>
      <c r="AP570" s="29">
        <v>0</v>
      </c>
    </row>
    <row r="571" spans="1:42" x14ac:dyDescent="0.25">
      <c r="A571" s="29">
        <v>13</v>
      </c>
      <c r="B571" s="29">
        <v>25134</v>
      </c>
      <c r="C571" s="29">
        <v>2</v>
      </c>
      <c r="D571" s="29" t="s">
        <v>938</v>
      </c>
      <c r="E571" s="29"/>
      <c r="F571" s="29">
        <v>0</v>
      </c>
      <c r="G571" s="29">
        <v>0</v>
      </c>
      <c r="H571" s="29">
        <v>0</v>
      </c>
      <c r="I571" s="29">
        <v>0</v>
      </c>
      <c r="J571" s="29">
        <v>0</v>
      </c>
      <c r="K571" s="29" t="s">
        <v>882</v>
      </c>
      <c r="L571" s="19" t="str">
        <f t="shared" si="64"/>
        <v>Рихтовка</v>
      </c>
      <c r="M571" s="12">
        <f t="shared" si="65"/>
        <v>0</v>
      </c>
      <c r="N571" s="12">
        <f t="shared" si="66"/>
        <v>0</v>
      </c>
      <c r="O571" s="12">
        <f t="shared" si="67"/>
        <v>0</v>
      </c>
      <c r="P571" s="12">
        <f t="shared" si="68"/>
        <v>0</v>
      </c>
      <c r="Q571" s="12">
        <f t="shared" si="69"/>
        <v>0</v>
      </c>
      <c r="R571" s="12">
        <f t="shared" si="70"/>
        <v>0</v>
      </c>
      <c r="S571" s="12">
        <f t="shared" si="71"/>
        <v>0</v>
      </c>
      <c r="T571" s="29">
        <v>0</v>
      </c>
      <c r="U571" s="29">
        <v>0</v>
      </c>
      <c r="V571" s="29">
        <v>0</v>
      </c>
      <c r="W571" s="29">
        <v>0</v>
      </c>
      <c r="X571" s="29">
        <v>0</v>
      </c>
      <c r="Y571" s="29">
        <v>0</v>
      </c>
      <c r="Z571" s="29">
        <v>0</v>
      </c>
      <c r="AA571" s="29">
        <v>0</v>
      </c>
      <c r="AB571" s="29">
        <v>0</v>
      </c>
      <c r="AC571" s="29">
        <v>0</v>
      </c>
      <c r="AD571" s="29">
        <v>0</v>
      </c>
      <c r="AE571" s="29">
        <v>0</v>
      </c>
      <c r="AF571" s="29">
        <v>0</v>
      </c>
      <c r="AG571" s="29">
        <v>0</v>
      </c>
      <c r="AH571" s="29">
        <v>0</v>
      </c>
      <c r="AI571" s="29">
        <v>0</v>
      </c>
      <c r="AJ571" s="29">
        <v>0</v>
      </c>
      <c r="AK571" s="29">
        <v>0</v>
      </c>
      <c r="AL571" s="29">
        <v>0</v>
      </c>
      <c r="AM571" s="29">
        <v>0</v>
      </c>
      <c r="AN571" s="29">
        <v>0</v>
      </c>
      <c r="AO571" s="29">
        <v>0</v>
      </c>
      <c r="AP571" s="29">
        <v>0</v>
      </c>
    </row>
    <row r="572" spans="1:42" x14ac:dyDescent="0.25">
      <c r="A572" s="29">
        <v>13</v>
      </c>
      <c r="B572" s="29">
        <v>13880</v>
      </c>
      <c r="C572" s="29">
        <v>1</v>
      </c>
      <c r="D572" s="29" t="s">
        <v>855</v>
      </c>
      <c r="E572" s="29"/>
      <c r="F572" s="29">
        <v>0</v>
      </c>
      <c r="G572" s="29">
        <v>0</v>
      </c>
      <c r="H572" s="29">
        <v>0</v>
      </c>
      <c r="I572" s="29">
        <v>0</v>
      </c>
      <c r="J572" s="29">
        <v>0</v>
      </c>
      <c r="K572" s="29" t="s">
        <v>882</v>
      </c>
      <c r="L572" s="19" t="str">
        <f t="shared" si="64"/>
        <v>Рихтовка</v>
      </c>
      <c r="M572" s="12">
        <f t="shared" si="65"/>
        <v>0</v>
      </c>
      <c r="N572" s="12">
        <f t="shared" si="66"/>
        <v>0</v>
      </c>
      <c r="O572" s="12">
        <f t="shared" si="67"/>
        <v>0</v>
      </c>
      <c r="P572" s="12">
        <f t="shared" si="68"/>
        <v>0</v>
      </c>
      <c r="Q572" s="12">
        <f t="shared" si="69"/>
        <v>0</v>
      </c>
      <c r="R572" s="12">
        <f t="shared" si="70"/>
        <v>0</v>
      </c>
      <c r="S572" s="12">
        <f t="shared" si="71"/>
        <v>0</v>
      </c>
      <c r="T572" s="29">
        <v>0</v>
      </c>
      <c r="U572" s="29">
        <v>0</v>
      </c>
      <c r="V572" s="29">
        <v>0</v>
      </c>
      <c r="W572" s="29">
        <v>0</v>
      </c>
      <c r="X572" s="29">
        <v>0</v>
      </c>
      <c r="Y572" s="29">
        <v>0</v>
      </c>
      <c r="Z572" s="29">
        <v>0</v>
      </c>
      <c r="AA572" s="29">
        <v>0</v>
      </c>
      <c r="AB572" s="29">
        <v>0</v>
      </c>
      <c r="AC572" s="29">
        <v>0</v>
      </c>
      <c r="AD572" s="29">
        <v>0</v>
      </c>
      <c r="AE572" s="29">
        <v>0</v>
      </c>
      <c r="AF572" s="29">
        <v>0</v>
      </c>
      <c r="AG572" s="29">
        <v>0</v>
      </c>
      <c r="AH572" s="29">
        <v>0</v>
      </c>
      <c r="AI572" s="29">
        <v>0</v>
      </c>
      <c r="AJ572" s="29">
        <v>0</v>
      </c>
      <c r="AK572" s="29">
        <v>0</v>
      </c>
      <c r="AL572" s="29">
        <v>0</v>
      </c>
      <c r="AM572" s="29">
        <v>0</v>
      </c>
      <c r="AN572" s="29">
        <v>0</v>
      </c>
      <c r="AO572" s="29">
        <v>0</v>
      </c>
      <c r="AP572" s="29">
        <v>0</v>
      </c>
    </row>
    <row r="573" spans="1:42" x14ac:dyDescent="0.25">
      <c r="A573" s="29">
        <v>13</v>
      </c>
      <c r="B573" s="29">
        <v>13880</v>
      </c>
      <c r="C573" s="29">
        <v>1</v>
      </c>
      <c r="D573" s="29" t="s">
        <v>856</v>
      </c>
      <c r="E573" s="29"/>
      <c r="F573" s="29">
        <v>0</v>
      </c>
      <c r="G573" s="29">
        <v>0</v>
      </c>
      <c r="H573" s="29">
        <v>0</v>
      </c>
      <c r="I573" s="29">
        <v>0</v>
      </c>
      <c r="J573" s="29">
        <v>0</v>
      </c>
      <c r="K573" s="29" t="s">
        <v>882</v>
      </c>
      <c r="L573" s="19" t="str">
        <f t="shared" si="64"/>
        <v>Рихтовка</v>
      </c>
      <c r="M573" s="12">
        <f t="shared" si="65"/>
        <v>0</v>
      </c>
      <c r="N573" s="12">
        <f t="shared" si="66"/>
        <v>0</v>
      </c>
      <c r="O573" s="12">
        <f t="shared" si="67"/>
        <v>0</v>
      </c>
      <c r="P573" s="12">
        <f t="shared" si="68"/>
        <v>0</v>
      </c>
      <c r="Q573" s="12">
        <f t="shared" si="69"/>
        <v>0</v>
      </c>
      <c r="R573" s="12">
        <f t="shared" si="70"/>
        <v>0</v>
      </c>
      <c r="S573" s="12">
        <f t="shared" si="71"/>
        <v>0</v>
      </c>
      <c r="T573" s="29">
        <v>0</v>
      </c>
      <c r="U573" s="29">
        <v>0</v>
      </c>
      <c r="V573" s="29">
        <v>0</v>
      </c>
      <c r="W573" s="29">
        <v>0</v>
      </c>
      <c r="X573" s="29">
        <v>0</v>
      </c>
      <c r="Y573" s="29">
        <v>0</v>
      </c>
      <c r="Z573" s="29">
        <v>0</v>
      </c>
      <c r="AA573" s="29">
        <v>0</v>
      </c>
      <c r="AB573" s="29">
        <v>0</v>
      </c>
      <c r="AC573" s="29">
        <v>0</v>
      </c>
      <c r="AD573" s="29">
        <v>0</v>
      </c>
      <c r="AE573" s="29">
        <v>0</v>
      </c>
      <c r="AF573" s="29">
        <v>0</v>
      </c>
      <c r="AG573" s="29">
        <v>0</v>
      </c>
      <c r="AH573" s="29">
        <v>0</v>
      </c>
      <c r="AI573" s="29">
        <v>0</v>
      </c>
      <c r="AJ573" s="29">
        <v>0</v>
      </c>
      <c r="AK573" s="29">
        <v>0</v>
      </c>
      <c r="AL573" s="29">
        <v>0</v>
      </c>
      <c r="AM573" s="29">
        <v>0</v>
      </c>
      <c r="AN573" s="29">
        <v>0</v>
      </c>
      <c r="AO573" s="29">
        <v>0</v>
      </c>
      <c r="AP573" s="29">
        <v>0</v>
      </c>
    </row>
    <row r="574" spans="1:42" x14ac:dyDescent="0.25">
      <c r="A574" s="29">
        <v>13</v>
      </c>
      <c r="B574" s="29">
        <v>13880</v>
      </c>
      <c r="C574" s="29">
        <v>1</v>
      </c>
      <c r="D574" s="29" t="s">
        <v>857</v>
      </c>
      <c r="E574" s="29"/>
      <c r="F574" s="29">
        <v>0</v>
      </c>
      <c r="G574" s="29">
        <v>0</v>
      </c>
      <c r="H574" s="29">
        <v>0</v>
      </c>
      <c r="I574" s="29">
        <v>0</v>
      </c>
      <c r="J574" s="29">
        <v>0</v>
      </c>
      <c r="K574" s="29" t="s">
        <v>882</v>
      </c>
      <c r="L574" s="19" t="str">
        <f t="shared" si="64"/>
        <v>Рихтовка</v>
      </c>
      <c r="M574" s="12">
        <f t="shared" si="65"/>
        <v>0</v>
      </c>
      <c r="N574" s="12">
        <f t="shared" si="66"/>
        <v>0</v>
      </c>
      <c r="O574" s="12">
        <f t="shared" si="67"/>
        <v>0</v>
      </c>
      <c r="P574" s="12">
        <f t="shared" si="68"/>
        <v>0</v>
      </c>
      <c r="Q574" s="12">
        <f t="shared" si="69"/>
        <v>0</v>
      </c>
      <c r="R574" s="12">
        <f t="shared" si="70"/>
        <v>0</v>
      </c>
      <c r="S574" s="12">
        <f t="shared" si="71"/>
        <v>0</v>
      </c>
      <c r="T574" s="29">
        <v>0</v>
      </c>
      <c r="U574" s="29">
        <v>0</v>
      </c>
      <c r="V574" s="29">
        <v>0</v>
      </c>
      <c r="W574" s="29">
        <v>0</v>
      </c>
      <c r="X574" s="29">
        <v>0</v>
      </c>
      <c r="Y574" s="29">
        <v>0</v>
      </c>
      <c r="Z574" s="29">
        <v>0</v>
      </c>
      <c r="AA574" s="29">
        <v>0</v>
      </c>
      <c r="AB574" s="29">
        <v>0</v>
      </c>
      <c r="AC574" s="29">
        <v>0</v>
      </c>
      <c r="AD574" s="29">
        <v>0</v>
      </c>
      <c r="AE574" s="29">
        <v>0</v>
      </c>
      <c r="AF574" s="29">
        <v>0</v>
      </c>
      <c r="AG574" s="29">
        <v>0</v>
      </c>
      <c r="AH574" s="29">
        <v>0</v>
      </c>
      <c r="AI574" s="29">
        <v>0</v>
      </c>
      <c r="AJ574" s="29">
        <v>0</v>
      </c>
      <c r="AK574" s="29">
        <v>0</v>
      </c>
      <c r="AL574" s="29">
        <v>0</v>
      </c>
      <c r="AM574" s="29">
        <v>0</v>
      </c>
      <c r="AN574" s="29">
        <v>0</v>
      </c>
      <c r="AO574" s="29">
        <v>0</v>
      </c>
      <c r="AP574" s="29">
        <v>0</v>
      </c>
    </row>
    <row r="575" spans="1:42" x14ac:dyDescent="0.25">
      <c r="A575" s="29">
        <v>13</v>
      </c>
      <c r="B575" s="29">
        <v>13880</v>
      </c>
      <c r="C575" s="29">
        <v>1</v>
      </c>
      <c r="D575" s="29" t="s">
        <v>858</v>
      </c>
      <c r="E575" s="29"/>
      <c r="F575" s="29">
        <v>0</v>
      </c>
      <c r="G575" s="29">
        <v>0</v>
      </c>
      <c r="H575" s="29">
        <v>0</v>
      </c>
      <c r="I575" s="29">
        <v>0</v>
      </c>
      <c r="J575" s="29">
        <v>0</v>
      </c>
      <c r="K575" s="29" t="s">
        <v>882</v>
      </c>
      <c r="L575" s="19" t="str">
        <f t="shared" si="64"/>
        <v>Рихтовка</v>
      </c>
      <c r="M575" s="12">
        <f t="shared" si="65"/>
        <v>0</v>
      </c>
      <c r="N575" s="12">
        <f t="shared" si="66"/>
        <v>0</v>
      </c>
      <c r="O575" s="12">
        <f t="shared" si="67"/>
        <v>0</v>
      </c>
      <c r="P575" s="12">
        <f t="shared" si="68"/>
        <v>0</v>
      </c>
      <c r="Q575" s="12">
        <f t="shared" si="69"/>
        <v>0</v>
      </c>
      <c r="R575" s="12">
        <f t="shared" si="70"/>
        <v>0</v>
      </c>
      <c r="S575" s="12">
        <f t="shared" si="71"/>
        <v>0</v>
      </c>
      <c r="T575" s="29">
        <v>0</v>
      </c>
      <c r="U575" s="29">
        <v>0</v>
      </c>
      <c r="V575" s="29">
        <v>0</v>
      </c>
      <c r="W575" s="29">
        <v>0</v>
      </c>
      <c r="X575" s="29">
        <v>0</v>
      </c>
      <c r="Y575" s="29">
        <v>0</v>
      </c>
      <c r="Z575" s="29">
        <v>0</v>
      </c>
      <c r="AA575" s="29">
        <v>0</v>
      </c>
      <c r="AB575" s="29">
        <v>0</v>
      </c>
      <c r="AC575" s="29">
        <v>0</v>
      </c>
      <c r="AD575" s="29">
        <v>0</v>
      </c>
      <c r="AE575" s="29">
        <v>0</v>
      </c>
      <c r="AF575" s="29">
        <v>0</v>
      </c>
      <c r="AG575" s="29">
        <v>0</v>
      </c>
      <c r="AH575" s="29">
        <v>0</v>
      </c>
      <c r="AI575" s="29">
        <v>0</v>
      </c>
      <c r="AJ575" s="29">
        <v>0</v>
      </c>
      <c r="AK575" s="29">
        <v>0</v>
      </c>
      <c r="AL575" s="29">
        <v>0</v>
      </c>
      <c r="AM575" s="29">
        <v>0</v>
      </c>
      <c r="AN575" s="29">
        <v>0</v>
      </c>
      <c r="AO575" s="29">
        <v>0</v>
      </c>
      <c r="AP575" s="29">
        <v>0</v>
      </c>
    </row>
    <row r="576" spans="1:42" x14ac:dyDescent="0.25">
      <c r="A576" s="29">
        <v>13</v>
      </c>
      <c r="B576" s="29">
        <v>13880</v>
      </c>
      <c r="C576" s="29">
        <v>1</v>
      </c>
      <c r="D576" s="29" t="s">
        <v>859</v>
      </c>
      <c r="E576" s="29"/>
      <c r="F576" s="29">
        <v>0</v>
      </c>
      <c r="G576" s="29">
        <v>0</v>
      </c>
      <c r="H576" s="29">
        <v>0</v>
      </c>
      <c r="I576" s="29">
        <v>0</v>
      </c>
      <c r="J576" s="29">
        <v>0</v>
      </c>
      <c r="K576" s="29" t="s">
        <v>882</v>
      </c>
      <c r="L576" s="19" t="str">
        <f t="shared" si="64"/>
        <v>Рихтовка</v>
      </c>
      <c r="M576" s="12">
        <f t="shared" si="65"/>
        <v>0</v>
      </c>
      <c r="N576" s="12">
        <f t="shared" si="66"/>
        <v>0</v>
      </c>
      <c r="O576" s="12">
        <f t="shared" si="67"/>
        <v>0</v>
      </c>
      <c r="P576" s="12">
        <f t="shared" si="68"/>
        <v>0</v>
      </c>
      <c r="Q576" s="12">
        <f t="shared" si="69"/>
        <v>0</v>
      </c>
      <c r="R576" s="12">
        <f t="shared" si="70"/>
        <v>0</v>
      </c>
      <c r="S576" s="12">
        <f t="shared" si="71"/>
        <v>0</v>
      </c>
      <c r="T576" s="29">
        <v>0</v>
      </c>
      <c r="U576" s="29">
        <v>0</v>
      </c>
      <c r="V576" s="29">
        <v>0</v>
      </c>
      <c r="W576" s="29">
        <v>0</v>
      </c>
      <c r="X576" s="29">
        <v>0</v>
      </c>
      <c r="Y576" s="29">
        <v>0</v>
      </c>
      <c r="Z576" s="29">
        <v>0</v>
      </c>
      <c r="AA576" s="29">
        <v>0</v>
      </c>
      <c r="AB576" s="29">
        <v>0</v>
      </c>
      <c r="AC576" s="29">
        <v>0</v>
      </c>
      <c r="AD576" s="29">
        <v>0</v>
      </c>
      <c r="AE576" s="29">
        <v>0</v>
      </c>
      <c r="AF576" s="29">
        <v>0</v>
      </c>
      <c r="AG576" s="29">
        <v>0</v>
      </c>
      <c r="AH576" s="29">
        <v>0</v>
      </c>
      <c r="AI576" s="29">
        <v>0</v>
      </c>
      <c r="AJ576" s="29">
        <v>0</v>
      </c>
      <c r="AK576" s="29">
        <v>0</v>
      </c>
      <c r="AL576" s="29">
        <v>0</v>
      </c>
      <c r="AM576" s="29">
        <v>0</v>
      </c>
      <c r="AN576" s="29">
        <v>0</v>
      </c>
      <c r="AO576" s="29">
        <v>0</v>
      </c>
      <c r="AP576" s="29">
        <v>0</v>
      </c>
    </row>
    <row r="577" spans="1:42" x14ac:dyDescent="0.25">
      <c r="A577" s="29">
        <v>13</v>
      </c>
      <c r="B577" s="29">
        <v>13880</v>
      </c>
      <c r="C577" s="29">
        <v>1</v>
      </c>
      <c r="D577" s="29" t="s">
        <v>860</v>
      </c>
      <c r="E577" s="29"/>
      <c r="F577" s="29">
        <v>0</v>
      </c>
      <c r="G577" s="29">
        <v>0</v>
      </c>
      <c r="H577" s="29">
        <v>0</v>
      </c>
      <c r="I577" s="29">
        <v>0</v>
      </c>
      <c r="J577" s="29">
        <v>0</v>
      </c>
      <c r="K577" s="29" t="s">
        <v>882</v>
      </c>
      <c r="L577" s="19" t="str">
        <f t="shared" si="64"/>
        <v>Рихтовка</v>
      </c>
      <c r="M577" s="12">
        <f t="shared" si="65"/>
        <v>0</v>
      </c>
      <c r="N577" s="12">
        <f t="shared" si="66"/>
        <v>0</v>
      </c>
      <c r="O577" s="12">
        <f t="shared" si="67"/>
        <v>0</v>
      </c>
      <c r="P577" s="12">
        <f t="shared" si="68"/>
        <v>0</v>
      </c>
      <c r="Q577" s="12">
        <f t="shared" si="69"/>
        <v>0</v>
      </c>
      <c r="R577" s="12">
        <f t="shared" si="70"/>
        <v>0</v>
      </c>
      <c r="S577" s="12">
        <f t="shared" si="71"/>
        <v>0</v>
      </c>
      <c r="T577" s="29">
        <v>0</v>
      </c>
      <c r="U577" s="29">
        <v>0</v>
      </c>
      <c r="V577" s="29">
        <v>0</v>
      </c>
      <c r="W577" s="29">
        <v>0</v>
      </c>
      <c r="X577" s="29">
        <v>0</v>
      </c>
      <c r="Y577" s="29">
        <v>0</v>
      </c>
      <c r="Z577" s="29">
        <v>0</v>
      </c>
      <c r="AA577" s="29">
        <v>0</v>
      </c>
      <c r="AB577" s="29">
        <v>0</v>
      </c>
      <c r="AC577" s="29">
        <v>0</v>
      </c>
      <c r="AD577" s="29">
        <v>0</v>
      </c>
      <c r="AE577" s="29">
        <v>0</v>
      </c>
      <c r="AF577" s="29">
        <v>0</v>
      </c>
      <c r="AG577" s="29">
        <v>0</v>
      </c>
      <c r="AH577" s="29">
        <v>0</v>
      </c>
      <c r="AI577" s="29">
        <v>0</v>
      </c>
      <c r="AJ577" s="29">
        <v>0</v>
      </c>
      <c r="AK577" s="29">
        <v>0</v>
      </c>
      <c r="AL577" s="29">
        <v>0</v>
      </c>
      <c r="AM577" s="29">
        <v>0</v>
      </c>
      <c r="AN577" s="29">
        <v>0</v>
      </c>
      <c r="AO577" s="29">
        <v>0</v>
      </c>
      <c r="AP577" s="29">
        <v>0</v>
      </c>
    </row>
    <row r="578" spans="1:42" x14ac:dyDescent="0.25">
      <c r="A578" s="29">
        <v>13</v>
      </c>
      <c r="B578" s="29">
        <v>13880</v>
      </c>
      <c r="C578" s="29">
        <v>2</v>
      </c>
      <c r="D578" s="29" t="s">
        <v>855</v>
      </c>
      <c r="E578" s="29"/>
      <c r="F578" s="29">
        <v>0</v>
      </c>
      <c r="G578" s="29">
        <v>0</v>
      </c>
      <c r="H578" s="29">
        <v>0</v>
      </c>
      <c r="I578" s="29">
        <v>0</v>
      </c>
      <c r="J578" s="29">
        <v>0</v>
      </c>
      <c r="K578" s="29" t="s">
        <v>882</v>
      </c>
      <c r="L578" s="19" t="str">
        <f t="shared" ref="L578:L641" si="72">IF($M578=N578,$N$1,IF($M578=O578,$O$1,IF($M578=P578,$P$1,IF($M578=Q578,$Q$1,IF($M578=R578,$R$1,$S$1)))))</f>
        <v>Рихтовка</v>
      </c>
      <c r="M578" s="12">
        <f t="shared" si="65"/>
        <v>0</v>
      </c>
      <c r="N578" s="12">
        <f t="shared" si="66"/>
        <v>0</v>
      </c>
      <c r="O578" s="12">
        <f t="shared" si="67"/>
        <v>0</v>
      </c>
      <c r="P578" s="12">
        <f t="shared" si="68"/>
        <v>0</v>
      </c>
      <c r="Q578" s="12">
        <f t="shared" si="69"/>
        <v>0</v>
      </c>
      <c r="R578" s="12">
        <f t="shared" si="70"/>
        <v>0</v>
      </c>
      <c r="S578" s="12">
        <f t="shared" si="71"/>
        <v>0</v>
      </c>
      <c r="T578" s="29">
        <v>0</v>
      </c>
      <c r="U578" s="29">
        <v>0</v>
      </c>
      <c r="V578" s="29">
        <v>0</v>
      </c>
      <c r="W578" s="29">
        <v>0</v>
      </c>
      <c r="X578" s="29">
        <v>0</v>
      </c>
      <c r="Y578" s="29">
        <v>0</v>
      </c>
      <c r="Z578" s="29">
        <v>0</v>
      </c>
      <c r="AA578" s="29">
        <v>0</v>
      </c>
      <c r="AB578" s="29">
        <v>0</v>
      </c>
      <c r="AC578" s="29">
        <v>0</v>
      </c>
      <c r="AD578" s="29">
        <v>0</v>
      </c>
      <c r="AE578" s="29">
        <v>0</v>
      </c>
      <c r="AF578" s="29">
        <v>0</v>
      </c>
      <c r="AG578" s="29">
        <v>0</v>
      </c>
      <c r="AH578" s="29">
        <v>0</v>
      </c>
      <c r="AI578" s="29">
        <v>0</v>
      </c>
      <c r="AJ578" s="29">
        <v>0</v>
      </c>
      <c r="AK578" s="29">
        <v>0</v>
      </c>
      <c r="AL578" s="29">
        <v>0</v>
      </c>
      <c r="AM578" s="29">
        <v>0</v>
      </c>
      <c r="AN578" s="29">
        <v>0</v>
      </c>
      <c r="AO578" s="29">
        <v>0</v>
      </c>
      <c r="AP578" s="29">
        <v>0</v>
      </c>
    </row>
    <row r="579" spans="1:42" x14ac:dyDescent="0.25">
      <c r="A579" s="29">
        <v>13</v>
      </c>
      <c r="B579" s="29">
        <v>13880</v>
      </c>
      <c r="C579" s="29">
        <v>2</v>
      </c>
      <c r="D579" s="29" t="s">
        <v>856</v>
      </c>
      <c r="E579" s="29"/>
      <c r="F579" s="29">
        <v>0</v>
      </c>
      <c r="G579" s="29">
        <v>0</v>
      </c>
      <c r="H579" s="29">
        <v>0</v>
      </c>
      <c r="I579" s="29">
        <v>0</v>
      </c>
      <c r="J579" s="29">
        <v>0</v>
      </c>
      <c r="K579" s="29" t="s">
        <v>882</v>
      </c>
      <c r="L579" s="19" t="str">
        <f t="shared" si="72"/>
        <v>Рихтовка</v>
      </c>
      <c r="M579" s="12">
        <f t="shared" ref="M579:M613" si="73">MAX(N579,O579,P579,Q579,R579,S579)</f>
        <v>0</v>
      </c>
      <c r="N579" s="12">
        <f t="shared" ref="N579:N613" si="74">T579+U579+V579</f>
        <v>0</v>
      </c>
      <c r="O579" s="12">
        <f t="shared" ref="O579:O613" si="75">W579+X579+Y579</f>
        <v>0</v>
      </c>
      <c r="P579" s="12">
        <f t="shared" ref="P579:P613" si="76">Z579+AA579+AB579</f>
        <v>0</v>
      </c>
      <c r="Q579" s="12">
        <f t="shared" ref="Q579:Q613" si="77">AC579+AD579+AE579</f>
        <v>0</v>
      </c>
      <c r="R579" s="12">
        <f t="shared" ref="R579:R613" si="78">AF579+AG579+AH579</f>
        <v>0</v>
      </c>
      <c r="S579" s="12">
        <f t="shared" ref="S579:S613" si="79">AI579+AJ579+AK579</f>
        <v>0</v>
      </c>
      <c r="T579" s="29">
        <v>0</v>
      </c>
      <c r="U579" s="29">
        <v>0</v>
      </c>
      <c r="V579" s="29">
        <v>0</v>
      </c>
      <c r="W579" s="29">
        <v>0</v>
      </c>
      <c r="X579" s="29">
        <v>0</v>
      </c>
      <c r="Y579" s="29">
        <v>0</v>
      </c>
      <c r="Z579" s="29">
        <v>0</v>
      </c>
      <c r="AA579" s="29">
        <v>0</v>
      </c>
      <c r="AB579" s="29">
        <v>0</v>
      </c>
      <c r="AC579" s="29">
        <v>0</v>
      </c>
      <c r="AD579" s="29">
        <v>0</v>
      </c>
      <c r="AE579" s="29">
        <v>0</v>
      </c>
      <c r="AF579" s="29">
        <v>0</v>
      </c>
      <c r="AG579" s="29">
        <v>0</v>
      </c>
      <c r="AH579" s="29">
        <v>0</v>
      </c>
      <c r="AI579" s="29">
        <v>0</v>
      </c>
      <c r="AJ579" s="29">
        <v>0</v>
      </c>
      <c r="AK579" s="29">
        <v>0</v>
      </c>
      <c r="AL579" s="29">
        <v>0</v>
      </c>
      <c r="AM579" s="29">
        <v>0</v>
      </c>
      <c r="AN579" s="29">
        <v>0</v>
      </c>
      <c r="AO579" s="29">
        <v>0</v>
      </c>
      <c r="AP579" s="29">
        <v>0</v>
      </c>
    </row>
    <row r="580" spans="1:42" x14ac:dyDescent="0.25">
      <c r="A580" s="29">
        <v>13</v>
      </c>
      <c r="B580" s="29">
        <v>13880</v>
      </c>
      <c r="C580" s="29">
        <v>2</v>
      </c>
      <c r="D580" s="29" t="s">
        <v>857</v>
      </c>
      <c r="E580" s="29"/>
      <c r="F580" s="29">
        <v>0</v>
      </c>
      <c r="G580" s="29">
        <v>0</v>
      </c>
      <c r="H580" s="29">
        <v>0</v>
      </c>
      <c r="I580" s="29">
        <v>0</v>
      </c>
      <c r="J580" s="29">
        <v>0</v>
      </c>
      <c r="K580" s="29" t="s">
        <v>882</v>
      </c>
      <c r="L580" s="19" t="str">
        <f t="shared" si="72"/>
        <v>Рихтовка</v>
      </c>
      <c r="M580" s="12">
        <f t="shared" si="73"/>
        <v>0</v>
      </c>
      <c r="N580" s="12">
        <f t="shared" si="74"/>
        <v>0</v>
      </c>
      <c r="O580" s="12">
        <f t="shared" si="75"/>
        <v>0</v>
      </c>
      <c r="P580" s="12">
        <f t="shared" si="76"/>
        <v>0</v>
      </c>
      <c r="Q580" s="12">
        <f t="shared" si="77"/>
        <v>0</v>
      </c>
      <c r="R580" s="12">
        <f t="shared" si="78"/>
        <v>0</v>
      </c>
      <c r="S580" s="12">
        <f t="shared" si="79"/>
        <v>0</v>
      </c>
      <c r="T580" s="29">
        <v>0</v>
      </c>
      <c r="U580" s="29">
        <v>0</v>
      </c>
      <c r="V580" s="29">
        <v>0</v>
      </c>
      <c r="W580" s="29">
        <v>0</v>
      </c>
      <c r="X580" s="29">
        <v>0</v>
      </c>
      <c r="Y580" s="29">
        <v>0</v>
      </c>
      <c r="Z580" s="29">
        <v>0</v>
      </c>
      <c r="AA580" s="29">
        <v>0</v>
      </c>
      <c r="AB580" s="29">
        <v>0</v>
      </c>
      <c r="AC580" s="29">
        <v>0</v>
      </c>
      <c r="AD580" s="29">
        <v>0</v>
      </c>
      <c r="AE580" s="29">
        <v>0</v>
      </c>
      <c r="AF580" s="29">
        <v>0</v>
      </c>
      <c r="AG580" s="29">
        <v>0</v>
      </c>
      <c r="AH580" s="29">
        <v>0</v>
      </c>
      <c r="AI580" s="29">
        <v>0</v>
      </c>
      <c r="AJ580" s="29">
        <v>0</v>
      </c>
      <c r="AK580" s="29">
        <v>0</v>
      </c>
      <c r="AL580" s="29">
        <v>0</v>
      </c>
      <c r="AM580" s="29">
        <v>0</v>
      </c>
      <c r="AN580" s="29">
        <v>0</v>
      </c>
      <c r="AO580" s="29">
        <v>0</v>
      </c>
      <c r="AP580" s="29">
        <v>0</v>
      </c>
    </row>
    <row r="581" spans="1:42" x14ac:dyDescent="0.25">
      <c r="A581" s="29">
        <v>13</v>
      </c>
      <c r="B581" s="29">
        <v>13880</v>
      </c>
      <c r="C581" s="29">
        <v>2</v>
      </c>
      <c r="D581" s="29" t="s">
        <v>858</v>
      </c>
      <c r="E581" s="29"/>
      <c r="F581" s="29">
        <v>0</v>
      </c>
      <c r="G581" s="29">
        <v>0</v>
      </c>
      <c r="H581" s="29">
        <v>0</v>
      </c>
      <c r="I581" s="29">
        <v>0</v>
      </c>
      <c r="J581" s="29">
        <v>0</v>
      </c>
      <c r="K581" s="29" t="s">
        <v>882</v>
      </c>
      <c r="L581" s="19" t="str">
        <f t="shared" si="72"/>
        <v>Рихтовка</v>
      </c>
      <c r="M581" s="12">
        <f t="shared" si="73"/>
        <v>0</v>
      </c>
      <c r="N581" s="12">
        <f t="shared" si="74"/>
        <v>0</v>
      </c>
      <c r="O581" s="12">
        <f t="shared" si="75"/>
        <v>0</v>
      </c>
      <c r="P581" s="12">
        <f t="shared" si="76"/>
        <v>0</v>
      </c>
      <c r="Q581" s="12">
        <f t="shared" si="77"/>
        <v>0</v>
      </c>
      <c r="R581" s="12">
        <f t="shared" si="78"/>
        <v>0</v>
      </c>
      <c r="S581" s="12">
        <f t="shared" si="79"/>
        <v>0</v>
      </c>
      <c r="T581" s="29">
        <v>0</v>
      </c>
      <c r="U581" s="29">
        <v>0</v>
      </c>
      <c r="V581" s="29">
        <v>0</v>
      </c>
      <c r="W581" s="29">
        <v>0</v>
      </c>
      <c r="X581" s="29">
        <v>0</v>
      </c>
      <c r="Y581" s="29">
        <v>0</v>
      </c>
      <c r="Z581" s="29">
        <v>0</v>
      </c>
      <c r="AA581" s="29">
        <v>0</v>
      </c>
      <c r="AB581" s="29">
        <v>0</v>
      </c>
      <c r="AC581" s="29">
        <v>0</v>
      </c>
      <c r="AD581" s="29">
        <v>0</v>
      </c>
      <c r="AE581" s="29">
        <v>0</v>
      </c>
      <c r="AF581" s="29">
        <v>0</v>
      </c>
      <c r="AG581" s="29">
        <v>0</v>
      </c>
      <c r="AH581" s="29">
        <v>0</v>
      </c>
      <c r="AI581" s="29">
        <v>0</v>
      </c>
      <c r="AJ581" s="29">
        <v>0</v>
      </c>
      <c r="AK581" s="29">
        <v>0</v>
      </c>
      <c r="AL581" s="29">
        <v>0</v>
      </c>
      <c r="AM581" s="29">
        <v>0</v>
      </c>
      <c r="AN581" s="29">
        <v>0</v>
      </c>
      <c r="AO581" s="29">
        <v>0</v>
      </c>
      <c r="AP581" s="29">
        <v>0</v>
      </c>
    </row>
    <row r="582" spans="1:42" x14ac:dyDescent="0.25">
      <c r="A582" s="29">
        <v>13</v>
      </c>
      <c r="B582" s="29">
        <v>13880</v>
      </c>
      <c r="C582" s="29">
        <v>2</v>
      </c>
      <c r="D582" s="29" t="s">
        <v>859</v>
      </c>
      <c r="E582" s="29"/>
      <c r="F582" s="29">
        <v>0</v>
      </c>
      <c r="G582" s="29">
        <v>0</v>
      </c>
      <c r="H582" s="29">
        <v>0</v>
      </c>
      <c r="I582" s="29">
        <v>0</v>
      </c>
      <c r="J582" s="29">
        <v>0</v>
      </c>
      <c r="K582" s="29" t="s">
        <v>882</v>
      </c>
      <c r="L582" s="19" t="str">
        <f t="shared" si="72"/>
        <v>Рихтовка</v>
      </c>
      <c r="M582" s="12">
        <f t="shared" si="73"/>
        <v>0</v>
      </c>
      <c r="N582" s="12">
        <f t="shared" si="74"/>
        <v>0</v>
      </c>
      <c r="O582" s="12">
        <f t="shared" si="75"/>
        <v>0</v>
      </c>
      <c r="P582" s="12">
        <f t="shared" si="76"/>
        <v>0</v>
      </c>
      <c r="Q582" s="12">
        <f t="shared" si="77"/>
        <v>0</v>
      </c>
      <c r="R582" s="12">
        <f t="shared" si="78"/>
        <v>0</v>
      </c>
      <c r="S582" s="12">
        <f t="shared" si="79"/>
        <v>0</v>
      </c>
      <c r="T582" s="29">
        <v>0</v>
      </c>
      <c r="U582" s="29">
        <v>0</v>
      </c>
      <c r="V582" s="29">
        <v>0</v>
      </c>
      <c r="W582" s="29">
        <v>0</v>
      </c>
      <c r="X582" s="29">
        <v>0</v>
      </c>
      <c r="Y582" s="29">
        <v>0</v>
      </c>
      <c r="Z582" s="29">
        <v>0</v>
      </c>
      <c r="AA582" s="29">
        <v>0</v>
      </c>
      <c r="AB582" s="29">
        <v>0</v>
      </c>
      <c r="AC582" s="29">
        <v>0</v>
      </c>
      <c r="AD582" s="29">
        <v>0</v>
      </c>
      <c r="AE582" s="29">
        <v>0</v>
      </c>
      <c r="AF582" s="29">
        <v>0</v>
      </c>
      <c r="AG582" s="29">
        <v>0</v>
      </c>
      <c r="AH582" s="29">
        <v>0</v>
      </c>
      <c r="AI582" s="29">
        <v>0</v>
      </c>
      <c r="AJ582" s="29">
        <v>0</v>
      </c>
      <c r="AK582" s="29">
        <v>0</v>
      </c>
      <c r="AL582" s="29">
        <v>0</v>
      </c>
      <c r="AM582" s="29">
        <v>0</v>
      </c>
      <c r="AN582" s="29">
        <v>0</v>
      </c>
      <c r="AO582" s="29">
        <v>0</v>
      </c>
      <c r="AP582" s="29">
        <v>0</v>
      </c>
    </row>
    <row r="583" spans="1:42" x14ac:dyDescent="0.25">
      <c r="A583" s="29">
        <v>13</v>
      </c>
      <c r="B583" s="29">
        <v>13880</v>
      </c>
      <c r="C583" s="29">
        <v>2</v>
      </c>
      <c r="D583" s="29" t="s">
        <v>860</v>
      </c>
      <c r="E583" s="29"/>
      <c r="F583" s="29">
        <v>0</v>
      </c>
      <c r="G583" s="29">
        <v>0</v>
      </c>
      <c r="H583" s="29">
        <v>0</v>
      </c>
      <c r="I583" s="29">
        <v>0</v>
      </c>
      <c r="J583" s="29">
        <v>0</v>
      </c>
      <c r="K583" s="29" t="s">
        <v>882</v>
      </c>
      <c r="L583" s="19" t="str">
        <f t="shared" si="72"/>
        <v>Рихтовка</v>
      </c>
      <c r="M583" s="12">
        <f t="shared" si="73"/>
        <v>0</v>
      </c>
      <c r="N583" s="12">
        <f t="shared" si="74"/>
        <v>0</v>
      </c>
      <c r="O583" s="12">
        <f t="shared" si="75"/>
        <v>0</v>
      </c>
      <c r="P583" s="12">
        <f t="shared" si="76"/>
        <v>0</v>
      </c>
      <c r="Q583" s="12">
        <f t="shared" si="77"/>
        <v>0</v>
      </c>
      <c r="R583" s="12">
        <f t="shared" si="78"/>
        <v>0</v>
      </c>
      <c r="S583" s="12">
        <f t="shared" si="79"/>
        <v>0</v>
      </c>
      <c r="T583" s="29">
        <v>0</v>
      </c>
      <c r="U583" s="29">
        <v>0</v>
      </c>
      <c r="V583" s="29">
        <v>0</v>
      </c>
      <c r="W583" s="29">
        <v>0</v>
      </c>
      <c r="X583" s="29">
        <v>0</v>
      </c>
      <c r="Y583" s="29">
        <v>0</v>
      </c>
      <c r="Z583" s="29">
        <v>0</v>
      </c>
      <c r="AA583" s="29">
        <v>0</v>
      </c>
      <c r="AB583" s="29">
        <v>0</v>
      </c>
      <c r="AC583" s="29">
        <v>0</v>
      </c>
      <c r="AD583" s="29">
        <v>0</v>
      </c>
      <c r="AE583" s="29">
        <v>0</v>
      </c>
      <c r="AF583" s="29">
        <v>0</v>
      </c>
      <c r="AG583" s="29">
        <v>0</v>
      </c>
      <c r="AH583" s="29">
        <v>0</v>
      </c>
      <c r="AI583" s="29">
        <v>0</v>
      </c>
      <c r="AJ583" s="29">
        <v>0</v>
      </c>
      <c r="AK583" s="29">
        <v>0</v>
      </c>
      <c r="AL583" s="29">
        <v>0</v>
      </c>
      <c r="AM583" s="29">
        <v>0</v>
      </c>
      <c r="AN583" s="29">
        <v>0</v>
      </c>
      <c r="AO583" s="29">
        <v>0</v>
      </c>
      <c r="AP583" s="29">
        <v>0</v>
      </c>
    </row>
    <row r="584" spans="1:42" x14ac:dyDescent="0.25">
      <c r="A584" s="29">
        <v>14</v>
      </c>
      <c r="B584" s="29">
        <v>13880</v>
      </c>
      <c r="C584" s="29">
        <v>1</v>
      </c>
      <c r="D584" s="29" t="s">
        <v>861</v>
      </c>
      <c r="E584" s="29"/>
      <c r="F584" s="29">
        <v>0</v>
      </c>
      <c r="G584" s="29">
        <v>0</v>
      </c>
      <c r="H584" s="29">
        <v>0</v>
      </c>
      <c r="I584" s="29">
        <v>0</v>
      </c>
      <c r="J584" s="29">
        <v>0</v>
      </c>
      <c r="K584" s="29" t="s">
        <v>882</v>
      </c>
      <c r="L584" s="19" t="str">
        <f t="shared" si="72"/>
        <v>Рихтовка</v>
      </c>
      <c r="M584" s="12">
        <f t="shared" si="73"/>
        <v>0</v>
      </c>
      <c r="N584" s="12">
        <f t="shared" si="74"/>
        <v>0</v>
      </c>
      <c r="O584" s="12">
        <f t="shared" si="75"/>
        <v>0</v>
      </c>
      <c r="P584" s="12">
        <f t="shared" si="76"/>
        <v>0</v>
      </c>
      <c r="Q584" s="12">
        <f t="shared" si="77"/>
        <v>0</v>
      </c>
      <c r="R584" s="12">
        <f t="shared" si="78"/>
        <v>0</v>
      </c>
      <c r="S584" s="12">
        <f t="shared" si="79"/>
        <v>0</v>
      </c>
      <c r="T584" s="29">
        <v>0</v>
      </c>
      <c r="U584" s="29">
        <v>0</v>
      </c>
      <c r="V584" s="29">
        <v>0</v>
      </c>
      <c r="W584" s="29">
        <v>0</v>
      </c>
      <c r="X584" s="29">
        <v>0</v>
      </c>
      <c r="Y584" s="29">
        <v>0</v>
      </c>
      <c r="Z584" s="29">
        <v>0</v>
      </c>
      <c r="AA584" s="29">
        <v>0</v>
      </c>
      <c r="AB584" s="29">
        <v>0</v>
      </c>
      <c r="AC584" s="29">
        <v>0</v>
      </c>
      <c r="AD584" s="29">
        <v>0</v>
      </c>
      <c r="AE584" s="29">
        <v>0</v>
      </c>
      <c r="AF584" s="29">
        <v>0</v>
      </c>
      <c r="AG584" s="29">
        <v>0</v>
      </c>
      <c r="AH584" s="29">
        <v>0</v>
      </c>
      <c r="AI584" s="29">
        <v>0</v>
      </c>
      <c r="AJ584" s="29">
        <v>0</v>
      </c>
      <c r="AK584" s="29">
        <v>0</v>
      </c>
      <c r="AL584" s="29">
        <v>0</v>
      </c>
      <c r="AM584" s="29">
        <v>0</v>
      </c>
      <c r="AN584" s="29">
        <v>0</v>
      </c>
      <c r="AO584" s="29">
        <v>0</v>
      </c>
      <c r="AP584" s="29">
        <v>0</v>
      </c>
    </row>
    <row r="585" spans="1:42" x14ac:dyDescent="0.25">
      <c r="A585" s="29">
        <v>14</v>
      </c>
      <c r="B585" s="29">
        <v>13880</v>
      </c>
      <c r="C585" s="29">
        <v>1</v>
      </c>
      <c r="D585" s="29" t="s">
        <v>862</v>
      </c>
      <c r="E585" s="29"/>
      <c r="F585" s="29">
        <v>0</v>
      </c>
      <c r="G585" s="29">
        <v>0</v>
      </c>
      <c r="H585" s="29">
        <v>0</v>
      </c>
      <c r="I585" s="29">
        <v>0</v>
      </c>
      <c r="J585" s="29">
        <v>0</v>
      </c>
      <c r="K585" s="29" t="s">
        <v>882</v>
      </c>
      <c r="L585" s="19" t="str">
        <f t="shared" si="72"/>
        <v>Рихтовка</v>
      </c>
      <c r="M585" s="12">
        <f t="shared" si="73"/>
        <v>0</v>
      </c>
      <c r="N585" s="12">
        <f t="shared" si="74"/>
        <v>0</v>
      </c>
      <c r="O585" s="12">
        <f t="shared" si="75"/>
        <v>0</v>
      </c>
      <c r="P585" s="12">
        <f t="shared" si="76"/>
        <v>0</v>
      </c>
      <c r="Q585" s="12">
        <f t="shared" si="77"/>
        <v>0</v>
      </c>
      <c r="R585" s="12">
        <f t="shared" si="78"/>
        <v>0</v>
      </c>
      <c r="S585" s="12">
        <f t="shared" si="79"/>
        <v>0</v>
      </c>
      <c r="T585" s="29">
        <v>0</v>
      </c>
      <c r="U585" s="29">
        <v>0</v>
      </c>
      <c r="V585" s="29">
        <v>0</v>
      </c>
      <c r="W585" s="29">
        <v>0</v>
      </c>
      <c r="X585" s="29">
        <v>0</v>
      </c>
      <c r="Y585" s="29">
        <v>0</v>
      </c>
      <c r="Z585" s="29">
        <v>0</v>
      </c>
      <c r="AA585" s="29">
        <v>0</v>
      </c>
      <c r="AB585" s="29">
        <v>0</v>
      </c>
      <c r="AC585" s="29">
        <v>0</v>
      </c>
      <c r="AD585" s="29">
        <v>0</v>
      </c>
      <c r="AE585" s="29">
        <v>0</v>
      </c>
      <c r="AF585" s="29">
        <v>0</v>
      </c>
      <c r="AG585" s="29">
        <v>0</v>
      </c>
      <c r="AH585" s="29">
        <v>0</v>
      </c>
      <c r="AI585" s="29">
        <v>0</v>
      </c>
      <c r="AJ585" s="29">
        <v>0</v>
      </c>
      <c r="AK585" s="29">
        <v>0</v>
      </c>
      <c r="AL585" s="29">
        <v>0</v>
      </c>
      <c r="AM585" s="29">
        <v>0</v>
      </c>
      <c r="AN585" s="29">
        <v>0</v>
      </c>
      <c r="AO585" s="29">
        <v>0</v>
      </c>
      <c r="AP585" s="29">
        <v>0</v>
      </c>
    </row>
    <row r="586" spans="1:42" x14ac:dyDescent="0.25">
      <c r="A586" s="29">
        <v>14</v>
      </c>
      <c r="B586" s="29">
        <v>13880</v>
      </c>
      <c r="C586" s="29">
        <v>1</v>
      </c>
      <c r="D586" s="29" t="s">
        <v>863</v>
      </c>
      <c r="E586" s="29"/>
      <c r="F586" s="29">
        <v>0</v>
      </c>
      <c r="G586" s="29">
        <v>0</v>
      </c>
      <c r="H586" s="29">
        <v>0</v>
      </c>
      <c r="I586" s="29">
        <v>0</v>
      </c>
      <c r="J586" s="29">
        <v>0</v>
      </c>
      <c r="K586" s="29" t="s">
        <v>882</v>
      </c>
      <c r="L586" s="19" t="str">
        <f t="shared" si="72"/>
        <v>Рихтовка</v>
      </c>
      <c r="M586" s="12">
        <f t="shared" si="73"/>
        <v>0</v>
      </c>
      <c r="N586" s="12">
        <f t="shared" si="74"/>
        <v>0</v>
      </c>
      <c r="O586" s="12">
        <f t="shared" si="75"/>
        <v>0</v>
      </c>
      <c r="P586" s="12">
        <f t="shared" si="76"/>
        <v>0</v>
      </c>
      <c r="Q586" s="12">
        <f t="shared" si="77"/>
        <v>0</v>
      </c>
      <c r="R586" s="12">
        <f t="shared" si="78"/>
        <v>0</v>
      </c>
      <c r="S586" s="12">
        <f t="shared" si="79"/>
        <v>0</v>
      </c>
      <c r="T586" s="29">
        <v>0</v>
      </c>
      <c r="U586" s="29">
        <v>0</v>
      </c>
      <c r="V586" s="29">
        <v>0</v>
      </c>
      <c r="W586" s="29">
        <v>0</v>
      </c>
      <c r="X586" s="29">
        <v>0</v>
      </c>
      <c r="Y586" s="29">
        <v>0</v>
      </c>
      <c r="Z586" s="29">
        <v>0</v>
      </c>
      <c r="AA586" s="29">
        <v>0</v>
      </c>
      <c r="AB586" s="29">
        <v>0</v>
      </c>
      <c r="AC586" s="29">
        <v>0</v>
      </c>
      <c r="AD586" s="29">
        <v>0</v>
      </c>
      <c r="AE586" s="29">
        <v>0</v>
      </c>
      <c r="AF586" s="29">
        <v>0</v>
      </c>
      <c r="AG586" s="29">
        <v>0</v>
      </c>
      <c r="AH586" s="29">
        <v>0</v>
      </c>
      <c r="AI586" s="29">
        <v>0</v>
      </c>
      <c r="AJ586" s="29">
        <v>0</v>
      </c>
      <c r="AK586" s="29">
        <v>0</v>
      </c>
      <c r="AL586" s="29">
        <v>0</v>
      </c>
      <c r="AM586" s="29">
        <v>0</v>
      </c>
      <c r="AN586" s="29">
        <v>0</v>
      </c>
      <c r="AO586" s="29">
        <v>0</v>
      </c>
      <c r="AP586" s="29">
        <v>0</v>
      </c>
    </row>
    <row r="587" spans="1:42" x14ac:dyDescent="0.25">
      <c r="A587" s="29">
        <v>14</v>
      </c>
      <c r="B587" s="29">
        <v>13880</v>
      </c>
      <c r="C587" s="29">
        <v>1</v>
      </c>
      <c r="D587" s="29" t="s">
        <v>864</v>
      </c>
      <c r="E587" s="29"/>
      <c r="F587" s="29">
        <v>0</v>
      </c>
      <c r="G587" s="29">
        <v>0</v>
      </c>
      <c r="H587" s="29">
        <v>0</v>
      </c>
      <c r="I587" s="29">
        <v>0</v>
      </c>
      <c r="J587" s="29">
        <v>0</v>
      </c>
      <c r="K587" s="29" t="s">
        <v>882</v>
      </c>
      <c r="L587" s="19" t="str">
        <f t="shared" si="72"/>
        <v>Рихтовка</v>
      </c>
      <c r="M587" s="12">
        <f t="shared" si="73"/>
        <v>0</v>
      </c>
      <c r="N587" s="12">
        <f t="shared" si="74"/>
        <v>0</v>
      </c>
      <c r="O587" s="12">
        <f t="shared" si="75"/>
        <v>0</v>
      </c>
      <c r="P587" s="12">
        <f t="shared" si="76"/>
        <v>0</v>
      </c>
      <c r="Q587" s="12">
        <f t="shared" si="77"/>
        <v>0</v>
      </c>
      <c r="R587" s="12">
        <f t="shared" si="78"/>
        <v>0</v>
      </c>
      <c r="S587" s="12">
        <f t="shared" si="79"/>
        <v>0</v>
      </c>
      <c r="T587" s="29">
        <v>0</v>
      </c>
      <c r="U587" s="29">
        <v>0</v>
      </c>
      <c r="V587" s="29">
        <v>0</v>
      </c>
      <c r="W587" s="29">
        <v>0</v>
      </c>
      <c r="X587" s="29">
        <v>0</v>
      </c>
      <c r="Y587" s="29">
        <v>0</v>
      </c>
      <c r="Z587" s="29">
        <v>0</v>
      </c>
      <c r="AA587" s="29">
        <v>0</v>
      </c>
      <c r="AB587" s="29">
        <v>0</v>
      </c>
      <c r="AC587" s="29">
        <v>0</v>
      </c>
      <c r="AD587" s="29">
        <v>0</v>
      </c>
      <c r="AE587" s="29">
        <v>0</v>
      </c>
      <c r="AF587" s="29">
        <v>0</v>
      </c>
      <c r="AG587" s="29">
        <v>0</v>
      </c>
      <c r="AH587" s="29">
        <v>0</v>
      </c>
      <c r="AI587" s="29">
        <v>0</v>
      </c>
      <c r="AJ587" s="29">
        <v>0</v>
      </c>
      <c r="AK587" s="29">
        <v>0</v>
      </c>
      <c r="AL587" s="29">
        <v>0</v>
      </c>
      <c r="AM587" s="29">
        <v>0</v>
      </c>
      <c r="AN587" s="29">
        <v>0</v>
      </c>
      <c r="AO587" s="29">
        <v>0</v>
      </c>
      <c r="AP587" s="29">
        <v>0</v>
      </c>
    </row>
    <row r="588" spans="1:42" x14ac:dyDescent="0.25">
      <c r="A588" s="29">
        <v>14</v>
      </c>
      <c r="B588" s="29">
        <v>13880</v>
      </c>
      <c r="C588" s="29">
        <v>1</v>
      </c>
      <c r="D588" s="29" t="s">
        <v>865</v>
      </c>
      <c r="E588" s="29"/>
      <c r="F588" s="29">
        <v>0</v>
      </c>
      <c r="G588" s="29">
        <v>0</v>
      </c>
      <c r="H588" s="29">
        <v>0</v>
      </c>
      <c r="I588" s="29">
        <v>0</v>
      </c>
      <c r="J588" s="29">
        <v>0</v>
      </c>
      <c r="K588" s="29" t="s">
        <v>882</v>
      </c>
      <c r="L588" s="19" t="str">
        <f t="shared" si="72"/>
        <v>Рихтовка</v>
      </c>
      <c r="M588" s="12">
        <f t="shared" si="73"/>
        <v>0</v>
      </c>
      <c r="N588" s="12">
        <f t="shared" si="74"/>
        <v>0</v>
      </c>
      <c r="O588" s="12">
        <f t="shared" si="75"/>
        <v>0</v>
      </c>
      <c r="P588" s="12">
        <f t="shared" si="76"/>
        <v>0</v>
      </c>
      <c r="Q588" s="12">
        <f t="shared" si="77"/>
        <v>0</v>
      </c>
      <c r="R588" s="12">
        <f t="shared" si="78"/>
        <v>0</v>
      </c>
      <c r="S588" s="12">
        <f t="shared" si="79"/>
        <v>0</v>
      </c>
      <c r="T588" s="29">
        <v>0</v>
      </c>
      <c r="U588" s="29">
        <v>0</v>
      </c>
      <c r="V588" s="29">
        <v>0</v>
      </c>
      <c r="W588" s="29">
        <v>0</v>
      </c>
      <c r="X588" s="29">
        <v>0</v>
      </c>
      <c r="Y588" s="29">
        <v>0</v>
      </c>
      <c r="Z588" s="29">
        <v>0</v>
      </c>
      <c r="AA588" s="29">
        <v>0</v>
      </c>
      <c r="AB588" s="29">
        <v>0</v>
      </c>
      <c r="AC588" s="29">
        <v>0</v>
      </c>
      <c r="AD588" s="29">
        <v>0</v>
      </c>
      <c r="AE588" s="29">
        <v>0</v>
      </c>
      <c r="AF588" s="29">
        <v>0</v>
      </c>
      <c r="AG588" s="29">
        <v>0</v>
      </c>
      <c r="AH588" s="29">
        <v>0</v>
      </c>
      <c r="AI588" s="29">
        <v>0</v>
      </c>
      <c r="AJ588" s="29">
        <v>0</v>
      </c>
      <c r="AK588" s="29">
        <v>0</v>
      </c>
      <c r="AL588" s="29">
        <v>0</v>
      </c>
      <c r="AM588" s="29">
        <v>0</v>
      </c>
      <c r="AN588" s="29">
        <v>0</v>
      </c>
      <c r="AO588" s="29">
        <v>0</v>
      </c>
      <c r="AP588" s="29">
        <v>0</v>
      </c>
    </row>
    <row r="589" spans="1:42" x14ac:dyDescent="0.25">
      <c r="A589" s="29">
        <v>14</v>
      </c>
      <c r="B589" s="29">
        <v>13880</v>
      </c>
      <c r="C589" s="29">
        <v>1</v>
      </c>
      <c r="D589" s="29" t="s">
        <v>866</v>
      </c>
      <c r="E589" s="29"/>
      <c r="F589" s="29">
        <v>0</v>
      </c>
      <c r="G589" s="29">
        <v>0</v>
      </c>
      <c r="H589" s="29">
        <v>0</v>
      </c>
      <c r="I589" s="29">
        <v>0</v>
      </c>
      <c r="J589" s="29">
        <v>0</v>
      </c>
      <c r="K589" s="29" t="s">
        <v>882</v>
      </c>
      <c r="L589" s="19" t="str">
        <f t="shared" si="72"/>
        <v>Рихтовка</v>
      </c>
      <c r="M589" s="12">
        <f t="shared" si="73"/>
        <v>0</v>
      </c>
      <c r="N589" s="12">
        <f t="shared" si="74"/>
        <v>0</v>
      </c>
      <c r="O589" s="12">
        <f t="shared" si="75"/>
        <v>0</v>
      </c>
      <c r="P589" s="12">
        <f t="shared" si="76"/>
        <v>0</v>
      </c>
      <c r="Q589" s="12">
        <f t="shared" si="77"/>
        <v>0</v>
      </c>
      <c r="R589" s="12">
        <f t="shared" si="78"/>
        <v>0</v>
      </c>
      <c r="S589" s="12">
        <f t="shared" si="79"/>
        <v>0</v>
      </c>
      <c r="T589" s="29">
        <v>0</v>
      </c>
      <c r="U589" s="29">
        <v>0</v>
      </c>
      <c r="V589" s="29">
        <v>0</v>
      </c>
      <c r="W589" s="29">
        <v>0</v>
      </c>
      <c r="X589" s="29">
        <v>0</v>
      </c>
      <c r="Y589" s="29">
        <v>0</v>
      </c>
      <c r="Z589" s="29">
        <v>0</v>
      </c>
      <c r="AA589" s="29">
        <v>0</v>
      </c>
      <c r="AB589" s="29">
        <v>0</v>
      </c>
      <c r="AC589" s="29">
        <v>0</v>
      </c>
      <c r="AD589" s="29">
        <v>0</v>
      </c>
      <c r="AE589" s="29">
        <v>0</v>
      </c>
      <c r="AF589" s="29">
        <v>0</v>
      </c>
      <c r="AG589" s="29">
        <v>0</v>
      </c>
      <c r="AH589" s="29">
        <v>0</v>
      </c>
      <c r="AI589" s="29">
        <v>0</v>
      </c>
      <c r="AJ589" s="29">
        <v>0</v>
      </c>
      <c r="AK589" s="29">
        <v>0</v>
      </c>
      <c r="AL589" s="29">
        <v>0</v>
      </c>
      <c r="AM589" s="29">
        <v>0</v>
      </c>
      <c r="AN589" s="29">
        <v>0</v>
      </c>
      <c r="AO589" s="29">
        <v>0</v>
      </c>
      <c r="AP589" s="29">
        <v>0</v>
      </c>
    </row>
    <row r="590" spans="1:42" x14ac:dyDescent="0.25">
      <c r="A590" s="29">
        <v>14</v>
      </c>
      <c r="B590" s="29">
        <v>13880</v>
      </c>
      <c r="C590" s="29">
        <v>1</v>
      </c>
      <c r="D590" s="29" t="s">
        <v>867</v>
      </c>
      <c r="E590" s="29"/>
      <c r="F590" s="29">
        <v>0</v>
      </c>
      <c r="G590" s="29">
        <v>0</v>
      </c>
      <c r="H590" s="29">
        <v>0</v>
      </c>
      <c r="I590" s="29">
        <v>0</v>
      </c>
      <c r="J590" s="29">
        <v>0</v>
      </c>
      <c r="K590" s="29" t="s">
        <v>882</v>
      </c>
      <c r="L590" s="19" t="str">
        <f t="shared" si="72"/>
        <v>Рихтовка</v>
      </c>
      <c r="M590" s="12">
        <f t="shared" si="73"/>
        <v>0</v>
      </c>
      <c r="N590" s="12">
        <f t="shared" si="74"/>
        <v>0</v>
      </c>
      <c r="O590" s="12">
        <f t="shared" si="75"/>
        <v>0</v>
      </c>
      <c r="P590" s="12">
        <f t="shared" si="76"/>
        <v>0</v>
      </c>
      <c r="Q590" s="12">
        <f t="shared" si="77"/>
        <v>0</v>
      </c>
      <c r="R590" s="12">
        <f t="shared" si="78"/>
        <v>0</v>
      </c>
      <c r="S590" s="12">
        <f t="shared" si="79"/>
        <v>0</v>
      </c>
      <c r="T590" s="29">
        <v>0</v>
      </c>
      <c r="U590" s="29">
        <v>0</v>
      </c>
      <c r="V590" s="29">
        <v>0</v>
      </c>
      <c r="W590" s="29">
        <v>0</v>
      </c>
      <c r="X590" s="29">
        <v>0</v>
      </c>
      <c r="Y590" s="29">
        <v>0</v>
      </c>
      <c r="Z590" s="29">
        <v>0</v>
      </c>
      <c r="AA590" s="29">
        <v>0</v>
      </c>
      <c r="AB590" s="29">
        <v>0</v>
      </c>
      <c r="AC590" s="29">
        <v>0</v>
      </c>
      <c r="AD590" s="29">
        <v>0</v>
      </c>
      <c r="AE590" s="29">
        <v>0</v>
      </c>
      <c r="AF590" s="29">
        <v>0</v>
      </c>
      <c r="AG590" s="29">
        <v>0</v>
      </c>
      <c r="AH590" s="29">
        <v>0</v>
      </c>
      <c r="AI590" s="29">
        <v>0</v>
      </c>
      <c r="AJ590" s="29">
        <v>0</v>
      </c>
      <c r="AK590" s="29">
        <v>0</v>
      </c>
      <c r="AL590" s="29">
        <v>0</v>
      </c>
      <c r="AM590" s="29">
        <v>0</v>
      </c>
      <c r="AN590" s="29">
        <v>0</v>
      </c>
      <c r="AO590" s="29">
        <v>0</v>
      </c>
      <c r="AP590" s="29">
        <v>0</v>
      </c>
    </row>
    <row r="591" spans="1:42" x14ac:dyDescent="0.25">
      <c r="A591" s="29">
        <v>14</v>
      </c>
      <c r="B591" s="29">
        <v>13880</v>
      </c>
      <c r="C591" s="29">
        <v>1</v>
      </c>
      <c r="D591" s="29" t="s">
        <v>868</v>
      </c>
      <c r="E591" s="29"/>
      <c r="F591" s="29">
        <v>0</v>
      </c>
      <c r="G591" s="29">
        <v>0</v>
      </c>
      <c r="H591" s="29">
        <v>0</v>
      </c>
      <c r="I591" s="29">
        <v>0</v>
      </c>
      <c r="J591" s="29">
        <v>0</v>
      </c>
      <c r="K591" s="29" t="s">
        <v>882</v>
      </c>
      <c r="L591" s="19" t="str">
        <f t="shared" si="72"/>
        <v>Рихтовка</v>
      </c>
      <c r="M591" s="12">
        <f t="shared" si="73"/>
        <v>0</v>
      </c>
      <c r="N591" s="12">
        <f t="shared" si="74"/>
        <v>0</v>
      </c>
      <c r="O591" s="12">
        <f t="shared" si="75"/>
        <v>0</v>
      </c>
      <c r="P591" s="12">
        <f t="shared" si="76"/>
        <v>0</v>
      </c>
      <c r="Q591" s="12">
        <f t="shared" si="77"/>
        <v>0</v>
      </c>
      <c r="R591" s="12">
        <f t="shared" si="78"/>
        <v>0</v>
      </c>
      <c r="S591" s="12">
        <f t="shared" si="79"/>
        <v>0</v>
      </c>
      <c r="T591" s="29">
        <v>0</v>
      </c>
      <c r="U591" s="29">
        <v>0</v>
      </c>
      <c r="V591" s="29">
        <v>0</v>
      </c>
      <c r="W591" s="29">
        <v>0</v>
      </c>
      <c r="X591" s="29">
        <v>0</v>
      </c>
      <c r="Y591" s="29">
        <v>0</v>
      </c>
      <c r="Z591" s="29">
        <v>0</v>
      </c>
      <c r="AA591" s="29">
        <v>0</v>
      </c>
      <c r="AB591" s="29">
        <v>0</v>
      </c>
      <c r="AC591" s="29">
        <v>0</v>
      </c>
      <c r="AD591" s="29">
        <v>0</v>
      </c>
      <c r="AE591" s="29">
        <v>0</v>
      </c>
      <c r="AF591" s="29">
        <v>0</v>
      </c>
      <c r="AG591" s="29">
        <v>0</v>
      </c>
      <c r="AH591" s="29">
        <v>0</v>
      </c>
      <c r="AI591" s="29">
        <v>0</v>
      </c>
      <c r="AJ591" s="29">
        <v>0</v>
      </c>
      <c r="AK591" s="29">
        <v>0</v>
      </c>
      <c r="AL591" s="29">
        <v>0</v>
      </c>
      <c r="AM591" s="29">
        <v>0</v>
      </c>
      <c r="AN591" s="29">
        <v>0</v>
      </c>
      <c r="AO591" s="29">
        <v>0</v>
      </c>
      <c r="AP591" s="29">
        <v>0</v>
      </c>
    </row>
    <row r="592" spans="1:42" x14ac:dyDescent="0.25">
      <c r="A592" s="29">
        <v>14</v>
      </c>
      <c r="B592" s="29">
        <v>13880</v>
      </c>
      <c r="C592" s="29">
        <v>1</v>
      </c>
      <c r="D592" s="29" t="s">
        <v>869</v>
      </c>
      <c r="E592" s="29"/>
      <c r="F592" s="29">
        <v>0</v>
      </c>
      <c r="G592" s="29">
        <v>0</v>
      </c>
      <c r="H592" s="29">
        <v>0</v>
      </c>
      <c r="I592" s="29">
        <v>0</v>
      </c>
      <c r="J592" s="29">
        <v>0</v>
      </c>
      <c r="K592" s="29" t="s">
        <v>882</v>
      </c>
      <c r="L592" s="19" t="str">
        <f t="shared" si="72"/>
        <v>Рихтовка</v>
      </c>
      <c r="M592" s="12">
        <f t="shared" si="73"/>
        <v>0</v>
      </c>
      <c r="N592" s="12">
        <f t="shared" si="74"/>
        <v>0</v>
      </c>
      <c r="O592" s="12">
        <f t="shared" si="75"/>
        <v>0</v>
      </c>
      <c r="P592" s="12">
        <f t="shared" si="76"/>
        <v>0</v>
      </c>
      <c r="Q592" s="12">
        <f t="shared" si="77"/>
        <v>0</v>
      </c>
      <c r="R592" s="12">
        <f t="shared" si="78"/>
        <v>0</v>
      </c>
      <c r="S592" s="12">
        <f t="shared" si="79"/>
        <v>0</v>
      </c>
      <c r="T592" s="29">
        <v>0</v>
      </c>
      <c r="U592" s="29">
        <v>0</v>
      </c>
      <c r="V592" s="29">
        <v>0</v>
      </c>
      <c r="W592" s="29">
        <v>0</v>
      </c>
      <c r="X592" s="29">
        <v>0</v>
      </c>
      <c r="Y592" s="29">
        <v>0</v>
      </c>
      <c r="Z592" s="29">
        <v>0</v>
      </c>
      <c r="AA592" s="29">
        <v>0</v>
      </c>
      <c r="AB592" s="29">
        <v>0</v>
      </c>
      <c r="AC592" s="29">
        <v>0</v>
      </c>
      <c r="AD592" s="29">
        <v>0</v>
      </c>
      <c r="AE592" s="29">
        <v>0</v>
      </c>
      <c r="AF592" s="29">
        <v>0</v>
      </c>
      <c r="AG592" s="29">
        <v>0</v>
      </c>
      <c r="AH592" s="29">
        <v>0</v>
      </c>
      <c r="AI592" s="29">
        <v>0</v>
      </c>
      <c r="AJ592" s="29">
        <v>0</v>
      </c>
      <c r="AK592" s="29">
        <v>0</v>
      </c>
      <c r="AL592" s="29">
        <v>0</v>
      </c>
      <c r="AM592" s="29">
        <v>0</v>
      </c>
      <c r="AN592" s="29">
        <v>0</v>
      </c>
      <c r="AO592" s="29">
        <v>0</v>
      </c>
      <c r="AP592" s="29">
        <v>0</v>
      </c>
    </row>
    <row r="593" spans="1:42" x14ac:dyDescent="0.25">
      <c r="A593" s="29">
        <v>14</v>
      </c>
      <c r="B593" s="29">
        <v>13880</v>
      </c>
      <c r="C593" s="29">
        <v>1</v>
      </c>
      <c r="D593" s="29" t="s">
        <v>870</v>
      </c>
      <c r="E593" s="29"/>
      <c r="F593" s="29">
        <v>0</v>
      </c>
      <c r="G593" s="29">
        <v>0</v>
      </c>
      <c r="H593" s="29">
        <v>0</v>
      </c>
      <c r="I593" s="29">
        <v>0</v>
      </c>
      <c r="J593" s="29">
        <v>0</v>
      </c>
      <c r="K593" s="29" t="s">
        <v>882</v>
      </c>
      <c r="L593" s="19" t="str">
        <f t="shared" si="72"/>
        <v>Рихтовка</v>
      </c>
      <c r="M593" s="12">
        <f t="shared" si="73"/>
        <v>0</v>
      </c>
      <c r="N593" s="12">
        <f t="shared" si="74"/>
        <v>0</v>
      </c>
      <c r="O593" s="12">
        <f t="shared" si="75"/>
        <v>0</v>
      </c>
      <c r="P593" s="12">
        <f t="shared" si="76"/>
        <v>0</v>
      </c>
      <c r="Q593" s="12">
        <f t="shared" si="77"/>
        <v>0</v>
      </c>
      <c r="R593" s="12">
        <f t="shared" si="78"/>
        <v>0</v>
      </c>
      <c r="S593" s="12">
        <f t="shared" si="79"/>
        <v>0</v>
      </c>
      <c r="T593" s="29">
        <v>0</v>
      </c>
      <c r="U593" s="29">
        <v>0</v>
      </c>
      <c r="V593" s="29">
        <v>0</v>
      </c>
      <c r="W593" s="29">
        <v>0</v>
      </c>
      <c r="X593" s="29">
        <v>0</v>
      </c>
      <c r="Y593" s="29">
        <v>0</v>
      </c>
      <c r="Z593" s="29">
        <v>0</v>
      </c>
      <c r="AA593" s="29">
        <v>0</v>
      </c>
      <c r="AB593" s="29">
        <v>0</v>
      </c>
      <c r="AC593" s="29">
        <v>0</v>
      </c>
      <c r="AD593" s="29">
        <v>0</v>
      </c>
      <c r="AE593" s="29">
        <v>0</v>
      </c>
      <c r="AF593" s="29">
        <v>0</v>
      </c>
      <c r="AG593" s="29">
        <v>0</v>
      </c>
      <c r="AH593" s="29">
        <v>0</v>
      </c>
      <c r="AI593" s="29">
        <v>0</v>
      </c>
      <c r="AJ593" s="29">
        <v>0</v>
      </c>
      <c r="AK593" s="29">
        <v>0</v>
      </c>
      <c r="AL593" s="29">
        <v>0</v>
      </c>
      <c r="AM593" s="29">
        <v>0</v>
      </c>
      <c r="AN593" s="29">
        <v>0</v>
      </c>
      <c r="AO593" s="29">
        <v>0</v>
      </c>
      <c r="AP593" s="29">
        <v>0</v>
      </c>
    </row>
    <row r="594" spans="1:42" x14ac:dyDescent="0.25">
      <c r="A594" s="29">
        <v>14</v>
      </c>
      <c r="B594" s="29">
        <v>13880</v>
      </c>
      <c r="C594" s="29">
        <v>2</v>
      </c>
      <c r="D594" s="29" t="s">
        <v>861</v>
      </c>
      <c r="E594" s="29"/>
      <c r="F594" s="29">
        <v>0</v>
      </c>
      <c r="G594" s="29">
        <v>0</v>
      </c>
      <c r="H594" s="29">
        <v>0</v>
      </c>
      <c r="I594" s="29">
        <v>0</v>
      </c>
      <c r="J594" s="29">
        <v>0</v>
      </c>
      <c r="K594" s="29" t="s">
        <v>882</v>
      </c>
      <c r="L594" s="19" t="str">
        <f t="shared" si="72"/>
        <v>Рихтовка</v>
      </c>
      <c r="M594" s="12">
        <f t="shared" si="73"/>
        <v>0</v>
      </c>
      <c r="N594" s="12">
        <f t="shared" si="74"/>
        <v>0</v>
      </c>
      <c r="O594" s="12">
        <f t="shared" si="75"/>
        <v>0</v>
      </c>
      <c r="P594" s="12">
        <f t="shared" si="76"/>
        <v>0</v>
      </c>
      <c r="Q594" s="12">
        <f t="shared" si="77"/>
        <v>0</v>
      </c>
      <c r="R594" s="12">
        <f t="shared" si="78"/>
        <v>0</v>
      </c>
      <c r="S594" s="12">
        <f t="shared" si="79"/>
        <v>0</v>
      </c>
      <c r="T594" s="29">
        <v>0</v>
      </c>
      <c r="U594" s="29">
        <v>0</v>
      </c>
      <c r="V594" s="29">
        <v>0</v>
      </c>
      <c r="W594" s="29">
        <v>0</v>
      </c>
      <c r="X594" s="29">
        <v>0</v>
      </c>
      <c r="Y594" s="29">
        <v>0</v>
      </c>
      <c r="Z594" s="29">
        <v>0</v>
      </c>
      <c r="AA594" s="29">
        <v>0</v>
      </c>
      <c r="AB594" s="29">
        <v>0</v>
      </c>
      <c r="AC594" s="29">
        <v>0</v>
      </c>
      <c r="AD594" s="29">
        <v>0</v>
      </c>
      <c r="AE594" s="29">
        <v>0</v>
      </c>
      <c r="AF594" s="29">
        <v>0</v>
      </c>
      <c r="AG594" s="29">
        <v>0</v>
      </c>
      <c r="AH594" s="29">
        <v>0</v>
      </c>
      <c r="AI594" s="29">
        <v>0</v>
      </c>
      <c r="AJ594" s="29">
        <v>0</v>
      </c>
      <c r="AK594" s="29">
        <v>0</v>
      </c>
      <c r="AL594" s="29">
        <v>0</v>
      </c>
      <c r="AM594" s="29">
        <v>0</v>
      </c>
      <c r="AN594" s="29">
        <v>0</v>
      </c>
      <c r="AO594" s="29">
        <v>0</v>
      </c>
      <c r="AP594" s="29">
        <v>0</v>
      </c>
    </row>
    <row r="595" spans="1:42" x14ac:dyDescent="0.25">
      <c r="A595" s="29">
        <v>14</v>
      </c>
      <c r="B595" s="29">
        <v>13880</v>
      </c>
      <c r="C595" s="29">
        <v>2</v>
      </c>
      <c r="D595" s="29" t="s">
        <v>862</v>
      </c>
      <c r="E595" s="29"/>
      <c r="F595" s="29">
        <v>0</v>
      </c>
      <c r="G595" s="29">
        <v>0</v>
      </c>
      <c r="H595" s="29">
        <v>0</v>
      </c>
      <c r="I595" s="29">
        <v>0</v>
      </c>
      <c r="J595" s="29">
        <v>0</v>
      </c>
      <c r="K595" s="29" t="s">
        <v>882</v>
      </c>
      <c r="L595" s="19" t="str">
        <f t="shared" si="72"/>
        <v>Рихтовка</v>
      </c>
      <c r="M595" s="12">
        <f t="shared" si="73"/>
        <v>0</v>
      </c>
      <c r="N595" s="12">
        <f t="shared" si="74"/>
        <v>0</v>
      </c>
      <c r="O595" s="12">
        <f t="shared" si="75"/>
        <v>0</v>
      </c>
      <c r="P595" s="12">
        <f t="shared" si="76"/>
        <v>0</v>
      </c>
      <c r="Q595" s="12">
        <f t="shared" si="77"/>
        <v>0</v>
      </c>
      <c r="R595" s="12">
        <f t="shared" si="78"/>
        <v>0</v>
      </c>
      <c r="S595" s="12">
        <f t="shared" si="79"/>
        <v>0</v>
      </c>
      <c r="T595" s="29">
        <v>0</v>
      </c>
      <c r="U595" s="29">
        <v>0</v>
      </c>
      <c r="V595" s="29">
        <v>0</v>
      </c>
      <c r="W595" s="29">
        <v>0</v>
      </c>
      <c r="X595" s="29">
        <v>0</v>
      </c>
      <c r="Y595" s="29">
        <v>0</v>
      </c>
      <c r="Z595" s="29">
        <v>0</v>
      </c>
      <c r="AA595" s="29">
        <v>0</v>
      </c>
      <c r="AB595" s="29">
        <v>0</v>
      </c>
      <c r="AC595" s="29">
        <v>0</v>
      </c>
      <c r="AD595" s="29">
        <v>0</v>
      </c>
      <c r="AE595" s="29">
        <v>0</v>
      </c>
      <c r="AF595" s="29">
        <v>0</v>
      </c>
      <c r="AG595" s="29">
        <v>0</v>
      </c>
      <c r="AH595" s="29">
        <v>0</v>
      </c>
      <c r="AI595" s="29">
        <v>0</v>
      </c>
      <c r="AJ595" s="29">
        <v>0</v>
      </c>
      <c r="AK595" s="29">
        <v>0</v>
      </c>
      <c r="AL595" s="29">
        <v>0</v>
      </c>
      <c r="AM595" s="29">
        <v>0</v>
      </c>
      <c r="AN595" s="29">
        <v>0</v>
      </c>
      <c r="AO595" s="29">
        <v>0</v>
      </c>
      <c r="AP595" s="29">
        <v>0</v>
      </c>
    </row>
    <row r="596" spans="1:42" x14ac:dyDescent="0.25">
      <c r="A596" s="29">
        <v>14</v>
      </c>
      <c r="B596" s="29">
        <v>13880</v>
      </c>
      <c r="C596" s="29">
        <v>2</v>
      </c>
      <c r="D596" s="29" t="s">
        <v>863</v>
      </c>
      <c r="E596" s="29"/>
      <c r="F596" s="29">
        <v>0</v>
      </c>
      <c r="G596" s="29">
        <v>0</v>
      </c>
      <c r="H596" s="29">
        <v>0</v>
      </c>
      <c r="I596" s="29">
        <v>0</v>
      </c>
      <c r="J596" s="29">
        <v>0</v>
      </c>
      <c r="K596" s="29" t="s">
        <v>882</v>
      </c>
      <c r="L596" s="19" t="str">
        <f t="shared" si="72"/>
        <v>Рихтовка</v>
      </c>
      <c r="M596" s="12">
        <f t="shared" si="73"/>
        <v>0</v>
      </c>
      <c r="N596" s="12">
        <f t="shared" si="74"/>
        <v>0</v>
      </c>
      <c r="O596" s="12">
        <f t="shared" si="75"/>
        <v>0</v>
      </c>
      <c r="P596" s="12">
        <f t="shared" si="76"/>
        <v>0</v>
      </c>
      <c r="Q596" s="12">
        <f t="shared" si="77"/>
        <v>0</v>
      </c>
      <c r="R596" s="12">
        <f t="shared" si="78"/>
        <v>0</v>
      </c>
      <c r="S596" s="12">
        <f t="shared" si="79"/>
        <v>0</v>
      </c>
      <c r="T596" s="29">
        <v>0</v>
      </c>
      <c r="U596" s="29">
        <v>0</v>
      </c>
      <c r="V596" s="29">
        <v>0</v>
      </c>
      <c r="W596" s="29">
        <v>0</v>
      </c>
      <c r="X596" s="29">
        <v>0</v>
      </c>
      <c r="Y596" s="29">
        <v>0</v>
      </c>
      <c r="Z596" s="29">
        <v>0</v>
      </c>
      <c r="AA596" s="29">
        <v>0</v>
      </c>
      <c r="AB596" s="29">
        <v>0</v>
      </c>
      <c r="AC596" s="29">
        <v>0</v>
      </c>
      <c r="AD596" s="29">
        <v>0</v>
      </c>
      <c r="AE596" s="29">
        <v>0</v>
      </c>
      <c r="AF596" s="29">
        <v>0</v>
      </c>
      <c r="AG596" s="29">
        <v>0</v>
      </c>
      <c r="AH596" s="29">
        <v>0</v>
      </c>
      <c r="AI596" s="29">
        <v>0</v>
      </c>
      <c r="AJ596" s="29">
        <v>0</v>
      </c>
      <c r="AK596" s="29">
        <v>0</v>
      </c>
      <c r="AL596" s="29">
        <v>0</v>
      </c>
      <c r="AM596" s="29">
        <v>0</v>
      </c>
      <c r="AN596" s="29">
        <v>0</v>
      </c>
      <c r="AO596" s="29">
        <v>0</v>
      </c>
      <c r="AP596" s="29">
        <v>0</v>
      </c>
    </row>
    <row r="597" spans="1:42" x14ac:dyDescent="0.25">
      <c r="A597" s="29">
        <v>14</v>
      </c>
      <c r="B597" s="29">
        <v>13880</v>
      </c>
      <c r="C597" s="29">
        <v>2</v>
      </c>
      <c r="D597" s="29" t="s">
        <v>864</v>
      </c>
      <c r="E597" s="29"/>
      <c r="F597" s="29">
        <v>0</v>
      </c>
      <c r="G597" s="29">
        <v>0</v>
      </c>
      <c r="H597" s="29">
        <v>0</v>
      </c>
      <c r="I597" s="29">
        <v>0</v>
      </c>
      <c r="J597" s="29">
        <v>0</v>
      </c>
      <c r="K597" s="29" t="s">
        <v>882</v>
      </c>
      <c r="L597" s="19" t="str">
        <f t="shared" si="72"/>
        <v>Рихтовка</v>
      </c>
      <c r="M597" s="12">
        <f t="shared" si="73"/>
        <v>0</v>
      </c>
      <c r="N597" s="12">
        <f t="shared" si="74"/>
        <v>0</v>
      </c>
      <c r="O597" s="12">
        <f t="shared" si="75"/>
        <v>0</v>
      </c>
      <c r="P597" s="12">
        <f t="shared" si="76"/>
        <v>0</v>
      </c>
      <c r="Q597" s="12">
        <f t="shared" si="77"/>
        <v>0</v>
      </c>
      <c r="R597" s="12">
        <f t="shared" si="78"/>
        <v>0</v>
      </c>
      <c r="S597" s="12">
        <f t="shared" si="79"/>
        <v>0</v>
      </c>
      <c r="T597" s="29">
        <v>0</v>
      </c>
      <c r="U597" s="29">
        <v>0</v>
      </c>
      <c r="V597" s="29">
        <v>0</v>
      </c>
      <c r="W597" s="29">
        <v>0</v>
      </c>
      <c r="X597" s="29">
        <v>0</v>
      </c>
      <c r="Y597" s="29">
        <v>0</v>
      </c>
      <c r="Z597" s="29">
        <v>0</v>
      </c>
      <c r="AA597" s="29">
        <v>0</v>
      </c>
      <c r="AB597" s="29">
        <v>0</v>
      </c>
      <c r="AC597" s="29">
        <v>0</v>
      </c>
      <c r="AD597" s="29">
        <v>0</v>
      </c>
      <c r="AE597" s="29">
        <v>0</v>
      </c>
      <c r="AF597" s="29">
        <v>0</v>
      </c>
      <c r="AG597" s="29">
        <v>0</v>
      </c>
      <c r="AH597" s="29">
        <v>0</v>
      </c>
      <c r="AI597" s="29">
        <v>0</v>
      </c>
      <c r="AJ597" s="29">
        <v>0</v>
      </c>
      <c r="AK597" s="29">
        <v>0</v>
      </c>
      <c r="AL597" s="29">
        <v>0</v>
      </c>
      <c r="AM597" s="29">
        <v>0</v>
      </c>
      <c r="AN597" s="29">
        <v>0</v>
      </c>
      <c r="AO597" s="29">
        <v>0</v>
      </c>
      <c r="AP597" s="29">
        <v>0</v>
      </c>
    </row>
    <row r="598" spans="1:42" x14ac:dyDescent="0.25">
      <c r="A598" s="29">
        <v>14</v>
      </c>
      <c r="B598" s="29">
        <v>13880</v>
      </c>
      <c r="C598" s="29">
        <v>2</v>
      </c>
      <c r="D598" s="29" t="s">
        <v>865</v>
      </c>
      <c r="E598" s="29"/>
      <c r="F598" s="29">
        <v>0</v>
      </c>
      <c r="G598" s="29">
        <v>0</v>
      </c>
      <c r="H598" s="29">
        <v>0</v>
      </c>
      <c r="I598" s="29">
        <v>0</v>
      </c>
      <c r="J598" s="29">
        <v>0</v>
      </c>
      <c r="K598" s="29" t="s">
        <v>882</v>
      </c>
      <c r="L598" s="19" t="str">
        <f t="shared" si="72"/>
        <v>Рихтовка</v>
      </c>
      <c r="M598" s="12">
        <f t="shared" si="73"/>
        <v>0</v>
      </c>
      <c r="N598" s="12">
        <f t="shared" si="74"/>
        <v>0</v>
      </c>
      <c r="O598" s="12">
        <f t="shared" si="75"/>
        <v>0</v>
      </c>
      <c r="P598" s="12">
        <f t="shared" si="76"/>
        <v>0</v>
      </c>
      <c r="Q598" s="12">
        <f t="shared" si="77"/>
        <v>0</v>
      </c>
      <c r="R598" s="12">
        <f t="shared" si="78"/>
        <v>0</v>
      </c>
      <c r="S598" s="12">
        <f t="shared" si="79"/>
        <v>0</v>
      </c>
      <c r="T598" s="29">
        <v>0</v>
      </c>
      <c r="U598" s="29">
        <v>0</v>
      </c>
      <c r="V598" s="29">
        <v>0</v>
      </c>
      <c r="W598" s="29">
        <v>0</v>
      </c>
      <c r="X598" s="29">
        <v>0</v>
      </c>
      <c r="Y598" s="29">
        <v>0</v>
      </c>
      <c r="Z598" s="29">
        <v>0</v>
      </c>
      <c r="AA598" s="29">
        <v>0</v>
      </c>
      <c r="AB598" s="29">
        <v>0</v>
      </c>
      <c r="AC598" s="29">
        <v>0</v>
      </c>
      <c r="AD598" s="29">
        <v>0</v>
      </c>
      <c r="AE598" s="29">
        <v>0</v>
      </c>
      <c r="AF598" s="29">
        <v>0</v>
      </c>
      <c r="AG598" s="29">
        <v>0</v>
      </c>
      <c r="AH598" s="29">
        <v>0</v>
      </c>
      <c r="AI598" s="29">
        <v>0</v>
      </c>
      <c r="AJ598" s="29">
        <v>0</v>
      </c>
      <c r="AK598" s="29">
        <v>0</v>
      </c>
      <c r="AL598" s="29">
        <v>0</v>
      </c>
      <c r="AM598" s="29">
        <v>0</v>
      </c>
      <c r="AN598" s="29">
        <v>0</v>
      </c>
      <c r="AO598" s="29">
        <v>0</v>
      </c>
      <c r="AP598" s="29">
        <v>0</v>
      </c>
    </row>
    <row r="599" spans="1:42" x14ac:dyDescent="0.25">
      <c r="A599" s="29">
        <v>14</v>
      </c>
      <c r="B599" s="29">
        <v>13880</v>
      </c>
      <c r="C599" s="29">
        <v>2</v>
      </c>
      <c r="D599" s="29" t="s">
        <v>866</v>
      </c>
      <c r="E599" s="29"/>
      <c r="F599" s="29">
        <v>0</v>
      </c>
      <c r="G599" s="29">
        <v>0</v>
      </c>
      <c r="H599" s="29">
        <v>0</v>
      </c>
      <c r="I599" s="29">
        <v>0</v>
      </c>
      <c r="J599" s="29">
        <v>0</v>
      </c>
      <c r="K599" s="29" t="s">
        <v>882</v>
      </c>
      <c r="L599" s="19" t="str">
        <f t="shared" si="72"/>
        <v>Рихтовка</v>
      </c>
      <c r="M599" s="12">
        <f t="shared" si="73"/>
        <v>0</v>
      </c>
      <c r="N599" s="12">
        <f t="shared" si="74"/>
        <v>0</v>
      </c>
      <c r="O599" s="12">
        <f t="shared" si="75"/>
        <v>0</v>
      </c>
      <c r="P599" s="12">
        <f t="shared" si="76"/>
        <v>0</v>
      </c>
      <c r="Q599" s="12">
        <f t="shared" si="77"/>
        <v>0</v>
      </c>
      <c r="R599" s="12">
        <f t="shared" si="78"/>
        <v>0</v>
      </c>
      <c r="S599" s="12">
        <f t="shared" si="79"/>
        <v>0</v>
      </c>
      <c r="T599" s="29">
        <v>0</v>
      </c>
      <c r="U599" s="29">
        <v>0</v>
      </c>
      <c r="V599" s="29">
        <v>0</v>
      </c>
      <c r="W599" s="29">
        <v>0</v>
      </c>
      <c r="X599" s="29">
        <v>0</v>
      </c>
      <c r="Y599" s="29">
        <v>0</v>
      </c>
      <c r="Z599" s="29">
        <v>0</v>
      </c>
      <c r="AA599" s="29">
        <v>0</v>
      </c>
      <c r="AB599" s="29">
        <v>0</v>
      </c>
      <c r="AC599" s="29">
        <v>0</v>
      </c>
      <c r="AD599" s="29">
        <v>0</v>
      </c>
      <c r="AE599" s="29">
        <v>0</v>
      </c>
      <c r="AF599" s="29">
        <v>0</v>
      </c>
      <c r="AG599" s="29">
        <v>0</v>
      </c>
      <c r="AH599" s="29">
        <v>0</v>
      </c>
      <c r="AI599" s="29">
        <v>0</v>
      </c>
      <c r="AJ599" s="29">
        <v>0</v>
      </c>
      <c r="AK599" s="29">
        <v>0</v>
      </c>
      <c r="AL599" s="29">
        <v>0</v>
      </c>
      <c r="AM599" s="29">
        <v>0</v>
      </c>
      <c r="AN599" s="29">
        <v>0</v>
      </c>
      <c r="AO599" s="29">
        <v>0</v>
      </c>
      <c r="AP599" s="29">
        <v>0</v>
      </c>
    </row>
    <row r="600" spans="1:42" x14ac:dyDescent="0.25">
      <c r="A600" s="29">
        <v>14</v>
      </c>
      <c r="B600" s="29">
        <v>13880</v>
      </c>
      <c r="C600" s="29">
        <v>2</v>
      </c>
      <c r="D600" s="29" t="s">
        <v>867</v>
      </c>
      <c r="E600" s="29"/>
      <c r="F600" s="29">
        <v>0</v>
      </c>
      <c r="G600" s="29">
        <v>0</v>
      </c>
      <c r="H600" s="29">
        <v>0</v>
      </c>
      <c r="I600" s="29">
        <v>0</v>
      </c>
      <c r="J600" s="29">
        <v>0</v>
      </c>
      <c r="K600" s="29" t="s">
        <v>882</v>
      </c>
      <c r="L600" s="19" t="str">
        <f t="shared" si="72"/>
        <v>Рихтовка</v>
      </c>
      <c r="M600" s="12">
        <f t="shared" si="73"/>
        <v>0</v>
      </c>
      <c r="N600" s="12">
        <f t="shared" si="74"/>
        <v>0</v>
      </c>
      <c r="O600" s="12">
        <f t="shared" si="75"/>
        <v>0</v>
      </c>
      <c r="P600" s="12">
        <f t="shared" si="76"/>
        <v>0</v>
      </c>
      <c r="Q600" s="12">
        <f t="shared" si="77"/>
        <v>0</v>
      </c>
      <c r="R600" s="12">
        <f t="shared" si="78"/>
        <v>0</v>
      </c>
      <c r="S600" s="12">
        <f t="shared" si="79"/>
        <v>0</v>
      </c>
      <c r="T600" s="29">
        <v>0</v>
      </c>
      <c r="U600" s="29">
        <v>0</v>
      </c>
      <c r="V600" s="29">
        <v>0</v>
      </c>
      <c r="W600" s="29">
        <v>0</v>
      </c>
      <c r="X600" s="29">
        <v>0</v>
      </c>
      <c r="Y600" s="29">
        <v>0</v>
      </c>
      <c r="Z600" s="29">
        <v>0</v>
      </c>
      <c r="AA600" s="29">
        <v>0</v>
      </c>
      <c r="AB600" s="29">
        <v>0</v>
      </c>
      <c r="AC600" s="29">
        <v>0</v>
      </c>
      <c r="AD600" s="29">
        <v>0</v>
      </c>
      <c r="AE600" s="29">
        <v>0</v>
      </c>
      <c r="AF600" s="29">
        <v>0</v>
      </c>
      <c r="AG600" s="29">
        <v>0</v>
      </c>
      <c r="AH600" s="29">
        <v>0</v>
      </c>
      <c r="AI600" s="29">
        <v>0</v>
      </c>
      <c r="AJ600" s="29">
        <v>0</v>
      </c>
      <c r="AK600" s="29">
        <v>0</v>
      </c>
      <c r="AL600" s="29">
        <v>0</v>
      </c>
      <c r="AM600" s="29">
        <v>0</v>
      </c>
      <c r="AN600" s="29">
        <v>0</v>
      </c>
      <c r="AO600" s="29">
        <v>0</v>
      </c>
      <c r="AP600" s="29">
        <v>0</v>
      </c>
    </row>
    <row r="601" spans="1:42" x14ac:dyDescent="0.25">
      <c r="A601" s="29">
        <v>14</v>
      </c>
      <c r="B601" s="29">
        <v>13880</v>
      </c>
      <c r="C601" s="29">
        <v>2</v>
      </c>
      <c r="D601" s="29" t="s">
        <v>868</v>
      </c>
      <c r="E601" s="29"/>
      <c r="F601" s="29">
        <v>0</v>
      </c>
      <c r="G601" s="29">
        <v>0</v>
      </c>
      <c r="H601" s="29">
        <v>0</v>
      </c>
      <c r="I601" s="29">
        <v>0</v>
      </c>
      <c r="J601" s="29">
        <v>0</v>
      </c>
      <c r="K601" s="29" t="s">
        <v>882</v>
      </c>
      <c r="L601" s="19" t="str">
        <f t="shared" si="72"/>
        <v>Рихтовка</v>
      </c>
      <c r="M601" s="12">
        <f t="shared" si="73"/>
        <v>0</v>
      </c>
      <c r="N601" s="12">
        <f t="shared" si="74"/>
        <v>0</v>
      </c>
      <c r="O601" s="12">
        <f t="shared" si="75"/>
        <v>0</v>
      </c>
      <c r="P601" s="12">
        <f t="shared" si="76"/>
        <v>0</v>
      </c>
      <c r="Q601" s="12">
        <f t="shared" si="77"/>
        <v>0</v>
      </c>
      <c r="R601" s="12">
        <f t="shared" si="78"/>
        <v>0</v>
      </c>
      <c r="S601" s="12">
        <f t="shared" si="79"/>
        <v>0</v>
      </c>
      <c r="T601" s="29">
        <v>0</v>
      </c>
      <c r="U601" s="29">
        <v>0</v>
      </c>
      <c r="V601" s="29">
        <v>0</v>
      </c>
      <c r="W601" s="29">
        <v>0</v>
      </c>
      <c r="X601" s="29">
        <v>0</v>
      </c>
      <c r="Y601" s="29">
        <v>0</v>
      </c>
      <c r="Z601" s="29">
        <v>0</v>
      </c>
      <c r="AA601" s="29">
        <v>0</v>
      </c>
      <c r="AB601" s="29">
        <v>0</v>
      </c>
      <c r="AC601" s="29">
        <v>0</v>
      </c>
      <c r="AD601" s="29">
        <v>0</v>
      </c>
      <c r="AE601" s="29">
        <v>0</v>
      </c>
      <c r="AF601" s="29">
        <v>0</v>
      </c>
      <c r="AG601" s="29">
        <v>0</v>
      </c>
      <c r="AH601" s="29">
        <v>0</v>
      </c>
      <c r="AI601" s="29">
        <v>0</v>
      </c>
      <c r="AJ601" s="29">
        <v>0</v>
      </c>
      <c r="AK601" s="29">
        <v>0</v>
      </c>
      <c r="AL601" s="29">
        <v>0</v>
      </c>
      <c r="AM601" s="29">
        <v>0</v>
      </c>
      <c r="AN601" s="29">
        <v>0</v>
      </c>
      <c r="AO601" s="29">
        <v>0</v>
      </c>
      <c r="AP601" s="29">
        <v>0</v>
      </c>
    </row>
    <row r="602" spans="1:42" x14ac:dyDescent="0.25">
      <c r="A602" s="29">
        <v>14</v>
      </c>
      <c r="B602" s="29">
        <v>13880</v>
      </c>
      <c r="C602" s="29">
        <v>2</v>
      </c>
      <c r="D602" s="29" t="s">
        <v>869</v>
      </c>
      <c r="E602" s="29"/>
      <c r="F602" s="29">
        <v>0</v>
      </c>
      <c r="G602" s="29">
        <v>0</v>
      </c>
      <c r="H602" s="29">
        <v>0</v>
      </c>
      <c r="I602" s="29">
        <v>0</v>
      </c>
      <c r="J602" s="29">
        <v>0</v>
      </c>
      <c r="K602" s="29" t="s">
        <v>882</v>
      </c>
      <c r="L602" s="19" t="str">
        <f t="shared" si="72"/>
        <v>Рихтовка</v>
      </c>
      <c r="M602" s="12">
        <f t="shared" si="73"/>
        <v>0</v>
      </c>
      <c r="N602" s="12">
        <f t="shared" si="74"/>
        <v>0</v>
      </c>
      <c r="O602" s="12">
        <f t="shared" si="75"/>
        <v>0</v>
      </c>
      <c r="P602" s="12">
        <f t="shared" si="76"/>
        <v>0</v>
      </c>
      <c r="Q602" s="12">
        <f t="shared" si="77"/>
        <v>0</v>
      </c>
      <c r="R602" s="12">
        <f t="shared" si="78"/>
        <v>0</v>
      </c>
      <c r="S602" s="12">
        <f t="shared" si="79"/>
        <v>0</v>
      </c>
      <c r="T602" s="29">
        <v>0</v>
      </c>
      <c r="U602" s="29">
        <v>0</v>
      </c>
      <c r="V602" s="29">
        <v>0</v>
      </c>
      <c r="W602" s="29">
        <v>0</v>
      </c>
      <c r="X602" s="29">
        <v>0</v>
      </c>
      <c r="Y602" s="29">
        <v>0</v>
      </c>
      <c r="Z602" s="29">
        <v>0</v>
      </c>
      <c r="AA602" s="29">
        <v>0</v>
      </c>
      <c r="AB602" s="29">
        <v>0</v>
      </c>
      <c r="AC602" s="29">
        <v>0</v>
      </c>
      <c r="AD602" s="29">
        <v>0</v>
      </c>
      <c r="AE602" s="29">
        <v>0</v>
      </c>
      <c r="AF602" s="29">
        <v>0</v>
      </c>
      <c r="AG602" s="29">
        <v>0</v>
      </c>
      <c r="AH602" s="29">
        <v>0</v>
      </c>
      <c r="AI602" s="29">
        <v>0</v>
      </c>
      <c r="AJ602" s="29">
        <v>0</v>
      </c>
      <c r="AK602" s="29">
        <v>0</v>
      </c>
      <c r="AL602" s="29">
        <v>0</v>
      </c>
      <c r="AM602" s="29">
        <v>0</v>
      </c>
      <c r="AN602" s="29">
        <v>0</v>
      </c>
      <c r="AO602" s="29">
        <v>0</v>
      </c>
      <c r="AP602" s="29">
        <v>0</v>
      </c>
    </row>
    <row r="603" spans="1:42" x14ac:dyDescent="0.25">
      <c r="A603" s="29">
        <v>14</v>
      </c>
      <c r="B603" s="29">
        <v>13880</v>
      </c>
      <c r="C603" s="29">
        <v>2</v>
      </c>
      <c r="D603" s="29" t="s">
        <v>870</v>
      </c>
      <c r="E603" s="29"/>
      <c r="F603" s="29">
        <v>0</v>
      </c>
      <c r="G603" s="29">
        <v>0</v>
      </c>
      <c r="H603" s="29">
        <v>0</v>
      </c>
      <c r="I603" s="29">
        <v>0</v>
      </c>
      <c r="J603" s="29">
        <v>0</v>
      </c>
      <c r="K603" s="29" t="s">
        <v>882</v>
      </c>
      <c r="L603" s="19" t="str">
        <f t="shared" si="72"/>
        <v>Рихтовка</v>
      </c>
      <c r="M603" s="12">
        <f t="shared" si="73"/>
        <v>0</v>
      </c>
      <c r="N603" s="12">
        <f t="shared" si="74"/>
        <v>0</v>
      </c>
      <c r="O603" s="12">
        <f t="shared" si="75"/>
        <v>0</v>
      </c>
      <c r="P603" s="12">
        <f t="shared" si="76"/>
        <v>0</v>
      </c>
      <c r="Q603" s="12">
        <f t="shared" si="77"/>
        <v>0</v>
      </c>
      <c r="R603" s="12">
        <f t="shared" si="78"/>
        <v>0</v>
      </c>
      <c r="S603" s="12">
        <f t="shared" si="79"/>
        <v>0</v>
      </c>
      <c r="T603" s="29">
        <v>0</v>
      </c>
      <c r="U603" s="29">
        <v>0</v>
      </c>
      <c r="V603" s="29">
        <v>0</v>
      </c>
      <c r="W603" s="29">
        <v>0</v>
      </c>
      <c r="X603" s="29">
        <v>0</v>
      </c>
      <c r="Y603" s="29">
        <v>0</v>
      </c>
      <c r="Z603" s="29">
        <v>0</v>
      </c>
      <c r="AA603" s="29">
        <v>0</v>
      </c>
      <c r="AB603" s="29">
        <v>0</v>
      </c>
      <c r="AC603" s="29">
        <v>0</v>
      </c>
      <c r="AD603" s="29">
        <v>0</v>
      </c>
      <c r="AE603" s="29">
        <v>0</v>
      </c>
      <c r="AF603" s="29">
        <v>0</v>
      </c>
      <c r="AG603" s="29">
        <v>0</v>
      </c>
      <c r="AH603" s="29">
        <v>0</v>
      </c>
      <c r="AI603" s="29">
        <v>0</v>
      </c>
      <c r="AJ603" s="29">
        <v>0</v>
      </c>
      <c r="AK603" s="29">
        <v>0</v>
      </c>
      <c r="AL603" s="29">
        <v>0</v>
      </c>
      <c r="AM603" s="29">
        <v>0</v>
      </c>
      <c r="AN603" s="29">
        <v>0</v>
      </c>
      <c r="AO603" s="29">
        <v>0</v>
      </c>
      <c r="AP603" s="29">
        <v>0</v>
      </c>
    </row>
    <row r="604" spans="1:42" x14ac:dyDescent="0.25">
      <c r="A604" s="29">
        <v>14</v>
      </c>
      <c r="B604" s="29">
        <v>13880</v>
      </c>
      <c r="C604" s="29">
        <v>2</v>
      </c>
      <c r="D604" s="29" t="s">
        <v>871</v>
      </c>
      <c r="E604" s="29"/>
      <c r="F604" s="29">
        <v>0</v>
      </c>
      <c r="G604" s="29">
        <v>0</v>
      </c>
      <c r="H604" s="29">
        <v>0</v>
      </c>
      <c r="I604" s="29">
        <v>0</v>
      </c>
      <c r="J604" s="29">
        <v>0</v>
      </c>
      <c r="K604" s="29" t="s">
        <v>882</v>
      </c>
      <c r="L604" s="19" t="str">
        <f t="shared" si="72"/>
        <v>Рихтовка</v>
      </c>
      <c r="M604" s="12">
        <f t="shared" si="73"/>
        <v>0</v>
      </c>
      <c r="N604" s="12">
        <f t="shared" si="74"/>
        <v>0</v>
      </c>
      <c r="O604" s="12">
        <f t="shared" si="75"/>
        <v>0</v>
      </c>
      <c r="P604" s="12">
        <f t="shared" si="76"/>
        <v>0</v>
      </c>
      <c r="Q604" s="12">
        <f t="shared" si="77"/>
        <v>0</v>
      </c>
      <c r="R604" s="12">
        <f t="shared" si="78"/>
        <v>0</v>
      </c>
      <c r="S604" s="12">
        <f t="shared" si="79"/>
        <v>0</v>
      </c>
      <c r="T604" s="29">
        <v>0</v>
      </c>
      <c r="U604" s="29">
        <v>0</v>
      </c>
      <c r="V604" s="29">
        <v>0</v>
      </c>
      <c r="W604" s="29">
        <v>0</v>
      </c>
      <c r="X604" s="29">
        <v>0</v>
      </c>
      <c r="Y604" s="29">
        <v>0</v>
      </c>
      <c r="Z604" s="29">
        <v>0</v>
      </c>
      <c r="AA604" s="29">
        <v>0</v>
      </c>
      <c r="AB604" s="29">
        <v>0</v>
      </c>
      <c r="AC604" s="29">
        <v>0</v>
      </c>
      <c r="AD604" s="29">
        <v>0</v>
      </c>
      <c r="AE604" s="29">
        <v>0</v>
      </c>
      <c r="AF604" s="29">
        <v>0</v>
      </c>
      <c r="AG604" s="29">
        <v>0</v>
      </c>
      <c r="AH604" s="29">
        <v>0</v>
      </c>
      <c r="AI604" s="29">
        <v>0</v>
      </c>
      <c r="AJ604" s="29">
        <v>0</v>
      </c>
      <c r="AK604" s="29">
        <v>0</v>
      </c>
      <c r="AL604" s="29">
        <v>0</v>
      </c>
      <c r="AM604" s="29">
        <v>0</v>
      </c>
      <c r="AN604" s="29">
        <v>0</v>
      </c>
      <c r="AO604" s="29">
        <v>0</v>
      </c>
      <c r="AP604" s="29">
        <v>0</v>
      </c>
    </row>
    <row r="605" spans="1:42" x14ac:dyDescent="0.25">
      <c r="A605" s="29">
        <v>14</v>
      </c>
      <c r="B605" s="29">
        <v>13880</v>
      </c>
      <c r="C605" s="29">
        <v>1</v>
      </c>
      <c r="D605" s="29" t="s">
        <v>872</v>
      </c>
      <c r="E605" s="29"/>
      <c r="F605" s="29">
        <v>0</v>
      </c>
      <c r="G605" s="29">
        <v>0</v>
      </c>
      <c r="H605" s="29">
        <v>0</v>
      </c>
      <c r="I605" s="29">
        <v>0</v>
      </c>
      <c r="J605" s="29">
        <v>0</v>
      </c>
      <c r="K605" s="29" t="s">
        <v>882</v>
      </c>
      <c r="L605" s="19" t="str">
        <f t="shared" si="72"/>
        <v>Рихтовка</v>
      </c>
      <c r="M605" s="12">
        <f t="shared" si="73"/>
        <v>0</v>
      </c>
      <c r="N605" s="12">
        <f t="shared" si="74"/>
        <v>0</v>
      </c>
      <c r="O605" s="12">
        <f t="shared" si="75"/>
        <v>0</v>
      </c>
      <c r="P605" s="12">
        <f t="shared" si="76"/>
        <v>0</v>
      </c>
      <c r="Q605" s="12">
        <f t="shared" si="77"/>
        <v>0</v>
      </c>
      <c r="R605" s="12">
        <f t="shared" si="78"/>
        <v>0</v>
      </c>
      <c r="S605" s="12">
        <f t="shared" si="79"/>
        <v>0</v>
      </c>
      <c r="T605" s="29">
        <v>0</v>
      </c>
      <c r="U605" s="29">
        <v>0</v>
      </c>
      <c r="V605" s="29">
        <v>0</v>
      </c>
      <c r="W605" s="29">
        <v>0</v>
      </c>
      <c r="X605" s="29">
        <v>0</v>
      </c>
      <c r="Y605" s="29">
        <v>0</v>
      </c>
      <c r="Z605" s="29">
        <v>0</v>
      </c>
      <c r="AA605" s="29">
        <v>0</v>
      </c>
      <c r="AB605" s="29">
        <v>0</v>
      </c>
      <c r="AC605" s="29">
        <v>0</v>
      </c>
      <c r="AD605" s="29">
        <v>0</v>
      </c>
      <c r="AE605" s="29">
        <v>0</v>
      </c>
      <c r="AF605" s="29">
        <v>0</v>
      </c>
      <c r="AG605" s="29">
        <v>0</v>
      </c>
      <c r="AH605" s="29">
        <v>0</v>
      </c>
      <c r="AI605" s="29">
        <v>0</v>
      </c>
      <c r="AJ605" s="29">
        <v>0</v>
      </c>
      <c r="AK605" s="29">
        <v>0</v>
      </c>
      <c r="AL605" s="29">
        <v>0</v>
      </c>
      <c r="AM605" s="29">
        <v>0</v>
      </c>
      <c r="AN605" s="29">
        <v>0</v>
      </c>
      <c r="AO605" s="29">
        <v>0</v>
      </c>
      <c r="AP605" s="29">
        <v>0</v>
      </c>
    </row>
    <row r="606" spans="1:42" x14ac:dyDescent="0.25">
      <c r="A606" s="29">
        <v>14</v>
      </c>
      <c r="B606" s="29">
        <v>13880</v>
      </c>
      <c r="C606" s="29">
        <v>1</v>
      </c>
      <c r="D606" s="29" t="s">
        <v>873</v>
      </c>
      <c r="E606" s="29"/>
      <c r="F606" s="29">
        <v>0</v>
      </c>
      <c r="G606" s="29">
        <v>0</v>
      </c>
      <c r="H606" s="29">
        <v>0</v>
      </c>
      <c r="I606" s="29">
        <v>0</v>
      </c>
      <c r="J606" s="29">
        <v>0</v>
      </c>
      <c r="K606" s="29" t="s">
        <v>882</v>
      </c>
      <c r="L606" s="19" t="str">
        <f t="shared" si="72"/>
        <v>Рихтовка</v>
      </c>
      <c r="M606" s="12">
        <f t="shared" si="73"/>
        <v>0</v>
      </c>
      <c r="N606" s="12">
        <f t="shared" si="74"/>
        <v>0</v>
      </c>
      <c r="O606" s="12">
        <f t="shared" si="75"/>
        <v>0</v>
      </c>
      <c r="P606" s="12">
        <f t="shared" si="76"/>
        <v>0</v>
      </c>
      <c r="Q606" s="12">
        <f t="shared" si="77"/>
        <v>0</v>
      </c>
      <c r="R606" s="12">
        <f t="shared" si="78"/>
        <v>0</v>
      </c>
      <c r="S606" s="12">
        <f t="shared" si="79"/>
        <v>0</v>
      </c>
      <c r="T606" s="29">
        <v>0</v>
      </c>
      <c r="U606" s="29">
        <v>0</v>
      </c>
      <c r="V606" s="29">
        <v>0</v>
      </c>
      <c r="W606" s="29">
        <v>0</v>
      </c>
      <c r="X606" s="29">
        <v>0</v>
      </c>
      <c r="Y606" s="29">
        <v>0</v>
      </c>
      <c r="Z606" s="29">
        <v>0</v>
      </c>
      <c r="AA606" s="29">
        <v>0</v>
      </c>
      <c r="AB606" s="29">
        <v>0</v>
      </c>
      <c r="AC606" s="29">
        <v>0</v>
      </c>
      <c r="AD606" s="29">
        <v>0</v>
      </c>
      <c r="AE606" s="29">
        <v>0</v>
      </c>
      <c r="AF606" s="29">
        <v>0</v>
      </c>
      <c r="AG606" s="29">
        <v>0</v>
      </c>
      <c r="AH606" s="29">
        <v>0</v>
      </c>
      <c r="AI606" s="29">
        <v>0</v>
      </c>
      <c r="AJ606" s="29">
        <v>0</v>
      </c>
      <c r="AK606" s="29">
        <v>0</v>
      </c>
      <c r="AL606" s="29">
        <v>0</v>
      </c>
      <c r="AM606" s="29">
        <v>0</v>
      </c>
      <c r="AN606" s="29">
        <v>0</v>
      </c>
      <c r="AO606" s="29">
        <v>0</v>
      </c>
      <c r="AP606" s="29">
        <v>0</v>
      </c>
    </row>
    <row r="607" spans="1:42" x14ac:dyDescent="0.25">
      <c r="A607" s="29">
        <v>14</v>
      </c>
      <c r="B607" s="29">
        <v>13880</v>
      </c>
      <c r="C607" s="29">
        <v>1</v>
      </c>
      <c r="D607" s="29" t="s">
        <v>874</v>
      </c>
      <c r="E607" s="29"/>
      <c r="F607" s="29">
        <v>0</v>
      </c>
      <c r="G607" s="29">
        <v>0</v>
      </c>
      <c r="H607" s="29">
        <v>0</v>
      </c>
      <c r="I607" s="29">
        <v>0</v>
      </c>
      <c r="J607" s="29">
        <v>0</v>
      </c>
      <c r="K607" s="29" t="s">
        <v>882</v>
      </c>
      <c r="L607" s="19" t="str">
        <f t="shared" si="72"/>
        <v>Рихтовка</v>
      </c>
      <c r="M607" s="12">
        <f t="shared" si="73"/>
        <v>0</v>
      </c>
      <c r="N607" s="12">
        <f t="shared" si="74"/>
        <v>0</v>
      </c>
      <c r="O607" s="12">
        <f t="shared" si="75"/>
        <v>0</v>
      </c>
      <c r="P607" s="12">
        <f t="shared" si="76"/>
        <v>0</v>
      </c>
      <c r="Q607" s="12">
        <f t="shared" si="77"/>
        <v>0</v>
      </c>
      <c r="R607" s="12">
        <f t="shared" si="78"/>
        <v>0</v>
      </c>
      <c r="S607" s="12">
        <f t="shared" si="79"/>
        <v>0</v>
      </c>
      <c r="T607" s="29">
        <v>0</v>
      </c>
      <c r="U607" s="29">
        <v>0</v>
      </c>
      <c r="V607" s="29">
        <v>0</v>
      </c>
      <c r="W607" s="29">
        <v>0</v>
      </c>
      <c r="X607" s="29">
        <v>0</v>
      </c>
      <c r="Y607" s="29">
        <v>0</v>
      </c>
      <c r="Z607" s="29">
        <v>0</v>
      </c>
      <c r="AA607" s="29">
        <v>0</v>
      </c>
      <c r="AB607" s="29">
        <v>0</v>
      </c>
      <c r="AC607" s="29">
        <v>0</v>
      </c>
      <c r="AD607" s="29">
        <v>0</v>
      </c>
      <c r="AE607" s="29">
        <v>0</v>
      </c>
      <c r="AF607" s="29">
        <v>0</v>
      </c>
      <c r="AG607" s="29">
        <v>0</v>
      </c>
      <c r="AH607" s="29">
        <v>0</v>
      </c>
      <c r="AI607" s="29">
        <v>0</v>
      </c>
      <c r="AJ607" s="29">
        <v>0</v>
      </c>
      <c r="AK607" s="29">
        <v>0</v>
      </c>
      <c r="AL607" s="29">
        <v>0</v>
      </c>
      <c r="AM607" s="29">
        <v>0</v>
      </c>
      <c r="AN607" s="29">
        <v>0</v>
      </c>
      <c r="AO607" s="29">
        <v>0</v>
      </c>
      <c r="AP607" s="29">
        <v>0</v>
      </c>
    </row>
    <row r="608" spans="1:42" x14ac:dyDescent="0.25">
      <c r="A608" s="29">
        <v>14</v>
      </c>
      <c r="B608" s="29">
        <v>13880</v>
      </c>
      <c r="C608" s="29">
        <v>1</v>
      </c>
      <c r="D608" s="29" t="s">
        <v>875</v>
      </c>
      <c r="E608" s="29"/>
      <c r="F608" s="29">
        <v>0</v>
      </c>
      <c r="G608" s="29">
        <v>0</v>
      </c>
      <c r="H608" s="29">
        <v>0</v>
      </c>
      <c r="I608" s="29">
        <v>0</v>
      </c>
      <c r="J608" s="29">
        <v>0</v>
      </c>
      <c r="K608" s="29" t="s">
        <v>882</v>
      </c>
      <c r="L608" s="19" t="str">
        <f t="shared" si="72"/>
        <v>Рихтовка</v>
      </c>
      <c r="M608" s="12">
        <f t="shared" si="73"/>
        <v>0</v>
      </c>
      <c r="N608" s="12">
        <f t="shared" si="74"/>
        <v>0</v>
      </c>
      <c r="O608" s="12">
        <f t="shared" si="75"/>
        <v>0</v>
      </c>
      <c r="P608" s="12">
        <f t="shared" si="76"/>
        <v>0</v>
      </c>
      <c r="Q608" s="12">
        <f t="shared" si="77"/>
        <v>0</v>
      </c>
      <c r="R608" s="12">
        <f t="shared" si="78"/>
        <v>0</v>
      </c>
      <c r="S608" s="12">
        <f t="shared" si="79"/>
        <v>0</v>
      </c>
      <c r="T608" s="29">
        <v>0</v>
      </c>
      <c r="U608" s="29">
        <v>0</v>
      </c>
      <c r="V608" s="29">
        <v>0</v>
      </c>
      <c r="W608" s="29">
        <v>0</v>
      </c>
      <c r="X608" s="29">
        <v>0</v>
      </c>
      <c r="Y608" s="29">
        <v>0</v>
      </c>
      <c r="Z608" s="29">
        <v>0</v>
      </c>
      <c r="AA608" s="29">
        <v>0</v>
      </c>
      <c r="AB608" s="29">
        <v>0</v>
      </c>
      <c r="AC608" s="29">
        <v>0</v>
      </c>
      <c r="AD608" s="29">
        <v>0</v>
      </c>
      <c r="AE608" s="29">
        <v>0</v>
      </c>
      <c r="AF608" s="29">
        <v>0</v>
      </c>
      <c r="AG608" s="29">
        <v>0</v>
      </c>
      <c r="AH608" s="29">
        <v>0</v>
      </c>
      <c r="AI608" s="29">
        <v>0</v>
      </c>
      <c r="AJ608" s="29">
        <v>0</v>
      </c>
      <c r="AK608" s="29">
        <v>0</v>
      </c>
      <c r="AL608" s="29">
        <v>0</v>
      </c>
      <c r="AM608" s="29">
        <v>0</v>
      </c>
      <c r="AN608" s="29">
        <v>0</v>
      </c>
      <c r="AO608" s="29">
        <v>0</v>
      </c>
      <c r="AP608" s="29">
        <v>0</v>
      </c>
    </row>
    <row r="609" spans="1:42" x14ac:dyDescent="0.25">
      <c r="A609" s="29">
        <v>14</v>
      </c>
      <c r="B609" s="29">
        <v>25136</v>
      </c>
      <c r="C609" s="29">
        <v>1</v>
      </c>
      <c r="D609" s="29" t="s">
        <v>876</v>
      </c>
      <c r="E609" s="29"/>
      <c r="F609" s="29">
        <v>0</v>
      </c>
      <c r="G609" s="29">
        <v>0</v>
      </c>
      <c r="H609" s="29">
        <v>0</v>
      </c>
      <c r="I609" s="29">
        <v>0</v>
      </c>
      <c r="J609" s="29">
        <v>0</v>
      </c>
      <c r="K609" s="29" t="s">
        <v>882</v>
      </c>
      <c r="L609" s="19" t="str">
        <f t="shared" si="72"/>
        <v>Рихтовка</v>
      </c>
      <c r="M609" s="12">
        <f t="shared" si="73"/>
        <v>0</v>
      </c>
      <c r="N609" s="12">
        <f t="shared" si="74"/>
        <v>0</v>
      </c>
      <c r="O609" s="12">
        <f t="shared" si="75"/>
        <v>0</v>
      </c>
      <c r="P609" s="12">
        <f t="shared" si="76"/>
        <v>0</v>
      </c>
      <c r="Q609" s="12">
        <f t="shared" si="77"/>
        <v>0</v>
      </c>
      <c r="R609" s="12">
        <f t="shared" si="78"/>
        <v>0</v>
      </c>
      <c r="S609" s="12">
        <f t="shared" si="79"/>
        <v>0</v>
      </c>
      <c r="T609" s="29">
        <v>0</v>
      </c>
      <c r="U609" s="29">
        <v>0</v>
      </c>
      <c r="V609" s="29">
        <v>0</v>
      </c>
      <c r="W609" s="29">
        <v>0</v>
      </c>
      <c r="X609" s="29">
        <v>0</v>
      </c>
      <c r="Y609" s="29">
        <v>0</v>
      </c>
      <c r="Z609" s="29">
        <v>0</v>
      </c>
      <c r="AA609" s="29">
        <v>0</v>
      </c>
      <c r="AB609" s="29">
        <v>0</v>
      </c>
      <c r="AC609" s="29">
        <v>0</v>
      </c>
      <c r="AD609" s="29">
        <v>0</v>
      </c>
      <c r="AE609" s="29">
        <v>0</v>
      </c>
      <c r="AF609" s="29">
        <v>0</v>
      </c>
      <c r="AG609" s="29">
        <v>0</v>
      </c>
      <c r="AH609" s="29">
        <v>0</v>
      </c>
      <c r="AI609" s="29">
        <v>0</v>
      </c>
      <c r="AJ609" s="29">
        <v>0</v>
      </c>
      <c r="AK609" s="29">
        <v>0</v>
      </c>
      <c r="AL609" s="29">
        <v>0</v>
      </c>
      <c r="AM609" s="29">
        <v>0</v>
      </c>
      <c r="AN609" s="29">
        <v>0</v>
      </c>
      <c r="AO609" s="29">
        <v>0</v>
      </c>
      <c r="AP609" s="29">
        <v>0</v>
      </c>
    </row>
    <row r="610" spans="1:42" x14ac:dyDescent="0.25">
      <c r="A610" s="29">
        <v>14</v>
      </c>
      <c r="B610" s="29">
        <v>25136</v>
      </c>
      <c r="C610" s="29">
        <v>1</v>
      </c>
      <c r="D610" s="29" t="s">
        <v>877</v>
      </c>
      <c r="E610" s="29"/>
      <c r="F610" s="29">
        <v>0</v>
      </c>
      <c r="G610" s="29">
        <v>0</v>
      </c>
      <c r="H610" s="29">
        <v>0</v>
      </c>
      <c r="I610" s="29">
        <v>0</v>
      </c>
      <c r="J610" s="29">
        <v>0</v>
      </c>
      <c r="K610" s="29" t="s">
        <v>882</v>
      </c>
      <c r="L610" s="19" t="str">
        <f t="shared" si="72"/>
        <v>Рихтовка</v>
      </c>
      <c r="M610" s="12">
        <f t="shared" si="73"/>
        <v>0</v>
      </c>
      <c r="N610" s="12">
        <f t="shared" si="74"/>
        <v>0</v>
      </c>
      <c r="O610" s="12">
        <f t="shared" si="75"/>
        <v>0</v>
      </c>
      <c r="P610" s="12">
        <f t="shared" si="76"/>
        <v>0</v>
      </c>
      <c r="Q610" s="12">
        <f t="shared" si="77"/>
        <v>0</v>
      </c>
      <c r="R610" s="12">
        <f t="shared" si="78"/>
        <v>0</v>
      </c>
      <c r="S610" s="12">
        <f t="shared" si="79"/>
        <v>0</v>
      </c>
      <c r="T610" s="29">
        <v>0</v>
      </c>
      <c r="U610" s="29">
        <v>0</v>
      </c>
      <c r="V610" s="29">
        <v>0</v>
      </c>
      <c r="W610" s="29">
        <v>0</v>
      </c>
      <c r="X610" s="29">
        <v>0</v>
      </c>
      <c r="Y610" s="29">
        <v>0</v>
      </c>
      <c r="Z610" s="29">
        <v>0</v>
      </c>
      <c r="AA610" s="29">
        <v>0</v>
      </c>
      <c r="AB610" s="29">
        <v>0</v>
      </c>
      <c r="AC610" s="29">
        <v>0</v>
      </c>
      <c r="AD610" s="29">
        <v>0</v>
      </c>
      <c r="AE610" s="29">
        <v>0</v>
      </c>
      <c r="AF610" s="29">
        <v>0</v>
      </c>
      <c r="AG610" s="29">
        <v>0</v>
      </c>
      <c r="AH610" s="29">
        <v>0</v>
      </c>
      <c r="AI610" s="29">
        <v>0</v>
      </c>
      <c r="AJ610" s="29">
        <v>0</v>
      </c>
      <c r="AK610" s="29">
        <v>0</v>
      </c>
      <c r="AL610" s="29">
        <v>0</v>
      </c>
      <c r="AM610" s="29">
        <v>0</v>
      </c>
      <c r="AN610" s="29">
        <v>0</v>
      </c>
      <c r="AO610" s="29">
        <v>0</v>
      </c>
      <c r="AP610" s="29">
        <v>0</v>
      </c>
    </row>
    <row r="611" spans="1:42" x14ac:dyDescent="0.25">
      <c r="A611" s="29">
        <v>14</v>
      </c>
      <c r="B611" s="29">
        <v>25136</v>
      </c>
      <c r="C611" s="29">
        <v>2</v>
      </c>
      <c r="D611" s="29" t="s">
        <v>876</v>
      </c>
      <c r="E611" s="29"/>
      <c r="F611" s="29">
        <v>0</v>
      </c>
      <c r="G611" s="29">
        <v>0</v>
      </c>
      <c r="H611" s="29">
        <v>0</v>
      </c>
      <c r="I611" s="29">
        <v>0</v>
      </c>
      <c r="J611" s="29">
        <v>0</v>
      </c>
      <c r="K611" s="29" t="s">
        <v>882</v>
      </c>
      <c r="L611" s="19" t="str">
        <f t="shared" si="72"/>
        <v>Рихтовка</v>
      </c>
      <c r="M611" s="12">
        <f t="shared" si="73"/>
        <v>0</v>
      </c>
      <c r="N611" s="12">
        <f t="shared" si="74"/>
        <v>0</v>
      </c>
      <c r="O611" s="12">
        <f t="shared" si="75"/>
        <v>0</v>
      </c>
      <c r="P611" s="12">
        <f t="shared" si="76"/>
        <v>0</v>
      </c>
      <c r="Q611" s="12">
        <f t="shared" si="77"/>
        <v>0</v>
      </c>
      <c r="R611" s="12">
        <f t="shared" si="78"/>
        <v>0</v>
      </c>
      <c r="S611" s="12">
        <f t="shared" si="79"/>
        <v>0</v>
      </c>
      <c r="T611" s="29">
        <v>0</v>
      </c>
      <c r="U611" s="29">
        <v>0</v>
      </c>
      <c r="V611" s="29">
        <v>0</v>
      </c>
      <c r="W611" s="29">
        <v>0</v>
      </c>
      <c r="X611" s="29">
        <v>0</v>
      </c>
      <c r="Y611" s="29">
        <v>0</v>
      </c>
      <c r="Z611" s="29">
        <v>0</v>
      </c>
      <c r="AA611" s="29">
        <v>0</v>
      </c>
      <c r="AB611" s="29">
        <v>0</v>
      </c>
      <c r="AC611" s="29">
        <v>0</v>
      </c>
      <c r="AD611" s="29">
        <v>0</v>
      </c>
      <c r="AE611" s="29">
        <v>0</v>
      </c>
      <c r="AF611" s="29">
        <v>0</v>
      </c>
      <c r="AG611" s="29">
        <v>0</v>
      </c>
      <c r="AH611" s="29">
        <v>0</v>
      </c>
      <c r="AI611" s="29">
        <v>0</v>
      </c>
      <c r="AJ611" s="29">
        <v>0</v>
      </c>
      <c r="AK611" s="29">
        <v>0</v>
      </c>
      <c r="AL611" s="29">
        <v>0</v>
      </c>
      <c r="AM611" s="29">
        <v>0</v>
      </c>
      <c r="AN611" s="29">
        <v>0</v>
      </c>
      <c r="AO611" s="29">
        <v>0</v>
      </c>
      <c r="AP611" s="29">
        <v>0</v>
      </c>
    </row>
    <row r="612" spans="1:42" x14ac:dyDescent="0.25">
      <c r="A612" s="29">
        <v>14</v>
      </c>
      <c r="B612" s="29">
        <v>25136</v>
      </c>
      <c r="C612" s="29">
        <v>2</v>
      </c>
      <c r="D612" s="29" t="s">
        <v>877</v>
      </c>
      <c r="E612" s="29"/>
      <c r="F612" s="29">
        <v>0</v>
      </c>
      <c r="G612" s="29">
        <v>0</v>
      </c>
      <c r="H612" s="29">
        <v>0</v>
      </c>
      <c r="I612" s="29">
        <v>0</v>
      </c>
      <c r="J612" s="29">
        <v>0</v>
      </c>
      <c r="K612" s="29" t="s">
        <v>882</v>
      </c>
      <c r="L612" s="19" t="str">
        <f t="shared" si="72"/>
        <v>Рихтовка</v>
      </c>
      <c r="M612" s="12">
        <f t="shared" si="73"/>
        <v>0</v>
      </c>
      <c r="N612" s="12">
        <f t="shared" si="74"/>
        <v>0</v>
      </c>
      <c r="O612" s="12">
        <f t="shared" si="75"/>
        <v>0</v>
      </c>
      <c r="P612" s="12">
        <f t="shared" si="76"/>
        <v>0</v>
      </c>
      <c r="Q612" s="12">
        <f t="shared" si="77"/>
        <v>0</v>
      </c>
      <c r="R612" s="12">
        <f t="shared" si="78"/>
        <v>0</v>
      </c>
      <c r="S612" s="12">
        <f t="shared" si="79"/>
        <v>0</v>
      </c>
      <c r="T612" s="29">
        <v>0</v>
      </c>
      <c r="U612" s="29">
        <v>0</v>
      </c>
      <c r="V612" s="29">
        <v>0</v>
      </c>
      <c r="W612" s="29">
        <v>0</v>
      </c>
      <c r="X612" s="29">
        <v>0</v>
      </c>
      <c r="Y612" s="29">
        <v>0</v>
      </c>
      <c r="Z612" s="29">
        <v>0</v>
      </c>
      <c r="AA612" s="29">
        <v>0</v>
      </c>
      <c r="AB612" s="29">
        <v>0</v>
      </c>
      <c r="AC612" s="29">
        <v>0</v>
      </c>
      <c r="AD612" s="29">
        <v>0</v>
      </c>
      <c r="AE612" s="29">
        <v>0</v>
      </c>
      <c r="AF612" s="29">
        <v>0</v>
      </c>
      <c r="AG612" s="29">
        <v>0</v>
      </c>
      <c r="AH612" s="29">
        <v>0</v>
      </c>
      <c r="AI612" s="29">
        <v>0</v>
      </c>
      <c r="AJ612" s="29">
        <v>0</v>
      </c>
      <c r="AK612" s="29">
        <v>0</v>
      </c>
      <c r="AL612" s="29">
        <v>0</v>
      </c>
      <c r="AM612" s="29">
        <v>0</v>
      </c>
      <c r="AN612" s="29">
        <v>0</v>
      </c>
      <c r="AO612" s="29">
        <v>0</v>
      </c>
      <c r="AP612" s="29">
        <v>0</v>
      </c>
    </row>
    <row r="613" spans="1:42" x14ac:dyDescent="0.25">
      <c r="A613" s="29">
        <v>14</v>
      </c>
      <c r="B613" s="29">
        <v>25136</v>
      </c>
      <c r="C613" s="29">
        <v>2</v>
      </c>
      <c r="D613" s="29" t="s">
        <v>878</v>
      </c>
      <c r="E613" s="29"/>
      <c r="F613" s="29">
        <v>0</v>
      </c>
      <c r="G613" s="29">
        <v>0</v>
      </c>
      <c r="H613" s="29">
        <v>0</v>
      </c>
      <c r="I613" s="29">
        <v>0</v>
      </c>
      <c r="J613" s="29">
        <v>0</v>
      </c>
      <c r="K613" s="29" t="s">
        <v>882</v>
      </c>
      <c r="L613" s="19" t="str">
        <f t="shared" si="72"/>
        <v>Рихтовка</v>
      </c>
      <c r="M613" s="12">
        <f t="shared" si="73"/>
        <v>0</v>
      </c>
      <c r="N613" s="12">
        <f t="shared" si="74"/>
        <v>0</v>
      </c>
      <c r="O613" s="12">
        <f t="shared" si="75"/>
        <v>0</v>
      </c>
      <c r="P613" s="12">
        <f t="shared" si="76"/>
        <v>0</v>
      </c>
      <c r="Q613" s="12">
        <f t="shared" si="77"/>
        <v>0</v>
      </c>
      <c r="R613" s="12">
        <f t="shared" si="78"/>
        <v>0</v>
      </c>
      <c r="S613" s="12">
        <f t="shared" si="79"/>
        <v>0</v>
      </c>
      <c r="T613" s="29">
        <v>0</v>
      </c>
      <c r="U613" s="29">
        <v>0</v>
      </c>
      <c r="V613" s="29">
        <v>0</v>
      </c>
      <c r="W613" s="29">
        <v>0</v>
      </c>
      <c r="X613" s="29">
        <v>0</v>
      </c>
      <c r="Y613" s="29">
        <v>0</v>
      </c>
      <c r="Z613" s="29">
        <v>0</v>
      </c>
      <c r="AA613" s="29">
        <v>0</v>
      </c>
      <c r="AB613" s="29">
        <v>0</v>
      </c>
      <c r="AC613" s="29">
        <v>0</v>
      </c>
      <c r="AD613" s="29">
        <v>0</v>
      </c>
      <c r="AE613" s="29">
        <v>0</v>
      </c>
      <c r="AF613" s="29">
        <v>0</v>
      </c>
      <c r="AG613" s="29">
        <v>0</v>
      </c>
      <c r="AH613" s="29">
        <v>0</v>
      </c>
      <c r="AI613" s="29">
        <v>0</v>
      </c>
      <c r="AJ613" s="29">
        <v>0</v>
      </c>
      <c r="AK613" s="29">
        <v>0</v>
      </c>
      <c r="AL613" s="29">
        <v>0</v>
      </c>
      <c r="AM613" s="29">
        <v>0</v>
      </c>
      <c r="AN613" s="29">
        <v>0</v>
      </c>
      <c r="AO613" s="29">
        <v>0</v>
      </c>
      <c r="AP613" s="29">
        <v>0</v>
      </c>
    </row>
    <row r="614" spans="1:42" x14ac:dyDescent="0.25">
      <c r="A614" s="29">
        <v>14</v>
      </c>
      <c r="B614" s="29">
        <v>25191</v>
      </c>
      <c r="C614" s="29" t="s">
        <v>421</v>
      </c>
      <c r="D614" s="29" t="s">
        <v>939</v>
      </c>
      <c r="E614" s="29"/>
      <c r="F614" s="29">
        <v>0</v>
      </c>
      <c r="G614" s="29">
        <v>0</v>
      </c>
      <c r="H614" s="29">
        <v>0</v>
      </c>
      <c r="I614" s="29">
        <v>0</v>
      </c>
      <c r="J614" s="29">
        <v>0</v>
      </c>
      <c r="K614" s="29" t="s">
        <v>882</v>
      </c>
      <c r="L614" s="19" t="str">
        <f t="shared" si="72"/>
        <v>Рихтовка</v>
      </c>
      <c r="M614" s="12">
        <f t="shared" ref="M614:M677" si="80">MAX(N614,O614,P614,Q614,R614,S614)</f>
        <v>0</v>
      </c>
      <c r="N614" s="12">
        <f t="shared" ref="N614:N677" si="81">T614+U614+V614</f>
        <v>0</v>
      </c>
      <c r="O614" s="12">
        <f t="shared" ref="O614:O677" si="82">W614+X614+Y614</f>
        <v>0</v>
      </c>
      <c r="P614" s="12">
        <f t="shared" ref="P614:P677" si="83">Z614+AA614+AB614</f>
        <v>0</v>
      </c>
      <c r="Q614" s="12">
        <f t="shared" ref="Q614:Q677" si="84">AC614+AD614+AE614</f>
        <v>0</v>
      </c>
      <c r="R614" s="12">
        <f t="shared" ref="R614:R677" si="85">AF614+AG614+AH614</f>
        <v>0</v>
      </c>
      <c r="S614" s="12">
        <f t="shared" ref="S614:S677" si="86">AI614+AJ614+AK614</f>
        <v>0</v>
      </c>
      <c r="T614" s="29">
        <v>0</v>
      </c>
      <c r="U614" s="29">
        <v>0</v>
      </c>
      <c r="V614" s="29">
        <v>0</v>
      </c>
      <c r="W614" s="29">
        <v>0</v>
      </c>
      <c r="X614" s="29">
        <v>0</v>
      </c>
      <c r="Y614" s="29">
        <v>0</v>
      </c>
      <c r="Z614" s="29">
        <v>0</v>
      </c>
      <c r="AA614" s="29">
        <v>0</v>
      </c>
      <c r="AB614" s="29">
        <v>0</v>
      </c>
      <c r="AC614" s="29">
        <v>0</v>
      </c>
      <c r="AD614" s="29">
        <v>0</v>
      </c>
      <c r="AE614" s="29">
        <v>0</v>
      </c>
      <c r="AF614" s="29">
        <v>0</v>
      </c>
      <c r="AG614" s="29">
        <v>0</v>
      </c>
      <c r="AH614" s="29">
        <v>0</v>
      </c>
      <c r="AI614" s="29">
        <v>0</v>
      </c>
      <c r="AJ614" s="29">
        <v>0</v>
      </c>
      <c r="AK614" s="29">
        <v>0</v>
      </c>
      <c r="AL614" s="29">
        <v>0</v>
      </c>
      <c r="AM614" s="29">
        <v>0</v>
      </c>
      <c r="AN614" s="29">
        <v>0</v>
      </c>
      <c r="AO614" s="29">
        <v>0</v>
      </c>
      <c r="AP614" s="29">
        <v>0</v>
      </c>
    </row>
    <row r="615" spans="1:42" x14ac:dyDescent="0.25">
      <c r="A615" s="29">
        <v>32</v>
      </c>
      <c r="B615" s="29">
        <v>25202</v>
      </c>
      <c r="C615" s="29">
        <v>1</v>
      </c>
      <c r="D615" s="29" t="s">
        <v>1004</v>
      </c>
      <c r="E615" s="29"/>
      <c r="F615" s="29">
        <v>0</v>
      </c>
      <c r="G615" s="29">
        <v>0</v>
      </c>
      <c r="H615" s="29">
        <v>0</v>
      </c>
      <c r="I615" s="29">
        <v>0</v>
      </c>
      <c r="J615" s="29">
        <v>0</v>
      </c>
      <c r="K615" s="29" t="s">
        <v>882</v>
      </c>
      <c r="L615" s="19" t="str">
        <f t="shared" si="72"/>
        <v>Рихтовка</v>
      </c>
      <c r="M615" s="12">
        <f t="shared" si="80"/>
        <v>0</v>
      </c>
      <c r="N615" s="12">
        <f t="shared" si="81"/>
        <v>0</v>
      </c>
      <c r="O615" s="12">
        <f t="shared" si="82"/>
        <v>0</v>
      </c>
      <c r="P615" s="12">
        <f t="shared" si="83"/>
        <v>0</v>
      </c>
      <c r="Q615" s="12">
        <f t="shared" si="84"/>
        <v>0</v>
      </c>
      <c r="R615" s="12">
        <f t="shared" si="85"/>
        <v>0</v>
      </c>
      <c r="S615" s="12">
        <f t="shared" si="86"/>
        <v>0</v>
      </c>
      <c r="T615" s="29">
        <v>0</v>
      </c>
      <c r="U615" s="29">
        <v>0</v>
      </c>
      <c r="V615" s="29">
        <v>0</v>
      </c>
      <c r="W615" s="29">
        <v>0</v>
      </c>
      <c r="X615" s="29">
        <v>0</v>
      </c>
      <c r="Y615" s="29">
        <v>0</v>
      </c>
      <c r="Z615" s="29">
        <v>0</v>
      </c>
      <c r="AA615" s="29">
        <v>0</v>
      </c>
      <c r="AB615" s="29">
        <v>0</v>
      </c>
      <c r="AC615" s="29">
        <v>0</v>
      </c>
      <c r="AD615" s="29">
        <v>0</v>
      </c>
      <c r="AE615" s="29">
        <v>0</v>
      </c>
      <c r="AF615" s="29">
        <v>0</v>
      </c>
      <c r="AG615" s="29">
        <v>0</v>
      </c>
      <c r="AH615" s="29">
        <v>0</v>
      </c>
      <c r="AI615" s="29">
        <v>0</v>
      </c>
      <c r="AJ615" s="29">
        <v>0</v>
      </c>
      <c r="AK615" s="29">
        <v>0</v>
      </c>
      <c r="AL615" s="29">
        <v>0</v>
      </c>
      <c r="AM615" s="29">
        <v>0</v>
      </c>
      <c r="AN615" s="29">
        <v>0</v>
      </c>
      <c r="AO615" s="29">
        <v>0</v>
      </c>
      <c r="AP615" s="29">
        <v>0</v>
      </c>
    </row>
    <row r="616" spans="1:42" x14ac:dyDescent="0.25">
      <c r="A616" s="29">
        <v>32</v>
      </c>
      <c r="B616" s="29">
        <v>25202</v>
      </c>
      <c r="C616" s="29">
        <v>3</v>
      </c>
      <c r="D616" s="29" t="s">
        <v>1005</v>
      </c>
      <c r="E616" s="29"/>
      <c r="F616" s="29">
        <v>0</v>
      </c>
      <c r="G616" s="29">
        <v>0</v>
      </c>
      <c r="H616" s="29">
        <v>0</v>
      </c>
      <c r="I616" s="29">
        <v>0</v>
      </c>
      <c r="J616" s="29">
        <v>0</v>
      </c>
      <c r="K616" s="29" t="s">
        <v>882</v>
      </c>
      <c r="L616" s="19" t="str">
        <f t="shared" si="72"/>
        <v>Рихтовка</v>
      </c>
      <c r="M616" s="12">
        <f t="shared" si="80"/>
        <v>0</v>
      </c>
      <c r="N616" s="12">
        <f t="shared" si="81"/>
        <v>0</v>
      </c>
      <c r="O616" s="12">
        <f t="shared" si="82"/>
        <v>0</v>
      </c>
      <c r="P616" s="12">
        <f t="shared" si="83"/>
        <v>0</v>
      </c>
      <c r="Q616" s="12">
        <f t="shared" si="84"/>
        <v>0</v>
      </c>
      <c r="R616" s="12">
        <f t="shared" si="85"/>
        <v>0</v>
      </c>
      <c r="S616" s="12">
        <f t="shared" si="86"/>
        <v>0</v>
      </c>
      <c r="T616" s="29">
        <v>0</v>
      </c>
      <c r="U616" s="29">
        <v>0</v>
      </c>
      <c r="V616" s="29">
        <v>0</v>
      </c>
      <c r="W616" s="29">
        <v>0</v>
      </c>
      <c r="X616" s="29">
        <v>0</v>
      </c>
      <c r="Y616" s="29">
        <v>0</v>
      </c>
      <c r="Z616" s="29">
        <v>0</v>
      </c>
      <c r="AA616" s="29">
        <v>0</v>
      </c>
      <c r="AB616" s="29">
        <v>0</v>
      </c>
      <c r="AC616" s="29">
        <v>0</v>
      </c>
      <c r="AD616" s="29">
        <v>0</v>
      </c>
      <c r="AE616" s="29">
        <v>0</v>
      </c>
      <c r="AF616" s="29">
        <v>0</v>
      </c>
      <c r="AG616" s="29">
        <v>0</v>
      </c>
      <c r="AH616" s="29">
        <v>0</v>
      </c>
      <c r="AI616" s="29">
        <v>0</v>
      </c>
      <c r="AJ616" s="29">
        <v>0</v>
      </c>
      <c r="AK616" s="29">
        <v>0</v>
      </c>
      <c r="AL616" s="29">
        <v>0</v>
      </c>
      <c r="AM616" s="29">
        <v>0</v>
      </c>
      <c r="AN616" s="29">
        <v>0</v>
      </c>
      <c r="AO616" s="29">
        <v>0</v>
      </c>
      <c r="AP616" s="29">
        <v>0</v>
      </c>
    </row>
    <row r="617" spans="1:42" x14ac:dyDescent="0.25">
      <c r="A617" s="29">
        <v>32</v>
      </c>
      <c r="B617" s="29">
        <v>25202</v>
      </c>
      <c r="C617" s="29">
        <v>1</v>
      </c>
      <c r="D617" s="29" t="s">
        <v>1006</v>
      </c>
      <c r="E617" s="29"/>
      <c r="F617" s="29">
        <v>0</v>
      </c>
      <c r="G617" s="29">
        <v>0</v>
      </c>
      <c r="H617" s="29">
        <v>0</v>
      </c>
      <c r="I617" s="29">
        <v>0</v>
      </c>
      <c r="J617" s="29">
        <v>0</v>
      </c>
      <c r="K617" s="29" t="s">
        <v>882</v>
      </c>
      <c r="L617" s="19" t="str">
        <f t="shared" si="72"/>
        <v>Рихтовка</v>
      </c>
      <c r="M617" s="12">
        <f t="shared" si="80"/>
        <v>0</v>
      </c>
      <c r="N617" s="12">
        <f t="shared" si="81"/>
        <v>0</v>
      </c>
      <c r="O617" s="12">
        <f t="shared" si="82"/>
        <v>0</v>
      </c>
      <c r="P617" s="12">
        <f t="shared" si="83"/>
        <v>0</v>
      </c>
      <c r="Q617" s="12">
        <f t="shared" si="84"/>
        <v>0</v>
      </c>
      <c r="R617" s="12">
        <f t="shared" si="85"/>
        <v>0</v>
      </c>
      <c r="S617" s="12">
        <f t="shared" si="86"/>
        <v>0</v>
      </c>
      <c r="T617" s="29">
        <v>0</v>
      </c>
      <c r="U617" s="29">
        <v>0</v>
      </c>
      <c r="V617" s="29">
        <v>0</v>
      </c>
      <c r="W617" s="29">
        <v>0</v>
      </c>
      <c r="X617" s="29">
        <v>0</v>
      </c>
      <c r="Y617" s="29">
        <v>0</v>
      </c>
      <c r="Z617" s="29">
        <v>0</v>
      </c>
      <c r="AA617" s="29">
        <v>0</v>
      </c>
      <c r="AB617" s="29">
        <v>0</v>
      </c>
      <c r="AC617" s="29">
        <v>0</v>
      </c>
      <c r="AD617" s="29">
        <v>0</v>
      </c>
      <c r="AE617" s="29">
        <v>0</v>
      </c>
      <c r="AF617" s="29">
        <v>0</v>
      </c>
      <c r="AG617" s="29">
        <v>0</v>
      </c>
      <c r="AH617" s="29">
        <v>0</v>
      </c>
      <c r="AI617" s="29">
        <v>0</v>
      </c>
      <c r="AJ617" s="29">
        <v>0</v>
      </c>
      <c r="AK617" s="29">
        <v>0</v>
      </c>
      <c r="AL617" s="29">
        <v>0</v>
      </c>
      <c r="AM617" s="29">
        <v>0</v>
      </c>
      <c r="AN617" s="29">
        <v>0</v>
      </c>
      <c r="AO617" s="29">
        <v>0</v>
      </c>
      <c r="AP617" s="29">
        <v>0</v>
      </c>
    </row>
    <row r="618" spans="1:42" x14ac:dyDescent="0.25">
      <c r="A618" s="29">
        <v>32</v>
      </c>
      <c r="B618" s="29">
        <v>25202</v>
      </c>
      <c r="C618" s="29">
        <v>2</v>
      </c>
      <c r="D618" s="29" t="s">
        <v>1007</v>
      </c>
      <c r="E618" s="29"/>
      <c r="F618" s="29">
        <v>0</v>
      </c>
      <c r="G618" s="29">
        <v>0</v>
      </c>
      <c r="H618" s="29">
        <v>0</v>
      </c>
      <c r="I618" s="29">
        <v>0</v>
      </c>
      <c r="J618" s="29">
        <v>0</v>
      </c>
      <c r="K618" s="29" t="s">
        <v>882</v>
      </c>
      <c r="L618" s="19" t="str">
        <f t="shared" si="72"/>
        <v>Рихтовка</v>
      </c>
      <c r="M618" s="12">
        <f t="shared" si="80"/>
        <v>0</v>
      </c>
      <c r="N618" s="12">
        <f t="shared" si="81"/>
        <v>0</v>
      </c>
      <c r="O618" s="12">
        <f t="shared" si="82"/>
        <v>0</v>
      </c>
      <c r="P618" s="12">
        <f t="shared" si="83"/>
        <v>0</v>
      </c>
      <c r="Q618" s="12">
        <f t="shared" si="84"/>
        <v>0</v>
      </c>
      <c r="R618" s="12">
        <f t="shared" si="85"/>
        <v>0</v>
      </c>
      <c r="S618" s="12">
        <f t="shared" si="86"/>
        <v>0</v>
      </c>
      <c r="T618" s="29">
        <v>0</v>
      </c>
      <c r="U618" s="29">
        <v>0</v>
      </c>
      <c r="V618" s="29">
        <v>0</v>
      </c>
      <c r="W618" s="29">
        <v>0</v>
      </c>
      <c r="X618" s="29">
        <v>0</v>
      </c>
      <c r="Y618" s="29">
        <v>0</v>
      </c>
      <c r="Z618" s="29">
        <v>0</v>
      </c>
      <c r="AA618" s="29">
        <v>0</v>
      </c>
      <c r="AB618" s="29">
        <v>0</v>
      </c>
      <c r="AC618" s="29">
        <v>0</v>
      </c>
      <c r="AD618" s="29">
        <v>0</v>
      </c>
      <c r="AE618" s="29">
        <v>0</v>
      </c>
      <c r="AF618" s="29">
        <v>0</v>
      </c>
      <c r="AG618" s="29">
        <v>0</v>
      </c>
      <c r="AH618" s="29">
        <v>0</v>
      </c>
      <c r="AI618" s="29">
        <v>0</v>
      </c>
      <c r="AJ618" s="29">
        <v>0</v>
      </c>
      <c r="AK618" s="29">
        <v>0</v>
      </c>
      <c r="AL618" s="29">
        <v>0</v>
      </c>
      <c r="AM618" s="29">
        <v>0</v>
      </c>
      <c r="AN618" s="29">
        <v>0</v>
      </c>
      <c r="AO618" s="29">
        <v>0</v>
      </c>
      <c r="AP618" s="29">
        <v>0</v>
      </c>
    </row>
    <row r="619" spans="1:42" x14ac:dyDescent="0.25">
      <c r="A619" s="29">
        <v>32</v>
      </c>
      <c r="B619" s="29">
        <v>25202</v>
      </c>
      <c r="C619" s="29">
        <v>45</v>
      </c>
      <c r="D619" s="29" t="s">
        <v>1008</v>
      </c>
      <c r="E619" s="29"/>
      <c r="F619" s="29">
        <v>0</v>
      </c>
      <c r="G619" s="29">
        <v>0</v>
      </c>
      <c r="H619" s="29">
        <v>0</v>
      </c>
      <c r="I619" s="29">
        <v>0</v>
      </c>
      <c r="J619" s="29">
        <v>0</v>
      </c>
      <c r="K619" s="29" t="s">
        <v>882</v>
      </c>
      <c r="L619" s="19" t="str">
        <f t="shared" si="72"/>
        <v>Рихтовка</v>
      </c>
      <c r="M619" s="12">
        <f t="shared" si="80"/>
        <v>0</v>
      </c>
      <c r="N619" s="12">
        <f t="shared" si="81"/>
        <v>0</v>
      </c>
      <c r="O619" s="12">
        <f t="shared" si="82"/>
        <v>0</v>
      </c>
      <c r="P619" s="12">
        <f t="shared" si="83"/>
        <v>0</v>
      </c>
      <c r="Q619" s="12">
        <f t="shared" si="84"/>
        <v>0</v>
      </c>
      <c r="R619" s="12">
        <f t="shared" si="85"/>
        <v>0</v>
      </c>
      <c r="S619" s="12">
        <f t="shared" si="86"/>
        <v>0</v>
      </c>
      <c r="T619" s="29">
        <v>0</v>
      </c>
      <c r="U619" s="29">
        <v>0</v>
      </c>
      <c r="V619" s="29">
        <v>0</v>
      </c>
      <c r="W619" s="29">
        <v>0</v>
      </c>
      <c r="X619" s="29">
        <v>0</v>
      </c>
      <c r="Y619" s="29">
        <v>0</v>
      </c>
      <c r="Z619" s="29">
        <v>0</v>
      </c>
      <c r="AA619" s="29">
        <v>0</v>
      </c>
      <c r="AB619" s="29">
        <v>0</v>
      </c>
      <c r="AC619" s="29">
        <v>0</v>
      </c>
      <c r="AD619" s="29">
        <v>0</v>
      </c>
      <c r="AE619" s="29">
        <v>0</v>
      </c>
      <c r="AF619" s="29">
        <v>0</v>
      </c>
      <c r="AG619" s="29">
        <v>0</v>
      </c>
      <c r="AH619" s="29">
        <v>0</v>
      </c>
      <c r="AI619" s="29">
        <v>0</v>
      </c>
      <c r="AJ619" s="29">
        <v>0</v>
      </c>
      <c r="AK619" s="29">
        <v>0</v>
      </c>
      <c r="AL619" s="29">
        <v>0</v>
      </c>
      <c r="AM619" s="29">
        <v>0</v>
      </c>
      <c r="AN619" s="29">
        <v>0</v>
      </c>
      <c r="AO619" s="29">
        <v>0</v>
      </c>
      <c r="AP619" s="29">
        <v>0</v>
      </c>
    </row>
    <row r="620" spans="1:42" x14ac:dyDescent="0.25">
      <c r="A620" s="29">
        <v>32</v>
      </c>
      <c r="B620" s="29">
        <v>25202</v>
      </c>
      <c r="C620" s="29">
        <v>24</v>
      </c>
      <c r="D620" s="29" t="s">
        <v>1008</v>
      </c>
      <c r="E620" s="29"/>
      <c r="F620" s="29">
        <v>0</v>
      </c>
      <c r="G620" s="29">
        <v>0</v>
      </c>
      <c r="H620" s="29">
        <v>0</v>
      </c>
      <c r="I620" s="29">
        <v>0</v>
      </c>
      <c r="J620" s="29">
        <v>0</v>
      </c>
      <c r="K620" s="29" t="s">
        <v>882</v>
      </c>
      <c r="L620" s="19" t="str">
        <f t="shared" si="72"/>
        <v>Рихтовка</v>
      </c>
      <c r="M620" s="12">
        <f t="shared" si="80"/>
        <v>0</v>
      </c>
      <c r="N620" s="12">
        <f t="shared" si="81"/>
        <v>0</v>
      </c>
      <c r="O620" s="12">
        <f t="shared" si="82"/>
        <v>0</v>
      </c>
      <c r="P620" s="12">
        <f t="shared" si="83"/>
        <v>0</v>
      </c>
      <c r="Q620" s="12">
        <f t="shared" si="84"/>
        <v>0</v>
      </c>
      <c r="R620" s="12">
        <f t="shared" si="85"/>
        <v>0</v>
      </c>
      <c r="S620" s="12">
        <f t="shared" si="86"/>
        <v>0</v>
      </c>
      <c r="T620" s="29">
        <v>0</v>
      </c>
      <c r="U620" s="29">
        <v>0</v>
      </c>
      <c r="V620" s="29">
        <v>0</v>
      </c>
      <c r="W620" s="29">
        <v>0</v>
      </c>
      <c r="X620" s="29">
        <v>0</v>
      </c>
      <c r="Y620" s="29">
        <v>0</v>
      </c>
      <c r="Z620" s="29">
        <v>0</v>
      </c>
      <c r="AA620" s="29">
        <v>0</v>
      </c>
      <c r="AB620" s="29">
        <v>0</v>
      </c>
      <c r="AC620" s="29">
        <v>0</v>
      </c>
      <c r="AD620" s="29">
        <v>0</v>
      </c>
      <c r="AE620" s="29">
        <v>0</v>
      </c>
      <c r="AF620" s="29">
        <v>0</v>
      </c>
      <c r="AG620" s="29">
        <v>0</v>
      </c>
      <c r="AH620" s="29">
        <v>0</v>
      </c>
      <c r="AI620" s="29">
        <v>0</v>
      </c>
      <c r="AJ620" s="29">
        <v>0</v>
      </c>
      <c r="AK620" s="29">
        <v>0</v>
      </c>
      <c r="AL620" s="29">
        <v>0</v>
      </c>
      <c r="AM620" s="29">
        <v>0</v>
      </c>
      <c r="AN620" s="29">
        <v>0</v>
      </c>
      <c r="AO620" s="29">
        <v>0</v>
      </c>
      <c r="AP620" s="29">
        <v>0</v>
      </c>
    </row>
    <row r="621" spans="1:42" x14ac:dyDescent="0.25">
      <c r="A621" s="29">
        <v>32</v>
      </c>
      <c r="B621" s="29">
        <v>25202</v>
      </c>
      <c r="C621" s="29">
        <v>1</v>
      </c>
      <c r="D621" s="29" t="s">
        <v>1008</v>
      </c>
      <c r="E621" s="29"/>
      <c r="F621" s="29">
        <v>0</v>
      </c>
      <c r="G621" s="29">
        <v>0</v>
      </c>
      <c r="H621" s="29">
        <v>0</v>
      </c>
      <c r="I621" s="29">
        <v>0</v>
      </c>
      <c r="J621" s="29">
        <v>0</v>
      </c>
      <c r="K621" s="29" t="s">
        <v>882</v>
      </c>
      <c r="L621" s="19" t="str">
        <f t="shared" si="72"/>
        <v>Рихтовка</v>
      </c>
      <c r="M621" s="12">
        <f t="shared" si="80"/>
        <v>0</v>
      </c>
      <c r="N621" s="12">
        <f t="shared" si="81"/>
        <v>0</v>
      </c>
      <c r="O621" s="12">
        <f t="shared" si="82"/>
        <v>0</v>
      </c>
      <c r="P621" s="12">
        <f t="shared" si="83"/>
        <v>0</v>
      </c>
      <c r="Q621" s="12">
        <f t="shared" si="84"/>
        <v>0</v>
      </c>
      <c r="R621" s="12">
        <f t="shared" si="85"/>
        <v>0</v>
      </c>
      <c r="S621" s="12">
        <f t="shared" si="86"/>
        <v>0</v>
      </c>
      <c r="T621" s="29">
        <v>0</v>
      </c>
      <c r="U621" s="29">
        <v>0</v>
      </c>
      <c r="V621" s="29">
        <v>0</v>
      </c>
      <c r="W621" s="29">
        <v>0</v>
      </c>
      <c r="X621" s="29">
        <v>0</v>
      </c>
      <c r="Y621" s="29">
        <v>0</v>
      </c>
      <c r="Z621" s="29">
        <v>0</v>
      </c>
      <c r="AA621" s="29">
        <v>0</v>
      </c>
      <c r="AB621" s="29">
        <v>0</v>
      </c>
      <c r="AC621" s="29">
        <v>0</v>
      </c>
      <c r="AD621" s="29">
        <v>0</v>
      </c>
      <c r="AE621" s="29">
        <v>0</v>
      </c>
      <c r="AF621" s="29">
        <v>0</v>
      </c>
      <c r="AG621" s="29">
        <v>0</v>
      </c>
      <c r="AH621" s="29">
        <v>0</v>
      </c>
      <c r="AI621" s="29">
        <v>0</v>
      </c>
      <c r="AJ621" s="29">
        <v>0</v>
      </c>
      <c r="AK621" s="29">
        <v>0</v>
      </c>
      <c r="AL621" s="29">
        <v>0</v>
      </c>
      <c r="AM621" s="29">
        <v>0</v>
      </c>
      <c r="AN621" s="29">
        <v>0</v>
      </c>
      <c r="AO621" s="29">
        <v>0</v>
      </c>
      <c r="AP621" s="29">
        <v>0</v>
      </c>
    </row>
    <row r="622" spans="1:42" x14ac:dyDescent="0.25">
      <c r="A622" s="29">
        <v>32</v>
      </c>
      <c r="B622" s="29">
        <v>25202</v>
      </c>
      <c r="C622" s="29">
        <v>1</v>
      </c>
      <c r="D622" s="29" t="s">
        <v>1009</v>
      </c>
      <c r="E622" s="29"/>
      <c r="F622" s="29">
        <v>0</v>
      </c>
      <c r="G622" s="29">
        <v>0</v>
      </c>
      <c r="H622" s="29">
        <v>0</v>
      </c>
      <c r="I622" s="29">
        <v>0</v>
      </c>
      <c r="J622" s="29">
        <v>0</v>
      </c>
      <c r="K622" s="29" t="s">
        <v>882</v>
      </c>
      <c r="L622" s="19" t="str">
        <f t="shared" si="72"/>
        <v>Рихтовка</v>
      </c>
      <c r="M622" s="12">
        <f t="shared" si="80"/>
        <v>0</v>
      </c>
      <c r="N622" s="12">
        <f t="shared" si="81"/>
        <v>0</v>
      </c>
      <c r="O622" s="12">
        <f t="shared" si="82"/>
        <v>0</v>
      </c>
      <c r="P622" s="12">
        <f t="shared" si="83"/>
        <v>0</v>
      </c>
      <c r="Q622" s="12">
        <f t="shared" si="84"/>
        <v>0</v>
      </c>
      <c r="R622" s="12">
        <f t="shared" si="85"/>
        <v>0</v>
      </c>
      <c r="S622" s="12">
        <f t="shared" si="86"/>
        <v>0</v>
      </c>
      <c r="T622" s="29">
        <v>0</v>
      </c>
      <c r="U622" s="29">
        <v>0</v>
      </c>
      <c r="V622" s="29">
        <v>0</v>
      </c>
      <c r="W622" s="29">
        <v>0</v>
      </c>
      <c r="X622" s="29">
        <v>0</v>
      </c>
      <c r="Y622" s="29">
        <v>0</v>
      </c>
      <c r="Z622" s="29">
        <v>0</v>
      </c>
      <c r="AA622" s="29">
        <v>0</v>
      </c>
      <c r="AB622" s="29">
        <v>0</v>
      </c>
      <c r="AC622" s="29">
        <v>0</v>
      </c>
      <c r="AD622" s="29">
        <v>0</v>
      </c>
      <c r="AE622" s="29">
        <v>0</v>
      </c>
      <c r="AF622" s="29">
        <v>0</v>
      </c>
      <c r="AG622" s="29">
        <v>0</v>
      </c>
      <c r="AH622" s="29">
        <v>0</v>
      </c>
      <c r="AI622" s="29">
        <v>0</v>
      </c>
      <c r="AJ622" s="29">
        <v>0</v>
      </c>
      <c r="AK622" s="29">
        <v>0</v>
      </c>
      <c r="AL622" s="29">
        <v>0</v>
      </c>
      <c r="AM622" s="29">
        <v>0</v>
      </c>
      <c r="AN622" s="29">
        <v>0</v>
      </c>
      <c r="AO622" s="29">
        <v>0</v>
      </c>
      <c r="AP622" s="29">
        <v>0</v>
      </c>
    </row>
    <row r="623" spans="1:42" x14ac:dyDescent="0.25">
      <c r="A623" s="29">
        <v>32</v>
      </c>
      <c r="B623" s="29">
        <v>25202</v>
      </c>
      <c r="C623" s="29">
        <v>1</v>
      </c>
      <c r="D623" s="29" t="s">
        <v>1010</v>
      </c>
      <c r="E623" s="29"/>
      <c r="F623" s="29">
        <v>0</v>
      </c>
      <c r="G623" s="29">
        <v>0</v>
      </c>
      <c r="H623" s="29">
        <v>0</v>
      </c>
      <c r="I623" s="29">
        <v>0</v>
      </c>
      <c r="J623" s="29">
        <v>0</v>
      </c>
      <c r="K623" s="29" t="s">
        <v>882</v>
      </c>
      <c r="L623" s="19" t="str">
        <f t="shared" si="72"/>
        <v>Рихтовка</v>
      </c>
      <c r="M623" s="12">
        <f t="shared" si="80"/>
        <v>0</v>
      </c>
      <c r="N623" s="12">
        <f t="shared" si="81"/>
        <v>0</v>
      </c>
      <c r="O623" s="12">
        <f t="shared" si="82"/>
        <v>0</v>
      </c>
      <c r="P623" s="12">
        <f t="shared" si="83"/>
        <v>0</v>
      </c>
      <c r="Q623" s="12">
        <f t="shared" si="84"/>
        <v>0</v>
      </c>
      <c r="R623" s="12">
        <f t="shared" si="85"/>
        <v>0</v>
      </c>
      <c r="S623" s="12">
        <f t="shared" si="86"/>
        <v>0</v>
      </c>
      <c r="T623" s="29">
        <v>0</v>
      </c>
      <c r="U623" s="29">
        <v>0</v>
      </c>
      <c r="V623" s="29">
        <v>0</v>
      </c>
      <c r="W623" s="29">
        <v>0</v>
      </c>
      <c r="X623" s="29">
        <v>0</v>
      </c>
      <c r="Y623" s="29">
        <v>0</v>
      </c>
      <c r="Z623" s="29">
        <v>0</v>
      </c>
      <c r="AA623" s="29">
        <v>0</v>
      </c>
      <c r="AB623" s="29">
        <v>0</v>
      </c>
      <c r="AC623" s="29">
        <v>0</v>
      </c>
      <c r="AD623" s="29">
        <v>0</v>
      </c>
      <c r="AE623" s="29">
        <v>0</v>
      </c>
      <c r="AF623" s="29">
        <v>0</v>
      </c>
      <c r="AG623" s="29">
        <v>0</v>
      </c>
      <c r="AH623" s="29">
        <v>0</v>
      </c>
      <c r="AI623" s="29">
        <v>0</v>
      </c>
      <c r="AJ623" s="29">
        <v>0</v>
      </c>
      <c r="AK623" s="29">
        <v>0</v>
      </c>
      <c r="AL623" s="29">
        <v>0</v>
      </c>
      <c r="AM623" s="29">
        <v>0</v>
      </c>
      <c r="AN623" s="29">
        <v>0</v>
      </c>
      <c r="AO623" s="29">
        <v>0</v>
      </c>
      <c r="AP623" s="29">
        <v>0</v>
      </c>
    </row>
    <row r="624" spans="1:42" x14ac:dyDescent="0.25">
      <c r="A624" s="29">
        <v>32</v>
      </c>
      <c r="B624" s="29">
        <v>25202</v>
      </c>
      <c r="C624" s="29">
        <v>2</v>
      </c>
      <c r="D624" s="29" t="s">
        <v>1011</v>
      </c>
      <c r="E624" s="29"/>
      <c r="F624" s="29">
        <v>0</v>
      </c>
      <c r="G624" s="29">
        <v>0</v>
      </c>
      <c r="H624" s="29">
        <v>0</v>
      </c>
      <c r="I624" s="29">
        <v>0</v>
      </c>
      <c r="J624" s="29">
        <v>0</v>
      </c>
      <c r="K624" s="29" t="s">
        <v>882</v>
      </c>
      <c r="L624" s="19" t="str">
        <f t="shared" si="72"/>
        <v>Рихтовка</v>
      </c>
      <c r="M624" s="12">
        <f t="shared" si="80"/>
        <v>0</v>
      </c>
      <c r="N624" s="12">
        <f t="shared" si="81"/>
        <v>0</v>
      </c>
      <c r="O624" s="12">
        <f t="shared" si="82"/>
        <v>0</v>
      </c>
      <c r="P624" s="12">
        <f t="shared" si="83"/>
        <v>0</v>
      </c>
      <c r="Q624" s="12">
        <f t="shared" si="84"/>
        <v>0</v>
      </c>
      <c r="R624" s="12">
        <f t="shared" si="85"/>
        <v>0</v>
      </c>
      <c r="S624" s="12">
        <f t="shared" si="86"/>
        <v>0</v>
      </c>
      <c r="T624" s="29">
        <v>0</v>
      </c>
      <c r="U624" s="29">
        <v>0</v>
      </c>
      <c r="V624" s="29">
        <v>0</v>
      </c>
      <c r="W624" s="29">
        <v>0</v>
      </c>
      <c r="X624" s="29">
        <v>0</v>
      </c>
      <c r="Y624" s="29">
        <v>0</v>
      </c>
      <c r="Z624" s="29">
        <v>0</v>
      </c>
      <c r="AA624" s="29">
        <v>0</v>
      </c>
      <c r="AB624" s="29">
        <v>0</v>
      </c>
      <c r="AC624" s="29">
        <v>0</v>
      </c>
      <c r="AD624" s="29">
        <v>0</v>
      </c>
      <c r="AE624" s="29">
        <v>0</v>
      </c>
      <c r="AF624" s="29">
        <v>0</v>
      </c>
      <c r="AG624" s="29">
        <v>0</v>
      </c>
      <c r="AH624" s="29">
        <v>0</v>
      </c>
      <c r="AI624" s="29">
        <v>0</v>
      </c>
      <c r="AJ624" s="29">
        <v>0</v>
      </c>
      <c r="AK624" s="29">
        <v>0</v>
      </c>
      <c r="AL624" s="29">
        <v>0</v>
      </c>
      <c r="AM624" s="29">
        <v>0</v>
      </c>
      <c r="AN624" s="29">
        <v>0</v>
      </c>
      <c r="AO624" s="29">
        <v>0</v>
      </c>
      <c r="AP624" s="29">
        <v>0</v>
      </c>
    </row>
    <row r="625" spans="1:42" x14ac:dyDescent="0.25">
      <c r="A625" s="29">
        <v>32</v>
      </c>
      <c r="B625" s="29">
        <v>25202</v>
      </c>
      <c r="C625" s="29">
        <v>1</v>
      </c>
      <c r="D625" s="29" t="s">
        <v>1012</v>
      </c>
      <c r="E625" s="29"/>
      <c r="F625" s="29">
        <v>0</v>
      </c>
      <c r="G625" s="29">
        <v>0</v>
      </c>
      <c r="H625" s="29">
        <v>0</v>
      </c>
      <c r="I625" s="29">
        <v>0</v>
      </c>
      <c r="J625" s="29">
        <v>0</v>
      </c>
      <c r="K625" s="29" t="s">
        <v>882</v>
      </c>
      <c r="L625" s="19" t="str">
        <f t="shared" si="72"/>
        <v>Рихтовка</v>
      </c>
      <c r="M625" s="12">
        <f t="shared" si="80"/>
        <v>0</v>
      </c>
      <c r="N625" s="12">
        <f t="shared" si="81"/>
        <v>0</v>
      </c>
      <c r="O625" s="12">
        <f t="shared" si="82"/>
        <v>0</v>
      </c>
      <c r="P625" s="12">
        <f t="shared" si="83"/>
        <v>0</v>
      </c>
      <c r="Q625" s="12">
        <f t="shared" si="84"/>
        <v>0</v>
      </c>
      <c r="R625" s="12">
        <f t="shared" si="85"/>
        <v>0</v>
      </c>
      <c r="S625" s="12">
        <f t="shared" si="86"/>
        <v>0</v>
      </c>
      <c r="T625" s="29">
        <v>0</v>
      </c>
      <c r="U625" s="29">
        <v>0</v>
      </c>
      <c r="V625" s="29">
        <v>0</v>
      </c>
      <c r="W625" s="29">
        <v>0</v>
      </c>
      <c r="X625" s="29">
        <v>0</v>
      </c>
      <c r="Y625" s="29">
        <v>0</v>
      </c>
      <c r="Z625" s="29">
        <v>0</v>
      </c>
      <c r="AA625" s="29">
        <v>0</v>
      </c>
      <c r="AB625" s="29">
        <v>0</v>
      </c>
      <c r="AC625" s="29">
        <v>0</v>
      </c>
      <c r="AD625" s="29">
        <v>0</v>
      </c>
      <c r="AE625" s="29">
        <v>0</v>
      </c>
      <c r="AF625" s="29">
        <v>0</v>
      </c>
      <c r="AG625" s="29">
        <v>0</v>
      </c>
      <c r="AH625" s="29">
        <v>0</v>
      </c>
      <c r="AI625" s="29">
        <v>0</v>
      </c>
      <c r="AJ625" s="29">
        <v>0</v>
      </c>
      <c r="AK625" s="29">
        <v>0</v>
      </c>
      <c r="AL625" s="29">
        <v>0</v>
      </c>
      <c r="AM625" s="29">
        <v>0</v>
      </c>
      <c r="AN625" s="29">
        <v>0</v>
      </c>
      <c r="AO625" s="29">
        <v>0</v>
      </c>
      <c r="AP625" s="29">
        <v>0</v>
      </c>
    </row>
    <row r="626" spans="1:42" x14ac:dyDescent="0.25">
      <c r="A626" s="29">
        <v>32</v>
      </c>
      <c r="B626" s="29">
        <v>25202</v>
      </c>
      <c r="C626" s="29">
        <v>1</v>
      </c>
      <c r="D626" s="29" t="s">
        <v>1013</v>
      </c>
      <c r="E626" s="29"/>
      <c r="F626" s="29">
        <v>0</v>
      </c>
      <c r="G626" s="29">
        <v>0</v>
      </c>
      <c r="H626" s="29">
        <v>0</v>
      </c>
      <c r="I626" s="29">
        <v>0</v>
      </c>
      <c r="J626" s="29">
        <v>0</v>
      </c>
      <c r="K626" s="29" t="s">
        <v>882</v>
      </c>
      <c r="L626" s="19" t="str">
        <f t="shared" si="72"/>
        <v>Рихтовка</v>
      </c>
      <c r="M626" s="12">
        <f t="shared" si="80"/>
        <v>0</v>
      </c>
      <c r="N626" s="12">
        <f t="shared" si="81"/>
        <v>0</v>
      </c>
      <c r="O626" s="12">
        <f t="shared" si="82"/>
        <v>0</v>
      </c>
      <c r="P626" s="12">
        <f t="shared" si="83"/>
        <v>0</v>
      </c>
      <c r="Q626" s="12">
        <f t="shared" si="84"/>
        <v>0</v>
      </c>
      <c r="R626" s="12">
        <f t="shared" si="85"/>
        <v>0</v>
      </c>
      <c r="S626" s="12">
        <f t="shared" si="86"/>
        <v>0</v>
      </c>
      <c r="T626" s="29">
        <v>0</v>
      </c>
      <c r="U626" s="29">
        <v>0</v>
      </c>
      <c r="V626" s="29">
        <v>0</v>
      </c>
      <c r="W626" s="29">
        <v>0</v>
      </c>
      <c r="X626" s="29">
        <v>0</v>
      </c>
      <c r="Y626" s="29">
        <v>0</v>
      </c>
      <c r="Z626" s="29">
        <v>0</v>
      </c>
      <c r="AA626" s="29">
        <v>0</v>
      </c>
      <c r="AB626" s="29">
        <v>0</v>
      </c>
      <c r="AC626" s="29">
        <v>0</v>
      </c>
      <c r="AD626" s="29">
        <v>0</v>
      </c>
      <c r="AE626" s="29">
        <v>0</v>
      </c>
      <c r="AF626" s="29">
        <v>0</v>
      </c>
      <c r="AG626" s="29">
        <v>0</v>
      </c>
      <c r="AH626" s="29">
        <v>0</v>
      </c>
      <c r="AI626" s="29">
        <v>0</v>
      </c>
      <c r="AJ626" s="29">
        <v>0</v>
      </c>
      <c r="AK626" s="29">
        <v>0</v>
      </c>
      <c r="AL626" s="29">
        <v>0</v>
      </c>
      <c r="AM626" s="29">
        <v>0</v>
      </c>
      <c r="AN626" s="29">
        <v>0</v>
      </c>
      <c r="AO626" s="29">
        <v>0</v>
      </c>
      <c r="AP626" s="29">
        <v>0</v>
      </c>
    </row>
    <row r="627" spans="1:42" x14ac:dyDescent="0.25">
      <c r="A627" s="29">
        <v>32</v>
      </c>
      <c r="B627" s="29">
        <v>25202</v>
      </c>
      <c r="C627" s="29">
        <v>1</v>
      </c>
      <c r="D627" s="29" t="s">
        <v>1014</v>
      </c>
      <c r="E627" s="29"/>
      <c r="F627" s="29">
        <v>0</v>
      </c>
      <c r="G627" s="29">
        <v>0</v>
      </c>
      <c r="H627" s="29">
        <v>0</v>
      </c>
      <c r="I627" s="29">
        <v>0</v>
      </c>
      <c r="J627" s="29">
        <v>0</v>
      </c>
      <c r="K627" s="29" t="s">
        <v>882</v>
      </c>
      <c r="L627" s="19" t="str">
        <f t="shared" si="72"/>
        <v>Рихтовка</v>
      </c>
      <c r="M627" s="12">
        <f t="shared" si="80"/>
        <v>0</v>
      </c>
      <c r="N627" s="12">
        <f t="shared" si="81"/>
        <v>0</v>
      </c>
      <c r="O627" s="12">
        <f t="shared" si="82"/>
        <v>0</v>
      </c>
      <c r="P627" s="12">
        <f t="shared" si="83"/>
        <v>0</v>
      </c>
      <c r="Q627" s="12">
        <f t="shared" si="84"/>
        <v>0</v>
      </c>
      <c r="R627" s="12">
        <f t="shared" si="85"/>
        <v>0</v>
      </c>
      <c r="S627" s="12">
        <f t="shared" si="86"/>
        <v>0</v>
      </c>
      <c r="T627" s="29">
        <v>0</v>
      </c>
      <c r="U627" s="29">
        <v>0</v>
      </c>
      <c r="V627" s="29">
        <v>0</v>
      </c>
      <c r="W627" s="29">
        <v>0</v>
      </c>
      <c r="X627" s="29">
        <v>0</v>
      </c>
      <c r="Y627" s="29">
        <v>0</v>
      </c>
      <c r="Z627" s="29">
        <v>0</v>
      </c>
      <c r="AA627" s="29">
        <v>0</v>
      </c>
      <c r="AB627" s="29">
        <v>0</v>
      </c>
      <c r="AC627" s="29">
        <v>0</v>
      </c>
      <c r="AD627" s="29">
        <v>0</v>
      </c>
      <c r="AE627" s="29">
        <v>0</v>
      </c>
      <c r="AF627" s="29">
        <v>0</v>
      </c>
      <c r="AG627" s="29">
        <v>0</v>
      </c>
      <c r="AH627" s="29">
        <v>0</v>
      </c>
      <c r="AI627" s="29">
        <v>0</v>
      </c>
      <c r="AJ627" s="29">
        <v>0</v>
      </c>
      <c r="AK627" s="29">
        <v>0</v>
      </c>
      <c r="AL627" s="29">
        <v>0</v>
      </c>
      <c r="AM627" s="29">
        <v>0</v>
      </c>
      <c r="AN627" s="29">
        <v>0</v>
      </c>
      <c r="AO627" s="29">
        <v>0</v>
      </c>
      <c r="AP627" s="29">
        <v>0</v>
      </c>
    </row>
    <row r="628" spans="1:42" x14ac:dyDescent="0.25">
      <c r="A628" s="29">
        <v>32</v>
      </c>
      <c r="B628" s="29">
        <v>25202</v>
      </c>
      <c r="C628" s="29">
        <v>1</v>
      </c>
      <c r="D628" s="29" t="s">
        <v>1015</v>
      </c>
      <c r="E628" s="29"/>
      <c r="F628" s="29">
        <v>0</v>
      </c>
      <c r="G628" s="29">
        <v>0</v>
      </c>
      <c r="H628" s="29">
        <v>0</v>
      </c>
      <c r="I628" s="29">
        <v>0</v>
      </c>
      <c r="J628" s="29">
        <v>0</v>
      </c>
      <c r="K628" s="29" t="s">
        <v>882</v>
      </c>
      <c r="L628" s="19" t="str">
        <f t="shared" si="72"/>
        <v>Рихтовка</v>
      </c>
      <c r="M628" s="12">
        <f t="shared" si="80"/>
        <v>0</v>
      </c>
      <c r="N628" s="12">
        <f t="shared" si="81"/>
        <v>0</v>
      </c>
      <c r="O628" s="12">
        <f t="shared" si="82"/>
        <v>0</v>
      </c>
      <c r="P628" s="12">
        <f t="shared" si="83"/>
        <v>0</v>
      </c>
      <c r="Q628" s="12">
        <f t="shared" si="84"/>
        <v>0</v>
      </c>
      <c r="R628" s="12">
        <f t="shared" si="85"/>
        <v>0</v>
      </c>
      <c r="S628" s="12">
        <f t="shared" si="86"/>
        <v>0</v>
      </c>
      <c r="T628" s="29">
        <v>0</v>
      </c>
      <c r="U628" s="29">
        <v>0</v>
      </c>
      <c r="V628" s="29">
        <v>0</v>
      </c>
      <c r="W628" s="29">
        <v>0</v>
      </c>
      <c r="X628" s="29">
        <v>0</v>
      </c>
      <c r="Y628" s="29">
        <v>0</v>
      </c>
      <c r="Z628" s="29">
        <v>0</v>
      </c>
      <c r="AA628" s="29">
        <v>0</v>
      </c>
      <c r="AB628" s="29">
        <v>0</v>
      </c>
      <c r="AC628" s="29">
        <v>0</v>
      </c>
      <c r="AD628" s="29">
        <v>0</v>
      </c>
      <c r="AE628" s="29">
        <v>0</v>
      </c>
      <c r="AF628" s="29">
        <v>0</v>
      </c>
      <c r="AG628" s="29">
        <v>0</v>
      </c>
      <c r="AH628" s="29">
        <v>0</v>
      </c>
      <c r="AI628" s="29">
        <v>0</v>
      </c>
      <c r="AJ628" s="29">
        <v>0</v>
      </c>
      <c r="AK628" s="29">
        <v>0</v>
      </c>
      <c r="AL628" s="29">
        <v>0</v>
      </c>
      <c r="AM628" s="29">
        <v>0</v>
      </c>
      <c r="AN628" s="29">
        <v>0</v>
      </c>
      <c r="AO628" s="29">
        <v>0</v>
      </c>
      <c r="AP628" s="29">
        <v>0</v>
      </c>
    </row>
    <row r="629" spans="1:42" x14ac:dyDescent="0.25">
      <c r="A629" s="29">
        <v>32</v>
      </c>
      <c r="B629" s="29">
        <v>25202</v>
      </c>
      <c r="C629" s="29">
        <v>31</v>
      </c>
      <c r="D629" s="29" t="s">
        <v>1015</v>
      </c>
      <c r="E629" s="29"/>
      <c r="F629" s="29">
        <v>0</v>
      </c>
      <c r="G629" s="29">
        <v>0</v>
      </c>
      <c r="H629" s="29">
        <v>0</v>
      </c>
      <c r="I629" s="29">
        <v>0</v>
      </c>
      <c r="J629" s="29">
        <v>0</v>
      </c>
      <c r="K629" s="29" t="s">
        <v>882</v>
      </c>
      <c r="L629" s="19" t="str">
        <f t="shared" si="72"/>
        <v>Рихтовка</v>
      </c>
      <c r="M629" s="12">
        <f t="shared" si="80"/>
        <v>0</v>
      </c>
      <c r="N629" s="12">
        <f t="shared" si="81"/>
        <v>0</v>
      </c>
      <c r="O629" s="12">
        <f t="shared" si="82"/>
        <v>0</v>
      </c>
      <c r="P629" s="12">
        <f t="shared" si="83"/>
        <v>0</v>
      </c>
      <c r="Q629" s="12">
        <f t="shared" si="84"/>
        <v>0</v>
      </c>
      <c r="R629" s="12">
        <f t="shared" si="85"/>
        <v>0</v>
      </c>
      <c r="S629" s="12">
        <f t="shared" si="86"/>
        <v>0</v>
      </c>
      <c r="T629" s="29">
        <v>0</v>
      </c>
      <c r="U629" s="29">
        <v>0</v>
      </c>
      <c r="V629" s="29">
        <v>0</v>
      </c>
      <c r="W629" s="29">
        <v>0</v>
      </c>
      <c r="X629" s="29">
        <v>0</v>
      </c>
      <c r="Y629" s="29">
        <v>0</v>
      </c>
      <c r="Z629" s="29">
        <v>0</v>
      </c>
      <c r="AA629" s="29">
        <v>0</v>
      </c>
      <c r="AB629" s="29">
        <v>0</v>
      </c>
      <c r="AC629" s="29">
        <v>0</v>
      </c>
      <c r="AD629" s="29">
        <v>0</v>
      </c>
      <c r="AE629" s="29">
        <v>0</v>
      </c>
      <c r="AF629" s="29">
        <v>0</v>
      </c>
      <c r="AG629" s="29">
        <v>0</v>
      </c>
      <c r="AH629" s="29">
        <v>0</v>
      </c>
      <c r="AI629" s="29">
        <v>0</v>
      </c>
      <c r="AJ629" s="29">
        <v>0</v>
      </c>
      <c r="AK629" s="29">
        <v>0</v>
      </c>
      <c r="AL629" s="29">
        <v>0</v>
      </c>
      <c r="AM629" s="29">
        <v>0</v>
      </c>
      <c r="AN629" s="29">
        <v>0</v>
      </c>
      <c r="AO629" s="29">
        <v>0</v>
      </c>
      <c r="AP629" s="29">
        <v>0</v>
      </c>
    </row>
    <row r="630" spans="1:42" x14ac:dyDescent="0.25">
      <c r="A630" s="29">
        <v>32</v>
      </c>
      <c r="B630" s="29">
        <v>25202</v>
      </c>
      <c r="C630" s="29">
        <v>11</v>
      </c>
      <c r="D630" s="29" t="s">
        <v>1015</v>
      </c>
      <c r="E630" s="29"/>
      <c r="F630" s="29">
        <v>0</v>
      </c>
      <c r="G630" s="29">
        <v>0</v>
      </c>
      <c r="H630" s="29">
        <v>0</v>
      </c>
      <c r="I630" s="29">
        <v>0</v>
      </c>
      <c r="J630" s="29">
        <v>0</v>
      </c>
      <c r="K630" s="29" t="s">
        <v>882</v>
      </c>
      <c r="L630" s="19" t="str">
        <f t="shared" si="72"/>
        <v>Рихтовка</v>
      </c>
      <c r="M630" s="12">
        <f t="shared" si="80"/>
        <v>0</v>
      </c>
      <c r="N630" s="12">
        <f t="shared" si="81"/>
        <v>0</v>
      </c>
      <c r="O630" s="12">
        <f t="shared" si="82"/>
        <v>0</v>
      </c>
      <c r="P630" s="12">
        <f t="shared" si="83"/>
        <v>0</v>
      </c>
      <c r="Q630" s="12">
        <f t="shared" si="84"/>
        <v>0</v>
      </c>
      <c r="R630" s="12">
        <f t="shared" si="85"/>
        <v>0</v>
      </c>
      <c r="S630" s="12">
        <f t="shared" si="86"/>
        <v>0</v>
      </c>
      <c r="T630" s="29">
        <v>0</v>
      </c>
      <c r="U630" s="29">
        <v>0</v>
      </c>
      <c r="V630" s="29">
        <v>0</v>
      </c>
      <c r="W630" s="29">
        <v>0</v>
      </c>
      <c r="X630" s="29">
        <v>0</v>
      </c>
      <c r="Y630" s="29">
        <v>0</v>
      </c>
      <c r="Z630" s="29">
        <v>0</v>
      </c>
      <c r="AA630" s="29">
        <v>0</v>
      </c>
      <c r="AB630" s="29">
        <v>0</v>
      </c>
      <c r="AC630" s="29">
        <v>0</v>
      </c>
      <c r="AD630" s="29">
        <v>0</v>
      </c>
      <c r="AE630" s="29">
        <v>0</v>
      </c>
      <c r="AF630" s="29">
        <v>0</v>
      </c>
      <c r="AG630" s="29">
        <v>0</v>
      </c>
      <c r="AH630" s="29">
        <v>0</v>
      </c>
      <c r="AI630" s="29">
        <v>0</v>
      </c>
      <c r="AJ630" s="29">
        <v>0</v>
      </c>
      <c r="AK630" s="29">
        <v>0</v>
      </c>
      <c r="AL630" s="29">
        <v>0</v>
      </c>
      <c r="AM630" s="29">
        <v>0</v>
      </c>
      <c r="AN630" s="29">
        <v>0</v>
      </c>
      <c r="AO630" s="29">
        <v>0</v>
      </c>
      <c r="AP630" s="29">
        <v>0</v>
      </c>
    </row>
    <row r="631" spans="1:42" x14ac:dyDescent="0.25">
      <c r="A631" s="29">
        <v>32</v>
      </c>
      <c r="B631" s="29">
        <v>25202</v>
      </c>
      <c r="C631" s="29">
        <v>41</v>
      </c>
      <c r="D631" s="29" t="s">
        <v>1015</v>
      </c>
      <c r="E631" s="29"/>
      <c r="F631" s="29">
        <v>0</v>
      </c>
      <c r="G631" s="29">
        <v>0</v>
      </c>
      <c r="H631" s="29">
        <v>0</v>
      </c>
      <c r="I631" s="29">
        <v>0</v>
      </c>
      <c r="J631" s="29">
        <v>0</v>
      </c>
      <c r="K631" s="29" t="s">
        <v>882</v>
      </c>
      <c r="L631" s="19" t="str">
        <f t="shared" si="72"/>
        <v>Рихтовка</v>
      </c>
      <c r="M631" s="12">
        <f t="shared" si="80"/>
        <v>0</v>
      </c>
      <c r="N631" s="12">
        <f t="shared" si="81"/>
        <v>0</v>
      </c>
      <c r="O631" s="12">
        <f t="shared" si="82"/>
        <v>0</v>
      </c>
      <c r="P631" s="12">
        <f t="shared" si="83"/>
        <v>0</v>
      </c>
      <c r="Q631" s="12">
        <f t="shared" si="84"/>
        <v>0</v>
      </c>
      <c r="R631" s="12">
        <f t="shared" si="85"/>
        <v>0</v>
      </c>
      <c r="S631" s="12">
        <f t="shared" si="86"/>
        <v>0</v>
      </c>
      <c r="T631" s="29">
        <v>0</v>
      </c>
      <c r="U631" s="29">
        <v>0</v>
      </c>
      <c r="V631" s="29">
        <v>0</v>
      </c>
      <c r="W631" s="29">
        <v>0</v>
      </c>
      <c r="X631" s="29">
        <v>0</v>
      </c>
      <c r="Y631" s="29">
        <v>0</v>
      </c>
      <c r="Z631" s="29">
        <v>0</v>
      </c>
      <c r="AA631" s="29">
        <v>0</v>
      </c>
      <c r="AB631" s="29">
        <v>0</v>
      </c>
      <c r="AC631" s="29">
        <v>0</v>
      </c>
      <c r="AD631" s="29">
        <v>0</v>
      </c>
      <c r="AE631" s="29">
        <v>0</v>
      </c>
      <c r="AF631" s="29">
        <v>0</v>
      </c>
      <c r="AG631" s="29">
        <v>0</v>
      </c>
      <c r="AH631" s="29">
        <v>0</v>
      </c>
      <c r="AI631" s="29">
        <v>0</v>
      </c>
      <c r="AJ631" s="29">
        <v>0</v>
      </c>
      <c r="AK631" s="29">
        <v>0</v>
      </c>
      <c r="AL631" s="29">
        <v>0</v>
      </c>
      <c r="AM631" s="29">
        <v>0</v>
      </c>
      <c r="AN631" s="29">
        <v>0</v>
      </c>
      <c r="AO631" s="29">
        <v>0</v>
      </c>
      <c r="AP631" s="29">
        <v>0</v>
      </c>
    </row>
    <row r="632" spans="1:42" x14ac:dyDescent="0.25">
      <c r="A632" s="29">
        <v>32</v>
      </c>
      <c r="B632" s="29">
        <v>25202</v>
      </c>
      <c r="C632" s="29">
        <v>1</v>
      </c>
      <c r="D632" s="29" t="s">
        <v>1016</v>
      </c>
      <c r="E632" s="29"/>
      <c r="F632" s="29">
        <v>0</v>
      </c>
      <c r="G632" s="29">
        <v>0</v>
      </c>
      <c r="H632" s="29">
        <v>0</v>
      </c>
      <c r="I632" s="29">
        <v>0</v>
      </c>
      <c r="J632" s="29">
        <v>0</v>
      </c>
      <c r="K632" s="29" t="s">
        <v>882</v>
      </c>
      <c r="L632" s="19" t="str">
        <f t="shared" si="72"/>
        <v>Рихтовка</v>
      </c>
      <c r="M632" s="12">
        <f t="shared" si="80"/>
        <v>0</v>
      </c>
      <c r="N632" s="12">
        <f t="shared" si="81"/>
        <v>0</v>
      </c>
      <c r="O632" s="12">
        <f t="shared" si="82"/>
        <v>0</v>
      </c>
      <c r="P632" s="12">
        <f t="shared" si="83"/>
        <v>0</v>
      </c>
      <c r="Q632" s="12">
        <f t="shared" si="84"/>
        <v>0</v>
      </c>
      <c r="R632" s="12">
        <f t="shared" si="85"/>
        <v>0</v>
      </c>
      <c r="S632" s="12">
        <f t="shared" si="86"/>
        <v>0</v>
      </c>
      <c r="T632" s="29">
        <v>0</v>
      </c>
      <c r="U632" s="29">
        <v>0</v>
      </c>
      <c r="V632" s="29">
        <v>0</v>
      </c>
      <c r="W632" s="29">
        <v>0</v>
      </c>
      <c r="X632" s="29">
        <v>0</v>
      </c>
      <c r="Y632" s="29">
        <v>0</v>
      </c>
      <c r="Z632" s="29">
        <v>0</v>
      </c>
      <c r="AA632" s="29">
        <v>0</v>
      </c>
      <c r="AB632" s="29">
        <v>0</v>
      </c>
      <c r="AC632" s="29">
        <v>0</v>
      </c>
      <c r="AD632" s="29">
        <v>0</v>
      </c>
      <c r="AE632" s="29">
        <v>0</v>
      </c>
      <c r="AF632" s="29">
        <v>0</v>
      </c>
      <c r="AG632" s="29">
        <v>0</v>
      </c>
      <c r="AH632" s="29">
        <v>0</v>
      </c>
      <c r="AI632" s="29">
        <v>0</v>
      </c>
      <c r="AJ632" s="29">
        <v>0</v>
      </c>
      <c r="AK632" s="29">
        <v>0</v>
      </c>
      <c r="AL632" s="29">
        <v>0</v>
      </c>
      <c r="AM632" s="29">
        <v>0</v>
      </c>
      <c r="AN632" s="29">
        <v>0</v>
      </c>
      <c r="AO632" s="29">
        <v>0</v>
      </c>
      <c r="AP632" s="29">
        <v>0</v>
      </c>
    </row>
    <row r="633" spans="1:42" x14ac:dyDescent="0.25">
      <c r="A633" s="29">
        <v>32</v>
      </c>
      <c r="B633" s="29">
        <v>25236</v>
      </c>
      <c r="C633" s="29">
        <v>12</v>
      </c>
      <c r="D633" s="29" t="s">
        <v>1017</v>
      </c>
      <c r="E633" s="29"/>
      <c r="F633" s="29">
        <v>0</v>
      </c>
      <c r="G633" s="29">
        <v>0</v>
      </c>
      <c r="H633" s="29">
        <v>0</v>
      </c>
      <c r="I633" s="29">
        <v>0</v>
      </c>
      <c r="J633" s="29">
        <v>0</v>
      </c>
      <c r="K633" s="29" t="s">
        <v>882</v>
      </c>
      <c r="L633" s="19" t="str">
        <f t="shared" si="72"/>
        <v>Рихтовка</v>
      </c>
      <c r="M633" s="12">
        <f t="shared" si="80"/>
        <v>0</v>
      </c>
      <c r="N633" s="12">
        <f t="shared" si="81"/>
        <v>0</v>
      </c>
      <c r="O633" s="12">
        <f t="shared" si="82"/>
        <v>0</v>
      </c>
      <c r="P633" s="12">
        <f t="shared" si="83"/>
        <v>0</v>
      </c>
      <c r="Q633" s="12">
        <f t="shared" si="84"/>
        <v>0</v>
      </c>
      <c r="R633" s="12">
        <f t="shared" si="85"/>
        <v>0</v>
      </c>
      <c r="S633" s="12">
        <f t="shared" si="86"/>
        <v>0</v>
      </c>
      <c r="T633" s="29">
        <v>0</v>
      </c>
      <c r="U633" s="29">
        <v>0</v>
      </c>
      <c r="V633" s="29">
        <v>0</v>
      </c>
      <c r="W633" s="29">
        <v>0</v>
      </c>
      <c r="X633" s="29">
        <v>0</v>
      </c>
      <c r="Y633" s="29">
        <v>0</v>
      </c>
      <c r="Z633" s="29">
        <v>0</v>
      </c>
      <c r="AA633" s="29">
        <v>0</v>
      </c>
      <c r="AB633" s="29">
        <v>0</v>
      </c>
      <c r="AC633" s="29">
        <v>0</v>
      </c>
      <c r="AD633" s="29">
        <v>0</v>
      </c>
      <c r="AE633" s="29">
        <v>0</v>
      </c>
      <c r="AF633" s="29">
        <v>0</v>
      </c>
      <c r="AG633" s="29">
        <v>0</v>
      </c>
      <c r="AH633" s="29">
        <v>0</v>
      </c>
      <c r="AI633" s="29">
        <v>0</v>
      </c>
      <c r="AJ633" s="29">
        <v>0</v>
      </c>
      <c r="AK633" s="29">
        <v>0</v>
      </c>
      <c r="AL633" s="29">
        <v>0</v>
      </c>
      <c r="AM633" s="29">
        <v>0</v>
      </c>
      <c r="AN633" s="29">
        <v>0</v>
      </c>
      <c r="AO633" s="29">
        <v>0</v>
      </c>
      <c r="AP633" s="29">
        <v>0</v>
      </c>
    </row>
    <row r="634" spans="1:42" x14ac:dyDescent="0.25">
      <c r="A634" s="29">
        <v>32</v>
      </c>
      <c r="B634" s="29">
        <v>25202</v>
      </c>
      <c r="C634" s="29">
        <v>13</v>
      </c>
      <c r="D634" s="29" t="s">
        <v>1017</v>
      </c>
      <c r="E634" s="29"/>
      <c r="F634" s="29">
        <v>0</v>
      </c>
      <c r="G634" s="29">
        <v>0</v>
      </c>
      <c r="H634" s="29">
        <v>0</v>
      </c>
      <c r="I634" s="29">
        <v>0</v>
      </c>
      <c r="J634" s="29">
        <v>0</v>
      </c>
      <c r="K634" s="29" t="s">
        <v>882</v>
      </c>
      <c r="L634" s="19" t="str">
        <f t="shared" si="72"/>
        <v>Рихтовка</v>
      </c>
      <c r="M634" s="12">
        <f t="shared" si="80"/>
        <v>0</v>
      </c>
      <c r="N634" s="12">
        <f t="shared" si="81"/>
        <v>0</v>
      </c>
      <c r="O634" s="12">
        <f t="shared" si="82"/>
        <v>0</v>
      </c>
      <c r="P634" s="12">
        <f t="shared" si="83"/>
        <v>0</v>
      </c>
      <c r="Q634" s="12">
        <f t="shared" si="84"/>
        <v>0</v>
      </c>
      <c r="R634" s="12">
        <f t="shared" si="85"/>
        <v>0</v>
      </c>
      <c r="S634" s="12">
        <f t="shared" si="86"/>
        <v>0</v>
      </c>
      <c r="T634" s="29">
        <v>0</v>
      </c>
      <c r="U634" s="29">
        <v>0</v>
      </c>
      <c r="V634" s="29">
        <v>0</v>
      </c>
      <c r="W634" s="29">
        <v>0</v>
      </c>
      <c r="X634" s="29">
        <v>0</v>
      </c>
      <c r="Y634" s="29">
        <v>0</v>
      </c>
      <c r="Z634" s="29">
        <v>0</v>
      </c>
      <c r="AA634" s="29">
        <v>0</v>
      </c>
      <c r="AB634" s="29">
        <v>0</v>
      </c>
      <c r="AC634" s="29">
        <v>0</v>
      </c>
      <c r="AD634" s="29">
        <v>0</v>
      </c>
      <c r="AE634" s="29">
        <v>0</v>
      </c>
      <c r="AF634" s="29">
        <v>0</v>
      </c>
      <c r="AG634" s="29">
        <v>0</v>
      </c>
      <c r="AH634" s="29">
        <v>0</v>
      </c>
      <c r="AI634" s="29">
        <v>0</v>
      </c>
      <c r="AJ634" s="29">
        <v>0</v>
      </c>
      <c r="AK634" s="29">
        <v>0</v>
      </c>
      <c r="AL634" s="29">
        <v>0</v>
      </c>
      <c r="AM634" s="29">
        <v>0</v>
      </c>
      <c r="AN634" s="29">
        <v>0</v>
      </c>
      <c r="AO634" s="29">
        <v>0</v>
      </c>
      <c r="AP634" s="29">
        <v>0</v>
      </c>
    </row>
    <row r="635" spans="1:42" x14ac:dyDescent="0.25">
      <c r="A635" s="29">
        <v>32</v>
      </c>
      <c r="B635" s="29">
        <v>25236</v>
      </c>
      <c r="C635" s="29">
        <v>21</v>
      </c>
      <c r="D635" s="29" t="s">
        <v>1017</v>
      </c>
      <c r="E635" s="29"/>
      <c r="F635" s="29">
        <v>0</v>
      </c>
      <c r="G635" s="29">
        <v>0</v>
      </c>
      <c r="H635" s="29">
        <v>0</v>
      </c>
      <c r="I635" s="29">
        <v>0</v>
      </c>
      <c r="J635" s="29">
        <v>0</v>
      </c>
      <c r="K635" s="29" t="s">
        <v>882</v>
      </c>
      <c r="L635" s="19" t="str">
        <f t="shared" si="72"/>
        <v>Рихтовка</v>
      </c>
      <c r="M635" s="12">
        <f t="shared" si="80"/>
        <v>0</v>
      </c>
      <c r="N635" s="12">
        <f t="shared" si="81"/>
        <v>0</v>
      </c>
      <c r="O635" s="12">
        <f t="shared" si="82"/>
        <v>0</v>
      </c>
      <c r="P635" s="12">
        <f t="shared" si="83"/>
        <v>0</v>
      </c>
      <c r="Q635" s="12">
        <f t="shared" si="84"/>
        <v>0</v>
      </c>
      <c r="R635" s="12">
        <f t="shared" si="85"/>
        <v>0</v>
      </c>
      <c r="S635" s="12">
        <f t="shared" si="86"/>
        <v>0</v>
      </c>
      <c r="T635" s="29">
        <v>0</v>
      </c>
      <c r="U635" s="29">
        <v>0</v>
      </c>
      <c r="V635" s="29">
        <v>0</v>
      </c>
      <c r="W635" s="29">
        <v>0</v>
      </c>
      <c r="X635" s="29">
        <v>0</v>
      </c>
      <c r="Y635" s="29">
        <v>0</v>
      </c>
      <c r="Z635" s="29">
        <v>0</v>
      </c>
      <c r="AA635" s="29">
        <v>0</v>
      </c>
      <c r="AB635" s="29">
        <v>0</v>
      </c>
      <c r="AC635" s="29">
        <v>0</v>
      </c>
      <c r="AD635" s="29">
        <v>0</v>
      </c>
      <c r="AE635" s="29">
        <v>0</v>
      </c>
      <c r="AF635" s="29">
        <v>0</v>
      </c>
      <c r="AG635" s="29">
        <v>0</v>
      </c>
      <c r="AH635" s="29">
        <v>0</v>
      </c>
      <c r="AI635" s="29">
        <v>0</v>
      </c>
      <c r="AJ635" s="29">
        <v>0</v>
      </c>
      <c r="AK635" s="29">
        <v>0</v>
      </c>
      <c r="AL635" s="29">
        <v>0</v>
      </c>
      <c r="AM635" s="29">
        <v>0</v>
      </c>
      <c r="AN635" s="29">
        <v>0</v>
      </c>
      <c r="AO635" s="29">
        <v>0</v>
      </c>
      <c r="AP635" s="29">
        <v>0</v>
      </c>
    </row>
    <row r="636" spans="1:42" x14ac:dyDescent="0.25">
      <c r="A636" s="29">
        <v>32</v>
      </c>
      <c r="B636" s="29">
        <v>25236</v>
      </c>
      <c r="C636" s="29">
        <v>1</v>
      </c>
      <c r="D636" s="29" t="s">
        <v>1017</v>
      </c>
      <c r="E636" s="29"/>
      <c r="F636" s="29">
        <v>0</v>
      </c>
      <c r="G636" s="29">
        <v>0</v>
      </c>
      <c r="H636" s="29">
        <v>0</v>
      </c>
      <c r="I636" s="29">
        <v>0</v>
      </c>
      <c r="J636" s="29">
        <v>0</v>
      </c>
      <c r="K636" s="29" t="s">
        <v>882</v>
      </c>
      <c r="L636" s="19" t="str">
        <f t="shared" si="72"/>
        <v>Рихтовка</v>
      </c>
      <c r="M636" s="12">
        <f t="shared" si="80"/>
        <v>0</v>
      </c>
      <c r="N636" s="12">
        <f t="shared" si="81"/>
        <v>0</v>
      </c>
      <c r="O636" s="12">
        <f t="shared" si="82"/>
        <v>0</v>
      </c>
      <c r="P636" s="12">
        <f t="shared" si="83"/>
        <v>0</v>
      </c>
      <c r="Q636" s="12">
        <f t="shared" si="84"/>
        <v>0</v>
      </c>
      <c r="R636" s="12">
        <f t="shared" si="85"/>
        <v>0</v>
      </c>
      <c r="S636" s="12">
        <f t="shared" si="86"/>
        <v>0</v>
      </c>
      <c r="T636" s="29">
        <v>0</v>
      </c>
      <c r="U636" s="29">
        <v>0</v>
      </c>
      <c r="V636" s="29">
        <v>0</v>
      </c>
      <c r="W636" s="29">
        <v>0</v>
      </c>
      <c r="X636" s="29">
        <v>0</v>
      </c>
      <c r="Y636" s="29">
        <v>0</v>
      </c>
      <c r="Z636" s="29">
        <v>0</v>
      </c>
      <c r="AA636" s="29">
        <v>0</v>
      </c>
      <c r="AB636" s="29">
        <v>0</v>
      </c>
      <c r="AC636" s="29">
        <v>0</v>
      </c>
      <c r="AD636" s="29">
        <v>0</v>
      </c>
      <c r="AE636" s="29">
        <v>0</v>
      </c>
      <c r="AF636" s="29">
        <v>0</v>
      </c>
      <c r="AG636" s="29">
        <v>0</v>
      </c>
      <c r="AH636" s="29">
        <v>0</v>
      </c>
      <c r="AI636" s="29">
        <v>0</v>
      </c>
      <c r="AJ636" s="29">
        <v>0</v>
      </c>
      <c r="AK636" s="29">
        <v>0</v>
      </c>
      <c r="AL636" s="29">
        <v>0</v>
      </c>
      <c r="AM636" s="29">
        <v>0</v>
      </c>
      <c r="AN636" s="29">
        <v>0</v>
      </c>
      <c r="AO636" s="29">
        <v>0</v>
      </c>
      <c r="AP636" s="29">
        <v>0</v>
      </c>
    </row>
    <row r="637" spans="1:42" x14ac:dyDescent="0.25">
      <c r="A637" s="29">
        <v>32</v>
      </c>
      <c r="B637" s="29">
        <v>25236</v>
      </c>
      <c r="C637" s="29">
        <v>12</v>
      </c>
      <c r="D637" s="29" t="s">
        <v>1017</v>
      </c>
      <c r="E637" s="29"/>
      <c r="F637" s="29">
        <v>0</v>
      </c>
      <c r="G637" s="29">
        <v>0</v>
      </c>
      <c r="H637" s="29">
        <v>0</v>
      </c>
      <c r="I637" s="29">
        <v>0</v>
      </c>
      <c r="J637" s="29">
        <v>0</v>
      </c>
      <c r="K637" s="29" t="s">
        <v>882</v>
      </c>
      <c r="L637" s="19" t="str">
        <f t="shared" si="72"/>
        <v>Рихтовка</v>
      </c>
      <c r="M637" s="12">
        <f t="shared" si="80"/>
        <v>0</v>
      </c>
      <c r="N637" s="12">
        <f t="shared" si="81"/>
        <v>0</v>
      </c>
      <c r="O637" s="12">
        <f t="shared" si="82"/>
        <v>0</v>
      </c>
      <c r="P637" s="12">
        <f t="shared" si="83"/>
        <v>0</v>
      </c>
      <c r="Q637" s="12">
        <f t="shared" si="84"/>
        <v>0</v>
      </c>
      <c r="R637" s="12">
        <f t="shared" si="85"/>
        <v>0</v>
      </c>
      <c r="S637" s="12">
        <f t="shared" si="86"/>
        <v>0</v>
      </c>
      <c r="T637" s="29">
        <v>0</v>
      </c>
      <c r="U637" s="29">
        <v>0</v>
      </c>
      <c r="V637" s="29">
        <v>0</v>
      </c>
      <c r="W637" s="29">
        <v>0</v>
      </c>
      <c r="X637" s="29">
        <v>0</v>
      </c>
      <c r="Y637" s="29">
        <v>0</v>
      </c>
      <c r="Z637" s="29">
        <v>0</v>
      </c>
      <c r="AA637" s="29">
        <v>0</v>
      </c>
      <c r="AB637" s="29">
        <v>0</v>
      </c>
      <c r="AC637" s="29">
        <v>0</v>
      </c>
      <c r="AD637" s="29">
        <v>0</v>
      </c>
      <c r="AE637" s="29">
        <v>0</v>
      </c>
      <c r="AF637" s="29">
        <v>0</v>
      </c>
      <c r="AG637" s="29">
        <v>0</v>
      </c>
      <c r="AH637" s="29">
        <v>0</v>
      </c>
      <c r="AI637" s="29">
        <v>0</v>
      </c>
      <c r="AJ637" s="29">
        <v>0</v>
      </c>
      <c r="AK637" s="29">
        <v>0</v>
      </c>
      <c r="AL637" s="29">
        <v>0</v>
      </c>
      <c r="AM637" s="29">
        <v>0</v>
      </c>
      <c r="AN637" s="29">
        <v>0</v>
      </c>
      <c r="AO637" s="29">
        <v>0</v>
      </c>
      <c r="AP637" s="29">
        <v>0</v>
      </c>
    </row>
    <row r="638" spans="1:42" x14ac:dyDescent="0.25">
      <c r="A638" s="29">
        <v>32</v>
      </c>
      <c r="B638" s="29">
        <v>25236</v>
      </c>
      <c r="C638" s="29">
        <v>11</v>
      </c>
      <c r="D638" s="29" t="s">
        <v>1017</v>
      </c>
      <c r="E638" s="29"/>
      <c r="F638" s="29">
        <v>0</v>
      </c>
      <c r="G638" s="29">
        <v>0</v>
      </c>
      <c r="H638" s="29">
        <v>0</v>
      </c>
      <c r="I638" s="29">
        <v>0</v>
      </c>
      <c r="J638" s="29">
        <v>0</v>
      </c>
      <c r="K638" s="29" t="s">
        <v>882</v>
      </c>
      <c r="L638" s="19" t="str">
        <f t="shared" si="72"/>
        <v>Рихтовка</v>
      </c>
      <c r="M638" s="12">
        <f t="shared" si="80"/>
        <v>0</v>
      </c>
      <c r="N638" s="12">
        <f t="shared" si="81"/>
        <v>0</v>
      </c>
      <c r="O638" s="12">
        <f t="shared" si="82"/>
        <v>0</v>
      </c>
      <c r="P638" s="12">
        <f t="shared" si="83"/>
        <v>0</v>
      </c>
      <c r="Q638" s="12">
        <f t="shared" si="84"/>
        <v>0</v>
      </c>
      <c r="R638" s="12">
        <f t="shared" si="85"/>
        <v>0</v>
      </c>
      <c r="S638" s="12">
        <f t="shared" si="86"/>
        <v>0</v>
      </c>
      <c r="T638" s="29">
        <v>0</v>
      </c>
      <c r="U638" s="29">
        <v>0</v>
      </c>
      <c r="V638" s="29">
        <v>0</v>
      </c>
      <c r="W638" s="29">
        <v>0</v>
      </c>
      <c r="X638" s="29">
        <v>0</v>
      </c>
      <c r="Y638" s="29">
        <v>0</v>
      </c>
      <c r="Z638" s="29">
        <v>0</v>
      </c>
      <c r="AA638" s="29">
        <v>0</v>
      </c>
      <c r="AB638" s="29">
        <v>0</v>
      </c>
      <c r="AC638" s="29">
        <v>0</v>
      </c>
      <c r="AD638" s="29">
        <v>0</v>
      </c>
      <c r="AE638" s="29">
        <v>0</v>
      </c>
      <c r="AF638" s="29">
        <v>0</v>
      </c>
      <c r="AG638" s="29">
        <v>0</v>
      </c>
      <c r="AH638" s="29">
        <v>0</v>
      </c>
      <c r="AI638" s="29">
        <v>0</v>
      </c>
      <c r="AJ638" s="29">
        <v>0</v>
      </c>
      <c r="AK638" s="29">
        <v>0</v>
      </c>
      <c r="AL638" s="29">
        <v>0</v>
      </c>
      <c r="AM638" s="29">
        <v>0</v>
      </c>
      <c r="AN638" s="29">
        <v>0</v>
      </c>
      <c r="AO638" s="29">
        <v>0</v>
      </c>
      <c r="AP638" s="29">
        <v>0</v>
      </c>
    </row>
    <row r="639" spans="1:42" x14ac:dyDescent="0.25">
      <c r="A639" s="29">
        <v>32</v>
      </c>
      <c r="B639" s="29">
        <v>25237</v>
      </c>
      <c r="C639" s="29">
        <v>1</v>
      </c>
      <c r="D639" s="29" t="s">
        <v>1018</v>
      </c>
      <c r="E639" s="29"/>
      <c r="F639" s="29">
        <v>0</v>
      </c>
      <c r="G639" s="29">
        <v>0</v>
      </c>
      <c r="H639" s="29">
        <v>0</v>
      </c>
      <c r="I639" s="29">
        <v>0</v>
      </c>
      <c r="J639" s="29">
        <v>0</v>
      </c>
      <c r="K639" s="29" t="s">
        <v>882</v>
      </c>
      <c r="L639" s="19" t="str">
        <f t="shared" si="72"/>
        <v>Рихтовка</v>
      </c>
      <c r="M639" s="12">
        <f t="shared" si="80"/>
        <v>0</v>
      </c>
      <c r="N639" s="12">
        <f t="shared" si="81"/>
        <v>0</v>
      </c>
      <c r="O639" s="12">
        <f t="shared" si="82"/>
        <v>0</v>
      </c>
      <c r="P639" s="12">
        <f t="shared" si="83"/>
        <v>0</v>
      </c>
      <c r="Q639" s="12">
        <f t="shared" si="84"/>
        <v>0</v>
      </c>
      <c r="R639" s="12">
        <f t="shared" si="85"/>
        <v>0</v>
      </c>
      <c r="S639" s="12">
        <f t="shared" si="86"/>
        <v>0</v>
      </c>
      <c r="T639" s="29">
        <v>0</v>
      </c>
      <c r="U639" s="29">
        <v>0</v>
      </c>
      <c r="V639" s="29">
        <v>0</v>
      </c>
      <c r="W639" s="29">
        <v>0</v>
      </c>
      <c r="X639" s="29">
        <v>0</v>
      </c>
      <c r="Y639" s="29">
        <v>0</v>
      </c>
      <c r="Z639" s="29">
        <v>0</v>
      </c>
      <c r="AA639" s="29">
        <v>0</v>
      </c>
      <c r="AB639" s="29">
        <v>0</v>
      </c>
      <c r="AC639" s="29">
        <v>0</v>
      </c>
      <c r="AD639" s="29">
        <v>0</v>
      </c>
      <c r="AE639" s="29">
        <v>0</v>
      </c>
      <c r="AF639" s="29">
        <v>0</v>
      </c>
      <c r="AG639" s="29">
        <v>0</v>
      </c>
      <c r="AH639" s="29">
        <v>0</v>
      </c>
      <c r="AI639" s="29">
        <v>0</v>
      </c>
      <c r="AJ639" s="29">
        <v>0</v>
      </c>
      <c r="AK639" s="29">
        <v>0</v>
      </c>
      <c r="AL639" s="29">
        <v>0</v>
      </c>
      <c r="AM639" s="29">
        <v>0</v>
      </c>
      <c r="AN639" s="29">
        <v>0</v>
      </c>
      <c r="AO639" s="29">
        <v>0</v>
      </c>
      <c r="AP639" s="29">
        <v>0</v>
      </c>
    </row>
    <row r="640" spans="1:42" x14ac:dyDescent="0.25">
      <c r="A640" s="29">
        <v>32</v>
      </c>
      <c r="B640" s="29">
        <v>25231</v>
      </c>
      <c r="C640" s="29">
        <v>1</v>
      </c>
      <c r="D640" s="29" t="s">
        <v>1019</v>
      </c>
      <c r="E640" s="29"/>
      <c r="F640" s="29">
        <v>0</v>
      </c>
      <c r="G640" s="29">
        <v>0</v>
      </c>
      <c r="H640" s="29">
        <v>0</v>
      </c>
      <c r="I640" s="29">
        <v>0</v>
      </c>
      <c r="J640" s="29">
        <v>0</v>
      </c>
      <c r="K640" s="29" t="s">
        <v>882</v>
      </c>
      <c r="L640" s="19" t="str">
        <f t="shared" si="72"/>
        <v>Рихтовка</v>
      </c>
      <c r="M640" s="12">
        <f t="shared" si="80"/>
        <v>0</v>
      </c>
      <c r="N640" s="12">
        <f t="shared" si="81"/>
        <v>0</v>
      </c>
      <c r="O640" s="12">
        <f t="shared" si="82"/>
        <v>0</v>
      </c>
      <c r="P640" s="12">
        <f t="shared" si="83"/>
        <v>0</v>
      </c>
      <c r="Q640" s="12">
        <f t="shared" si="84"/>
        <v>0</v>
      </c>
      <c r="R640" s="12">
        <f t="shared" si="85"/>
        <v>0</v>
      </c>
      <c r="S640" s="12">
        <f t="shared" si="86"/>
        <v>0</v>
      </c>
      <c r="T640" s="29">
        <v>0</v>
      </c>
      <c r="U640" s="29">
        <v>0</v>
      </c>
      <c r="V640" s="29">
        <v>0</v>
      </c>
      <c r="W640" s="29">
        <v>0</v>
      </c>
      <c r="X640" s="29">
        <v>0</v>
      </c>
      <c r="Y640" s="29">
        <v>0</v>
      </c>
      <c r="Z640" s="29">
        <v>0</v>
      </c>
      <c r="AA640" s="29">
        <v>0</v>
      </c>
      <c r="AB640" s="29">
        <v>0</v>
      </c>
      <c r="AC640" s="29">
        <v>0</v>
      </c>
      <c r="AD640" s="29">
        <v>0</v>
      </c>
      <c r="AE640" s="29">
        <v>0</v>
      </c>
      <c r="AF640" s="29">
        <v>0</v>
      </c>
      <c r="AG640" s="29">
        <v>0</v>
      </c>
      <c r="AH640" s="29">
        <v>0</v>
      </c>
      <c r="AI640" s="29">
        <v>0</v>
      </c>
      <c r="AJ640" s="29">
        <v>0</v>
      </c>
      <c r="AK640" s="29">
        <v>0</v>
      </c>
      <c r="AL640" s="29">
        <v>0</v>
      </c>
      <c r="AM640" s="29">
        <v>0</v>
      </c>
      <c r="AN640" s="29">
        <v>0</v>
      </c>
      <c r="AO640" s="29">
        <v>0</v>
      </c>
      <c r="AP640" s="29">
        <v>0</v>
      </c>
    </row>
    <row r="641" spans="1:42" x14ac:dyDescent="0.25">
      <c r="A641" s="29">
        <v>32</v>
      </c>
      <c r="B641" s="29">
        <v>25233</v>
      </c>
      <c r="C641" s="29">
        <v>1</v>
      </c>
      <c r="D641" s="29" t="s">
        <v>1020</v>
      </c>
      <c r="E641" s="29"/>
      <c r="F641" s="29">
        <v>0</v>
      </c>
      <c r="G641" s="29">
        <v>0</v>
      </c>
      <c r="H641" s="29">
        <v>0</v>
      </c>
      <c r="I641" s="29">
        <v>0</v>
      </c>
      <c r="J641" s="29">
        <v>0</v>
      </c>
      <c r="K641" s="29" t="s">
        <v>882</v>
      </c>
      <c r="L641" s="19" t="str">
        <f t="shared" si="72"/>
        <v>Рихтовка</v>
      </c>
      <c r="M641" s="12">
        <f t="shared" si="80"/>
        <v>0</v>
      </c>
      <c r="N641" s="12">
        <f t="shared" si="81"/>
        <v>0</v>
      </c>
      <c r="O641" s="12">
        <f t="shared" si="82"/>
        <v>0</v>
      </c>
      <c r="P641" s="12">
        <f t="shared" si="83"/>
        <v>0</v>
      </c>
      <c r="Q641" s="12">
        <f t="shared" si="84"/>
        <v>0</v>
      </c>
      <c r="R641" s="12">
        <f t="shared" si="85"/>
        <v>0</v>
      </c>
      <c r="S641" s="12">
        <f t="shared" si="86"/>
        <v>0</v>
      </c>
      <c r="T641" s="29">
        <v>0</v>
      </c>
      <c r="U641" s="29">
        <v>0</v>
      </c>
      <c r="V641" s="29">
        <v>0</v>
      </c>
      <c r="W641" s="29">
        <v>0</v>
      </c>
      <c r="X641" s="29">
        <v>0</v>
      </c>
      <c r="Y641" s="29">
        <v>0</v>
      </c>
      <c r="Z641" s="29">
        <v>0</v>
      </c>
      <c r="AA641" s="29">
        <v>0</v>
      </c>
      <c r="AB641" s="29">
        <v>0</v>
      </c>
      <c r="AC641" s="29">
        <v>0</v>
      </c>
      <c r="AD641" s="29">
        <v>0</v>
      </c>
      <c r="AE641" s="29">
        <v>0</v>
      </c>
      <c r="AF641" s="29">
        <v>0</v>
      </c>
      <c r="AG641" s="29">
        <v>0</v>
      </c>
      <c r="AH641" s="29">
        <v>0</v>
      </c>
      <c r="AI641" s="29">
        <v>0</v>
      </c>
      <c r="AJ641" s="29">
        <v>0</v>
      </c>
      <c r="AK641" s="29">
        <v>0</v>
      </c>
      <c r="AL641" s="29">
        <v>0</v>
      </c>
      <c r="AM641" s="29">
        <v>0</v>
      </c>
      <c r="AN641" s="29">
        <v>0</v>
      </c>
      <c r="AO641" s="29">
        <v>0</v>
      </c>
      <c r="AP641" s="29">
        <v>0</v>
      </c>
    </row>
    <row r="642" spans="1:42" x14ac:dyDescent="0.25">
      <c r="A642" s="29">
        <v>32</v>
      </c>
      <c r="B642" s="29">
        <v>25235</v>
      </c>
      <c r="C642" s="29">
        <v>1</v>
      </c>
      <c r="D642" s="29" t="s">
        <v>1021</v>
      </c>
      <c r="E642" s="29"/>
      <c r="F642" s="29">
        <v>0</v>
      </c>
      <c r="G642" s="29">
        <v>0</v>
      </c>
      <c r="H642" s="29">
        <v>0</v>
      </c>
      <c r="I642" s="29">
        <v>0</v>
      </c>
      <c r="J642" s="29">
        <v>0</v>
      </c>
      <c r="K642" s="29" t="s">
        <v>882</v>
      </c>
      <c r="L642" s="19" t="str">
        <f t="shared" ref="L642:L687" si="87">IF($M642=N642,$N$1,IF($M642=O642,$O$1,IF($M642=P642,$P$1,IF($M642=Q642,$Q$1,IF($M642=R642,$R$1,$S$1)))))</f>
        <v>Рихтовка</v>
      </c>
      <c r="M642" s="12">
        <f t="shared" si="80"/>
        <v>0</v>
      </c>
      <c r="N642" s="12">
        <f t="shared" si="81"/>
        <v>0</v>
      </c>
      <c r="O642" s="12">
        <f t="shared" si="82"/>
        <v>0</v>
      </c>
      <c r="P642" s="12">
        <f t="shared" si="83"/>
        <v>0</v>
      </c>
      <c r="Q642" s="12">
        <f t="shared" si="84"/>
        <v>0</v>
      </c>
      <c r="R642" s="12">
        <f t="shared" si="85"/>
        <v>0</v>
      </c>
      <c r="S642" s="12">
        <f t="shared" si="86"/>
        <v>0</v>
      </c>
      <c r="T642" s="29">
        <v>0</v>
      </c>
      <c r="U642" s="29">
        <v>0</v>
      </c>
      <c r="V642" s="29">
        <v>0</v>
      </c>
      <c r="W642" s="29">
        <v>0</v>
      </c>
      <c r="X642" s="29">
        <v>0</v>
      </c>
      <c r="Y642" s="29">
        <v>0</v>
      </c>
      <c r="Z642" s="29">
        <v>0</v>
      </c>
      <c r="AA642" s="29">
        <v>0</v>
      </c>
      <c r="AB642" s="29">
        <v>0</v>
      </c>
      <c r="AC642" s="29">
        <v>0</v>
      </c>
      <c r="AD642" s="29">
        <v>0</v>
      </c>
      <c r="AE642" s="29">
        <v>0</v>
      </c>
      <c r="AF642" s="29">
        <v>0</v>
      </c>
      <c r="AG642" s="29">
        <v>0</v>
      </c>
      <c r="AH642" s="29">
        <v>0</v>
      </c>
      <c r="AI642" s="29">
        <v>0</v>
      </c>
      <c r="AJ642" s="29">
        <v>0</v>
      </c>
      <c r="AK642" s="29">
        <v>0</v>
      </c>
      <c r="AL642" s="29">
        <v>0</v>
      </c>
      <c r="AM642" s="29">
        <v>0</v>
      </c>
      <c r="AN642" s="29">
        <v>0</v>
      </c>
      <c r="AO642" s="29">
        <v>0</v>
      </c>
      <c r="AP642" s="29">
        <v>0</v>
      </c>
    </row>
    <row r="643" spans="1:42" x14ac:dyDescent="0.25">
      <c r="A643" s="29">
        <v>32</v>
      </c>
      <c r="B643" s="29">
        <v>25201</v>
      </c>
      <c r="C643" s="29">
        <v>1</v>
      </c>
      <c r="D643" s="29" t="s">
        <v>1022</v>
      </c>
      <c r="E643" s="29"/>
      <c r="F643" s="29">
        <v>0</v>
      </c>
      <c r="G643" s="29">
        <v>0</v>
      </c>
      <c r="H643" s="29">
        <v>0</v>
      </c>
      <c r="I643" s="29">
        <v>0</v>
      </c>
      <c r="J643" s="29">
        <v>0</v>
      </c>
      <c r="K643" s="29" t="s">
        <v>882</v>
      </c>
      <c r="L643" s="19" t="str">
        <f t="shared" si="87"/>
        <v>Рихтовка</v>
      </c>
      <c r="M643" s="12">
        <f t="shared" si="80"/>
        <v>0</v>
      </c>
      <c r="N643" s="12">
        <f t="shared" si="81"/>
        <v>0</v>
      </c>
      <c r="O643" s="12">
        <f t="shared" si="82"/>
        <v>0</v>
      </c>
      <c r="P643" s="12">
        <f t="shared" si="83"/>
        <v>0</v>
      </c>
      <c r="Q643" s="12">
        <f t="shared" si="84"/>
        <v>0</v>
      </c>
      <c r="R643" s="12">
        <f t="shared" si="85"/>
        <v>0</v>
      </c>
      <c r="S643" s="12">
        <f t="shared" si="86"/>
        <v>0</v>
      </c>
      <c r="T643" s="29">
        <v>0</v>
      </c>
      <c r="U643" s="29">
        <v>0</v>
      </c>
      <c r="V643" s="29">
        <v>0</v>
      </c>
      <c r="W643" s="29">
        <v>0</v>
      </c>
      <c r="X643" s="29">
        <v>0</v>
      </c>
      <c r="Y643" s="29">
        <v>0</v>
      </c>
      <c r="Z643" s="29">
        <v>0</v>
      </c>
      <c r="AA643" s="29">
        <v>0</v>
      </c>
      <c r="AB643" s="29">
        <v>0</v>
      </c>
      <c r="AC643" s="29">
        <v>0</v>
      </c>
      <c r="AD643" s="29">
        <v>0</v>
      </c>
      <c r="AE643" s="29">
        <v>0</v>
      </c>
      <c r="AF643" s="29">
        <v>0</v>
      </c>
      <c r="AG643" s="29">
        <v>0</v>
      </c>
      <c r="AH643" s="29">
        <v>0</v>
      </c>
      <c r="AI643" s="29">
        <v>0</v>
      </c>
      <c r="AJ643" s="29">
        <v>0</v>
      </c>
      <c r="AK643" s="29">
        <v>0</v>
      </c>
      <c r="AL643" s="29">
        <v>0</v>
      </c>
      <c r="AM643" s="29">
        <v>0</v>
      </c>
      <c r="AN643" s="29">
        <v>0</v>
      </c>
      <c r="AO643" s="29">
        <v>0</v>
      </c>
      <c r="AP643" s="29">
        <v>0</v>
      </c>
    </row>
    <row r="644" spans="1:42" x14ac:dyDescent="0.25">
      <c r="A644" s="29">
        <v>32</v>
      </c>
      <c r="B644" s="29">
        <v>25201</v>
      </c>
      <c r="C644" s="29">
        <v>3</v>
      </c>
      <c r="D644" s="29" t="s">
        <v>1023</v>
      </c>
      <c r="E644" s="29"/>
      <c r="F644" s="29">
        <v>0</v>
      </c>
      <c r="G644" s="29">
        <v>0</v>
      </c>
      <c r="H644" s="29">
        <v>0</v>
      </c>
      <c r="I644" s="29">
        <v>0</v>
      </c>
      <c r="J644" s="29">
        <v>0</v>
      </c>
      <c r="K644" s="29" t="s">
        <v>882</v>
      </c>
      <c r="L644" s="19" t="str">
        <f t="shared" si="87"/>
        <v>Рихтовка</v>
      </c>
      <c r="M644" s="12">
        <f t="shared" si="80"/>
        <v>0</v>
      </c>
      <c r="N644" s="12">
        <f t="shared" si="81"/>
        <v>0</v>
      </c>
      <c r="O644" s="12">
        <f t="shared" si="82"/>
        <v>0</v>
      </c>
      <c r="P644" s="12">
        <f t="shared" si="83"/>
        <v>0</v>
      </c>
      <c r="Q644" s="12">
        <f t="shared" si="84"/>
        <v>0</v>
      </c>
      <c r="R644" s="12">
        <f t="shared" si="85"/>
        <v>0</v>
      </c>
      <c r="S644" s="12">
        <f t="shared" si="86"/>
        <v>0</v>
      </c>
      <c r="T644" s="29">
        <v>0</v>
      </c>
      <c r="U644" s="29">
        <v>0</v>
      </c>
      <c r="V644" s="29">
        <v>0</v>
      </c>
      <c r="W644" s="29">
        <v>0</v>
      </c>
      <c r="X644" s="29">
        <v>0</v>
      </c>
      <c r="Y644" s="29">
        <v>0</v>
      </c>
      <c r="Z644" s="29">
        <v>0</v>
      </c>
      <c r="AA644" s="29">
        <v>0</v>
      </c>
      <c r="AB644" s="29">
        <v>0</v>
      </c>
      <c r="AC644" s="29">
        <v>0</v>
      </c>
      <c r="AD644" s="29">
        <v>0</v>
      </c>
      <c r="AE644" s="29">
        <v>0</v>
      </c>
      <c r="AF644" s="29">
        <v>0</v>
      </c>
      <c r="AG644" s="29">
        <v>0</v>
      </c>
      <c r="AH644" s="29">
        <v>0</v>
      </c>
      <c r="AI644" s="29">
        <v>0</v>
      </c>
      <c r="AJ644" s="29">
        <v>0</v>
      </c>
      <c r="AK644" s="29">
        <v>0</v>
      </c>
      <c r="AL644" s="29">
        <v>0</v>
      </c>
      <c r="AM644" s="29">
        <v>0</v>
      </c>
      <c r="AN644" s="29">
        <v>0</v>
      </c>
      <c r="AO644" s="29">
        <v>0</v>
      </c>
      <c r="AP644" s="29">
        <v>0</v>
      </c>
    </row>
    <row r="645" spans="1:42" x14ac:dyDescent="0.25">
      <c r="A645" s="29">
        <v>32</v>
      </c>
      <c r="B645" s="29">
        <v>25201</v>
      </c>
      <c r="C645" s="29">
        <v>1</v>
      </c>
      <c r="D645" s="29" t="s">
        <v>1024</v>
      </c>
      <c r="E645" s="29"/>
      <c r="F645" s="29">
        <v>0</v>
      </c>
      <c r="G645" s="29">
        <v>0</v>
      </c>
      <c r="H645" s="29">
        <v>0</v>
      </c>
      <c r="I645" s="29">
        <v>0</v>
      </c>
      <c r="J645" s="29">
        <v>0</v>
      </c>
      <c r="K645" s="29" t="s">
        <v>882</v>
      </c>
      <c r="L645" s="19" t="str">
        <f t="shared" si="87"/>
        <v>Рихтовка</v>
      </c>
      <c r="M645" s="12">
        <f t="shared" si="80"/>
        <v>0</v>
      </c>
      <c r="N645" s="12">
        <f t="shared" si="81"/>
        <v>0</v>
      </c>
      <c r="O645" s="12">
        <f t="shared" si="82"/>
        <v>0</v>
      </c>
      <c r="P645" s="12">
        <f t="shared" si="83"/>
        <v>0</v>
      </c>
      <c r="Q645" s="12">
        <f t="shared" si="84"/>
        <v>0</v>
      </c>
      <c r="R645" s="12">
        <f t="shared" si="85"/>
        <v>0</v>
      </c>
      <c r="S645" s="12">
        <f t="shared" si="86"/>
        <v>0</v>
      </c>
      <c r="T645" s="29">
        <v>0</v>
      </c>
      <c r="U645" s="29">
        <v>0</v>
      </c>
      <c r="V645" s="29">
        <v>0</v>
      </c>
      <c r="W645" s="29">
        <v>0</v>
      </c>
      <c r="X645" s="29">
        <v>0</v>
      </c>
      <c r="Y645" s="29">
        <v>0</v>
      </c>
      <c r="Z645" s="29">
        <v>0</v>
      </c>
      <c r="AA645" s="29">
        <v>0</v>
      </c>
      <c r="AB645" s="29">
        <v>0</v>
      </c>
      <c r="AC645" s="29">
        <v>0</v>
      </c>
      <c r="AD645" s="29">
        <v>0</v>
      </c>
      <c r="AE645" s="29">
        <v>0</v>
      </c>
      <c r="AF645" s="29">
        <v>0</v>
      </c>
      <c r="AG645" s="29">
        <v>0</v>
      </c>
      <c r="AH645" s="29">
        <v>0</v>
      </c>
      <c r="AI645" s="29">
        <v>0</v>
      </c>
      <c r="AJ645" s="29">
        <v>0</v>
      </c>
      <c r="AK645" s="29">
        <v>0</v>
      </c>
      <c r="AL645" s="29">
        <v>0</v>
      </c>
      <c r="AM645" s="29">
        <v>0</v>
      </c>
      <c r="AN645" s="29">
        <v>0</v>
      </c>
      <c r="AO645" s="29">
        <v>0</v>
      </c>
      <c r="AP645" s="29">
        <v>0</v>
      </c>
    </row>
    <row r="646" spans="1:42" x14ac:dyDescent="0.25">
      <c r="A646" s="29">
        <v>32</v>
      </c>
      <c r="B646" s="29">
        <v>25201</v>
      </c>
      <c r="C646" s="29">
        <v>1</v>
      </c>
      <c r="D646" s="29" t="s">
        <v>1025</v>
      </c>
      <c r="E646" s="29"/>
      <c r="F646" s="29">
        <v>0</v>
      </c>
      <c r="G646" s="29">
        <v>0</v>
      </c>
      <c r="H646" s="29">
        <v>0</v>
      </c>
      <c r="I646" s="29">
        <v>0</v>
      </c>
      <c r="J646" s="29">
        <v>0</v>
      </c>
      <c r="K646" s="29" t="s">
        <v>882</v>
      </c>
      <c r="L646" s="19" t="str">
        <f t="shared" si="87"/>
        <v>Рихтовка</v>
      </c>
      <c r="M646" s="12">
        <f t="shared" si="80"/>
        <v>0</v>
      </c>
      <c r="N646" s="12">
        <f t="shared" si="81"/>
        <v>0</v>
      </c>
      <c r="O646" s="12">
        <f t="shared" si="82"/>
        <v>0</v>
      </c>
      <c r="P646" s="12">
        <f t="shared" si="83"/>
        <v>0</v>
      </c>
      <c r="Q646" s="12">
        <f t="shared" si="84"/>
        <v>0</v>
      </c>
      <c r="R646" s="12">
        <f t="shared" si="85"/>
        <v>0</v>
      </c>
      <c r="S646" s="12">
        <f t="shared" si="86"/>
        <v>0</v>
      </c>
      <c r="T646" s="29">
        <v>0</v>
      </c>
      <c r="U646" s="29">
        <v>0</v>
      </c>
      <c r="V646" s="29">
        <v>0</v>
      </c>
      <c r="W646" s="29">
        <v>0</v>
      </c>
      <c r="X646" s="29">
        <v>0</v>
      </c>
      <c r="Y646" s="29">
        <v>0</v>
      </c>
      <c r="Z646" s="29">
        <v>0</v>
      </c>
      <c r="AA646" s="29">
        <v>0</v>
      </c>
      <c r="AB646" s="29">
        <v>0</v>
      </c>
      <c r="AC646" s="29">
        <v>0</v>
      </c>
      <c r="AD646" s="29">
        <v>0</v>
      </c>
      <c r="AE646" s="29">
        <v>0</v>
      </c>
      <c r="AF646" s="29">
        <v>0</v>
      </c>
      <c r="AG646" s="29">
        <v>0</v>
      </c>
      <c r="AH646" s="29">
        <v>0</v>
      </c>
      <c r="AI646" s="29">
        <v>0</v>
      </c>
      <c r="AJ646" s="29">
        <v>0</v>
      </c>
      <c r="AK646" s="29">
        <v>0</v>
      </c>
      <c r="AL646" s="29">
        <v>0</v>
      </c>
      <c r="AM646" s="29">
        <v>0</v>
      </c>
      <c r="AN646" s="29">
        <v>0</v>
      </c>
      <c r="AO646" s="29">
        <v>0</v>
      </c>
      <c r="AP646" s="29">
        <v>0</v>
      </c>
    </row>
    <row r="647" spans="1:42" x14ac:dyDescent="0.25">
      <c r="A647" s="29">
        <v>32</v>
      </c>
      <c r="B647" s="29">
        <v>25201</v>
      </c>
      <c r="C647" s="29">
        <v>2</v>
      </c>
      <c r="D647" s="29" t="s">
        <v>1025</v>
      </c>
      <c r="E647" s="29"/>
      <c r="F647" s="29">
        <v>0</v>
      </c>
      <c r="G647" s="29">
        <v>0</v>
      </c>
      <c r="H647" s="29">
        <v>0</v>
      </c>
      <c r="I647" s="29">
        <v>0</v>
      </c>
      <c r="J647" s="29">
        <v>0</v>
      </c>
      <c r="K647" s="29" t="s">
        <v>882</v>
      </c>
      <c r="L647" s="19" t="str">
        <f t="shared" si="87"/>
        <v>Рихтовка</v>
      </c>
      <c r="M647" s="12">
        <f t="shared" si="80"/>
        <v>0</v>
      </c>
      <c r="N647" s="12">
        <f t="shared" si="81"/>
        <v>0</v>
      </c>
      <c r="O647" s="12">
        <f t="shared" si="82"/>
        <v>0</v>
      </c>
      <c r="P647" s="12">
        <f t="shared" si="83"/>
        <v>0</v>
      </c>
      <c r="Q647" s="12">
        <f t="shared" si="84"/>
        <v>0</v>
      </c>
      <c r="R647" s="12">
        <f t="shared" si="85"/>
        <v>0</v>
      </c>
      <c r="S647" s="12">
        <f t="shared" si="86"/>
        <v>0</v>
      </c>
      <c r="T647" s="29">
        <v>0</v>
      </c>
      <c r="U647" s="29">
        <v>0</v>
      </c>
      <c r="V647" s="29">
        <v>0</v>
      </c>
      <c r="W647" s="29">
        <v>0</v>
      </c>
      <c r="X647" s="29">
        <v>0</v>
      </c>
      <c r="Y647" s="29">
        <v>0</v>
      </c>
      <c r="Z647" s="29">
        <v>0</v>
      </c>
      <c r="AA647" s="29">
        <v>0</v>
      </c>
      <c r="AB647" s="29">
        <v>0</v>
      </c>
      <c r="AC647" s="29">
        <v>0</v>
      </c>
      <c r="AD647" s="29">
        <v>0</v>
      </c>
      <c r="AE647" s="29">
        <v>0</v>
      </c>
      <c r="AF647" s="29">
        <v>0</v>
      </c>
      <c r="AG647" s="29">
        <v>0</v>
      </c>
      <c r="AH647" s="29">
        <v>0</v>
      </c>
      <c r="AI647" s="29">
        <v>0</v>
      </c>
      <c r="AJ647" s="29">
        <v>0</v>
      </c>
      <c r="AK647" s="29">
        <v>0</v>
      </c>
      <c r="AL647" s="29">
        <v>0</v>
      </c>
      <c r="AM647" s="29">
        <v>0</v>
      </c>
      <c r="AN647" s="29">
        <v>0</v>
      </c>
      <c r="AO647" s="29">
        <v>0</v>
      </c>
      <c r="AP647" s="29">
        <v>0</v>
      </c>
    </row>
    <row r="648" spans="1:42" x14ac:dyDescent="0.25">
      <c r="A648" s="29">
        <v>32</v>
      </c>
      <c r="B648" s="29">
        <v>25201</v>
      </c>
      <c r="C648" s="29">
        <v>1</v>
      </c>
      <c r="D648" s="29" t="s">
        <v>1026</v>
      </c>
      <c r="E648" s="29"/>
      <c r="F648" s="29">
        <v>0</v>
      </c>
      <c r="G648" s="29">
        <v>0</v>
      </c>
      <c r="H648" s="29">
        <v>0</v>
      </c>
      <c r="I648" s="29">
        <v>0</v>
      </c>
      <c r="J648" s="29">
        <v>0</v>
      </c>
      <c r="K648" s="29" t="s">
        <v>882</v>
      </c>
      <c r="L648" s="19" t="str">
        <f t="shared" si="87"/>
        <v>Рихтовка</v>
      </c>
      <c r="M648" s="12">
        <f t="shared" si="80"/>
        <v>0</v>
      </c>
      <c r="N648" s="12">
        <f t="shared" si="81"/>
        <v>0</v>
      </c>
      <c r="O648" s="12">
        <f t="shared" si="82"/>
        <v>0</v>
      </c>
      <c r="P648" s="12">
        <f t="shared" si="83"/>
        <v>0</v>
      </c>
      <c r="Q648" s="12">
        <f t="shared" si="84"/>
        <v>0</v>
      </c>
      <c r="R648" s="12">
        <f t="shared" si="85"/>
        <v>0</v>
      </c>
      <c r="S648" s="12">
        <f t="shared" si="86"/>
        <v>0</v>
      </c>
      <c r="T648" s="29">
        <v>0</v>
      </c>
      <c r="U648" s="29">
        <v>0</v>
      </c>
      <c r="V648" s="29">
        <v>0</v>
      </c>
      <c r="W648" s="29">
        <v>0</v>
      </c>
      <c r="X648" s="29">
        <v>0</v>
      </c>
      <c r="Y648" s="29">
        <v>0</v>
      </c>
      <c r="Z648" s="29">
        <v>0</v>
      </c>
      <c r="AA648" s="29">
        <v>0</v>
      </c>
      <c r="AB648" s="29">
        <v>0</v>
      </c>
      <c r="AC648" s="29">
        <v>0</v>
      </c>
      <c r="AD648" s="29">
        <v>0</v>
      </c>
      <c r="AE648" s="29">
        <v>0</v>
      </c>
      <c r="AF648" s="29">
        <v>0</v>
      </c>
      <c r="AG648" s="29">
        <v>0</v>
      </c>
      <c r="AH648" s="29">
        <v>0</v>
      </c>
      <c r="AI648" s="29">
        <v>0</v>
      </c>
      <c r="AJ648" s="29">
        <v>0</v>
      </c>
      <c r="AK648" s="29">
        <v>0</v>
      </c>
      <c r="AL648" s="29">
        <v>0</v>
      </c>
      <c r="AM648" s="29">
        <v>0</v>
      </c>
      <c r="AN648" s="29">
        <v>0</v>
      </c>
      <c r="AO648" s="29">
        <v>0</v>
      </c>
      <c r="AP648" s="29">
        <v>0</v>
      </c>
    </row>
    <row r="649" spans="1:42" x14ac:dyDescent="0.25">
      <c r="A649" s="29">
        <v>32</v>
      </c>
      <c r="B649" s="29">
        <v>25201</v>
      </c>
      <c r="C649" s="29">
        <v>4</v>
      </c>
      <c r="D649" s="29" t="s">
        <v>1027</v>
      </c>
      <c r="E649" s="29"/>
      <c r="F649" s="29">
        <v>0</v>
      </c>
      <c r="G649" s="29">
        <v>0</v>
      </c>
      <c r="H649" s="29">
        <v>0</v>
      </c>
      <c r="I649" s="29">
        <v>0</v>
      </c>
      <c r="J649" s="29">
        <v>0</v>
      </c>
      <c r="K649" s="29" t="s">
        <v>882</v>
      </c>
      <c r="L649" s="19" t="str">
        <f t="shared" si="87"/>
        <v>Рихтовка</v>
      </c>
      <c r="M649" s="12">
        <f t="shared" si="80"/>
        <v>0</v>
      </c>
      <c r="N649" s="12">
        <f t="shared" si="81"/>
        <v>0</v>
      </c>
      <c r="O649" s="12">
        <f t="shared" si="82"/>
        <v>0</v>
      </c>
      <c r="P649" s="12">
        <f t="shared" si="83"/>
        <v>0</v>
      </c>
      <c r="Q649" s="12">
        <f t="shared" si="84"/>
        <v>0</v>
      </c>
      <c r="R649" s="12">
        <f t="shared" si="85"/>
        <v>0</v>
      </c>
      <c r="S649" s="12">
        <f t="shared" si="86"/>
        <v>0</v>
      </c>
      <c r="T649" s="29">
        <v>0</v>
      </c>
      <c r="U649" s="29">
        <v>0</v>
      </c>
      <c r="V649" s="29">
        <v>0</v>
      </c>
      <c r="W649" s="29">
        <v>0</v>
      </c>
      <c r="X649" s="29">
        <v>0</v>
      </c>
      <c r="Y649" s="29">
        <v>0</v>
      </c>
      <c r="Z649" s="29">
        <v>0</v>
      </c>
      <c r="AA649" s="29">
        <v>0</v>
      </c>
      <c r="AB649" s="29">
        <v>0</v>
      </c>
      <c r="AC649" s="29">
        <v>0</v>
      </c>
      <c r="AD649" s="29">
        <v>0</v>
      </c>
      <c r="AE649" s="29">
        <v>0</v>
      </c>
      <c r="AF649" s="29">
        <v>0</v>
      </c>
      <c r="AG649" s="29">
        <v>0</v>
      </c>
      <c r="AH649" s="29">
        <v>0</v>
      </c>
      <c r="AI649" s="29">
        <v>0</v>
      </c>
      <c r="AJ649" s="29">
        <v>0</v>
      </c>
      <c r="AK649" s="29">
        <v>0</v>
      </c>
      <c r="AL649" s="29">
        <v>0</v>
      </c>
      <c r="AM649" s="29">
        <v>0</v>
      </c>
      <c r="AN649" s="29">
        <v>0</v>
      </c>
      <c r="AO649" s="29">
        <v>0</v>
      </c>
      <c r="AP649" s="29">
        <v>0</v>
      </c>
    </row>
    <row r="650" spans="1:42" x14ac:dyDescent="0.25">
      <c r="A650" s="29">
        <v>32</v>
      </c>
      <c r="B650" s="29">
        <v>25201</v>
      </c>
      <c r="C650" s="29">
        <v>1</v>
      </c>
      <c r="D650" s="29" t="s">
        <v>1028</v>
      </c>
      <c r="E650" s="29"/>
      <c r="F650" s="29">
        <v>0</v>
      </c>
      <c r="G650" s="29">
        <v>0</v>
      </c>
      <c r="H650" s="29">
        <v>0</v>
      </c>
      <c r="I650" s="29">
        <v>0</v>
      </c>
      <c r="J650" s="29">
        <v>0</v>
      </c>
      <c r="K650" s="29" t="s">
        <v>882</v>
      </c>
      <c r="L650" s="19" t="str">
        <f t="shared" si="87"/>
        <v>Рихтовка</v>
      </c>
      <c r="M650" s="12">
        <f t="shared" si="80"/>
        <v>0</v>
      </c>
      <c r="N650" s="12">
        <f t="shared" si="81"/>
        <v>0</v>
      </c>
      <c r="O650" s="12">
        <f t="shared" si="82"/>
        <v>0</v>
      </c>
      <c r="P650" s="12">
        <f t="shared" si="83"/>
        <v>0</v>
      </c>
      <c r="Q650" s="12">
        <f t="shared" si="84"/>
        <v>0</v>
      </c>
      <c r="R650" s="12">
        <f t="shared" si="85"/>
        <v>0</v>
      </c>
      <c r="S650" s="12">
        <f t="shared" si="86"/>
        <v>0</v>
      </c>
      <c r="T650" s="29">
        <v>0</v>
      </c>
      <c r="U650" s="29">
        <v>0</v>
      </c>
      <c r="V650" s="29">
        <v>0</v>
      </c>
      <c r="W650" s="29">
        <v>0</v>
      </c>
      <c r="X650" s="29">
        <v>0</v>
      </c>
      <c r="Y650" s="29">
        <v>0</v>
      </c>
      <c r="Z650" s="29">
        <v>0</v>
      </c>
      <c r="AA650" s="29">
        <v>0</v>
      </c>
      <c r="AB650" s="29">
        <v>0</v>
      </c>
      <c r="AC650" s="29">
        <v>0</v>
      </c>
      <c r="AD650" s="29">
        <v>0</v>
      </c>
      <c r="AE650" s="29">
        <v>0</v>
      </c>
      <c r="AF650" s="29">
        <v>0</v>
      </c>
      <c r="AG650" s="29">
        <v>0</v>
      </c>
      <c r="AH650" s="29">
        <v>0</v>
      </c>
      <c r="AI650" s="29">
        <v>0</v>
      </c>
      <c r="AJ650" s="29">
        <v>0</v>
      </c>
      <c r="AK650" s="29">
        <v>0</v>
      </c>
      <c r="AL650" s="29">
        <v>0</v>
      </c>
      <c r="AM650" s="29">
        <v>0</v>
      </c>
      <c r="AN650" s="29">
        <v>0</v>
      </c>
      <c r="AO650" s="29">
        <v>0</v>
      </c>
      <c r="AP650" s="29">
        <v>0</v>
      </c>
    </row>
    <row r="651" spans="1:42" x14ac:dyDescent="0.25">
      <c r="A651" s="29">
        <v>32</v>
      </c>
      <c r="B651" s="29">
        <v>25201</v>
      </c>
      <c r="C651" s="29">
        <v>2</v>
      </c>
      <c r="D651" s="29" t="s">
        <v>1029</v>
      </c>
      <c r="E651" s="29"/>
      <c r="F651" s="29">
        <v>0</v>
      </c>
      <c r="G651" s="29">
        <v>0</v>
      </c>
      <c r="H651" s="29">
        <v>0</v>
      </c>
      <c r="I651" s="29">
        <v>0</v>
      </c>
      <c r="J651" s="29">
        <v>0</v>
      </c>
      <c r="K651" s="29" t="s">
        <v>882</v>
      </c>
      <c r="L651" s="19" t="str">
        <f t="shared" si="87"/>
        <v>Рихтовка</v>
      </c>
      <c r="M651" s="12">
        <f t="shared" si="80"/>
        <v>0</v>
      </c>
      <c r="N651" s="12">
        <f t="shared" si="81"/>
        <v>0</v>
      </c>
      <c r="O651" s="12">
        <f t="shared" si="82"/>
        <v>0</v>
      </c>
      <c r="P651" s="12">
        <f t="shared" si="83"/>
        <v>0</v>
      </c>
      <c r="Q651" s="12">
        <f t="shared" si="84"/>
        <v>0</v>
      </c>
      <c r="R651" s="12">
        <f t="shared" si="85"/>
        <v>0</v>
      </c>
      <c r="S651" s="12">
        <f t="shared" si="86"/>
        <v>0</v>
      </c>
      <c r="T651" s="29">
        <v>0</v>
      </c>
      <c r="U651" s="29">
        <v>0</v>
      </c>
      <c r="V651" s="29">
        <v>0</v>
      </c>
      <c r="W651" s="29">
        <v>0</v>
      </c>
      <c r="X651" s="29">
        <v>0</v>
      </c>
      <c r="Y651" s="29">
        <v>0</v>
      </c>
      <c r="Z651" s="29">
        <v>0</v>
      </c>
      <c r="AA651" s="29">
        <v>0</v>
      </c>
      <c r="AB651" s="29">
        <v>0</v>
      </c>
      <c r="AC651" s="29">
        <v>0</v>
      </c>
      <c r="AD651" s="29">
        <v>0</v>
      </c>
      <c r="AE651" s="29">
        <v>0</v>
      </c>
      <c r="AF651" s="29">
        <v>0</v>
      </c>
      <c r="AG651" s="29">
        <v>0</v>
      </c>
      <c r="AH651" s="29">
        <v>0</v>
      </c>
      <c r="AI651" s="29">
        <v>0</v>
      </c>
      <c r="AJ651" s="29">
        <v>0</v>
      </c>
      <c r="AK651" s="29">
        <v>0</v>
      </c>
      <c r="AL651" s="29">
        <v>0</v>
      </c>
      <c r="AM651" s="29">
        <v>0</v>
      </c>
      <c r="AN651" s="29">
        <v>0</v>
      </c>
      <c r="AO651" s="29">
        <v>0</v>
      </c>
      <c r="AP651" s="29">
        <v>0</v>
      </c>
    </row>
    <row r="652" spans="1:42" x14ac:dyDescent="0.25">
      <c r="A652" s="29">
        <v>32</v>
      </c>
      <c r="B652" s="29">
        <v>25201</v>
      </c>
      <c r="C652" s="29">
        <v>3</v>
      </c>
      <c r="D652" s="29" t="s">
        <v>1029</v>
      </c>
      <c r="E652" s="29"/>
      <c r="F652" s="29">
        <v>0</v>
      </c>
      <c r="G652" s="29">
        <v>0</v>
      </c>
      <c r="H652" s="29">
        <v>0</v>
      </c>
      <c r="I652" s="29">
        <v>0</v>
      </c>
      <c r="J652" s="29">
        <v>0</v>
      </c>
      <c r="K652" s="29" t="s">
        <v>882</v>
      </c>
      <c r="L652" s="19" t="str">
        <f t="shared" si="87"/>
        <v>Рихтовка</v>
      </c>
      <c r="M652" s="12">
        <f t="shared" si="80"/>
        <v>0</v>
      </c>
      <c r="N652" s="12">
        <f t="shared" si="81"/>
        <v>0</v>
      </c>
      <c r="O652" s="12">
        <f t="shared" si="82"/>
        <v>0</v>
      </c>
      <c r="P652" s="12">
        <f t="shared" si="83"/>
        <v>0</v>
      </c>
      <c r="Q652" s="12">
        <f t="shared" si="84"/>
        <v>0</v>
      </c>
      <c r="R652" s="12">
        <f t="shared" si="85"/>
        <v>0</v>
      </c>
      <c r="S652" s="12">
        <f t="shared" si="86"/>
        <v>0</v>
      </c>
      <c r="T652" s="29">
        <v>0</v>
      </c>
      <c r="U652" s="29">
        <v>0</v>
      </c>
      <c r="V652" s="29">
        <v>0</v>
      </c>
      <c r="W652" s="29">
        <v>0</v>
      </c>
      <c r="X652" s="29">
        <v>0</v>
      </c>
      <c r="Y652" s="29">
        <v>0</v>
      </c>
      <c r="Z652" s="29">
        <v>0</v>
      </c>
      <c r="AA652" s="29">
        <v>0</v>
      </c>
      <c r="AB652" s="29">
        <v>0</v>
      </c>
      <c r="AC652" s="29">
        <v>0</v>
      </c>
      <c r="AD652" s="29">
        <v>0</v>
      </c>
      <c r="AE652" s="29">
        <v>0</v>
      </c>
      <c r="AF652" s="29">
        <v>0</v>
      </c>
      <c r="AG652" s="29">
        <v>0</v>
      </c>
      <c r="AH652" s="29">
        <v>0</v>
      </c>
      <c r="AI652" s="29">
        <v>0</v>
      </c>
      <c r="AJ652" s="29">
        <v>0</v>
      </c>
      <c r="AK652" s="29">
        <v>0</v>
      </c>
      <c r="AL652" s="29">
        <v>0</v>
      </c>
      <c r="AM652" s="29">
        <v>0</v>
      </c>
      <c r="AN652" s="29">
        <v>0</v>
      </c>
      <c r="AO652" s="29">
        <v>0</v>
      </c>
      <c r="AP652" s="29">
        <v>0</v>
      </c>
    </row>
    <row r="653" spans="1:42" x14ac:dyDescent="0.25">
      <c r="A653" s="29">
        <v>32</v>
      </c>
      <c r="B653" s="29">
        <v>25201</v>
      </c>
      <c r="C653" s="29">
        <v>1</v>
      </c>
      <c r="D653" s="29" t="s">
        <v>1030</v>
      </c>
      <c r="E653" s="29"/>
      <c r="F653" s="29">
        <v>0</v>
      </c>
      <c r="G653" s="29">
        <v>0</v>
      </c>
      <c r="H653" s="29">
        <v>0</v>
      </c>
      <c r="I653" s="29">
        <v>0</v>
      </c>
      <c r="J653" s="29">
        <v>0</v>
      </c>
      <c r="K653" s="29" t="s">
        <v>882</v>
      </c>
      <c r="L653" s="19" t="str">
        <f t="shared" si="87"/>
        <v>Рихтовка</v>
      </c>
      <c r="M653" s="12">
        <f t="shared" si="80"/>
        <v>0</v>
      </c>
      <c r="N653" s="12">
        <f t="shared" si="81"/>
        <v>0</v>
      </c>
      <c r="O653" s="12">
        <f t="shared" si="82"/>
        <v>0</v>
      </c>
      <c r="P653" s="12">
        <f t="shared" si="83"/>
        <v>0</v>
      </c>
      <c r="Q653" s="12">
        <f t="shared" si="84"/>
        <v>0</v>
      </c>
      <c r="R653" s="12">
        <f t="shared" si="85"/>
        <v>0</v>
      </c>
      <c r="S653" s="12">
        <f t="shared" si="86"/>
        <v>0</v>
      </c>
      <c r="T653" s="29">
        <v>0</v>
      </c>
      <c r="U653" s="29">
        <v>0</v>
      </c>
      <c r="V653" s="29">
        <v>0</v>
      </c>
      <c r="W653" s="29">
        <v>0</v>
      </c>
      <c r="X653" s="29">
        <v>0</v>
      </c>
      <c r="Y653" s="29">
        <v>0</v>
      </c>
      <c r="Z653" s="29">
        <v>0</v>
      </c>
      <c r="AA653" s="29">
        <v>0</v>
      </c>
      <c r="AB653" s="29">
        <v>0</v>
      </c>
      <c r="AC653" s="29">
        <v>0</v>
      </c>
      <c r="AD653" s="29">
        <v>0</v>
      </c>
      <c r="AE653" s="29">
        <v>0</v>
      </c>
      <c r="AF653" s="29">
        <v>0</v>
      </c>
      <c r="AG653" s="29">
        <v>0</v>
      </c>
      <c r="AH653" s="29">
        <v>0</v>
      </c>
      <c r="AI653" s="29">
        <v>0</v>
      </c>
      <c r="AJ653" s="29">
        <v>0</v>
      </c>
      <c r="AK653" s="29">
        <v>0</v>
      </c>
      <c r="AL653" s="29">
        <v>0</v>
      </c>
      <c r="AM653" s="29">
        <v>0</v>
      </c>
      <c r="AN653" s="29">
        <v>0</v>
      </c>
      <c r="AO653" s="29">
        <v>0</v>
      </c>
      <c r="AP653" s="29">
        <v>0</v>
      </c>
    </row>
    <row r="654" spans="1:42" x14ac:dyDescent="0.25">
      <c r="A654" s="29">
        <v>32</v>
      </c>
      <c r="B654" s="29">
        <v>25201</v>
      </c>
      <c r="C654" s="29">
        <v>1</v>
      </c>
      <c r="D654" s="29" t="s">
        <v>1031</v>
      </c>
      <c r="E654" s="29"/>
      <c r="F654" s="29">
        <v>0</v>
      </c>
      <c r="G654" s="29">
        <v>0</v>
      </c>
      <c r="H654" s="29">
        <v>0</v>
      </c>
      <c r="I654" s="29">
        <v>0</v>
      </c>
      <c r="J654" s="29">
        <v>0</v>
      </c>
      <c r="K654" s="29" t="s">
        <v>882</v>
      </c>
      <c r="L654" s="19" t="str">
        <f t="shared" si="87"/>
        <v>Рихтовка</v>
      </c>
      <c r="M654" s="12">
        <f t="shared" si="80"/>
        <v>0</v>
      </c>
      <c r="N654" s="12">
        <f t="shared" si="81"/>
        <v>0</v>
      </c>
      <c r="O654" s="12">
        <f t="shared" si="82"/>
        <v>0</v>
      </c>
      <c r="P654" s="12">
        <f t="shared" si="83"/>
        <v>0</v>
      </c>
      <c r="Q654" s="12">
        <f t="shared" si="84"/>
        <v>0</v>
      </c>
      <c r="R654" s="12">
        <f t="shared" si="85"/>
        <v>0</v>
      </c>
      <c r="S654" s="12">
        <f t="shared" si="86"/>
        <v>0</v>
      </c>
      <c r="T654" s="29">
        <v>0</v>
      </c>
      <c r="U654" s="29">
        <v>0</v>
      </c>
      <c r="V654" s="29">
        <v>0</v>
      </c>
      <c r="W654" s="29">
        <v>0</v>
      </c>
      <c r="X654" s="29">
        <v>0</v>
      </c>
      <c r="Y654" s="29">
        <v>0</v>
      </c>
      <c r="Z654" s="29">
        <v>0</v>
      </c>
      <c r="AA654" s="29">
        <v>0</v>
      </c>
      <c r="AB654" s="29">
        <v>0</v>
      </c>
      <c r="AC654" s="29">
        <v>0</v>
      </c>
      <c r="AD654" s="29">
        <v>0</v>
      </c>
      <c r="AE654" s="29">
        <v>0</v>
      </c>
      <c r="AF654" s="29">
        <v>0</v>
      </c>
      <c r="AG654" s="29">
        <v>0</v>
      </c>
      <c r="AH654" s="29">
        <v>0</v>
      </c>
      <c r="AI654" s="29">
        <v>0</v>
      </c>
      <c r="AJ654" s="29">
        <v>0</v>
      </c>
      <c r="AK654" s="29">
        <v>0</v>
      </c>
      <c r="AL654" s="29">
        <v>0</v>
      </c>
      <c r="AM654" s="29">
        <v>0</v>
      </c>
      <c r="AN654" s="29">
        <v>0</v>
      </c>
      <c r="AO654" s="29">
        <v>0</v>
      </c>
      <c r="AP654" s="29">
        <v>0</v>
      </c>
    </row>
    <row r="655" spans="1:42" x14ac:dyDescent="0.25">
      <c r="A655" s="29">
        <v>32</v>
      </c>
      <c r="B655" s="29">
        <v>25201</v>
      </c>
      <c r="C655" s="29">
        <v>2</v>
      </c>
      <c r="D655" s="29" t="s">
        <v>1032</v>
      </c>
      <c r="E655" s="29"/>
      <c r="F655" s="29">
        <v>0</v>
      </c>
      <c r="G655" s="29">
        <v>0</v>
      </c>
      <c r="H655" s="29">
        <v>0</v>
      </c>
      <c r="I655" s="29">
        <v>0</v>
      </c>
      <c r="J655" s="29">
        <v>0</v>
      </c>
      <c r="K655" s="29" t="s">
        <v>882</v>
      </c>
      <c r="L655" s="19" t="str">
        <f t="shared" si="87"/>
        <v>Рихтовка</v>
      </c>
      <c r="M655" s="12">
        <f t="shared" si="80"/>
        <v>0</v>
      </c>
      <c r="N655" s="12">
        <f t="shared" si="81"/>
        <v>0</v>
      </c>
      <c r="O655" s="12">
        <f t="shared" si="82"/>
        <v>0</v>
      </c>
      <c r="P655" s="12">
        <f t="shared" si="83"/>
        <v>0</v>
      </c>
      <c r="Q655" s="12">
        <f t="shared" si="84"/>
        <v>0</v>
      </c>
      <c r="R655" s="12">
        <f t="shared" si="85"/>
        <v>0</v>
      </c>
      <c r="S655" s="12">
        <f t="shared" si="86"/>
        <v>0</v>
      </c>
      <c r="T655" s="29">
        <v>0</v>
      </c>
      <c r="U655" s="29">
        <v>0</v>
      </c>
      <c r="V655" s="29">
        <v>0</v>
      </c>
      <c r="W655" s="29">
        <v>0</v>
      </c>
      <c r="X655" s="29">
        <v>0</v>
      </c>
      <c r="Y655" s="29">
        <v>0</v>
      </c>
      <c r="Z655" s="29">
        <v>0</v>
      </c>
      <c r="AA655" s="29">
        <v>0</v>
      </c>
      <c r="AB655" s="29">
        <v>0</v>
      </c>
      <c r="AC655" s="29">
        <v>0</v>
      </c>
      <c r="AD655" s="29">
        <v>0</v>
      </c>
      <c r="AE655" s="29">
        <v>0</v>
      </c>
      <c r="AF655" s="29">
        <v>0</v>
      </c>
      <c r="AG655" s="29">
        <v>0</v>
      </c>
      <c r="AH655" s="29">
        <v>0</v>
      </c>
      <c r="AI655" s="29">
        <v>0</v>
      </c>
      <c r="AJ655" s="29">
        <v>0</v>
      </c>
      <c r="AK655" s="29">
        <v>0</v>
      </c>
      <c r="AL655" s="29">
        <v>0</v>
      </c>
      <c r="AM655" s="29">
        <v>0</v>
      </c>
      <c r="AN655" s="29">
        <v>0</v>
      </c>
      <c r="AO655" s="29">
        <v>0</v>
      </c>
      <c r="AP655" s="29">
        <v>0</v>
      </c>
    </row>
    <row r="656" spans="1:42" x14ac:dyDescent="0.25">
      <c r="A656" s="29">
        <v>32</v>
      </c>
      <c r="B656" s="29">
        <v>25201</v>
      </c>
      <c r="C656" s="29">
        <v>1</v>
      </c>
      <c r="D656" s="29" t="s">
        <v>1033</v>
      </c>
      <c r="E656" s="29"/>
      <c r="F656" s="29">
        <v>0</v>
      </c>
      <c r="G656" s="29">
        <v>0</v>
      </c>
      <c r="H656" s="29">
        <v>0</v>
      </c>
      <c r="I656" s="29">
        <v>0</v>
      </c>
      <c r="J656" s="29">
        <v>0</v>
      </c>
      <c r="K656" s="29" t="s">
        <v>882</v>
      </c>
      <c r="L656" s="19" t="str">
        <f t="shared" si="87"/>
        <v>Рихтовка</v>
      </c>
      <c r="M656" s="12">
        <f t="shared" si="80"/>
        <v>0</v>
      </c>
      <c r="N656" s="12">
        <f t="shared" si="81"/>
        <v>0</v>
      </c>
      <c r="O656" s="12">
        <f t="shared" si="82"/>
        <v>0</v>
      </c>
      <c r="P656" s="12">
        <f t="shared" si="83"/>
        <v>0</v>
      </c>
      <c r="Q656" s="12">
        <f t="shared" si="84"/>
        <v>0</v>
      </c>
      <c r="R656" s="12">
        <f t="shared" si="85"/>
        <v>0</v>
      </c>
      <c r="S656" s="12">
        <f t="shared" si="86"/>
        <v>0</v>
      </c>
      <c r="T656" s="29">
        <v>0</v>
      </c>
      <c r="U656" s="29">
        <v>0</v>
      </c>
      <c r="V656" s="29">
        <v>0</v>
      </c>
      <c r="W656" s="29">
        <v>0</v>
      </c>
      <c r="X656" s="29">
        <v>0</v>
      </c>
      <c r="Y656" s="29">
        <v>0</v>
      </c>
      <c r="Z656" s="29">
        <v>0</v>
      </c>
      <c r="AA656" s="29">
        <v>0</v>
      </c>
      <c r="AB656" s="29">
        <v>0</v>
      </c>
      <c r="AC656" s="29">
        <v>0</v>
      </c>
      <c r="AD656" s="29">
        <v>0</v>
      </c>
      <c r="AE656" s="29">
        <v>0</v>
      </c>
      <c r="AF656" s="29">
        <v>0</v>
      </c>
      <c r="AG656" s="29">
        <v>0</v>
      </c>
      <c r="AH656" s="29">
        <v>0</v>
      </c>
      <c r="AI656" s="29">
        <v>0</v>
      </c>
      <c r="AJ656" s="29">
        <v>0</v>
      </c>
      <c r="AK656" s="29">
        <v>0</v>
      </c>
      <c r="AL656" s="29">
        <v>0</v>
      </c>
      <c r="AM656" s="29">
        <v>0</v>
      </c>
      <c r="AN656" s="29">
        <v>0</v>
      </c>
      <c r="AO656" s="29">
        <v>0</v>
      </c>
      <c r="AP656" s="29">
        <v>0</v>
      </c>
    </row>
    <row r="657" spans="1:42" x14ac:dyDescent="0.25">
      <c r="A657" s="29">
        <v>32</v>
      </c>
      <c r="B657" s="29">
        <v>25201</v>
      </c>
      <c r="C657" s="29">
        <v>4</v>
      </c>
      <c r="D657" s="29" t="s">
        <v>1034</v>
      </c>
      <c r="E657" s="29"/>
      <c r="F657" s="29">
        <v>0</v>
      </c>
      <c r="G657" s="29">
        <v>0</v>
      </c>
      <c r="H657" s="29">
        <v>0</v>
      </c>
      <c r="I657" s="29">
        <v>0</v>
      </c>
      <c r="J657" s="29">
        <v>0</v>
      </c>
      <c r="K657" s="29" t="s">
        <v>882</v>
      </c>
      <c r="L657" s="19" t="str">
        <f t="shared" si="87"/>
        <v>Рихтовка</v>
      </c>
      <c r="M657" s="12">
        <f t="shared" si="80"/>
        <v>0</v>
      </c>
      <c r="N657" s="12">
        <f t="shared" si="81"/>
        <v>0</v>
      </c>
      <c r="O657" s="12">
        <f t="shared" si="82"/>
        <v>0</v>
      </c>
      <c r="P657" s="12">
        <f t="shared" si="83"/>
        <v>0</v>
      </c>
      <c r="Q657" s="12">
        <f t="shared" si="84"/>
        <v>0</v>
      </c>
      <c r="R657" s="12">
        <f t="shared" si="85"/>
        <v>0</v>
      </c>
      <c r="S657" s="12">
        <f t="shared" si="86"/>
        <v>0</v>
      </c>
      <c r="T657" s="29">
        <v>0</v>
      </c>
      <c r="U657" s="29">
        <v>0</v>
      </c>
      <c r="V657" s="29">
        <v>0</v>
      </c>
      <c r="W657" s="29">
        <v>0</v>
      </c>
      <c r="X657" s="29">
        <v>0</v>
      </c>
      <c r="Y657" s="29">
        <v>0</v>
      </c>
      <c r="Z657" s="29">
        <v>0</v>
      </c>
      <c r="AA657" s="29">
        <v>0</v>
      </c>
      <c r="AB657" s="29">
        <v>0</v>
      </c>
      <c r="AC657" s="29">
        <v>0</v>
      </c>
      <c r="AD657" s="29">
        <v>0</v>
      </c>
      <c r="AE657" s="29">
        <v>0</v>
      </c>
      <c r="AF657" s="29">
        <v>0</v>
      </c>
      <c r="AG657" s="29">
        <v>0</v>
      </c>
      <c r="AH657" s="29">
        <v>0</v>
      </c>
      <c r="AI657" s="29">
        <v>0</v>
      </c>
      <c r="AJ657" s="29">
        <v>0</v>
      </c>
      <c r="AK657" s="29">
        <v>0</v>
      </c>
      <c r="AL657" s="29">
        <v>0</v>
      </c>
      <c r="AM657" s="29">
        <v>0</v>
      </c>
      <c r="AN657" s="29">
        <v>0</v>
      </c>
      <c r="AO657" s="29">
        <v>0</v>
      </c>
      <c r="AP657" s="29">
        <v>0</v>
      </c>
    </row>
    <row r="658" spans="1:42" x14ac:dyDescent="0.25">
      <c r="A658" s="29">
        <v>32</v>
      </c>
      <c r="B658" s="29">
        <v>25201</v>
      </c>
      <c r="C658" s="29">
        <v>1</v>
      </c>
      <c r="D658" s="29" t="s">
        <v>1035</v>
      </c>
      <c r="E658" s="29"/>
      <c r="F658" s="29">
        <v>0</v>
      </c>
      <c r="G658" s="29">
        <v>0</v>
      </c>
      <c r="H658" s="29">
        <v>0</v>
      </c>
      <c r="I658" s="29">
        <v>0</v>
      </c>
      <c r="J658" s="29">
        <v>0</v>
      </c>
      <c r="K658" s="29" t="s">
        <v>882</v>
      </c>
      <c r="L658" s="19" t="str">
        <f t="shared" si="87"/>
        <v>Рихтовка</v>
      </c>
      <c r="M658" s="12">
        <f t="shared" si="80"/>
        <v>0</v>
      </c>
      <c r="N658" s="12">
        <f t="shared" si="81"/>
        <v>0</v>
      </c>
      <c r="O658" s="12">
        <f t="shared" si="82"/>
        <v>0</v>
      </c>
      <c r="P658" s="12">
        <f t="shared" si="83"/>
        <v>0</v>
      </c>
      <c r="Q658" s="12">
        <f t="shared" si="84"/>
        <v>0</v>
      </c>
      <c r="R658" s="12">
        <f t="shared" si="85"/>
        <v>0</v>
      </c>
      <c r="S658" s="12">
        <f t="shared" si="86"/>
        <v>0</v>
      </c>
      <c r="T658" s="29">
        <v>0</v>
      </c>
      <c r="U658" s="29">
        <v>0</v>
      </c>
      <c r="V658" s="29">
        <v>0</v>
      </c>
      <c r="W658" s="29">
        <v>0</v>
      </c>
      <c r="X658" s="29">
        <v>0</v>
      </c>
      <c r="Y658" s="29">
        <v>0</v>
      </c>
      <c r="Z658" s="29">
        <v>0</v>
      </c>
      <c r="AA658" s="29">
        <v>0</v>
      </c>
      <c r="AB658" s="29">
        <v>0</v>
      </c>
      <c r="AC658" s="29">
        <v>0</v>
      </c>
      <c r="AD658" s="29">
        <v>0</v>
      </c>
      <c r="AE658" s="29">
        <v>0</v>
      </c>
      <c r="AF658" s="29">
        <v>0</v>
      </c>
      <c r="AG658" s="29">
        <v>0</v>
      </c>
      <c r="AH658" s="29">
        <v>0</v>
      </c>
      <c r="AI658" s="29">
        <v>0</v>
      </c>
      <c r="AJ658" s="29">
        <v>0</v>
      </c>
      <c r="AK658" s="29">
        <v>0</v>
      </c>
      <c r="AL658" s="29">
        <v>0</v>
      </c>
      <c r="AM658" s="29">
        <v>0</v>
      </c>
      <c r="AN658" s="29">
        <v>0</v>
      </c>
      <c r="AO658" s="29">
        <v>0</v>
      </c>
      <c r="AP658" s="29">
        <v>0</v>
      </c>
    </row>
    <row r="659" spans="1:42" x14ac:dyDescent="0.25">
      <c r="A659" s="29">
        <v>32</v>
      </c>
      <c r="B659" s="29">
        <v>25201</v>
      </c>
      <c r="C659" s="29">
        <v>1</v>
      </c>
      <c r="D659" s="29" t="s">
        <v>1036</v>
      </c>
      <c r="E659" s="29"/>
      <c r="F659" s="29">
        <v>0</v>
      </c>
      <c r="G659" s="29">
        <v>0</v>
      </c>
      <c r="H659" s="29">
        <v>0</v>
      </c>
      <c r="I659" s="29">
        <v>0</v>
      </c>
      <c r="J659" s="29">
        <v>0</v>
      </c>
      <c r="K659" s="29" t="s">
        <v>882</v>
      </c>
      <c r="L659" s="19" t="str">
        <f t="shared" si="87"/>
        <v>Рихтовка</v>
      </c>
      <c r="M659" s="12">
        <f t="shared" si="80"/>
        <v>0</v>
      </c>
      <c r="N659" s="12">
        <f t="shared" si="81"/>
        <v>0</v>
      </c>
      <c r="O659" s="12">
        <f t="shared" si="82"/>
        <v>0</v>
      </c>
      <c r="P659" s="12">
        <f t="shared" si="83"/>
        <v>0</v>
      </c>
      <c r="Q659" s="12">
        <f t="shared" si="84"/>
        <v>0</v>
      </c>
      <c r="R659" s="12">
        <f t="shared" si="85"/>
        <v>0</v>
      </c>
      <c r="S659" s="12">
        <f t="shared" si="86"/>
        <v>0</v>
      </c>
      <c r="T659" s="29">
        <v>0</v>
      </c>
      <c r="U659" s="29">
        <v>0</v>
      </c>
      <c r="V659" s="29">
        <v>0</v>
      </c>
      <c r="W659" s="29">
        <v>0</v>
      </c>
      <c r="X659" s="29">
        <v>0</v>
      </c>
      <c r="Y659" s="29">
        <v>0</v>
      </c>
      <c r="Z659" s="29">
        <v>0</v>
      </c>
      <c r="AA659" s="29">
        <v>0</v>
      </c>
      <c r="AB659" s="29">
        <v>0</v>
      </c>
      <c r="AC659" s="29">
        <v>0</v>
      </c>
      <c r="AD659" s="29">
        <v>0</v>
      </c>
      <c r="AE659" s="29">
        <v>0</v>
      </c>
      <c r="AF659" s="29">
        <v>0</v>
      </c>
      <c r="AG659" s="29">
        <v>0</v>
      </c>
      <c r="AH659" s="29">
        <v>0</v>
      </c>
      <c r="AI659" s="29">
        <v>0</v>
      </c>
      <c r="AJ659" s="29">
        <v>0</v>
      </c>
      <c r="AK659" s="29">
        <v>0</v>
      </c>
      <c r="AL659" s="29">
        <v>0</v>
      </c>
      <c r="AM659" s="29">
        <v>0</v>
      </c>
      <c r="AN659" s="29">
        <v>0</v>
      </c>
      <c r="AO659" s="29">
        <v>0</v>
      </c>
      <c r="AP659" s="29">
        <v>0</v>
      </c>
    </row>
    <row r="660" spans="1:42" x14ac:dyDescent="0.25">
      <c r="A660" s="29">
        <v>32</v>
      </c>
      <c r="B660" s="29">
        <v>25201</v>
      </c>
      <c r="C660" s="29">
        <v>2</v>
      </c>
      <c r="D660" s="29" t="s">
        <v>1037</v>
      </c>
      <c r="E660" s="29"/>
      <c r="F660" s="29">
        <v>0</v>
      </c>
      <c r="G660" s="29">
        <v>0</v>
      </c>
      <c r="H660" s="29">
        <v>0</v>
      </c>
      <c r="I660" s="29">
        <v>0</v>
      </c>
      <c r="J660" s="29">
        <v>0</v>
      </c>
      <c r="K660" s="29" t="s">
        <v>882</v>
      </c>
      <c r="L660" s="19" t="str">
        <f t="shared" si="87"/>
        <v>Рихтовка</v>
      </c>
      <c r="M660" s="12">
        <f t="shared" si="80"/>
        <v>0</v>
      </c>
      <c r="N660" s="12">
        <f t="shared" si="81"/>
        <v>0</v>
      </c>
      <c r="O660" s="12">
        <f t="shared" si="82"/>
        <v>0</v>
      </c>
      <c r="P660" s="12">
        <f t="shared" si="83"/>
        <v>0</v>
      </c>
      <c r="Q660" s="12">
        <f t="shared" si="84"/>
        <v>0</v>
      </c>
      <c r="R660" s="12">
        <f t="shared" si="85"/>
        <v>0</v>
      </c>
      <c r="S660" s="12">
        <f t="shared" si="86"/>
        <v>0</v>
      </c>
      <c r="T660" s="29">
        <v>0</v>
      </c>
      <c r="U660" s="29">
        <v>0</v>
      </c>
      <c r="V660" s="29">
        <v>0</v>
      </c>
      <c r="W660" s="29">
        <v>0</v>
      </c>
      <c r="X660" s="29">
        <v>0</v>
      </c>
      <c r="Y660" s="29">
        <v>0</v>
      </c>
      <c r="Z660" s="29">
        <v>0</v>
      </c>
      <c r="AA660" s="29">
        <v>0</v>
      </c>
      <c r="AB660" s="29">
        <v>0</v>
      </c>
      <c r="AC660" s="29">
        <v>0</v>
      </c>
      <c r="AD660" s="29">
        <v>0</v>
      </c>
      <c r="AE660" s="29">
        <v>0</v>
      </c>
      <c r="AF660" s="29">
        <v>0</v>
      </c>
      <c r="AG660" s="29">
        <v>0</v>
      </c>
      <c r="AH660" s="29">
        <v>0</v>
      </c>
      <c r="AI660" s="29">
        <v>0</v>
      </c>
      <c r="AJ660" s="29">
        <v>0</v>
      </c>
      <c r="AK660" s="29">
        <v>0</v>
      </c>
      <c r="AL660" s="29">
        <v>0</v>
      </c>
      <c r="AM660" s="29">
        <v>0</v>
      </c>
      <c r="AN660" s="29">
        <v>0</v>
      </c>
      <c r="AO660" s="29">
        <v>0</v>
      </c>
      <c r="AP660" s="29">
        <v>0</v>
      </c>
    </row>
    <row r="661" spans="1:42" x14ac:dyDescent="0.25">
      <c r="A661" s="29">
        <v>32</v>
      </c>
      <c r="B661" s="29">
        <v>25201</v>
      </c>
      <c r="C661" s="29">
        <v>1</v>
      </c>
      <c r="D661" s="29" t="s">
        <v>1038</v>
      </c>
      <c r="E661" s="29"/>
      <c r="F661" s="29">
        <v>0</v>
      </c>
      <c r="G661" s="29">
        <v>0</v>
      </c>
      <c r="H661" s="29">
        <v>0</v>
      </c>
      <c r="I661" s="29">
        <v>0</v>
      </c>
      <c r="J661" s="29">
        <v>0</v>
      </c>
      <c r="K661" s="29" t="s">
        <v>882</v>
      </c>
      <c r="L661" s="19" t="str">
        <f t="shared" si="87"/>
        <v>Рихтовка</v>
      </c>
      <c r="M661" s="12">
        <f t="shared" si="80"/>
        <v>0</v>
      </c>
      <c r="N661" s="12">
        <f t="shared" si="81"/>
        <v>0</v>
      </c>
      <c r="O661" s="12">
        <f t="shared" si="82"/>
        <v>0</v>
      </c>
      <c r="P661" s="12">
        <f t="shared" si="83"/>
        <v>0</v>
      </c>
      <c r="Q661" s="12">
        <f t="shared" si="84"/>
        <v>0</v>
      </c>
      <c r="R661" s="12">
        <f t="shared" si="85"/>
        <v>0</v>
      </c>
      <c r="S661" s="12">
        <f t="shared" si="86"/>
        <v>0</v>
      </c>
      <c r="T661" s="29">
        <v>0</v>
      </c>
      <c r="U661" s="29">
        <v>0</v>
      </c>
      <c r="V661" s="29">
        <v>0</v>
      </c>
      <c r="W661" s="29">
        <v>0</v>
      </c>
      <c r="X661" s="29">
        <v>0</v>
      </c>
      <c r="Y661" s="29">
        <v>0</v>
      </c>
      <c r="Z661" s="29">
        <v>0</v>
      </c>
      <c r="AA661" s="29">
        <v>0</v>
      </c>
      <c r="AB661" s="29">
        <v>0</v>
      </c>
      <c r="AC661" s="29">
        <v>0</v>
      </c>
      <c r="AD661" s="29">
        <v>0</v>
      </c>
      <c r="AE661" s="29">
        <v>0</v>
      </c>
      <c r="AF661" s="29">
        <v>0</v>
      </c>
      <c r="AG661" s="29">
        <v>0</v>
      </c>
      <c r="AH661" s="29">
        <v>0</v>
      </c>
      <c r="AI661" s="29">
        <v>0</v>
      </c>
      <c r="AJ661" s="29">
        <v>0</v>
      </c>
      <c r="AK661" s="29">
        <v>0</v>
      </c>
      <c r="AL661" s="29">
        <v>0</v>
      </c>
      <c r="AM661" s="29">
        <v>0</v>
      </c>
      <c r="AN661" s="29">
        <v>0</v>
      </c>
      <c r="AO661" s="29">
        <v>0</v>
      </c>
      <c r="AP661" s="29">
        <v>0</v>
      </c>
    </row>
    <row r="662" spans="1:42" x14ac:dyDescent="0.25">
      <c r="A662" s="29">
        <v>32</v>
      </c>
      <c r="B662" s="29">
        <v>25201</v>
      </c>
      <c r="C662" s="29">
        <v>2</v>
      </c>
      <c r="D662" s="29" t="s">
        <v>1039</v>
      </c>
      <c r="E662" s="29"/>
      <c r="F662" s="29">
        <v>0</v>
      </c>
      <c r="G662" s="29">
        <v>0</v>
      </c>
      <c r="H662" s="29">
        <v>0</v>
      </c>
      <c r="I662" s="29">
        <v>0</v>
      </c>
      <c r="J662" s="29">
        <v>0</v>
      </c>
      <c r="K662" s="29" t="s">
        <v>882</v>
      </c>
      <c r="L662" s="19" t="str">
        <f t="shared" si="87"/>
        <v>Рихтовка</v>
      </c>
      <c r="M662" s="12">
        <f t="shared" si="80"/>
        <v>0</v>
      </c>
      <c r="N662" s="12">
        <f t="shared" si="81"/>
        <v>0</v>
      </c>
      <c r="O662" s="12">
        <f t="shared" si="82"/>
        <v>0</v>
      </c>
      <c r="P662" s="12">
        <f t="shared" si="83"/>
        <v>0</v>
      </c>
      <c r="Q662" s="12">
        <f t="shared" si="84"/>
        <v>0</v>
      </c>
      <c r="R662" s="12">
        <f t="shared" si="85"/>
        <v>0</v>
      </c>
      <c r="S662" s="12">
        <f t="shared" si="86"/>
        <v>0</v>
      </c>
      <c r="T662" s="29">
        <v>0</v>
      </c>
      <c r="U662" s="29">
        <v>0</v>
      </c>
      <c r="V662" s="29">
        <v>0</v>
      </c>
      <c r="W662" s="29">
        <v>0</v>
      </c>
      <c r="X662" s="29">
        <v>0</v>
      </c>
      <c r="Y662" s="29">
        <v>0</v>
      </c>
      <c r="Z662" s="29">
        <v>0</v>
      </c>
      <c r="AA662" s="29">
        <v>0</v>
      </c>
      <c r="AB662" s="29">
        <v>0</v>
      </c>
      <c r="AC662" s="29">
        <v>0</v>
      </c>
      <c r="AD662" s="29">
        <v>0</v>
      </c>
      <c r="AE662" s="29">
        <v>0</v>
      </c>
      <c r="AF662" s="29">
        <v>0</v>
      </c>
      <c r="AG662" s="29">
        <v>0</v>
      </c>
      <c r="AH662" s="29">
        <v>0</v>
      </c>
      <c r="AI662" s="29">
        <v>0</v>
      </c>
      <c r="AJ662" s="29">
        <v>0</v>
      </c>
      <c r="AK662" s="29">
        <v>0</v>
      </c>
      <c r="AL662" s="29">
        <v>0</v>
      </c>
      <c r="AM662" s="29">
        <v>0</v>
      </c>
      <c r="AN662" s="29">
        <v>0</v>
      </c>
      <c r="AO662" s="29">
        <v>0</v>
      </c>
      <c r="AP662" s="29">
        <v>0</v>
      </c>
    </row>
    <row r="663" spans="1:42" x14ac:dyDescent="0.25">
      <c r="A663" s="29">
        <v>32</v>
      </c>
      <c r="B663" s="29">
        <v>25201</v>
      </c>
      <c r="C663" s="29">
        <v>1</v>
      </c>
      <c r="D663" s="29" t="s">
        <v>1040</v>
      </c>
      <c r="E663" s="29"/>
      <c r="F663" s="29">
        <v>0</v>
      </c>
      <c r="G663" s="29">
        <v>0</v>
      </c>
      <c r="H663" s="29">
        <v>0</v>
      </c>
      <c r="I663" s="29">
        <v>0</v>
      </c>
      <c r="J663" s="29">
        <v>0</v>
      </c>
      <c r="K663" s="29" t="s">
        <v>882</v>
      </c>
      <c r="L663" s="19" t="str">
        <f t="shared" si="87"/>
        <v>Рихтовка</v>
      </c>
      <c r="M663" s="12">
        <f t="shared" si="80"/>
        <v>0</v>
      </c>
      <c r="N663" s="12">
        <f t="shared" si="81"/>
        <v>0</v>
      </c>
      <c r="O663" s="12">
        <f t="shared" si="82"/>
        <v>0</v>
      </c>
      <c r="P663" s="12">
        <f t="shared" si="83"/>
        <v>0</v>
      </c>
      <c r="Q663" s="12">
        <f t="shared" si="84"/>
        <v>0</v>
      </c>
      <c r="R663" s="12">
        <f t="shared" si="85"/>
        <v>0</v>
      </c>
      <c r="S663" s="12">
        <f t="shared" si="86"/>
        <v>0</v>
      </c>
      <c r="T663" s="29">
        <v>0</v>
      </c>
      <c r="U663" s="29">
        <v>0</v>
      </c>
      <c r="V663" s="29">
        <v>0</v>
      </c>
      <c r="W663" s="29">
        <v>0</v>
      </c>
      <c r="X663" s="29">
        <v>0</v>
      </c>
      <c r="Y663" s="29">
        <v>0</v>
      </c>
      <c r="Z663" s="29">
        <v>0</v>
      </c>
      <c r="AA663" s="29">
        <v>0</v>
      </c>
      <c r="AB663" s="29">
        <v>0</v>
      </c>
      <c r="AC663" s="29">
        <v>0</v>
      </c>
      <c r="AD663" s="29">
        <v>0</v>
      </c>
      <c r="AE663" s="29">
        <v>0</v>
      </c>
      <c r="AF663" s="29">
        <v>0</v>
      </c>
      <c r="AG663" s="29">
        <v>0</v>
      </c>
      <c r="AH663" s="29">
        <v>0</v>
      </c>
      <c r="AI663" s="29">
        <v>0</v>
      </c>
      <c r="AJ663" s="29">
        <v>0</v>
      </c>
      <c r="AK663" s="29">
        <v>0</v>
      </c>
      <c r="AL663" s="29">
        <v>0</v>
      </c>
      <c r="AM663" s="29">
        <v>0</v>
      </c>
      <c r="AN663" s="29">
        <v>0</v>
      </c>
      <c r="AO663" s="29">
        <v>0</v>
      </c>
      <c r="AP663" s="29">
        <v>0</v>
      </c>
    </row>
    <row r="664" spans="1:42" x14ac:dyDescent="0.25">
      <c r="A664" s="29">
        <v>32</v>
      </c>
      <c r="B664" s="29">
        <v>25201</v>
      </c>
      <c r="C664" s="29">
        <v>1</v>
      </c>
      <c r="D664" s="29" t="s">
        <v>1041</v>
      </c>
      <c r="E664" s="29"/>
      <c r="F664" s="29">
        <v>0</v>
      </c>
      <c r="G664" s="29">
        <v>0</v>
      </c>
      <c r="H664" s="29">
        <v>0</v>
      </c>
      <c r="I664" s="29">
        <v>0</v>
      </c>
      <c r="J664" s="29">
        <v>0</v>
      </c>
      <c r="K664" s="29" t="s">
        <v>882</v>
      </c>
      <c r="L664" s="19" t="str">
        <f t="shared" si="87"/>
        <v>Рихтовка</v>
      </c>
      <c r="M664" s="12">
        <f t="shared" si="80"/>
        <v>0</v>
      </c>
      <c r="N664" s="12">
        <f t="shared" si="81"/>
        <v>0</v>
      </c>
      <c r="O664" s="12">
        <f t="shared" si="82"/>
        <v>0</v>
      </c>
      <c r="P664" s="12">
        <f t="shared" si="83"/>
        <v>0</v>
      </c>
      <c r="Q664" s="12">
        <f t="shared" si="84"/>
        <v>0</v>
      </c>
      <c r="R664" s="12">
        <f t="shared" si="85"/>
        <v>0</v>
      </c>
      <c r="S664" s="12">
        <f t="shared" si="86"/>
        <v>0</v>
      </c>
      <c r="T664" s="29">
        <v>0</v>
      </c>
      <c r="U664" s="29">
        <v>0</v>
      </c>
      <c r="V664" s="29">
        <v>0</v>
      </c>
      <c r="W664" s="29">
        <v>0</v>
      </c>
      <c r="X664" s="29">
        <v>0</v>
      </c>
      <c r="Y664" s="29">
        <v>0</v>
      </c>
      <c r="Z664" s="29">
        <v>0</v>
      </c>
      <c r="AA664" s="29">
        <v>0</v>
      </c>
      <c r="AB664" s="29">
        <v>0</v>
      </c>
      <c r="AC664" s="29">
        <v>0</v>
      </c>
      <c r="AD664" s="29">
        <v>0</v>
      </c>
      <c r="AE664" s="29">
        <v>0</v>
      </c>
      <c r="AF664" s="29">
        <v>0</v>
      </c>
      <c r="AG664" s="29">
        <v>0</v>
      </c>
      <c r="AH664" s="29">
        <v>0</v>
      </c>
      <c r="AI664" s="29">
        <v>0</v>
      </c>
      <c r="AJ664" s="29">
        <v>0</v>
      </c>
      <c r="AK664" s="29">
        <v>0</v>
      </c>
      <c r="AL664" s="29">
        <v>0</v>
      </c>
      <c r="AM664" s="29">
        <v>0</v>
      </c>
      <c r="AN664" s="29">
        <v>0</v>
      </c>
      <c r="AO664" s="29">
        <v>0</v>
      </c>
      <c r="AP664" s="29">
        <v>0</v>
      </c>
    </row>
    <row r="665" spans="1:42" x14ac:dyDescent="0.25">
      <c r="A665" s="29">
        <v>32</v>
      </c>
      <c r="B665" s="29">
        <v>25201</v>
      </c>
      <c r="C665" s="29">
        <v>1</v>
      </c>
      <c r="D665" s="29" t="s">
        <v>1042</v>
      </c>
      <c r="E665" s="29"/>
      <c r="F665" s="29">
        <v>0</v>
      </c>
      <c r="G665" s="29">
        <v>0</v>
      </c>
      <c r="H665" s="29">
        <v>0</v>
      </c>
      <c r="I665" s="29">
        <v>0</v>
      </c>
      <c r="J665" s="29">
        <v>0</v>
      </c>
      <c r="K665" s="29" t="s">
        <v>882</v>
      </c>
      <c r="L665" s="19" t="str">
        <f t="shared" si="87"/>
        <v>Рихтовка</v>
      </c>
      <c r="M665" s="12">
        <f t="shared" si="80"/>
        <v>0</v>
      </c>
      <c r="N665" s="12">
        <f t="shared" si="81"/>
        <v>0</v>
      </c>
      <c r="O665" s="12">
        <f t="shared" si="82"/>
        <v>0</v>
      </c>
      <c r="P665" s="12">
        <f t="shared" si="83"/>
        <v>0</v>
      </c>
      <c r="Q665" s="12">
        <f t="shared" si="84"/>
        <v>0</v>
      </c>
      <c r="R665" s="12">
        <f t="shared" si="85"/>
        <v>0</v>
      </c>
      <c r="S665" s="12">
        <f t="shared" si="86"/>
        <v>0</v>
      </c>
      <c r="T665" s="29">
        <v>0</v>
      </c>
      <c r="U665" s="29">
        <v>0</v>
      </c>
      <c r="V665" s="29">
        <v>0</v>
      </c>
      <c r="W665" s="29">
        <v>0</v>
      </c>
      <c r="X665" s="29">
        <v>0</v>
      </c>
      <c r="Y665" s="29">
        <v>0</v>
      </c>
      <c r="Z665" s="29">
        <v>0</v>
      </c>
      <c r="AA665" s="29">
        <v>0</v>
      </c>
      <c r="AB665" s="29">
        <v>0</v>
      </c>
      <c r="AC665" s="29">
        <v>0</v>
      </c>
      <c r="AD665" s="29">
        <v>0</v>
      </c>
      <c r="AE665" s="29">
        <v>0</v>
      </c>
      <c r="AF665" s="29">
        <v>0</v>
      </c>
      <c r="AG665" s="29">
        <v>0</v>
      </c>
      <c r="AH665" s="29">
        <v>0</v>
      </c>
      <c r="AI665" s="29">
        <v>0</v>
      </c>
      <c r="AJ665" s="29">
        <v>0</v>
      </c>
      <c r="AK665" s="29">
        <v>0</v>
      </c>
      <c r="AL665" s="29">
        <v>0</v>
      </c>
      <c r="AM665" s="29">
        <v>0</v>
      </c>
      <c r="AN665" s="29">
        <v>0</v>
      </c>
      <c r="AO665" s="29">
        <v>0</v>
      </c>
      <c r="AP665" s="29">
        <v>0</v>
      </c>
    </row>
    <row r="666" spans="1:42" x14ac:dyDescent="0.25">
      <c r="A666" s="29">
        <v>32</v>
      </c>
      <c r="B666" s="29">
        <v>25201</v>
      </c>
      <c r="C666" s="29">
        <v>1</v>
      </c>
      <c r="D666" s="29" t="s">
        <v>1043</v>
      </c>
      <c r="E666" s="29"/>
      <c r="F666" s="29">
        <v>0</v>
      </c>
      <c r="G666" s="29">
        <v>0</v>
      </c>
      <c r="H666" s="29">
        <v>0</v>
      </c>
      <c r="I666" s="29">
        <v>0</v>
      </c>
      <c r="J666" s="29">
        <v>0</v>
      </c>
      <c r="K666" s="29" t="s">
        <v>882</v>
      </c>
      <c r="L666" s="19" t="str">
        <f t="shared" si="87"/>
        <v>Рихтовка</v>
      </c>
      <c r="M666" s="12">
        <f t="shared" si="80"/>
        <v>0</v>
      </c>
      <c r="N666" s="12">
        <f t="shared" si="81"/>
        <v>0</v>
      </c>
      <c r="O666" s="12">
        <f t="shared" si="82"/>
        <v>0</v>
      </c>
      <c r="P666" s="12">
        <f t="shared" si="83"/>
        <v>0</v>
      </c>
      <c r="Q666" s="12">
        <f t="shared" si="84"/>
        <v>0</v>
      </c>
      <c r="R666" s="12">
        <f t="shared" si="85"/>
        <v>0</v>
      </c>
      <c r="S666" s="12">
        <f t="shared" si="86"/>
        <v>0</v>
      </c>
      <c r="T666" s="29">
        <v>0</v>
      </c>
      <c r="U666" s="29">
        <v>0</v>
      </c>
      <c r="V666" s="29">
        <v>0</v>
      </c>
      <c r="W666" s="29">
        <v>0</v>
      </c>
      <c r="X666" s="29">
        <v>0</v>
      </c>
      <c r="Y666" s="29">
        <v>0</v>
      </c>
      <c r="Z666" s="29">
        <v>0</v>
      </c>
      <c r="AA666" s="29">
        <v>0</v>
      </c>
      <c r="AB666" s="29">
        <v>0</v>
      </c>
      <c r="AC666" s="29">
        <v>0</v>
      </c>
      <c r="AD666" s="29">
        <v>0</v>
      </c>
      <c r="AE666" s="29">
        <v>0</v>
      </c>
      <c r="AF666" s="29">
        <v>0</v>
      </c>
      <c r="AG666" s="29">
        <v>0</v>
      </c>
      <c r="AH666" s="29">
        <v>0</v>
      </c>
      <c r="AI666" s="29">
        <v>0</v>
      </c>
      <c r="AJ666" s="29">
        <v>0</v>
      </c>
      <c r="AK666" s="29">
        <v>0</v>
      </c>
      <c r="AL666" s="29">
        <v>0</v>
      </c>
      <c r="AM666" s="29">
        <v>0</v>
      </c>
      <c r="AN666" s="29">
        <v>0</v>
      </c>
      <c r="AO666" s="29">
        <v>0</v>
      </c>
      <c r="AP666" s="29">
        <v>0</v>
      </c>
    </row>
    <row r="667" spans="1:42" x14ac:dyDescent="0.25">
      <c r="A667" s="29">
        <v>32</v>
      </c>
      <c r="B667" s="29">
        <v>25201</v>
      </c>
      <c r="C667" s="29">
        <v>1</v>
      </c>
      <c r="D667" s="29" t="s">
        <v>1044</v>
      </c>
      <c r="E667" s="29"/>
      <c r="F667" s="29">
        <v>0</v>
      </c>
      <c r="G667" s="29">
        <v>0</v>
      </c>
      <c r="H667" s="29">
        <v>0</v>
      </c>
      <c r="I667" s="29">
        <v>0</v>
      </c>
      <c r="J667" s="29">
        <v>0</v>
      </c>
      <c r="K667" s="29" t="s">
        <v>882</v>
      </c>
      <c r="L667" s="19" t="str">
        <f t="shared" si="87"/>
        <v>Рихтовка</v>
      </c>
      <c r="M667" s="12">
        <f t="shared" si="80"/>
        <v>0</v>
      </c>
      <c r="N667" s="12">
        <f t="shared" si="81"/>
        <v>0</v>
      </c>
      <c r="O667" s="12">
        <f t="shared" si="82"/>
        <v>0</v>
      </c>
      <c r="P667" s="12">
        <f t="shared" si="83"/>
        <v>0</v>
      </c>
      <c r="Q667" s="12">
        <f t="shared" si="84"/>
        <v>0</v>
      </c>
      <c r="R667" s="12">
        <f t="shared" si="85"/>
        <v>0</v>
      </c>
      <c r="S667" s="12">
        <f t="shared" si="86"/>
        <v>0</v>
      </c>
      <c r="T667" s="29">
        <v>0</v>
      </c>
      <c r="U667" s="29">
        <v>0</v>
      </c>
      <c r="V667" s="29">
        <v>0</v>
      </c>
      <c r="W667" s="29">
        <v>0</v>
      </c>
      <c r="X667" s="29">
        <v>0</v>
      </c>
      <c r="Y667" s="29">
        <v>0</v>
      </c>
      <c r="Z667" s="29">
        <v>0</v>
      </c>
      <c r="AA667" s="29">
        <v>0</v>
      </c>
      <c r="AB667" s="29">
        <v>0</v>
      </c>
      <c r="AC667" s="29">
        <v>0</v>
      </c>
      <c r="AD667" s="29">
        <v>0</v>
      </c>
      <c r="AE667" s="29">
        <v>0</v>
      </c>
      <c r="AF667" s="29">
        <v>0</v>
      </c>
      <c r="AG667" s="29">
        <v>0</v>
      </c>
      <c r="AH667" s="29">
        <v>0</v>
      </c>
      <c r="AI667" s="29">
        <v>0</v>
      </c>
      <c r="AJ667" s="29">
        <v>0</v>
      </c>
      <c r="AK667" s="29">
        <v>0</v>
      </c>
      <c r="AL667" s="29">
        <v>0</v>
      </c>
      <c r="AM667" s="29">
        <v>0</v>
      </c>
      <c r="AN667" s="29">
        <v>0</v>
      </c>
      <c r="AO667" s="29">
        <v>0</v>
      </c>
      <c r="AP667" s="29">
        <v>0</v>
      </c>
    </row>
    <row r="668" spans="1:42" x14ac:dyDescent="0.25">
      <c r="A668" s="29">
        <v>32</v>
      </c>
      <c r="B668" s="29">
        <v>25201</v>
      </c>
      <c r="C668" s="29">
        <v>1</v>
      </c>
      <c r="D668" s="29" t="s">
        <v>1045</v>
      </c>
      <c r="E668" s="29"/>
      <c r="F668" s="29">
        <v>0</v>
      </c>
      <c r="G668" s="29">
        <v>0</v>
      </c>
      <c r="H668" s="29">
        <v>0</v>
      </c>
      <c r="I668" s="29">
        <v>0</v>
      </c>
      <c r="J668" s="29">
        <v>0</v>
      </c>
      <c r="K668" s="29" t="s">
        <v>882</v>
      </c>
      <c r="L668" s="19" t="str">
        <f t="shared" si="87"/>
        <v>Рихтовка</v>
      </c>
      <c r="M668" s="12">
        <f t="shared" si="80"/>
        <v>0</v>
      </c>
      <c r="N668" s="12">
        <f t="shared" si="81"/>
        <v>0</v>
      </c>
      <c r="O668" s="12">
        <f t="shared" si="82"/>
        <v>0</v>
      </c>
      <c r="P668" s="12">
        <f t="shared" si="83"/>
        <v>0</v>
      </c>
      <c r="Q668" s="12">
        <f t="shared" si="84"/>
        <v>0</v>
      </c>
      <c r="R668" s="12">
        <f t="shared" si="85"/>
        <v>0</v>
      </c>
      <c r="S668" s="12">
        <f t="shared" si="86"/>
        <v>0</v>
      </c>
      <c r="T668" s="29">
        <v>0</v>
      </c>
      <c r="U668" s="29">
        <v>0</v>
      </c>
      <c r="V668" s="29">
        <v>0</v>
      </c>
      <c r="W668" s="29">
        <v>0</v>
      </c>
      <c r="X668" s="29">
        <v>0</v>
      </c>
      <c r="Y668" s="29">
        <v>0</v>
      </c>
      <c r="Z668" s="29">
        <v>0</v>
      </c>
      <c r="AA668" s="29">
        <v>0</v>
      </c>
      <c r="AB668" s="29">
        <v>0</v>
      </c>
      <c r="AC668" s="29">
        <v>0</v>
      </c>
      <c r="AD668" s="29">
        <v>0</v>
      </c>
      <c r="AE668" s="29">
        <v>0</v>
      </c>
      <c r="AF668" s="29">
        <v>0</v>
      </c>
      <c r="AG668" s="29">
        <v>0</v>
      </c>
      <c r="AH668" s="29">
        <v>0</v>
      </c>
      <c r="AI668" s="29">
        <v>0</v>
      </c>
      <c r="AJ668" s="29">
        <v>0</v>
      </c>
      <c r="AK668" s="29">
        <v>0</v>
      </c>
      <c r="AL668" s="29">
        <v>0</v>
      </c>
      <c r="AM668" s="29">
        <v>0</v>
      </c>
      <c r="AN668" s="29">
        <v>0</v>
      </c>
      <c r="AO668" s="29">
        <v>0</v>
      </c>
      <c r="AP668" s="29">
        <v>0</v>
      </c>
    </row>
    <row r="669" spans="1:42" x14ac:dyDescent="0.25">
      <c r="A669" s="29">
        <v>32</v>
      </c>
      <c r="B669" s="29">
        <v>25201</v>
      </c>
      <c r="C669" s="29">
        <v>5</v>
      </c>
      <c r="D669" s="29" t="s">
        <v>1046</v>
      </c>
      <c r="E669" s="29"/>
      <c r="F669" s="29">
        <v>0</v>
      </c>
      <c r="G669" s="29">
        <v>0</v>
      </c>
      <c r="H669" s="29">
        <v>0</v>
      </c>
      <c r="I669" s="29">
        <v>0</v>
      </c>
      <c r="J669" s="29">
        <v>0</v>
      </c>
      <c r="K669" s="29" t="s">
        <v>882</v>
      </c>
      <c r="L669" s="19" t="str">
        <f t="shared" si="87"/>
        <v>Рихтовка</v>
      </c>
      <c r="M669" s="12">
        <f t="shared" si="80"/>
        <v>0</v>
      </c>
      <c r="N669" s="12">
        <f t="shared" si="81"/>
        <v>0</v>
      </c>
      <c r="O669" s="12">
        <f t="shared" si="82"/>
        <v>0</v>
      </c>
      <c r="P669" s="12">
        <f t="shared" si="83"/>
        <v>0</v>
      </c>
      <c r="Q669" s="12">
        <f t="shared" si="84"/>
        <v>0</v>
      </c>
      <c r="R669" s="12">
        <f t="shared" si="85"/>
        <v>0</v>
      </c>
      <c r="S669" s="12">
        <f t="shared" si="86"/>
        <v>0</v>
      </c>
      <c r="T669" s="29">
        <v>0</v>
      </c>
      <c r="U669" s="29">
        <v>0</v>
      </c>
      <c r="V669" s="29">
        <v>0</v>
      </c>
      <c r="W669" s="29">
        <v>0</v>
      </c>
      <c r="X669" s="29">
        <v>0</v>
      </c>
      <c r="Y669" s="29">
        <v>0</v>
      </c>
      <c r="Z669" s="29">
        <v>0</v>
      </c>
      <c r="AA669" s="29">
        <v>0</v>
      </c>
      <c r="AB669" s="29">
        <v>0</v>
      </c>
      <c r="AC669" s="29">
        <v>0</v>
      </c>
      <c r="AD669" s="29">
        <v>0</v>
      </c>
      <c r="AE669" s="29">
        <v>0</v>
      </c>
      <c r="AF669" s="29">
        <v>0</v>
      </c>
      <c r="AG669" s="29">
        <v>0</v>
      </c>
      <c r="AH669" s="29">
        <v>0</v>
      </c>
      <c r="AI669" s="29">
        <v>0</v>
      </c>
      <c r="AJ669" s="29">
        <v>0</v>
      </c>
      <c r="AK669" s="29">
        <v>0</v>
      </c>
      <c r="AL669" s="29">
        <v>0</v>
      </c>
      <c r="AM669" s="29">
        <v>0</v>
      </c>
      <c r="AN669" s="29">
        <v>0</v>
      </c>
      <c r="AO669" s="29">
        <v>0</v>
      </c>
      <c r="AP669" s="29">
        <v>0</v>
      </c>
    </row>
    <row r="670" spans="1:42" x14ac:dyDescent="0.25">
      <c r="A670" s="29">
        <v>32</v>
      </c>
      <c r="B670" s="29">
        <v>25201</v>
      </c>
      <c r="C670" s="29">
        <v>1</v>
      </c>
      <c r="D670" s="29" t="s">
        <v>1047</v>
      </c>
      <c r="E670" s="29"/>
      <c r="F670" s="29">
        <v>0</v>
      </c>
      <c r="G670" s="29">
        <v>0</v>
      </c>
      <c r="H670" s="29">
        <v>0</v>
      </c>
      <c r="I670" s="29">
        <v>0</v>
      </c>
      <c r="J670" s="29">
        <v>0</v>
      </c>
      <c r="K670" s="29" t="s">
        <v>882</v>
      </c>
      <c r="L670" s="19" t="str">
        <f t="shared" si="87"/>
        <v>Рихтовка</v>
      </c>
      <c r="M670" s="12">
        <f t="shared" si="80"/>
        <v>0</v>
      </c>
      <c r="N670" s="12">
        <f t="shared" si="81"/>
        <v>0</v>
      </c>
      <c r="O670" s="12">
        <f t="shared" si="82"/>
        <v>0</v>
      </c>
      <c r="P670" s="12">
        <f t="shared" si="83"/>
        <v>0</v>
      </c>
      <c r="Q670" s="12">
        <f t="shared" si="84"/>
        <v>0</v>
      </c>
      <c r="R670" s="12">
        <f t="shared" si="85"/>
        <v>0</v>
      </c>
      <c r="S670" s="12">
        <f t="shared" si="86"/>
        <v>0</v>
      </c>
      <c r="T670" s="29">
        <v>0</v>
      </c>
      <c r="U670" s="29">
        <v>0</v>
      </c>
      <c r="V670" s="29">
        <v>0</v>
      </c>
      <c r="W670" s="29">
        <v>0</v>
      </c>
      <c r="X670" s="29">
        <v>0</v>
      </c>
      <c r="Y670" s="29">
        <v>0</v>
      </c>
      <c r="Z670" s="29">
        <v>0</v>
      </c>
      <c r="AA670" s="29">
        <v>0</v>
      </c>
      <c r="AB670" s="29">
        <v>0</v>
      </c>
      <c r="AC670" s="29">
        <v>0</v>
      </c>
      <c r="AD670" s="29">
        <v>0</v>
      </c>
      <c r="AE670" s="29">
        <v>0</v>
      </c>
      <c r="AF670" s="29">
        <v>0</v>
      </c>
      <c r="AG670" s="29">
        <v>0</v>
      </c>
      <c r="AH670" s="29">
        <v>0</v>
      </c>
      <c r="AI670" s="29">
        <v>0</v>
      </c>
      <c r="AJ670" s="29">
        <v>0</v>
      </c>
      <c r="AK670" s="29">
        <v>0</v>
      </c>
      <c r="AL670" s="29">
        <v>0</v>
      </c>
      <c r="AM670" s="29">
        <v>0</v>
      </c>
      <c r="AN670" s="29">
        <v>0</v>
      </c>
      <c r="AO670" s="29">
        <v>0</v>
      </c>
      <c r="AP670" s="29">
        <v>0</v>
      </c>
    </row>
    <row r="671" spans="1:42" x14ac:dyDescent="0.25">
      <c r="A671" s="29">
        <v>32</v>
      </c>
      <c r="B671" s="29">
        <v>25201</v>
      </c>
      <c r="C671" s="29">
        <v>1</v>
      </c>
      <c r="D671" s="29" t="s">
        <v>1048</v>
      </c>
      <c r="E671" s="29"/>
      <c r="F671" s="29">
        <v>0</v>
      </c>
      <c r="G671" s="29">
        <v>0</v>
      </c>
      <c r="H671" s="29">
        <v>0</v>
      </c>
      <c r="I671" s="29">
        <v>0</v>
      </c>
      <c r="J671" s="29">
        <v>0</v>
      </c>
      <c r="K671" s="29" t="s">
        <v>882</v>
      </c>
      <c r="L671" s="19" t="str">
        <f t="shared" si="87"/>
        <v>Рихтовка</v>
      </c>
      <c r="M671" s="12">
        <f t="shared" si="80"/>
        <v>0</v>
      </c>
      <c r="N671" s="12">
        <f t="shared" si="81"/>
        <v>0</v>
      </c>
      <c r="O671" s="12">
        <f t="shared" si="82"/>
        <v>0</v>
      </c>
      <c r="P671" s="12">
        <f t="shared" si="83"/>
        <v>0</v>
      </c>
      <c r="Q671" s="12">
        <f t="shared" si="84"/>
        <v>0</v>
      </c>
      <c r="R671" s="12">
        <f t="shared" si="85"/>
        <v>0</v>
      </c>
      <c r="S671" s="12">
        <f t="shared" si="86"/>
        <v>0</v>
      </c>
      <c r="T671" s="29">
        <v>0</v>
      </c>
      <c r="U671" s="29">
        <v>0</v>
      </c>
      <c r="V671" s="29">
        <v>0</v>
      </c>
      <c r="W671" s="29">
        <v>0</v>
      </c>
      <c r="X671" s="29">
        <v>0</v>
      </c>
      <c r="Y671" s="29">
        <v>0</v>
      </c>
      <c r="Z671" s="29">
        <v>0</v>
      </c>
      <c r="AA671" s="29">
        <v>0</v>
      </c>
      <c r="AB671" s="29">
        <v>0</v>
      </c>
      <c r="AC671" s="29">
        <v>0</v>
      </c>
      <c r="AD671" s="29">
        <v>0</v>
      </c>
      <c r="AE671" s="29">
        <v>0</v>
      </c>
      <c r="AF671" s="29">
        <v>0</v>
      </c>
      <c r="AG671" s="29">
        <v>0</v>
      </c>
      <c r="AH671" s="29">
        <v>0</v>
      </c>
      <c r="AI671" s="29">
        <v>0</v>
      </c>
      <c r="AJ671" s="29">
        <v>0</v>
      </c>
      <c r="AK671" s="29">
        <v>0</v>
      </c>
      <c r="AL671" s="29">
        <v>0</v>
      </c>
      <c r="AM671" s="29">
        <v>0</v>
      </c>
      <c r="AN671" s="29">
        <v>0</v>
      </c>
      <c r="AO671" s="29">
        <v>0</v>
      </c>
      <c r="AP671" s="29">
        <v>0</v>
      </c>
    </row>
    <row r="672" spans="1:42" x14ac:dyDescent="0.25">
      <c r="A672" s="29">
        <v>32</v>
      </c>
      <c r="B672" s="29">
        <v>25201</v>
      </c>
      <c r="C672" s="29">
        <v>2</v>
      </c>
      <c r="D672" s="29" t="s">
        <v>1049</v>
      </c>
      <c r="E672" s="29"/>
      <c r="F672" s="29">
        <v>0</v>
      </c>
      <c r="G672" s="29">
        <v>0</v>
      </c>
      <c r="H672" s="29">
        <v>0</v>
      </c>
      <c r="I672" s="29">
        <v>0</v>
      </c>
      <c r="J672" s="29">
        <v>0</v>
      </c>
      <c r="K672" s="29" t="s">
        <v>882</v>
      </c>
      <c r="L672" s="19" t="str">
        <f t="shared" si="87"/>
        <v>Рихтовка</v>
      </c>
      <c r="M672" s="12">
        <f t="shared" si="80"/>
        <v>0</v>
      </c>
      <c r="N672" s="12">
        <f t="shared" si="81"/>
        <v>0</v>
      </c>
      <c r="O672" s="12">
        <f t="shared" si="82"/>
        <v>0</v>
      </c>
      <c r="P672" s="12">
        <f t="shared" si="83"/>
        <v>0</v>
      </c>
      <c r="Q672" s="12">
        <f t="shared" si="84"/>
        <v>0</v>
      </c>
      <c r="R672" s="12">
        <f t="shared" si="85"/>
        <v>0</v>
      </c>
      <c r="S672" s="12">
        <f t="shared" si="86"/>
        <v>0</v>
      </c>
      <c r="T672" s="29">
        <v>0</v>
      </c>
      <c r="U672" s="29">
        <v>0</v>
      </c>
      <c r="V672" s="29">
        <v>0</v>
      </c>
      <c r="W672" s="29">
        <v>0</v>
      </c>
      <c r="X672" s="29">
        <v>0</v>
      </c>
      <c r="Y672" s="29">
        <v>0</v>
      </c>
      <c r="Z672" s="29">
        <v>0</v>
      </c>
      <c r="AA672" s="29">
        <v>0</v>
      </c>
      <c r="AB672" s="29">
        <v>0</v>
      </c>
      <c r="AC672" s="29">
        <v>0</v>
      </c>
      <c r="AD672" s="29">
        <v>0</v>
      </c>
      <c r="AE672" s="29">
        <v>0</v>
      </c>
      <c r="AF672" s="29">
        <v>0</v>
      </c>
      <c r="AG672" s="29">
        <v>0</v>
      </c>
      <c r="AH672" s="29">
        <v>0</v>
      </c>
      <c r="AI672" s="29">
        <v>0</v>
      </c>
      <c r="AJ672" s="29">
        <v>0</v>
      </c>
      <c r="AK672" s="29">
        <v>0</v>
      </c>
      <c r="AL672" s="29">
        <v>0</v>
      </c>
      <c r="AM672" s="29">
        <v>0</v>
      </c>
      <c r="AN672" s="29">
        <v>0</v>
      </c>
      <c r="AO672" s="29">
        <v>0</v>
      </c>
      <c r="AP672" s="29">
        <v>0</v>
      </c>
    </row>
    <row r="673" spans="1:42" x14ac:dyDescent="0.25">
      <c r="A673" s="29">
        <v>32</v>
      </c>
      <c r="B673" s="29">
        <v>25201</v>
      </c>
      <c r="C673" s="29">
        <v>1</v>
      </c>
      <c r="D673" s="29" t="s">
        <v>1050</v>
      </c>
      <c r="E673" s="29"/>
      <c r="F673" s="29">
        <v>0</v>
      </c>
      <c r="G673" s="29">
        <v>0</v>
      </c>
      <c r="H673" s="29">
        <v>0</v>
      </c>
      <c r="I673" s="29">
        <v>0</v>
      </c>
      <c r="J673" s="29">
        <v>0</v>
      </c>
      <c r="K673" s="29" t="s">
        <v>882</v>
      </c>
      <c r="L673" s="19" t="str">
        <f t="shared" si="87"/>
        <v>Рихтовка</v>
      </c>
      <c r="M673" s="12">
        <f t="shared" si="80"/>
        <v>0</v>
      </c>
      <c r="N673" s="12">
        <f t="shared" si="81"/>
        <v>0</v>
      </c>
      <c r="O673" s="12">
        <f t="shared" si="82"/>
        <v>0</v>
      </c>
      <c r="P673" s="12">
        <f t="shared" si="83"/>
        <v>0</v>
      </c>
      <c r="Q673" s="12">
        <f t="shared" si="84"/>
        <v>0</v>
      </c>
      <c r="R673" s="12">
        <f t="shared" si="85"/>
        <v>0</v>
      </c>
      <c r="S673" s="12">
        <f t="shared" si="86"/>
        <v>0</v>
      </c>
      <c r="T673" s="29">
        <v>0</v>
      </c>
      <c r="U673" s="29">
        <v>0</v>
      </c>
      <c r="V673" s="29">
        <v>0</v>
      </c>
      <c r="W673" s="29">
        <v>0</v>
      </c>
      <c r="X673" s="29">
        <v>0</v>
      </c>
      <c r="Y673" s="29">
        <v>0</v>
      </c>
      <c r="Z673" s="29">
        <v>0</v>
      </c>
      <c r="AA673" s="29">
        <v>0</v>
      </c>
      <c r="AB673" s="29">
        <v>0</v>
      </c>
      <c r="AC673" s="29">
        <v>0</v>
      </c>
      <c r="AD673" s="29">
        <v>0</v>
      </c>
      <c r="AE673" s="29">
        <v>0</v>
      </c>
      <c r="AF673" s="29">
        <v>0</v>
      </c>
      <c r="AG673" s="29">
        <v>0</v>
      </c>
      <c r="AH673" s="29">
        <v>0</v>
      </c>
      <c r="AI673" s="29">
        <v>0</v>
      </c>
      <c r="AJ673" s="29">
        <v>0</v>
      </c>
      <c r="AK673" s="29">
        <v>0</v>
      </c>
      <c r="AL673" s="29">
        <v>0</v>
      </c>
      <c r="AM673" s="29">
        <v>0</v>
      </c>
      <c r="AN673" s="29">
        <v>0</v>
      </c>
      <c r="AO673" s="29">
        <v>0</v>
      </c>
      <c r="AP673" s="29">
        <v>0</v>
      </c>
    </row>
    <row r="674" spans="1:42" x14ac:dyDescent="0.25">
      <c r="A674" s="29">
        <v>32</v>
      </c>
      <c r="B674" s="29">
        <v>25201</v>
      </c>
      <c r="C674" s="29">
        <v>3</v>
      </c>
      <c r="D674" s="29" t="s">
        <v>1051</v>
      </c>
      <c r="E674" s="29"/>
      <c r="F674" s="29">
        <v>0</v>
      </c>
      <c r="G674" s="29">
        <v>0</v>
      </c>
      <c r="H674" s="29">
        <v>0</v>
      </c>
      <c r="I674" s="29">
        <v>0</v>
      </c>
      <c r="J674" s="29">
        <v>0</v>
      </c>
      <c r="K674" s="29" t="s">
        <v>882</v>
      </c>
      <c r="L674" s="19" t="str">
        <f t="shared" si="87"/>
        <v>Рихтовка</v>
      </c>
      <c r="M674" s="12">
        <f t="shared" si="80"/>
        <v>0</v>
      </c>
      <c r="N674" s="12">
        <f t="shared" si="81"/>
        <v>0</v>
      </c>
      <c r="O674" s="12">
        <f t="shared" si="82"/>
        <v>0</v>
      </c>
      <c r="P674" s="12">
        <f t="shared" si="83"/>
        <v>0</v>
      </c>
      <c r="Q674" s="12">
        <f t="shared" si="84"/>
        <v>0</v>
      </c>
      <c r="R674" s="12">
        <f t="shared" si="85"/>
        <v>0</v>
      </c>
      <c r="S674" s="12">
        <f t="shared" si="86"/>
        <v>0</v>
      </c>
      <c r="T674" s="29">
        <v>0</v>
      </c>
      <c r="U674" s="29">
        <v>0</v>
      </c>
      <c r="V674" s="29">
        <v>0</v>
      </c>
      <c r="W674" s="29">
        <v>0</v>
      </c>
      <c r="X674" s="29">
        <v>0</v>
      </c>
      <c r="Y674" s="29">
        <v>0</v>
      </c>
      <c r="Z674" s="29">
        <v>0</v>
      </c>
      <c r="AA674" s="29">
        <v>0</v>
      </c>
      <c r="AB674" s="29">
        <v>0</v>
      </c>
      <c r="AC674" s="29">
        <v>0</v>
      </c>
      <c r="AD674" s="29">
        <v>0</v>
      </c>
      <c r="AE674" s="29">
        <v>0</v>
      </c>
      <c r="AF674" s="29">
        <v>0</v>
      </c>
      <c r="AG674" s="29">
        <v>0</v>
      </c>
      <c r="AH674" s="29">
        <v>0</v>
      </c>
      <c r="AI674" s="29">
        <v>0</v>
      </c>
      <c r="AJ674" s="29">
        <v>0</v>
      </c>
      <c r="AK674" s="29">
        <v>0</v>
      </c>
      <c r="AL674" s="29">
        <v>0</v>
      </c>
      <c r="AM674" s="29">
        <v>0</v>
      </c>
      <c r="AN674" s="29">
        <v>0</v>
      </c>
      <c r="AO674" s="29">
        <v>0</v>
      </c>
      <c r="AP674" s="29">
        <v>0</v>
      </c>
    </row>
    <row r="675" spans="1:42" x14ac:dyDescent="0.25">
      <c r="A675" s="29">
        <v>32</v>
      </c>
      <c r="B675" s="29">
        <v>25201</v>
      </c>
      <c r="C675" s="29">
        <v>1</v>
      </c>
      <c r="D675" s="29" t="s">
        <v>1052</v>
      </c>
      <c r="E675" s="29"/>
      <c r="F675" s="29">
        <v>0</v>
      </c>
      <c r="G675" s="29">
        <v>0</v>
      </c>
      <c r="H675" s="29">
        <v>0</v>
      </c>
      <c r="I675" s="29">
        <v>0</v>
      </c>
      <c r="J675" s="29">
        <v>0</v>
      </c>
      <c r="K675" s="29" t="s">
        <v>882</v>
      </c>
      <c r="L675" s="19" t="str">
        <f t="shared" si="87"/>
        <v>Рихтовка</v>
      </c>
      <c r="M675" s="12">
        <f t="shared" si="80"/>
        <v>0</v>
      </c>
      <c r="N675" s="12">
        <f t="shared" si="81"/>
        <v>0</v>
      </c>
      <c r="O675" s="12">
        <f t="shared" si="82"/>
        <v>0</v>
      </c>
      <c r="P675" s="12">
        <f t="shared" si="83"/>
        <v>0</v>
      </c>
      <c r="Q675" s="12">
        <f t="shared" si="84"/>
        <v>0</v>
      </c>
      <c r="R675" s="12">
        <f t="shared" si="85"/>
        <v>0</v>
      </c>
      <c r="S675" s="12">
        <f t="shared" si="86"/>
        <v>0</v>
      </c>
      <c r="T675" s="29">
        <v>0</v>
      </c>
      <c r="U675" s="29">
        <v>0</v>
      </c>
      <c r="V675" s="29">
        <v>0</v>
      </c>
      <c r="W675" s="29">
        <v>0</v>
      </c>
      <c r="X675" s="29">
        <v>0</v>
      </c>
      <c r="Y675" s="29">
        <v>0</v>
      </c>
      <c r="Z675" s="29">
        <v>0</v>
      </c>
      <c r="AA675" s="29">
        <v>0</v>
      </c>
      <c r="AB675" s="29">
        <v>0</v>
      </c>
      <c r="AC675" s="29">
        <v>0</v>
      </c>
      <c r="AD675" s="29">
        <v>0</v>
      </c>
      <c r="AE675" s="29">
        <v>0</v>
      </c>
      <c r="AF675" s="29">
        <v>0</v>
      </c>
      <c r="AG675" s="29">
        <v>0</v>
      </c>
      <c r="AH675" s="29">
        <v>0</v>
      </c>
      <c r="AI675" s="29">
        <v>0</v>
      </c>
      <c r="AJ675" s="29">
        <v>0</v>
      </c>
      <c r="AK675" s="29">
        <v>0</v>
      </c>
      <c r="AL675" s="29">
        <v>0</v>
      </c>
      <c r="AM675" s="29">
        <v>0</v>
      </c>
      <c r="AN675" s="29">
        <v>0</v>
      </c>
      <c r="AO675" s="29">
        <v>0</v>
      </c>
      <c r="AP675" s="29">
        <v>0</v>
      </c>
    </row>
    <row r="676" spans="1:42" x14ac:dyDescent="0.25">
      <c r="A676" s="29">
        <v>32</v>
      </c>
      <c r="B676" s="29">
        <v>25201</v>
      </c>
      <c r="C676" s="29">
        <v>2</v>
      </c>
      <c r="D676" s="29" t="s">
        <v>1053</v>
      </c>
      <c r="E676" s="29"/>
      <c r="F676" s="29">
        <v>0</v>
      </c>
      <c r="G676" s="29">
        <v>0</v>
      </c>
      <c r="H676" s="29">
        <v>0</v>
      </c>
      <c r="I676" s="29">
        <v>0</v>
      </c>
      <c r="J676" s="29">
        <v>0</v>
      </c>
      <c r="K676" s="29" t="s">
        <v>882</v>
      </c>
      <c r="L676" s="19" t="str">
        <f t="shared" si="87"/>
        <v>Рихтовка</v>
      </c>
      <c r="M676" s="12">
        <f t="shared" si="80"/>
        <v>0</v>
      </c>
      <c r="N676" s="12">
        <f t="shared" si="81"/>
        <v>0</v>
      </c>
      <c r="O676" s="12">
        <f t="shared" si="82"/>
        <v>0</v>
      </c>
      <c r="P676" s="12">
        <f t="shared" si="83"/>
        <v>0</v>
      </c>
      <c r="Q676" s="12">
        <f t="shared" si="84"/>
        <v>0</v>
      </c>
      <c r="R676" s="12">
        <f t="shared" si="85"/>
        <v>0</v>
      </c>
      <c r="S676" s="12">
        <f t="shared" si="86"/>
        <v>0</v>
      </c>
      <c r="T676" s="29">
        <v>0</v>
      </c>
      <c r="U676" s="29">
        <v>0</v>
      </c>
      <c r="V676" s="29">
        <v>0</v>
      </c>
      <c r="W676" s="29">
        <v>0</v>
      </c>
      <c r="X676" s="29">
        <v>0</v>
      </c>
      <c r="Y676" s="29">
        <v>0</v>
      </c>
      <c r="Z676" s="29">
        <v>0</v>
      </c>
      <c r="AA676" s="29">
        <v>0</v>
      </c>
      <c r="AB676" s="29">
        <v>0</v>
      </c>
      <c r="AC676" s="29">
        <v>0</v>
      </c>
      <c r="AD676" s="29">
        <v>0</v>
      </c>
      <c r="AE676" s="29">
        <v>0</v>
      </c>
      <c r="AF676" s="29">
        <v>0</v>
      </c>
      <c r="AG676" s="29">
        <v>0</v>
      </c>
      <c r="AH676" s="29">
        <v>0</v>
      </c>
      <c r="AI676" s="29">
        <v>0</v>
      </c>
      <c r="AJ676" s="29">
        <v>0</v>
      </c>
      <c r="AK676" s="29">
        <v>0</v>
      </c>
      <c r="AL676" s="29">
        <v>0</v>
      </c>
      <c r="AM676" s="29">
        <v>0</v>
      </c>
      <c r="AN676" s="29">
        <v>0</v>
      </c>
      <c r="AO676" s="29">
        <v>0</v>
      </c>
      <c r="AP676" s="29">
        <v>0</v>
      </c>
    </row>
    <row r="677" spans="1:42" x14ac:dyDescent="0.25">
      <c r="A677" s="29">
        <v>32</v>
      </c>
      <c r="B677" s="29">
        <v>25201</v>
      </c>
      <c r="C677" s="29">
        <v>1</v>
      </c>
      <c r="D677" s="29" t="s">
        <v>1054</v>
      </c>
      <c r="E677" s="29"/>
      <c r="F677" s="29">
        <v>0</v>
      </c>
      <c r="G677" s="29">
        <v>0</v>
      </c>
      <c r="H677" s="29">
        <v>0</v>
      </c>
      <c r="I677" s="29">
        <v>0</v>
      </c>
      <c r="J677" s="29">
        <v>0</v>
      </c>
      <c r="K677" s="29" t="s">
        <v>882</v>
      </c>
      <c r="L677" s="19" t="str">
        <f t="shared" si="87"/>
        <v>Рихтовка</v>
      </c>
      <c r="M677" s="12">
        <f t="shared" si="80"/>
        <v>0</v>
      </c>
      <c r="N677" s="12">
        <f t="shared" si="81"/>
        <v>0</v>
      </c>
      <c r="O677" s="12">
        <f t="shared" si="82"/>
        <v>0</v>
      </c>
      <c r="P677" s="12">
        <f t="shared" si="83"/>
        <v>0</v>
      </c>
      <c r="Q677" s="12">
        <f t="shared" si="84"/>
        <v>0</v>
      </c>
      <c r="R677" s="12">
        <f t="shared" si="85"/>
        <v>0</v>
      </c>
      <c r="S677" s="12">
        <f t="shared" si="86"/>
        <v>0</v>
      </c>
      <c r="T677" s="29">
        <v>0</v>
      </c>
      <c r="U677" s="29">
        <v>0</v>
      </c>
      <c r="V677" s="29">
        <v>0</v>
      </c>
      <c r="W677" s="29">
        <v>0</v>
      </c>
      <c r="X677" s="29">
        <v>0</v>
      </c>
      <c r="Y677" s="29">
        <v>0</v>
      </c>
      <c r="Z677" s="29">
        <v>0</v>
      </c>
      <c r="AA677" s="29">
        <v>0</v>
      </c>
      <c r="AB677" s="29">
        <v>0</v>
      </c>
      <c r="AC677" s="29">
        <v>0</v>
      </c>
      <c r="AD677" s="29">
        <v>0</v>
      </c>
      <c r="AE677" s="29">
        <v>0</v>
      </c>
      <c r="AF677" s="29">
        <v>0</v>
      </c>
      <c r="AG677" s="29">
        <v>0</v>
      </c>
      <c r="AH677" s="29">
        <v>0</v>
      </c>
      <c r="AI677" s="29">
        <v>0</v>
      </c>
      <c r="AJ677" s="29">
        <v>0</v>
      </c>
      <c r="AK677" s="29">
        <v>0</v>
      </c>
      <c r="AL677" s="29">
        <v>0</v>
      </c>
      <c r="AM677" s="29">
        <v>0</v>
      </c>
      <c r="AN677" s="29">
        <v>0</v>
      </c>
      <c r="AO677" s="29">
        <v>0</v>
      </c>
      <c r="AP677" s="29">
        <v>0</v>
      </c>
    </row>
    <row r="678" spans="1:42" x14ac:dyDescent="0.25">
      <c r="A678" s="29">
        <v>32</v>
      </c>
      <c r="B678" s="29">
        <v>25201</v>
      </c>
      <c r="C678" s="29">
        <v>2</v>
      </c>
      <c r="D678" s="29" t="s">
        <v>1055</v>
      </c>
      <c r="E678" s="29"/>
      <c r="F678" s="29">
        <v>0</v>
      </c>
      <c r="G678" s="29">
        <v>0</v>
      </c>
      <c r="H678" s="29">
        <v>0</v>
      </c>
      <c r="I678" s="29">
        <v>0</v>
      </c>
      <c r="J678" s="29">
        <v>0</v>
      </c>
      <c r="K678" s="29" t="s">
        <v>882</v>
      </c>
      <c r="L678" s="19" t="str">
        <f t="shared" si="87"/>
        <v>Рихтовка</v>
      </c>
      <c r="M678" s="12">
        <f t="shared" ref="M678:M687" si="88">MAX(N678,O678,P678,Q678,R678,S678)</f>
        <v>0</v>
      </c>
      <c r="N678" s="12">
        <f t="shared" ref="N678:N687" si="89">T678+U678+V678</f>
        <v>0</v>
      </c>
      <c r="O678" s="12">
        <f t="shared" ref="O678:O687" si="90">W678+X678+Y678</f>
        <v>0</v>
      </c>
      <c r="P678" s="12">
        <f t="shared" ref="P678:P687" si="91">Z678+AA678+AB678</f>
        <v>0</v>
      </c>
      <c r="Q678" s="12">
        <f t="shared" ref="Q678:Q687" si="92">AC678+AD678+AE678</f>
        <v>0</v>
      </c>
      <c r="R678" s="12">
        <f t="shared" ref="R678:R687" si="93">AF678+AG678+AH678</f>
        <v>0</v>
      </c>
      <c r="S678" s="12">
        <f t="shared" ref="S678:S687" si="94">AI678+AJ678+AK678</f>
        <v>0</v>
      </c>
      <c r="T678" s="29">
        <v>0</v>
      </c>
      <c r="U678" s="29">
        <v>0</v>
      </c>
      <c r="V678" s="29">
        <v>0</v>
      </c>
      <c r="W678" s="29">
        <v>0</v>
      </c>
      <c r="X678" s="29">
        <v>0</v>
      </c>
      <c r="Y678" s="29">
        <v>0</v>
      </c>
      <c r="Z678" s="29">
        <v>0</v>
      </c>
      <c r="AA678" s="29">
        <v>0</v>
      </c>
      <c r="AB678" s="29">
        <v>0</v>
      </c>
      <c r="AC678" s="29">
        <v>0</v>
      </c>
      <c r="AD678" s="29">
        <v>0</v>
      </c>
      <c r="AE678" s="29">
        <v>0</v>
      </c>
      <c r="AF678" s="29">
        <v>0</v>
      </c>
      <c r="AG678" s="29">
        <v>0</v>
      </c>
      <c r="AH678" s="29">
        <v>0</v>
      </c>
      <c r="AI678" s="29">
        <v>0</v>
      </c>
      <c r="AJ678" s="29">
        <v>0</v>
      </c>
      <c r="AK678" s="29">
        <v>0</v>
      </c>
      <c r="AL678" s="29">
        <v>0</v>
      </c>
      <c r="AM678" s="29">
        <v>0</v>
      </c>
      <c r="AN678" s="29">
        <v>0</v>
      </c>
      <c r="AO678" s="29">
        <v>0</v>
      </c>
      <c r="AP678" s="29">
        <v>0</v>
      </c>
    </row>
    <row r="679" spans="1:42" x14ac:dyDescent="0.25">
      <c r="A679" s="29">
        <v>32</v>
      </c>
      <c r="B679" s="29">
        <v>25201</v>
      </c>
      <c r="C679" s="29">
        <v>1</v>
      </c>
      <c r="D679" s="29" t="s">
        <v>1056</v>
      </c>
      <c r="E679" s="29"/>
      <c r="F679" s="29">
        <v>0</v>
      </c>
      <c r="G679" s="29">
        <v>0</v>
      </c>
      <c r="H679" s="29">
        <v>0</v>
      </c>
      <c r="I679" s="29">
        <v>0</v>
      </c>
      <c r="J679" s="29">
        <v>0</v>
      </c>
      <c r="K679" s="29" t="s">
        <v>882</v>
      </c>
      <c r="L679" s="19" t="str">
        <f t="shared" si="87"/>
        <v>Рихтовка</v>
      </c>
      <c r="M679" s="12">
        <f t="shared" si="88"/>
        <v>0</v>
      </c>
      <c r="N679" s="12">
        <f t="shared" si="89"/>
        <v>0</v>
      </c>
      <c r="O679" s="12">
        <f t="shared" si="90"/>
        <v>0</v>
      </c>
      <c r="P679" s="12">
        <f t="shared" si="91"/>
        <v>0</v>
      </c>
      <c r="Q679" s="12">
        <f t="shared" si="92"/>
        <v>0</v>
      </c>
      <c r="R679" s="12">
        <f t="shared" si="93"/>
        <v>0</v>
      </c>
      <c r="S679" s="12">
        <f t="shared" si="94"/>
        <v>0</v>
      </c>
      <c r="T679" s="29">
        <v>0</v>
      </c>
      <c r="U679" s="29">
        <v>0</v>
      </c>
      <c r="V679" s="29">
        <v>0</v>
      </c>
      <c r="W679" s="29">
        <v>0</v>
      </c>
      <c r="X679" s="29">
        <v>0</v>
      </c>
      <c r="Y679" s="29">
        <v>0</v>
      </c>
      <c r="Z679" s="29">
        <v>0</v>
      </c>
      <c r="AA679" s="29">
        <v>0</v>
      </c>
      <c r="AB679" s="29">
        <v>0</v>
      </c>
      <c r="AC679" s="29">
        <v>0</v>
      </c>
      <c r="AD679" s="29">
        <v>0</v>
      </c>
      <c r="AE679" s="29">
        <v>0</v>
      </c>
      <c r="AF679" s="29">
        <v>0</v>
      </c>
      <c r="AG679" s="29">
        <v>0</v>
      </c>
      <c r="AH679" s="29">
        <v>0</v>
      </c>
      <c r="AI679" s="29">
        <v>0</v>
      </c>
      <c r="AJ679" s="29">
        <v>0</v>
      </c>
      <c r="AK679" s="29">
        <v>0</v>
      </c>
      <c r="AL679" s="29">
        <v>0</v>
      </c>
      <c r="AM679" s="29">
        <v>0</v>
      </c>
      <c r="AN679" s="29">
        <v>0</v>
      </c>
      <c r="AO679" s="29">
        <v>0</v>
      </c>
      <c r="AP679" s="29">
        <v>0</v>
      </c>
    </row>
    <row r="680" spans="1:42" x14ac:dyDescent="0.25">
      <c r="A680" s="29">
        <v>32</v>
      </c>
      <c r="B680" s="29">
        <v>25201</v>
      </c>
      <c r="C680" s="29">
        <v>2</v>
      </c>
      <c r="D680" s="29" t="s">
        <v>1057</v>
      </c>
      <c r="E680" s="29"/>
      <c r="F680" s="29">
        <v>0</v>
      </c>
      <c r="G680" s="29">
        <v>0</v>
      </c>
      <c r="H680" s="29">
        <v>0</v>
      </c>
      <c r="I680" s="29">
        <v>0</v>
      </c>
      <c r="J680" s="29">
        <v>0</v>
      </c>
      <c r="K680" s="29" t="s">
        <v>882</v>
      </c>
      <c r="L680" s="19" t="str">
        <f t="shared" si="87"/>
        <v>Рихтовка</v>
      </c>
      <c r="M680" s="12">
        <f t="shared" si="88"/>
        <v>0</v>
      </c>
      <c r="N680" s="12">
        <f t="shared" si="89"/>
        <v>0</v>
      </c>
      <c r="O680" s="12">
        <f t="shared" si="90"/>
        <v>0</v>
      </c>
      <c r="P680" s="12">
        <f t="shared" si="91"/>
        <v>0</v>
      </c>
      <c r="Q680" s="12">
        <f t="shared" si="92"/>
        <v>0</v>
      </c>
      <c r="R680" s="12">
        <f t="shared" si="93"/>
        <v>0</v>
      </c>
      <c r="S680" s="12">
        <f t="shared" si="94"/>
        <v>0</v>
      </c>
      <c r="T680" s="29">
        <v>0</v>
      </c>
      <c r="U680" s="29">
        <v>0</v>
      </c>
      <c r="V680" s="29">
        <v>0</v>
      </c>
      <c r="W680" s="29">
        <v>0</v>
      </c>
      <c r="X680" s="29">
        <v>0</v>
      </c>
      <c r="Y680" s="29">
        <v>0</v>
      </c>
      <c r="Z680" s="29">
        <v>0</v>
      </c>
      <c r="AA680" s="29">
        <v>0</v>
      </c>
      <c r="AB680" s="29">
        <v>0</v>
      </c>
      <c r="AC680" s="29">
        <v>0</v>
      </c>
      <c r="AD680" s="29">
        <v>0</v>
      </c>
      <c r="AE680" s="29">
        <v>0</v>
      </c>
      <c r="AF680" s="29">
        <v>0</v>
      </c>
      <c r="AG680" s="29">
        <v>0</v>
      </c>
      <c r="AH680" s="29">
        <v>0</v>
      </c>
      <c r="AI680" s="29">
        <v>0</v>
      </c>
      <c r="AJ680" s="29">
        <v>0</v>
      </c>
      <c r="AK680" s="29">
        <v>0</v>
      </c>
      <c r="AL680" s="29">
        <v>0</v>
      </c>
      <c r="AM680" s="29">
        <v>0</v>
      </c>
      <c r="AN680" s="29">
        <v>0</v>
      </c>
      <c r="AO680" s="29">
        <v>0</v>
      </c>
      <c r="AP680" s="29">
        <v>0</v>
      </c>
    </row>
    <row r="681" spans="1:42" x14ac:dyDescent="0.25">
      <c r="A681" s="29">
        <v>32</v>
      </c>
      <c r="B681" s="29">
        <v>25201</v>
      </c>
      <c r="C681" s="29">
        <v>1</v>
      </c>
      <c r="D681" s="29" t="s">
        <v>1058</v>
      </c>
      <c r="E681" s="29"/>
      <c r="F681" s="29">
        <v>0</v>
      </c>
      <c r="G681" s="29">
        <v>0</v>
      </c>
      <c r="H681" s="29">
        <v>0</v>
      </c>
      <c r="I681" s="29">
        <v>0</v>
      </c>
      <c r="J681" s="29">
        <v>0</v>
      </c>
      <c r="K681" s="29" t="s">
        <v>882</v>
      </c>
      <c r="L681" s="19" t="str">
        <f t="shared" si="87"/>
        <v>Рихтовка</v>
      </c>
      <c r="M681" s="12">
        <f t="shared" si="88"/>
        <v>0</v>
      </c>
      <c r="N681" s="12">
        <f t="shared" si="89"/>
        <v>0</v>
      </c>
      <c r="O681" s="12">
        <f t="shared" si="90"/>
        <v>0</v>
      </c>
      <c r="P681" s="12">
        <f t="shared" si="91"/>
        <v>0</v>
      </c>
      <c r="Q681" s="12">
        <f t="shared" si="92"/>
        <v>0</v>
      </c>
      <c r="R681" s="12">
        <f t="shared" si="93"/>
        <v>0</v>
      </c>
      <c r="S681" s="12">
        <f t="shared" si="94"/>
        <v>0</v>
      </c>
      <c r="T681" s="29">
        <v>0</v>
      </c>
      <c r="U681" s="29">
        <v>0</v>
      </c>
      <c r="V681" s="29">
        <v>0</v>
      </c>
      <c r="W681" s="29">
        <v>0</v>
      </c>
      <c r="X681" s="29">
        <v>0</v>
      </c>
      <c r="Y681" s="29">
        <v>0</v>
      </c>
      <c r="Z681" s="29">
        <v>0</v>
      </c>
      <c r="AA681" s="29">
        <v>0</v>
      </c>
      <c r="AB681" s="29">
        <v>0</v>
      </c>
      <c r="AC681" s="29">
        <v>0</v>
      </c>
      <c r="AD681" s="29">
        <v>0</v>
      </c>
      <c r="AE681" s="29">
        <v>0</v>
      </c>
      <c r="AF681" s="29">
        <v>0</v>
      </c>
      <c r="AG681" s="29">
        <v>0</v>
      </c>
      <c r="AH681" s="29">
        <v>0</v>
      </c>
      <c r="AI681" s="29">
        <v>0</v>
      </c>
      <c r="AJ681" s="29">
        <v>0</v>
      </c>
      <c r="AK681" s="29">
        <v>0</v>
      </c>
      <c r="AL681" s="29">
        <v>0</v>
      </c>
      <c r="AM681" s="29">
        <v>0</v>
      </c>
      <c r="AN681" s="29">
        <v>0</v>
      </c>
      <c r="AO681" s="29">
        <v>0</v>
      </c>
      <c r="AP681" s="29">
        <v>0</v>
      </c>
    </row>
    <row r="682" spans="1:42" x14ac:dyDescent="0.25">
      <c r="A682" s="29">
        <v>32</v>
      </c>
      <c r="B682" s="29">
        <v>25201</v>
      </c>
      <c r="C682" s="29">
        <v>2</v>
      </c>
      <c r="D682" s="29" t="s">
        <v>1059</v>
      </c>
      <c r="E682" s="29"/>
      <c r="F682" s="29">
        <v>0</v>
      </c>
      <c r="G682" s="29">
        <v>0</v>
      </c>
      <c r="H682" s="29">
        <v>0</v>
      </c>
      <c r="I682" s="29">
        <v>0</v>
      </c>
      <c r="J682" s="29">
        <v>0</v>
      </c>
      <c r="K682" s="29" t="s">
        <v>882</v>
      </c>
      <c r="L682" s="19" t="str">
        <f t="shared" si="87"/>
        <v>Рихтовка</v>
      </c>
      <c r="M682" s="12">
        <f t="shared" si="88"/>
        <v>0</v>
      </c>
      <c r="N682" s="12">
        <f t="shared" si="89"/>
        <v>0</v>
      </c>
      <c r="O682" s="12">
        <f t="shared" si="90"/>
        <v>0</v>
      </c>
      <c r="P682" s="12">
        <f t="shared" si="91"/>
        <v>0</v>
      </c>
      <c r="Q682" s="12">
        <f t="shared" si="92"/>
        <v>0</v>
      </c>
      <c r="R682" s="12">
        <f t="shared" si="93"/>
        <v>0</v>
      </c>
      <c r="S682" s="12">
        <f t="shared" si="94"/>
        <v>0</v>
      </c>
      <c r="T682" s="29">
        <v>0</v>
      </c>
      <c r="U682" s="29">
        <v>0</v>
      </c>
      <c r="V682" s="29">
        <v>0</v>
      </c>
      <c r="W682" s="29">
        <v>0</v>
      </c>
      <c r="X682" s="29">
        <v>0</v>
      </c>
      <c r="Y682" s="29">
        <v>0</v>
      </c>
      <c r="Z682" s="29">
        <v>0</v>
      </c>
      <c r="AA682" s="29">
        <v>0</v>
      </c>
      <c r="AB682" s="29">
        <v>0</v>
      </c>
      <c r="AC682" s="29">
        <v>0</v>
      </c>
      <c r="AD682" s="29">
        <v>0</v>
      </c>
      <c r="AE682" s="29">
        <v>0</v>
      </c>
      <c r="AF682" s="29">
        <v>0</v>
      </c>
      <c r="AG682" s="29">
        <v>0</v>
      </c>
      <c r="AH682" s="29">
        <v>0</v>
      </c>
      <c r="AI682" s="29">
        <v>0</v>
      </c>
      <c r="AJ682" s="29">
        <v>0</v>
      </c>
      <c r="AK682" s="29">
        <v>0</v>
      </c>
      <c r="AL682" s="29">
        <v>0</v>
      </c>
      <c r="AM682" s="29">
        <v>0</v>
      </c>
      <c r="AN682" s="29">
        <v>0</v>
      </c>
      <c r="AO682" s="29">
        <v>0</v>
      </c>
      <c r="AP682" s="29">
        <v>0</v>
      </c>
    </row>
    <row r="683" spans="1:42" x14ac:dyDescent="0.25">
      <c r="A683" s="29">
        <v>32</v>
      </c>
      <c r="B683" s="29">
        <v>25201</v>
      </c>
      <c r="C683" s="29">
        <v>1</v>
      </c>
      <c r="D683" s="29" t="s">
        <v>1060</v>
      </c>
      <c r="E683" s="29"/>
      <c r="F683" s="29">
        <v>0</v>
      </c>
      <c r="G683" s="29">
        <v>0</v>
      </c>
      <c r="H683" s="29">
        <v>0</v>
      </c>
      <c r="I683" s="29">
        <v>0</v>
      </c>
      <c r="J683" s="29">
        <v>0</v>
      </c>
      <c r="K683" s="29" t="s">
        <v>882</v>
      </c>
      <c r="L683" s="19" t="str">
        <f t="shared" si="87"/>
        <v>Рихтовка</v>
      </c>
      <c r="M683" s="12">
        <f t="shared" si="88"/>
        <v>0</v>
      </c>
      <c r="N683" s="12">
        <f t="shared" si="89"/>
        <v>0</v>
      </c>
      <c r="O683" s="12">
        <f t="shared" si="90"/>
        <v>0</v>
      </c>
      <c r="P683" s="12">
        <f t="shared" si="91"/>
        <v>0</v>
      </c>
      <c r="Q683" s="12">
        <f t="shared" si="92"/>
        <v>0</v>
      </c>
      <c r="R683" s="12">
        <f t="shared" si="93"/>
        <v>0</v>
      </c>
      <c r="S683" s="12">
        <f t="shared" si="94"/>
        <v>0</v>
      </c>
      <c r="T683" s="29">
        <v>0</v>
      </c>
      <c r="U683" s="29">
        <v>0</v>
      </c>
      <c r="V683" s="29">
        <v>0</v>
      </c>
      <c r="W683" s="29">
        <v>0</v>
      </c>
      <c r="X683" s="29">
        <v>0</v>
      </c>
      <c r="Y683" s="29">
        <v>0</v>
      </c>
      <c r="Z683" s="29">
        <v>0</v>
      </c>
      <c r="AA683" s="29">
        <v>0</v>
      </c>
      <c r="AB683" s="29">
        <v>0</v>
      </c>
      <c r="AC683" s="29">
        <v>0</v>
      </c>
      <c r="AD683" s="29">
        <v>0</v>
      </c>
      <c r="AE683" s="29">
        <v>0</v>
      </c>
      <c r="AF683" s="29">
        <v>0</v>
      </c>
      <c r="AG683" s="29">
        <v>0</v>
      </c>
      <c r="AH683" s="29">
        <v>0</v>
      </c>
      <c r="AI683" s="29">
        <v>0</v>
      </c>
      <c r="AJ683" s="29">
        <v>0</v>
      </c>
      <c r="AK683" s="29">
        <v>0</v>
      </c>
      <c r="AL683" s="29">
        <v>0</v>
      </c>
      <c r="AM683" s="29">
        <v>0</v>
      </c>
      <c r="AN683" s="29">
        <v>0</v>
      </c>
      <c r="AO683" s="29">
        <v>0</v>
      </c>
      <c r="AP683" s="29">
        <v>0</v>
      </c>
    </row>
    <row r="684" spans="1:42" x14ac:dyDescent="0.25">
      <c r="A684" s="29">
        <v>32</v>
      </c>
      <c r="B684" s="29">
        <v>25201</v>
      </c>
      <c r="C684" s="29">
        <v>2</v>
      </c>
      <c r="D684" s="29" t="s">
        <v>1061</v>
      </c>
      <c r="E684" s="29"/>
      <c r="F684" s="29">
        <v>0</v>
      </c>
      <c r="G684" s="29">
        <v>0</v>
      </c>
      <c r="H684" s="29">
        <v>0</v>
      </c>
      <c r="I684" s="29">
        <v>0</v>
      </c>
      <c r="J684" s="29">
        <v>0</v>
      </c>
      <c r="K684" s="29" t="s">
        <v>882</v>
      </c>
      <c r="L684" s="19" t="str">
        <f t="shared" si="87"/>
        <v>Рихтовка</v>
      </c>
      <c r="M684" s="12">
        <f t="shared" si="88"/>
        <v>0</v>
      </c>
      <c r="N684" s="12">
        <f t="shared" si="89"/>
        <v>0</v>
      </c>
      <c r="O684" s="12">
        <f t="shared" si="90"/>
        <v>0</v>
      </c>
      <c r="P684" s="12">
        <f t="shared" si="91"/>
        <v>0</v>
      </c>
      <c r="Q684" s="12">
        <f t="shared" si="92"/>
        <v>0</v>
      </c>
      <c r="R684" s="12">
        <f t="shared" si="93"/>
        <v>0</v>
      </c>
      <c r="S684" s="12">
        <f t="shared" si="94"/>
        <v>0</v>
      </c>
      <c r="T684" s="29">
        <v>0</v>
      </c>
      <c r="U684" s="29">
        <v>0</v>
      </c>
      <c r="V684" s="29">
        <v>0</v>
      </c>
      <c r="W684" s="29">
        <v>0</v>
      </c>
      <c r="X684" s="29">
        <v>0</v>
      </c>
      <c r="Y684" s="29">
        <v>0</v>
      </c>
      <c r="Z684" s="29">
        <v>0</v>
      </c>
      <c r="AA684" s="29">
        <v>0</v>
      </c>
      <c r="AB684" s="29">
        <v>0</v>
      </c>
      <c r="AC684" s="29">
        <v>0</v>
      </c>
      <c r="AD684" s="29">
        <v>0</v>
      </c>
      <c r="AE684" s="29">
        <v>0</v>
      </c>
      <c r="AF684" s="29">
        <v>0</v>
      </c>
      <c r="AG684" s="29">
        <v>0</v>
      </c>
      <c r="AH684" s="29">
        <v>0</v>
      </c>
      <c r="AI684" s="29">
        <v>0</v>
      </c>
      <c r="AJ684" s="29">
        <v>0</v>
      </c>
      <c r="AK684" s="29">
        <v>0</v>
      </c>
      <c r="AL684" s="29">
        <v>0</v>
      </c>
      <c r="AM684" s="29">
        <v>0</v>
      </c>
      <c r="AN684" s="29">
        <v>0</v>
      </c>
      <c r="AO684" s="29">
        <v>0</v>
      </c>
      <c r="AP684" s="29">
        <v>0</v>
      </c>
    </row>
    <row r="685" spans="1:42" x14ac:dyDescent="0.25">
      <c r="A685" s="29">
        <v>32</v>
      </c>
      <c r="B685" s="29">
        <v>25201</v>
      </c>
      <c r="C685" s="29">
        <v>1</v>
      </c>
      <c r="D685" s="29" t="s">
        <v>1062</v>
      </c>
      <c r="E685" s="29"/>
      <c r="F685" s="29">
        <v>0</v>
      </c>
      <c r="G685" s="29">
        <v>0</v>
      </c>
      <c r="H685" s="29">
        <v>0</v>
      </c>
      <c r="I685" s="29">
        <v>0</v>
      </c>
      <c r="J685" s="29">
        <v>0</v>
      </c>
      <c r="K685" s="29" t="s">
        <v>882</v>
      </c>
      <c r="L685" s="19" t="str">
        <f t="shared" si="87"/>
        <v>Рихтовка</v>
      </c>
      <c r="M685" s="12">
        <f t="shared" si="88"/>
        <v>0</v>
      </c>
      <c r="N685" s="12">
        <f t="shared" si="89"/>
        <v>0</v>
      </c>
      <c r="O685" s="12">
        <f t="shared" si="90"/>
        <v>0</v>
      </c>
      <c r="P685" s="12">
        <f t="shared" si="91"/>
        <v>0</v>
      </c>
      <c r="Q685" s="12">
        <f t="shared" si="92"/>
        <v>0</v>
      </c>
      <c r="R685" s="12">
        <f t="shared" si="93"/>
        <v>0</v>
      </c>
      <c r="S685" s="12">
        <f t="shared" si="94"/>
        <v>0</v>
      </c>
      <c r="T685" s="29">
        <v>0</v>
      </c>
      <c r="U685" s="29">
        <v>0</v>
      </c>
      <c r="V685" s="29">
        <v>0</v>
      </c>
      <c r="W685" s="29">
        <v>0</v>
      </c>
      <c r="X685" s="29">
        <v>0</v>
      </c>
      <c r="Y685" s="29">
        <v>0</v>
      </c>
      <c r="Z685" s="29">
        <v>0</v>
      </c>
      <c r="AA685" s="29">
        <v>0</v>
      </c>
      <c r="AB685" s="29">
        <v>0</v>
      </c>
      <c r="AC685" s="29">
        <v>0</v>
      </c>
      <c r="AD685" s="29">
        <v>0</v>
      </c>
      <c r="AE685" s="29">
        <v>0</v>
      </c>
      <c r="AF685" s="29">
        <v>0</v>
      </c>
      <c r="AG685" s="29">
        <v>0</v>
      </c>
      <c r="AH685" s="29">
        <v>0</v>
      </c>
      <c r="AI685" s="29">
        <v>0</v>
      </c>
      <c r="AJ685" s="29">
        <v>0</v>
      </c>
      <c r="AK685" s="29">
        <v>0</v>
      </c>
      <c r="AL685" s="29">
        <v>0</v>
      </c>
      <c r="AM685" s="29">
        <v>0</v>
      </c>
      <c r="AN685" s="29">
        <v>0</v>
      </c>
      <c r="AO685" s="29">
        <v>0</v>
      </c>
      <c r="AP685" s="29">
        <v>0</v>
      </c>
    </row>
    <row r="686" spans="1:42" x14ac:dyDescent="0.25">
      <c r="A686" s="29">
        <v>32</v>
      </c>
      <c r="B686" s="29">
        <v>25201</v>
      </c>
      <c r="C686" s="29">
        <v>1</v>
      </c>
      <c r="D686" s="29" t="s">
        <v>1063</v>
      </c>
      <c r="E686" s="29"/>
      <c r="F686" s="29">
        <v>0</v>
      </c>
      <c r="G686" s="29">
        <v>0</v>
      </c>
      <c r="H686" s="29">
        <v>0</v>
      </c>
      <c r="I686" s="29">
        <v>0</v>
      </c>
      <c r="J686" s="29">
        <v>0</v>
      </c>
      <c r="K686" s="29" t="s">
        <v>882</v>
      </c>
      <c r="L686" s="19" t="str">
        <f t="shared" si="87"/>
        <v>Рихтовка</v>
      </c>
      <c r="M686" s="12">
        <f t="shared" si="88"/>
        <v>0</v>
      </c>
      <c r="N686" s="12">
        <f t="shared" si="89"/>
        <v>0</v>
      </c>
      <c r="O686" s="12">
        <f t="shared" si="90"/>
        <v>0</v>
      </c>
      <c r="P686" s="12">
        <f t="shared" si="91"/>
        <v>0</v>
      </c>
      <c r="Q686" s="12">
        <f t="shared" si="92"/>
        <v>0</v>
      </c>
      <c r="R686" s="12">
        <f t="shared" si="93"/>
        <v>0</v>
      </c>
      <c r="S686" s="12">
        <f t="shared" si="94"/>
        <v>0</v>
      </c>
      <c r="T686" s="29">
        <v>0</v>
      </c>
      <c r="U686" s="29">
        <v>0</v>
      </c>
      <c r="V686" s="29">
        <v>0</v>
      </c>
      <c r="W686" s="29">
        <v>0</v>
      </c>
      <c r="X686" s="29">
        <v>0</v>
      </c>
      <c r="Y686" s="29">
        <v>0</v>
      </c>
      <c r="Z686" s="29">
        <v>0</v>
      </c>
      <c r="AA686" s="29">
        <v>0</v>
      </c>
      <c r="AB686" s="29">
        <v>0</v>
      </c>
      <c r="AC686" s="29">
        <v>0</v>
      </c>
      <c r="AD686" s="29">
        <v>0</v>
      </c>
      <c r="AE686" s="29">
        <v>0</v>
      </c>
      <c r="AF686" s="29">
        <v>0</v>
      </c>
      <c r="AG686" s="29">
        <v>0</v>
      </c>
      <c r="AH686" s="29">
        <v>0</v>
      </c>
      <c r="AI686" s="29">
        <v>0</v>
      </c>
      <c r="AJ686" s="29">
        <v>0</v>
      </c>
      <c r="AK686" s="29">
        <v>0</v>
      </c>
      <c r="AL686" s="29">
        <v>0</v>
      </c>
      <c r="AM686" s="29">
        <v>0</v>
      </c>
      <c r="AN686" s="29">
        <v>0</v>
      </c>
      <c r="AO686" s="29">
        <v>0</v>
      </c>
      <c r="AP686" s="29">
        <v>0</v>
      </c>
    </row>
    <row r="687" spans="1:42" x14ac:dyDescent="0.25">
      <c r="A687" s="29">
        <v>32</v>
      </c>
      <c r="B687" s="29">
        <v>25201</v>
      </c>
      <c r="C687" s="29">
        <v>2</v>
      </c>
      <c r="D687" s="29" t="s">
        <v>1064</v>
      </c>
      <c r="E687" s="29"/>
      <c r="F687" s="29">
        <v>0</v>
      </c>
      <c r="G687" s="29">
        <v>0</v>
      </c>
      <c r="H687" s="29">
        <v>0</v>
      </c>
      <c r="I687" s="29">
        <v>0</v>
      </c>
      <c r="J687" s="29">
        <v>0</v>
      </c>
      <c r="K687" s="29" t="s">
        <v>882</v>
      </c>
      <c r="L687" s="19" t="str">
        <f t="shared" si="87"/>
        <v>Рихтовка</v>
      </c>
      <c r="M687" s="12">
        <f t="shared" si="88"/>
        <v>0</v>
      </c>
      <c r="N687" s="12">
        <f t="shared" si="89"/>
        <v>0</v>
      </c>
      <c r="O687" s="12">
        <f t="shared" si="90"/>
        <v>0</v>
      </c>
      <c r="P687" s="12">
        <f t="shared" si="91"/>
        <v>0</v>
      </c>
      <c r="Q687" s="12">
        <f t="shared" si="92"/>
        <v>0</v>
      </c>
      <c r="R687" s="12">
        <f t="shared" si="93"/>
        <v>0</v>
      </c>
      <c r="S687" s="12">
        <f t="shared" si="94"/>
        <v>0</v>
      </c>
      <c r="T687" s="29">
        <v>0</v>
      </c>
      <c r="U687" s="29">
        <v>0</v>
      </c>
      <c r="V687" s="29">
        <v>0</v>
      </c>
      <c r="W687" s="29">
        <v>0</v>
      </c>
      <c r="X687" s="29">
        <v>0</v>
      </c>
      <c r="Y687" s="29">
        <v>0</v>
      </c>
      <c r="Z687" s="29">
        <v>0</v>
      </c>
      <c r="AA687" s="29">
        <v>0</v>
      </c>
      <c r="AB687" s="29">
        <v>0</v>
      </c>
      <c r="AC687" s="29">
        <v>0</v>
      </c>
      <c r="AD687" s="29">
        <v>0</v>
      </c>
      <c r="AE687" s="29">
        <v>0</v>
      </c>
      <c r="AF687" s="29">
        <v>0</v>
      </c>
      <c r="AG687" s="29">
        <v>0</v>
      </c>
      <c r="AH687" s="29">
        <v>0</v>
      </c>
      <c r="AI687" s="29">
        <v>0</v>
      </c>
      <c r="AJ687" s="29">
        <v>0</v>
      </c>
      <c r="AK687" s="29">
        <v>0</v>
      </c>
      <c r="AL687" s="29">
        <v>0</v>
      </c>
      <c r="AM687" s="29">
        <v>0</v>
      </c>
      <c r="AN687" s="29">
        <v>0</v>
      </c>
      <c r="AO687" s="29">
        <v>0</v>
      </c>
      <c r="AP687" s="29">
        <v>0</v>
      </c>
    </row>
    <row r="688" spans="1:42" x14ac:dyDescent="0.25">
      <c r="A688" s="29">
        <v>32</v>
      </c>
      <c r="B688" s="29">
        <v>25201</v>
      </c>
      <c r="C688" s="29">
        <v>1</v>
      </c>
      <c r="D688" s="29" t="s">
        <v>1064</v>
      </c>
      <c r="E688" s="29"/>
      <c r="F688" s="29">
        <v>0</v>
      </c>
      <c r="G688" s="29">
        <v>0</v>
      </c>
      <c r="H688" s="29">
        <v>0</v>
      </c>
      <c r="I688" s="29">
        <v>0</v>
      </c>
      <c r="J688" s="29">
        <v>0</v>
      </c>
      <c r="K688" s="29" t="s">
        <v>882</v>
      </c>
      <c r="L688" s="19" t="str">
        <f t="shared" ref="L688" si="95">IF($M688=N688,$N$1,IF($M688=O688,$O$1,IF($M688=P688,$P$1,IF($M688=Q688,$Q$1,IF($M688=R688,$R$1,$S$1)))))</f>
        <v>Рихтовка</v>
      </c>
      <c r="M688" s="28">
        <f t="shared" ref="M688" si="96">MAX(N688,O688,P688,Q688,R688,S688)</f>
        <v>0</v>
      </c>
      <c r="N688" s="28">
        <f t="shared" ref="N688" si="97">T688+U688+V688</f>
        <v>0</v>
      </c>
      <c r="O688" s="28">
        <f t="shared" ref="O688" si="98">W688+X688+Y688</f>
        <v>0</v>
      </c>
      <c r="P688" s="28">
        <f t="shared" ref="P688" si="99">Z688+AA688+AB688</f>
        <v>0</v>
      </c>
      <c r="Q688" s="28">
        <f t="shared" ref="Q688" si="100">AC688+AD688+AE688</f>
        <v>0</v>
      </c>
      <c r="R688" s="28">
        <f t="shared" ref="R688" si="101">AF688+AG688+AH688</f>
        <v>0</v>
      </c>
      <c r="S688" s="28">
        <f t="shared" ref="S688" si="102">AI688+AJ688+AK688</f>
        <v>0</v>
      </c>
      <c r="T688" s="29">
        <v>0</v>
      </c>
      <c r="U688" s="29">
        <v>0</v>
      </c>
      <c r="V688" s="29">
        <v>0</v>
      </c>
      <c r="W688" s="29">
        <v>0</v>
      </c>
      <c r="X688" s="29">
        <v>0</v>
      </c>
      <c r="Y688" s="29">
        <v>0</v>
      </c>
      <c r="Z688" s="29">
        <v>0</v>
      </c>
      <c r="AA688" s="29">
        <v>0</v>
      </c>
      <c r="AB688" s="29">
        <v>0</v>
      </c>
      <c r="AC688" s="29">
        <v>0</v>
      </c>
      <c r="AD688" s="29">
        <v>0</v>
      </c>
      <c r="AE688" s="29">
        <v>0</v>
      </c>
      <c r="AF688" s="29">
        <v>0</v>
      </c>
      <c r="AG688" s="29">
        <v>0</v>
      </c>
      <c r="AH688" s="29">
        <v>0</v>
      </c>
      <c r="AI688" s="29">
        <v>0</v>
      </c>
      <c r="AJ688" s="29">
        <v>0</v>
      </c>
      <c r="AK688" s="29">
        <v>0</v>
      </c>
      <c r="AL688" s="29">
        <v>0</v>
      </c>
      <c r="AM688" s="29">
        <v>0</v>
      </c>
      <c r="AN688" s="29">
        <v>0</v>
      </c>
      <c r="AO688" s="29">
        <v>0</v>
      </c>
      <c r="AP688" s="29">
        <v>0</v>
      </c>
    </row>
  </sheetData>
  <autoFilter ref="A2:AP2"/>
  <mergeCells count="18">
    <mergeCell ref="AF1:AH1"/>
    <mergeCell ref="AI1:AK1"/>
    <mergeCell ref="AL1:AN1"/>
    <mergeCell ref="AO1:AO2"/>
    <mergeCell ref="AP1:AP2"/>
    <mergeCell ref="Z1:AB1"/>
    <mergeCell ref="AC1:AE1"/>
    <mergeCell ref="A1:A2"/>
    <mergeCell ref="B1:B2"/>
    <mergeCell ref="C1:C2"/>
    <mergeCell ref="D1:D2"/>
    <mergeCell ref="E1:E2"/>
    <mergeCell ref="F1:I1"/>
    <mergeCell ref="L1:L2"/>
    <mergeCell ref="J1:J2"/>
    <mergeCell ref="K1:K2"/>
    <mergeCell ref="T1:V1"/>
    <mergeCell ref="W1:Y1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CommandButton1">
          <controlPr defaultSize="0" autoLine="0" r:id="rId5">
            <anchor moveWithCells="1">
              <from>
                <xdr:col>42</xdr:col>
                <xdr:colOff>123825</xdr:colOff>
                <xdr:row>0</xdr:row>
                <xdr:rowOff>38100</xdr:rowOff>
              </from>
              <to>
                <xdr:col>44</xdr:col>
                <xdr:colOff>342900</xdr:colOff>
                <xdr:row>1</xdr:row>
                <xdr:rowOff>123825</xdr:rowOff>
              </to>
            </anchor>
          </controlPr>
        </control>
      </mc:Choice>
      <mc:Fallback>
        <control shapeId="3073" r:id="rId4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A1:O688"/>
  <sheetViews>
    <sheetView topLeftCell="A40" zoomScale="70" zoomScaleNormal="70" workbookViewId="0">
      <selection activeCell="N3" sqref="N3"/>
    </sheetView>
  </sheetViews>
  <sheetFormatPr defaultRowHeight="15" x14ac:dyDescent="0.25"/>
  <cols>
    <col min="1" max="1" width="6" customWidth="1"/>
    <col min="2" max="2" width="10.85546875" customWidth="1"/>
    <col min="3" max="3" width="5.7109375" bestFit="1" customWidth="1"/>
    <col min="4" max="4" width="47.85546875" customWidth="1"/>
    <col min="6" max="6" width="8.5703125" customWidth="1"/>
    <col min="7" max="7" width="6.7109375" customWidth="1"/>
    <col min="11" max="11" width="13.5703125" bestFit="1" customWidth="1"/>
    <col min="12" max="18" width="6.7109375" customWidth="1"/>
  </cols>
  <sheetData>
    <row r="1" spans="1:15" x14ac:dyDescent="0.25">
      <c r="A1" s="40" t="s">
        <v>17</v>
      </c>
      <c r="B1" s="40" t="s">
        <v>473</v>
      </c>
      <c r="C1" s="41" t="s">
        <v>451</v>
      </c>
      <c r="D1" s="40" t="s">
        <v>454</v>
      </c>
      <c r="E1" s="44" t="s">
        <v>880</v>
      </c>
      <c r="F1" s="42" t="s">
        <v>879</v>
      </c>
      <c r="G1" s="46"/>
      <c r="H1" s="47"/>
      <c r="I1" s="46"/>
      <c r="J1" s="47"/>
      <c r="K1" s="32" t="s">
        <v>960</v>
      </c>
      <c r="L1" s="32" t="s">
        <v>470</v>
      </c>
      <c r="M1" s="32"/>
      <c r="N1" s="32"/>
      <c r="O1" s="32" t="s">
        <v>472</v>
      </c>
    </row>
    <row r="2" spans="1:15" x14ac:dyDescent="0.25">
      <c r="A2" s="40"/>
      <c r="B2" s="40"/>
      <c r="C2" s="41"/>
      <c r="D2" s="40"/>
      <c r="E2" s="45"/>
      <c r="F2" s="43"/>
      <c r="G2" s="15" t="s">
        <v>460</v>
      </c>
      <c r="H2" s="13" t="s">
        <v>459</v>
      </c>
      <c r="I2" s="15" t="s">
        <v>460</v>
      </c>
      <c r="J2" s="13" t="s">
        <v>459</v>
      </c>
      <c r="K2" s="32"/>
      <c r="L2" s="13" t="s">
        <v>466</v>
      </c>
      <c r="M2" s="13" t="s">
        <v>467</v>
      </c>
      <c r="N2" s="13" t="s">
        <v>468</v>
      </c>
      <c r="O2" s="32"/>
    </row>
    <row r="3" spans="1:15" x14ac:dyDescent="0.25">
      <c r="A3" s="14">
        <f>Текущий!A3</f>
        <v>1</v>
      </c>
      <c r="B3" s="14">
        <f>Текущий!B3</f>
        <v>13808</v>
      </c>
      <c r="C3" s="14" t="str">
        <f>Текущий!C3</f>
        <v>ч-т</v>
      </c>
      <c r="D3" s="14" t="str">
        <f>Текущий!D3</f>
        <v>ст. Архара</v>
      </c>
      <c r="E3" s="14">
        <f>ROUND(Текущий!J3,0)</f>
        <v>0</v>
      </c>
      <c r="F3" s="14">
        <f>Текущий!E3</f>
        <v>0</v>
      </c>
      <c r="G3" s="16" t="str">
        <f>IF(Текущий!K3="-",Текущий!K3,ROUND(Текущий!K3,0))</f>
        <v>-</v>
      </c>
      <c r="H3" s="14" t="str">
        <f>IF(ROUND(Текущий!I3,0)=0,"-",ROUND(Текущий!I3,0))</f>
        <v>-</v>
      </c>
      <c r="I3" s="16" t="str">
        <f>IF(Предыд!K3="-",Предыд!K3,ROUND(Предыд!K3,0))</f>
        <v>-</v>
      </c>
      <c r="J3" s="14" t="str">
        <f>IF(ROUND(Предыд!I3,0)=0,"-",ROUND(Предыд!I3,0))</f>
        <v>-</v>
      </c>
      <c r="K3" s="14" t="str">
        <f>Текущий!L3</f>
        <v>Рихтовка</v>
      </c>
      <c r="L3" s="14">
        <f>Текущий!AL3</f>
        <v>0</v>
      </c>
      <c r="M3" s="14">
        <f>Текущий!AM3</f>
        <v>0</v>
      </c>
      <c r="N3" s="14">
        <f>Текущий!AN3</f>
        <v>0</v>
      </c>
      <c r="O3" s="14">
        <f>Текущий!AP3</f>
        <v>0</v>
      </c>
    </row>
    <row r="4" spans="1:15" x14ac:dyDescent="0.25">
      <c r="A4" s="29">
        <f>Текущий!A4</f>
        <v>1</v>
      </c>
      <c r="B4" s="29">
        <f>Текущий!B4</f>
        <v>13808</v>
      </c>
      <c r="C4" s="29">
        <f>Текущий!C4</f>
        <v>1</v>
      </c>
      <c r="D4" s="29" t="str">
        <f>Текущий!D4</f>
        <v>Архара - Татакан</v>
      </c>
      <c r="E4" s="29">
        <f>ROUND(Текущий!J4,0)</f>
        <v>0</v>
      </c>
      <c r="F4" s="29">
        <f>Текущий!E4</f>
        <v>0</v>
      </c>
      <c r="G4" s="16" t="str">
        <f>IF(Текущий!K4="-",Текущий!K4,ROUND(Текущий!K4,0))</f>
        <v>-</v>
      </c>
      <c r="H4" s="29" t="str">
        <f>IF(ROUND(Текущий!I4,0)=0,"-",ROUND(Текущий!I4,0))</f>
        <v>-</v>
      </c>
      <c r="I4" s="16" t="str">
        <f>IF(Предыд!K4="-",Предыд!K4,ROUND(Предыд!K4,0))</f>
        <v>-</v>
      </c>
      <c r="J4" s="29" t="str">
        <f>IF(ROUND(Предыд!I4,0)=0,"-",ROUND(Предыд!I4,0))</f>
        <v>-</v>
      </c>
      <c r="K4" s="29" t="str">
        <f>Текущий!L4</f>
        <v>Рихтовка</v>
      </c>
      <c r="L4" s="29">
        <f>Текущий!AL4</f>
        <v>0</v>
      </c>
      <c r="M4" s="29">
        <f>Текущий!AM4</f>
        <v>0</v>
      </c>
      <c r="N4" s="29">
        <f>Текущий!AN4</f>
        <v>0</v>
      </c>
      <c r="O4" s="29">
        <f>Текущий!AP4</f>
        <v>0</v>
      </c>
    </row>
    <row r="5" spans="1:15" x14ac:dyDescent="0.25">
      <c r="A5" s="29">
        <f>Текущий!A5</f>
        <v>1</v>
      </c>
      <c r="B5" s="29">
        <f>Текущий!B5</f>
        <v>13808</v>
      </c>
      <c r="C5" s="29">
        <f>Текущий!C5</f>
        <v>1</v>
      </c>
      <c r="D5" s="29" t="str">
        <f>Текущий!D5</f>
        <v>Татакан - Богучан</v>
      </c>
      <c r="E5" s="29">
        <f>ROUND(Текущий!J5,0)</f>
        <v>0</v>
      </c>
      <c r="F5" s="29">
        <f>Текущий!E5</f>
        <v>0</v>
      </c>
      <c r="G5" s="16" t="str">
        <f>IF(Текущий!K5="-",Текущий!K5,ROUND(Текущий!K5,0))</f>
        <v>-</v>
      </c>
      <c r="H5" s="29" t="str">
        <f>IF(ROUND(Текущий!I5,0)=0,"-",ROUND(Текущий!I5,0))</f>
        <v>-</v>
      </c>
      <c r="I5" s="16" t="str">
        <f>IF(Предыд!K5="-",Предыд!K5,ROUND(Предыд!K5,0))</f>
        <v>-</v>
      </c>
      <c r="J5" s="29" t="str">
        <f>IF(ROUND(Предыд!I5,0)=0,"-",ROUND(Предыд!I5,0))</f>
        <v>-</v>
      </c>
      <c r="K5" s="29" t="str">
        <f>Текущий!L5</f>
        <v>Рихтовка</v>
      </c>
      <c r="L5" s="29">
        <f>Текущий!AL5</f>
        <v>0</v>
      </c>
      <c r="M5" s="29">
        <f>Текущий!AM5</f>
        <v>0</v>
      </c>
      <c r="N5" s="29">
        <f>Текущий!AN5</f>
        <v>0</v>
      </c>
      <c r="O5" s="29">
        <f>Текущий!AP5</f>
        <v>0</v>
      </c>
    </row>
    <row r="6" spans="1:15" x14ac:dyDescent="0.25">
      <c r="A6" s="29">
        <f>Текущий!A6</f>
        <v>1</v>
      </c>
      <c r="B6" s="29">
        <f>Текущий!B6</f>
        <v>13808</v>
      </c>
      <c r="C6" s="29">
        <f>Текущий!C6</f>
        <v>1</v>
      </c>
      <c r="D6" s="29" t="str">
        <f>Текущий!D6</f>
        <v>Богучан - Рачи</v>
      </c>
      <c r="E6" s="29">
        <f>ROUND(Текущий!J6,0)</f>
        <v>0</v>
      </c>
      <c r="F6" s="29">
        <f>Текущий!E6</f>
        <v>0</v>
      </c>
      <c r="G6" s="16" t="str">
        <f>IF(Текущий!K6="-",Текущий!K6,ROUND(Текущий!K6,0))</f>
        <v>-</v>
      </c>
      <c r="H6" s="29" t="str">
        <f>IF(ROUND(Текущий!I6,0)=0,"-",ROUND(Текущий!I6,0))</f>
        <v>-</v>
      </c>
      <c r="I6" s="16" t="str">
        <f>IF(Предыд!K6="-",Предыд!K6,ROUND(Предыд!K6,0))</f>
        <v>-</v>
      </c>
      <c r="J6" s="29" t="str">
        <f>IF(ROUND(Предыд!I6,0)=0,"-",ROUND(Предыд!I6,0))</f>
        <v>-</v>
      </c>
      <c r="K6" s="29" t="str">
        <f>Текущий!L6</f>
        <v>Рихтовка</v>
      </c>
      <c r="L6" s="29">
        <f>Текущий!AL6</f>
        <v>0</v>
      </c>
      <c r="M6" s="29">
        <f>Текущий!AM6</f>
        <v>0</v>
      </c>
      <c r="N6" s="29">
        <f>Текущий!AN6</f>
        <v>0</v>
      </c>
      <c r="O6" s="29">
        <f>Текущий!AP6</f>
        <v>0</v>
      </c>
    </row>
    <row r="7" spans="1:15" x14ac:dyDescent="0.25">
      <c r="A7" s="29">
        <f>Текущий!A7</f>
        <v>1</v>
      </c>
      <c r="B7" s="29">
        <f>Текущий!B7</f>
        <v>13808</v>
      </c>
      <c r="C7" s="29">
        <f>Текущий!C7</f>
        <v>1</v>
      </c>
      <c r="D7" s="29" t="str">
        <f>Текущий!D7</f>
        <v>Рачи - Урил</v>
      </c>
      <c r="E7" s="29">
        <f>ROUND(Текущий!J7,0)</f>
        <v>0</v>
      </c>
      <c r="F7" s="29">
        <f>Текущий!E7</f>
        <v>0</v>
      </c>
      <c r="G7" s="16" t="str">
        <f>IF(Текущий!K7="-",Текущий!K7,ROUND(Текущий!K7,0))</f>
        <v>-</v>
      </c>
      <c r="H7" s="29" t="str">
        <f>IF(ROUND(Текущий!I7,0)=0,"-",ROUND(Текущий!I7,0))</f>
        <v>-</v>
      </c>
      <c r="I7" s="16" t="str">
        <f>IF(Предыд!K7="-",Предыд!K7,ROUND(Предыд!K7,0))</f>
        <v>-</v>
      </c>
      <c r="J7" s="29" t="str">
        <f>IF(ROUND(Предыд!I7,0)=0,"-",ROUND(Предыд!I7,0))</f>
        <v>-</v>
      </c>
      <c r="K7" s="29" t="str">
        <f>Текущий!L7</f>
        <v>Рихтовка</v>
      </c>
      <c r="L7" s="29">
        <f>Текущий!AL7</f>
        <v>0</v>
      </c>
      <c r="M7" s="29">
        <f>Текущий!AM7</f>
        <v>0</v>
      </c>
      <c r="N7" s="29">
        <f>Текущий!AN7</f>
        <v>0</v>
      </c>
      <c r="O7" s="29">
        <f>Текущий!AP7</f>
        <v>0</v>
      </c>
    </row>
    <row r="8" spans="1:15" x14ac:dyDescent="0.25">
      <c r="A8" s="29">
        <f>Текущий!A8</f>
        <v>1</v>
      </c>
      <c r="B8" s="29">
        <f>Текущий!B8</f>
        <v>13808</v>
      </c>
      <c r="C8" s="29">
        <f>Текущий!C8</f>
        <v>1</v>
      </c>
      <c r="D8" s="29" t="str">
        <f>Текущий!D8</f>
        <v>Урил - Тарманчукан</v>
      </c>
      <c r="E8" s="29">
        <f>ROUND(Текущий!J8,0)</f>
        <v>0</v>
      </c>
      <c r="F8" s="29">
        <f>Текущий!E8</f>
        <v>0</v>
      </c>
      <c r="G8" s="16" t="str">
        <f>IF(Текущий!K8="-",Текущий!K8,ROUND(Текущий!K8,0))</f>
        <v>-</v>
      </c>
      <c r="H8" s="29" t="str">
        <f>IF(ROUND(Текущий!I8,0)=0,"-",ROUND(Текущий!I8,0))</f>
        <v>-</v>
      </c>
      <c r="I8" s="16" t="str">
        <f>IF(Предыд!K8="-",Предыд!K8,ROUND(Предыд!K8,0))</f>
        <v>-</v>
      </c>
      <c r="J8" s="29" t="str">
        <f>IF(ROUND(Предыд!I8,0)=0,"-",ROUND(Предыд!I8,0))</f>
        <v>-</v>
      </c>
      <c r="K8" s="29" t="str">
        <f>Текущий!L8</f>
        <v>Рихтовка</v>
      </c>
      <c r="L8" s="29">
        <f>Текущий!AL8</f>
        <v>0</v>
      </c>
      <c r="M8" s="29">
        <f>Текущий!AM8</f>
        <v>0</v>
      </c>
      <c r="N8" s="29">
        <f>Текущий!AN8</f>
        <v>0</v>
      </c>
      <c r="O8" s="29">
        <f>Текущий!AP8</f>
        <v>0</v>
      </c>
    </row>
    <row r="9" spans="1:15" x14ac:dyDescent="0.25">
      <c r="A9" s="29">
        <f>Текущий!A9</f>
        <v>1</v>
      </c>
      <c r="B9" s="29">
        <f>Текущий!B9</f>
        <v>13808</v>
      </c>
      <c r="C9" s="29">
        <f>Текущий!C9</f>
        <v>1</v>
      </c>
      <c r="D9" s="29" t="str">
        <f>Текущий!D9</f>
        <v>Тарманчукан - Тоннельный</v>
      </c>
      <c r="E9" s="29">
        <f>ROUND(Текущий!J9,0)</f>
        <v>0</v>
      </c>
      <c r="F9" s="29">
        <f>Текущий!E9</f>
        <v>0</v>
      </c>
      <c r="G9" s="16" t="str">
        <f>IF(Текущий!K9="-",Текущий!K9,ROUND(Текущий!K9,0))</f>
        <v>-</v>
      </c>
      <c r="H9" s="29" t="str">
        <f>IF(ROUND(Текущий!I9,0)=0,"-",ROUND(Текущий!I9,0))</f>
        <v>-</v>
      </c>
      <c r="I9" s="16" t="str">
        <f>IF(Предыд!K9="-",Предыд!K9,ROUND(Предыд!K9,0))</f>
        <v>-</v>
      </c>
      <c r="J9" s="29" t="str">
        <f>IF(ROUND(Предыд!I9,0)=0,"-",ROUND(Предыд!I9,0))</f>
        <v>-</v>
      </c>
      <c r="K9" s="29" t="str">
        <f>Текущий!L9</f>
        <v>Рихтовка</v>
      </c>
      <c r="L9" s="29">
        <f>Текущий!AL9</f>
        <v>0</v>
      </c>
      <c r="M9" s="29">
        <f>Текущий!AM9</f>
        <v>0</v>
      </c>
      <c r="N9" s="29">
        <f>Текущий!AN9</f>
        <v>0</v>
      </c>
      <c r="O9" s="29">
        <f>Текущий!AP9</f>
        <v>0</v>
      </c>
    </row>
    <row r="10" spans="1:15" x14ac:dyDescent="0.25">
      <c r="A10" s="29">
        <f>Текущий!A10</f>
        <v>1</v>
      </c>
      <c r="B10" s="29">
        <f>Текущий!B10</f>
        <v>13808</v>
      </c>
      <c r="C10" s="29">
        <f>Текущий!C10</f>
        <v>1</v>
      </c>
      <c r="D10" s="29" t="str">
        <f>Текущий!D10</f>
        <v>Тоннельный - Кундур-Хабаровский</v>
      </c>
      <c r="E10" s="29">
        <f>ROUND(Текущий!J10,0)</f>
        <v>0</v>
      </c>
      <c r="F10" s="29">
        <f>Текущий!E10</f>
        <v>0</v>
      </c>
      <c r="G10" s="16" t="str">
        <f>IF(Текущий!K10="-",Текущий!K10,ROUND(Текущий!K10,0))</f>
        <v>-</v>
      </c>
      <c r="H10" s="29" t="str">
        <f>IF(ROUND(Текущий!I10,0)=0,"-",ROUND(Текущий!I10,0))</f>
        <v>-</v>
      </c>
      <c r="I10" s="16" t="str">
        <f>IF(Предыд!K10="-",Предыд!K10,ROUND(Предыд!K10,0))</f>
        <v>-</v>
      </c>
      <c r="J10" s="29" t="str">
        <f>IF(ROUND(Предыд!I10,0)=0,"-",ROUND(Предыд!I10,0))</f>
        <v>-</v>
      </c>
      <c r="K10" s="29" t="str">
        <f>Текущий!L10</f>
        <v>Рихтовка</v>
      </c>
      <c r="L10" s="29">
        <f>Текущий!AL10</f>
        <v>0</v>
      </c>
      <c r="M10" s="29">
        <f>Текущий!AM10</f>
        <v>0</v>
      </c>
      <c r="N10" s="29">
        <f>Текущий!AN10</f>
        <v>0</v>
      </c>
      <c r="O10" s="29">
        <f>Текущий!AP10</f>
        <v>0</v>
      </c>
    </row>
    <row r="11" spans="1:15" x14ac:dyDescent="0.25">
      <c r="A11" s="29">
        <f>Текущий!A11</f>
        <v>1</v>
      </c>
      <c r="B11" s="29">
        <f>Текущий!B11</f>
        <v>13808</v>
      </c>
      <c r="C11" s="29">
        <f>Текущий!C11</f>
        <v>1</v>
      </c>
      <c r="D11" s="29" t="str">
        <f>Текущий!D11</f>
        <v>Кундур-Хабаровский - Казачий</v>
      </c>
      <c r="E11" s="29">
        <f>ROUND(Текущий!J11,0)</f>
        <v>0</v>
      </c>
      <c r="F11" s="29">
        <f>Текущий!E11</f>
        <v>0</v>
      </c>
      <c r="G11" s="16" t="str">
        <f>IF(Текущий!K11="-",Текущий!K11,ROUND(Текущий!K11,0))</f>
        <v>-</v>
      </c>
      <c r="H11" s="29" t="str">
        <f>IF(ROUND(Текущий!I11,0)=0,"-",ROUND(Текущий!I11,0))</f>
        <v>-</v>
      </c>
      <c r="I11" s="16" t="str">
        <f>IF(Предыд!K11="-",Предыд!K11,ROUND(Предыд!K11,0))</f>
        <v>-</v>
      </c>
      <c r="J11" s="29" t="str">
        <f>IF(ROUND(Предыд!I11,0)=0,"-",ROUND(Предыд!I11,0))</f>
        <v>-</v>
      </c>
      <c r="K11" s="29" t="str">
        <f>Текущий!L11</f>
        <v>Рихтовка</v>
      </c>
      <c r="L11" s="29">
        <f>Текущий!AL11</f>
        <v>0</v>
      </c>
      <c r="M11" s="29">
        <f>Текущий!AM11</f>
        <v>0</v>
      </c>
      <c r="N11" s="29">
        <f>Текущий!AN11</f>
        <v>0</v>
      </c>
      <c r="O11" s="29">
        <f>Текущий!AP11</f>
        <v>0</v>
      </c>
    </row>
    <row r="12" spans="1:15" x14ac:dyDescent="0.25">
      <c r="A12" s="29">
        <f>Текущий!A12</f>
        <v>1</v>
      </c>
      <c r="B12" s="29">
        <f>Текущий!B12</f>
        <v>13808</v>
      </c>
      <c r="C12" s="29">
        <f>Текущий!C12</f>
        <v>1</v>
      </c>
      <c r="D12" s="29" t="str">
        <f>Текущий!D12</f>
        <v>Казачий - Ядрин</v>
      </c>
      <c r="E12" s="29">
        <f>ROUND(Текущий!J12,0)</f>
        <v>0</v>
      </c>
      <c r="F12" s="29">
        <f>Текущий!E12</f>
        <v>0</v>
      </c>
      <c r="G12" s="16" t="str">
        <f>IF(Текущий!K12="-",Текущий!K12,ROUND(Текущий!K12,0))</f>
        <v>-</v>
      </c>
      <c r="H12" s="29" t="str">
        <f>IF(ROUND(Текущий!I12,0)=0,"-",ROUND(Текущий!I12,0))</f>
        <v>-</v>
      </c>
      <c r="I12" s="16" t="str">
        <f>IF(Предыд!K12="-",Предыд!K12,ROUND(Предыд!K12,0))</f>
        <v>-</v>
      </c>
      <c r="J12" s="29" t="str">
        <f>IF(ROUND(Предыд!I12,0)=0,"-",ROUND(Предыд!I12,0))</f>
        <v>-</v>
      </c>
      <c r="K12" s="29" t="str">
        <f>Текущий!L12</f>
        <v>Рихтовка</v>
      </c>
      <c r="L12" s="29">
        <f>Текущий!AL12</f>
        <v>0</v>
      </c>
      <c r="M12" s="29">
        <f>Текущий!AM12</f>
        <v>0</v>
      </c>
      <c r="N12" s="29">
        <f>Текущий!AN12</f>
        <v>0</v>
      </c>
      <c r="O12" s="29">
        <f>Текущий!AP12</f>
        <v>0</v>
      </c>
    </row>
    <row r="13" spans="1:15" x14ac:dyDescent="0.25">
      <c r="A13" s="29">
        <f>Текущий!A13</f>
        <v>1</v>
      </c>
      <c r="B13" s="29">
        <f>Текущий!B13</f>
        <v>13808</v>
      </c>
      <c r="C13" s="29">
        <f>Текущий!C13</f>
        <v>1</v>
      </c>
      <c r="D13" s="29" t="str">
        <f>Текущий!D13</f>
        <v>Ядрин - Облучье</v>
      </c>
      <c r="E13" s="29">
        <f>ROUND(Текущий!J13,0)</f>
        <v>0</v>
      </c>
      <c r="F13" s="29">
        <f>Текущий!E13</f>
        <v>0</v>
      </c>
      <c r="G13" s="16" t="str">
        <f>IF(Текущий!K13="-",Текущий!K13,ROUND(Текущий!K13,0))</f>
        <v>-</v>
      </c>
      <c r="H13" s="29" t="str">
        <f>IF(ROUND(Текущий!I13,0)=0,"-",ROUND(Текущий!I13,0))</f>
        <v>-</v>
      </c>
      <c r="I13" s="16" t="str">
        <f>IF(Предыд!K13="-",Предыд!K13,ROUND(Предыд!K13,0))</f>
        <v>-</v>
      </c>
      <c r="J13" s="29" t="str">
        <f>IF(ROUND(Предыд!I13,0)=0,"-",ROUND(Предыд!I13,0))</f>
        <v>-</v>
      </c>
      <c r="K13" s="29" t="str">
        <f>Текущий!L13</f>
        <v>Рихтовка</v>
      </c>
      <c r="L13" s="29">
        <f>Текущий!AL13</f>
        <v>0</v>
      </c>
      <c r="M13" s="29">
        <f>Текущий!AM13</f>
        <v>0</v>
      </c>
      <c r="N13" s="29">
        <f>Текущий!AN13</f>
        <v>0</v>
      </c>
      <c r="O13" s="29">
        <f>Текущий!AP13</f>
        <v>0</v>
      </c>
    </row>
    <row r="14" spans="1:15" x14ac:dyDescent="0.25">
      <c r="A14" s="29">
        <f>Текущий!A14</f>
        <v>1</v>
      </c>
      <c r="B14" s="29">
        <f>Текущий!B14</f>
        <v>13810</v>
      </c>
      <c r="C14" s="29">
        <f>Текущий!C14</f>
        <v>1</v>
      </c>
      <c r="D14" s="29" t="str">
        <f>Текущий!D14</f>
        <v>ст. Облучье</v>
      </c>
      <c r="E14" s="29">
        <f>ROUND(Текущий!J14,0)</f>
        <v>0</v>
      </c>
      <c r="F14" s="29">
        <f>Текущий!E14</f>
        <v>0</v>
      </c>
      <c r="G14" s="16" t="str">
        <f>IF(Текущий!K14="-",Текущий!K14,ROUND(Текущий!K14,0))</f>
        <v>-</v>
      </c>
      <c r="H14" s="29" t="str">
        <f>IF(ROUND(Текущий!I14,0)=0,"-",ROUND(Текущий!I14,0))</f>
        <v>-</v>
      </c>
      <c r="I14" s="16" t="str">
        <f>IF(Предыд!K14="-",Предыд!K14,ROUND(Предыд!K14,0))</f>
        <v>-</v>
      </c>
      <c r="J14" s="29" t="str">
        <f>IF(ROUND(Предыд!I14,0)=0,"-",ROUND(Предыд!I14,0))</f>
        <v>-</v>
      </c>
      <c r="K14" s="29" t="str">
        <f>Текущий!L14</f>
        <v>Рихтовка</v>
      </c>
      <c r="L14" s="29">
        <f>Текущий!AL14</f>
        <v>0</v>
      </c>
      <c r="M14" s="29">
        <f>Текущий!AM14</f>
        <v>0</v>
      </c>
      <c r="N14" s="29">
        <f>Текущий!AN14</f>
        <v>0</v>
      </c>
      <c r="O14" s="29">
        <f>Текущий!AP14</f>
        <v>0</v>
      </c>
    </row>
    <row r="15" spans="1:15" x14ac:dyDescent="0.25">
      <c r="A15" s="29">
        <f>Текущий!A15</f>
        <v>1</v>
      </c>
      <c r="B15" s="29">
        <f>Текущий!B15</f>
        <v>13808</v>
      </c>
      <c r="C15" s="29">
        <f>Текущий!C15</f>
        <v>1</v>
      </c>
      <c r="D15" s="29" t="str">
        <f>Текущий!D15</f>
        <v>Облучье - Ударный</v>
      </c>
      <c r="E15" s="29">
        <f>ROUND(Текущий!J15,0)</f>
        <v>0</v>
      </c>
      <c r="F15" s="29">
        <f>Текущий!E15</f>
        <v>0</v>
      </c>
      <c r="G15" s="16" t="str">
        <f>IF(Текущий!K15="-",Текущий!K15,ROUND(Текущий!K15,0))</f>
        <v>-</v>
      </c>
      <c r="H15" s="29" t="str">
        <f>IF(ROUND(Текущий!I15,0)=0,"-",ROUND(Текущий!I15,0))</f>
        <v>-</v>
      </c>
      <c r="I15" s="16" t="str">
        <f>IF(Предыд!K15="-",Предыд!K15,ROUND(Предыд!K15,0))</f>
        <v>-</v>
      </c>
      <c r="J15" s="29" t="str">
        <f>IF(ROUND(Предыд!I15,0)=0,"-",ROUND(Предыд!I15,0))</f>
        <v>-</v>
      </c>
      <c r="K15" s="29" t="str">
        <f>Текущий!L15</f>
        <v>Рихтовка</v>
      </c>
      <c r="L15" s="29">
        <f>Текущий!AL15</f>
        <v>0</v>
      </c>
      <c r="M15" s="29">
        <f>Текущий!AM15</f>
        <v>0</v>
      </c>
      <c r="N15" s="29">
        <f>Текущий!AN15</f>
        <v>0</v>
      </c>
      <c r="O15" s="29">
        <f>Текущий!AP15</f>
        <v>0</v>
      </c>
    </row>
    <row r="16" spans="1:15" x14ac:dyDescent="0.25">
      <c r="A16" s="29">
        <f>Текущий!A16</f>
        <v>1</v>
      </c>
      <c r="B16" s="29">
        <f>Текущий!B16</f>
        <v>13808</v>
      </c>
      <c r="C16" s="29">
        <f>Текущий!C16</f>
        <v>1</v>
      </c>
      <c r="D16" s="29" t="str">
        <f>Текущий!D16</f>
        <v>Ударный - Лагар-Аул</v>
      </c>
      <c r="E16" s="29">
        <f>ROUND(Текущий!J16,0)</f>
        <v>0</v>
      </c>
      <c r="F16" s="29">
        <f>Текущий!E16</f>
        <v>0</v>
      </c>
      <c r="G16" s="16" t="str">
        <f>IF(Текущий!K16="-",Текущий!K16,ROUND(Текущий!K16,0))</f>
        <v>-</v>
      </c>
      <c r="H16" s="29" t="str">
        <f>IF(ROUND(Текущий!I16,0)=0,"-",ROUND(Текущий!I16,0))</f>
        <v>-</v>
      </c>
      <c r="I16" s="16" t="str">
        <f>IF(Предыд!K16="-",Предыд!K16,ROUND(Предыд!K16,0))</f>
        <v>-</v>
      </c>
      <c r="J16" s="29" t="str">
        <f>IF(ROUND(Предыд!I16,0)=0,"-",ROUND(Предыд!I16,0))</f>
        <v>-</v>
      </c>
      <c r="K16" s="29" t="str">
        <f>Текущий!L16</f>
        <v>Рихтовка</v>
      </c>
      <c r="L16" s="29">
        <f>Текущий!AL16</f>
        <v>0</v>
      </c>
      <c r="M16" s="29">
        <f>Текущий!AM16</f>
        <v>0</v>
      </c>
      <c r="N16" s="29">
        <f>Текущий!AN16</f>
        <v>0</v>
      </c>
      <c r="O16" s="29">
        <f>Текущий!AP16</f>
        <v>0</v>
      </c>
    </row>
    <row r="17" spans="1:15" x14ac:dyDescent="0.25">
      <c r="A17" s="29">
        <f>Текущий!A17</f>
        <v>1</v>
      </c>
      <c r="B17" s="29">
        <f>Текущий!B17</f>
        <v>13808</v>
      </c>
      <c r="C17" s="29">
        <f>Текущий!C17</f>
        <v>1</v>
      </c>
      <c r="D17" s="29" t="str">
        <f>Текущий!D17</f>
        <v>Лагар-Аул - Кимкан</v>
      </c>
      <c r="E17" s="29">
        <f>ROUND(Текущий!J17,0)</f>
        <v>0</v>
      </c>
      <c r="F17" s="29">
        <f>Текущий!E17</f>
        <v>0</v>
      </c>
      <c r="G17" s="16" t="str">
        <f>IF(Текущий!K17="-",Текущий!K17,ROUND(Текущий!K17,0))</f>
        <v>-</v>
      </c>
      <c r="H17" s="29" t="str">
        <f>IF(ROUND(Текущий!I17,0)=0,"-",ROUND(Текущий!I17,0))</f>
        <v>-</v>
      </c>
      <c r="I17" s="16" t="str">
        <f>IF(Предыд!K17="-",Предыд!K17,ROUND(Предыд!K17,0))</f>
        <v>-</v>
      </c>
      <c r="J17" s="29" t="str">
        <f>IF(ROUND(Предыд!I17,0)=0,"-",ROUND(Предыд!I17,0))</f>
        <v>-</v>
      </c>
      <c r="K17" s="29" t="str">
        <f>Текущий!L17</f>
        <v>Рихтовка</v>
      </c>
      <c r="L17" s="29">
        <f>Текущий!AL17</f>
        <v>0</v>
      </c>
      <c r="M17" s="29">
        <f>Текущий!AM17</f>
        <v>0</v>
      </c>
      <c r="N17" s="29">
        <f>Текущий!AN17</f>
        <v>0</v>
      </c>
      <c r="O17" s="29">
        <f>Текущий!AP17</f>
        <v>0</v>
      </c>
    </row>
    <row r="18" spans="1:15" x14ac:dyDescent="0.25">
      <c r="A18" s="29">
        <f>Текущий!A18</f>
        <v>1</v>
      </c>
      <c r="B18" s="29">
        <f>Текущий!B18</f>
        <v>13808</v>
      </c>
      <c r="C18" s="29">
        <f>Текущий!C18</f>
        <v>1</v>
      </c>
      <c r="D18" s="29" t="str">
        <f>Текущий!D18</f>
        <v>Кимкан - Известковая</v>
      </c>
      <c r="E18" s="29">
        <f>ROUND(Текущий!J18,0)</f>
        <v>0</v>
      </c>
      <c r="F18" s="29">
        <f>Текущий!E18</f>
        <v>0</v>
      </c>
      <c r="G18" s="16" t="str">
        <f>IF(Текущий!K18="-",Текущий!K18,ROUND(Текущий!K18,0))</f>
        <v>-</v>
      </c>
      <c r="H18" s="29" t="str">
        <f>IF(ROUND(Текущий!I18,0)=0,"-",ROUND(Текущий!I18,0))</f>
        <v>-</v>
      </c>
      <c r="I18" s="16" t="str">
        <f>IF(Предыд!K18="-",Предыд!K18,ROUND(Предыд!K18,0))</f>
        <v>-</v>
      </c>
      <c r="J18" s="29" t="str">
        <f>IF(ROUND(Предыд!I18,0)=0,"-",ROUND(Предыд!I18,0))</f>
        <v>-</v>
      </c>
      <c r="K18" s="29" t="str">
        <f>Текущий!L18</f>
        <v>Рихтовка</v>
      </c>
      <c r="L18" s="29">
        <f>Текущий!AL18</f>
        <v>0</v>
      </c>
      <c r="M18" s="29">
        <f>Текущий!AM18</f>
        <v>0</v>
      </c>
      <c r="N18" s="29">
        <f>Текущий!AN18</f>
        <v>0</v>
      </c>
      <c r="O18" s="29">
        <f>Текущий!AP18</f>
        <v>0</v>
      </c>
    </row>
    <row r="19" spans="1:15" x14ac:dyDescent="0.25">
      <c r="A19" s="29">
        <f>Текущий!A19</f>
        <v>1</v>
      </c>
      <c r="B19" s="29">
        <f>Текущий!B19</f>
        <v>13808</v>
      </c>
      <c r="C19" s="29">
        <f>Текущий!C19</f>
        <v>2</v>
      </c>
      <c r="D19" s="29" t="str">
        <f>Текущий!D19</f>
        <v>Архара - Татакан</v>
      </c>
      <c r="E19" s="29">
        <f>ROUND(Текущий!J19,0)</f>
        <v>0</v>
      </c>
      <c r="F19" s="29">
        <f>Текущий!E19</f>
        <v>0</v>
      </c>
      <c r="G19" s="16" t="str">
        <f>IF(Текущий!K19="-",Текущий!K19,ROUND(Текущий!K19,0))</f>
        <v>-</v>
      </c>
      <c r="H19" s="29" t="str">
        <f>IF(ROUND(Текущий!I19,0)=0,"-",ROUND(Текущий!I19,0))</f>
        <v>-</v>
      </c>
      <c r="I19" s="16" t="str">
        <f>IF(Предыд!K19="-",Предыд!K19,ROUND(Предыд!K19,0))</f>
        <v>-</v>
      </c>
      <c r="J19" s="29" t="str">
        <f>IF(ROUND(Предыд!I19,0)=0,"-",ROUND(Предыд!I19,0))</f>
        <v>-</v>
      </c>
      <c r="K19" s="29" t="str">
        <f>Текущий!L19</f>
        <v>Рихтовка</v>
      </c>
      <c r="L19" s="29">
        <f>Текущий!AL19</f>
        <v>0</v>
      </c>
      <c r="M19" s="29">
        <f>Текущий!AM19</f>
        <v>0</v>
      </c>
      <c r="N19" s="29">
        <f>Текущий!AN19</f>
        <v>0</v>
      </c>
      <c r="O19" s="29">
        <f>Текущий!AP19</f>
        <v>0</v>
      </c>
    </row>
    <row r="20" spans="1:15" x14ac:dyDescent="0.25">
      <c r="A20" s="29">
        <f>Текущий!A20</f>
        <v>1</v>
      </c>
      <c r="B20" s="29">
        <f>Текущий!B20</f>
        <v>13808</v>
      </c>
      <c r="C20" s="29">
        <f>Текущий!C20</f>
        <v>2</v>
      </c>
      <c r="D20" s="29" t="str">
        <f>Текущий!D20</f>
        <v>Татакан - Богучан</v>
      </c>
      <c r="E20" s="29">
        <f>ROUND(Текущий!J20,0)</f>
        <v>0</v>
      </c>
      <c r="F20" s="29">
        <f>Текущий!E20</f>
        <v>0</v>
      </c>
      <c r="G20" s="16" t="str">
        <f>IF(Текущий!K20="-",Текущий!K20,ROUND(Текущий!K20,0))</f>
        <v>-</v>
      </c>
      <c r="H20" s="29" t="str">
        <f>IF(ROUND(Текущий!I20,0)=0,"-",ROUND(Текущий!I20,0))</f>
        <v>-</v>
      </c>
      <c r="I20" s="16" t="str">
        <f>IF(Предыд!K20="-",Предыд!K20,ROUND(Предыд!K20,0))</f>
        <v>-</v>
      </c>
      <c r="J20" s="29" t="str">
        <f>IF(ROUND(Предыд!I20,0)=0,"-",ROUND(Предыд!I20,0))</f>
        <v>-</v>
      </c>
      <c r="K20" s="29" t="str">
        <f>Текущий!L20</f>
        <v>Рихтовка</v>
      </c>
      <c r="L20" s="29">
        <f>Текущий!AL20</f>
        <v>0</v>
      </c>
      <c r="M20" s="29">
        <f>Текущий!AM20</f>
        <v>0</v>
      </c>
      <c r="N20" s="29">
        <f>Текущий!AN20</f>
        <v>0</v>
      </c>
      <c r="O20" s="29">
        <f>Текущий!AP20</f>
        <v>0</v>
      </c>
    </row>
    <row r="21" spans="1:15" x14ac:dyDescent="0.25">
      <c r="A21" s="29">
        <f>Текущий!A21</f>
        <v>1</v>
      </c>
      <c r="B21" s="29">
        <f>Текущий!B21</f>
        <v>13808</v>
      </c>
      <c r="C21" s="29">
        <f>Текущий!C21</f>
        <v>2</v>
      </c>
      <c r="D21" s="29" t="str">
        <f>Текущий!D21</f>
        <v>Богучан - Рачи</v>
      </c>
      <c r="E21" s="29">
        <f>ROUND(Текущий!J21,0)</f>
        <v>0</v>
      </c>
      <c r="F21" s="29">
        <f>Текущий!E21</f>
        <v>0</v>
      </c>
      <c r="G21" s="16" t="str">
        <f>IF(Текущий!K21="-",Текущий!K21,ROUND(Текущий!K21,0))</f>
        <v>-</v>
      </c>
      <c r="H21" s="29" t="str">
        <f>IF(ROUND(Текущий!I21,0)=0,"-",ROUND(Текущий!I21,0))</f>
        <v>-</v>
      </c>
      <c r="I21" s="16" t="str">
        <f>IF(Предыд!K21="-",Предыд!K21,ROUND(Предыд!K21,0))</f>
        <v>-</v>
      </c>
      <c r="J21" s="29" t="str">
        <f>IF(ROUND(Предыд!I21,0)=0,"-",ROUND(Предыд!I21,0))</f>
        <v>-</v>
      </c>
      <c r="K21" s="29" t="str">
        <f>Текущий!L21</f>
        <v>Рихтовка</v>
      </c>
      <c r="L21" s="29">
        <f>Текущий!AL21</f>
        <v>0</v>
      </c>
      <c r="M21" s="29">
        <f>Текущий!AM21</f>
        <v>0</v>
      </c>
      <c r="N21" s="29">
        <f>Текущий!AN21</f>
        <v>0</v>
      </c>
      <c r="O21" s="29">
        <f>Текущий!AP21</f>
        <v>0</v>
      </c>
    </row>
    <row r="22" spans="1:15" x14ac:dyDescent="0.25">
      <c r="A22" s="29">
        <f>Текущий!A22</f>
        <v>1</v>
      </c>
      <c r="B22" s="29">
        <f>Текущий!B22</f>
        <v>13808</v>
      </c>
      <c r="C22" s="29">
        <f>Текущий!C22</f>
        <v>2</v>
      </c>
      <c r="D22" s="29" t="str">
        <f>Текущий!D22</f>
        <v>Рачи - Урил</v>
      </c>
      <c r="E22" s="29">
        <f>ROUND(Текущий!J22,0)</f>
        <v>0</v>
      </c>
      <c r="F22" s="29">
        <f>Текущий!E22</f>
        <v>0</v>
      </c>
      <c r="G22" s="16" t="str">
        <f>IF(Текущий!K22="-",Текущий!K22,ROUND(Текущий!K22,0))</f>
        <v>-</v>
      </c>
      <c r="H22" s="29" t="str">
        <f>IF(ROUND(Текущий!I22,0)=0,"-",ROUND(Текущий!I22,0))</f>
        <v>-</v>
      </c>
      <c r="I22" s="16" t="str">
        <f>IF(Предыд!K22="-",Предыд!K22,ROUND(Предыд!K22,0))</f>
        <v>-</v>
      </c>
      <c r="J22" s="29" t="str">
        <f>IF(ROUND(Предыд!I22,0)=0,"-",ROUND(Предыд!I22,0))</f>
        <v>-</v>
      </c>
      <c r="K22" s="29" t="str">
        <f>Текущий!L22</f>
        <v>Рихтовка</v>
      </c>
      <c r="L22" s="29">
        <f>Текущий!AL22</f>
        <v>0</v>
      </c>
      <c r="M22" s="29">
        <f>Текущий!AM22</f>
        <v>0</v>
      </c>
      <c r="N22" s="29">
        <f>Текущий!AN22</f>
        <v>0</v>
      </c>
      <c r="O22" s="29">
        <f>Текущий!AP22</f>
        <v>0</v>
      </c>
    </row>
    <row r="23" spans="1:15" x14ac:dyDescent="0.25">
      <c r="A23" s="29">
        <f>Текущий!A23</f>
        <v>1</v>
      </c>
      <c r="B23" s="29">
        <f>Текущий!B23</f>
        <v>13808</v>
      </c>
      <c r="C23" s="29">
        <f>Текущий!C23</f>
        <v>2</v>
      </c>
      <c r="D23" s="29" t="str">
        <f>Текущий!D23</f>
        <v>Урил - Тарманчукан</v>
      </c>
      <c r="E23" s="29">
        <f>ROUND(Текущий!J23,0)</f>
        <v>0</v>
      </c>
      <c r="F23" s="29">
        <f>Текущий!E23</f>
        <v>0</v>
      </c>
      <c r="G23" s="16" t="str">
        <f>IF(Текущий!K23="-",Текущий!K23,ROUND(Текущий!K23,0))</f>
        <v>-</v>
      </c>
      <c r="H23" s="29" t="str">
        <f>IF(ROUND(Текущий!I23,0)=0,"-",ROUND(Текущий!I23,0))</f>
        <v>-</v>
      </c>
      <c r="I23" s="16" t="str">
        <f>IF(Предыд!K23="-",Предыд!K23,ROUND(Предыд!K23,0))</f>
        <v>-</v>
      </c>
      <c r="J23" s="29" t="str">
        <f>IF(ROUND(Предыд!I23,0)=0,"-",ROUND(Предыд!I23,0))</f>
        <v>-</v>
      </c>
      <c r="K23" s="29" t="str">
        <f>Текущий!L23</f>
        <v>Рихтовка</v>
      </c>
      <c r="L23" s="29">
        <f>Текущий!AL23</f>
        <v>0</v>
      </c>
      <c r="M23" s="29">
        <f>Текущий!AM23</f>
        <v>0</v>
      </c>
      <c r="N23" s="29">
        <f>Текущий!AN23</f>
        <v>0</v>
      </c>
      <c r="O23" s="29">
        <f>Текущий!AP23</f>
        <v>0</v>
      </c>
    </row>
    <row r="24" spans="1:15" x14ac:dyDescent="0.25">
      <c r="A24" s="29">
        <f>Текущий!A24</f>
        <v>1</v>
      </c>
      <c r="B24" s="29">
        <f>Текущий!B24</f>
        <v>13808</v>
      </c>
      <c r="C24" s="29">
        <f>Текущий!C24</f>
        <v>2</v>
      </c>
      <c r="D24" s="29" t="str">
        <f>Текущий!D24</f>
        <v>Тарманчукан - Тоннельный</v>
      </c>
      <c r="E24" s="29">
        <f>ROUND(Текущий!J24,0)</f>
        <v>0</v>
      </c>
      <c r="F24" s="29">
        <f>Текущий!E24</f>
        <v>0</v>
      </c>
      <c r="G24" s="16" t="str">
        <f>IF(Текущий!K24="-",Текущий!K24,ROUND(Текущий!K24,0))</f>
        <v>-</v>
      </c>
      <c r="H24" s="29" t="str">
        <f>IF(ROUND(Текущий!I24,0)=0,"-",ROUND(Текущий!I24,0))</f>
        <v>-</v>
      </c>
      <c r="I24" s="16" t="str">
        <f>IF(Предыд!K24="-",Предыд!K24,ROUND(Предыд!K24,0))</f>
        <v>-</v>
      </c>
      <c r="J24" s="29" t="str">
        <f>IF(ROUND(Предыд!I24,0)=0,"-",ROUND(Предыд!I24,0))</f>
        <v>-</v>
      </c>
      <c r="K24" s="29" t="str">
        <f>Текущий!L24</f>
        <v>Рихтовка</v>
      </c>
      <c r="L24" s="29">
        <f>Текущий!AL24</f>
        <v>0</v>
      </c>
      <c r="M24" s="29">
        <f>Текущий!AM24</f>
        <v>0</v>
      </c>
      <c r="N24" s="29">
        <f>Текущий!AN24</f>
        <v>0</v>
      </c>
      <c r="O24" s="29">
        <f>Текущий!AP24</f>
        <v>0</v>
      </c>
    </row>
    <row r="25" spans="1:15" x14ac:dyDescent="0.25">
      <c r="A25" s="29">
        <f>Текущий!A25</f>
        <v>1</v>
      </c>
      <c r="B25" s="29">
        <f>Текущий!B25</f>
        <v>13808</v>
      </c>
      <c r="C25" s="29">
        <f>Текущий!C25</f>
        <v>2</v>
      </c>
      <c r="D25" s="29" t="str">
        <f>Текущий!D25</f>
        <v>Тоннельный - Кундур-Хабаровский</v>
      </c>
      <c r="E25" s="29">
        <f>ROUND(Текущий!J25,0)</f>
        <v>0</v>
      </c>
      <c r="F25" s="29">
        <f>Текущий!E25</f>
        <v>0</v>
      </c>
      <c r="G25" s="16" t="str">
        <f>IF(Текущий!K25="-",Текущий!K25,ROUND(Текущий!K25,0))</f>
        <v>-</v>
      </c>
      <c r="H25" s="29" t="str">
        <f>IF(ROUND(Текущий!I25,0)=0,"-",ROUND(Текущий!I25,0))</f>
        <v>-</v>
      </c>
      <c r="I25" s="16" t="str">
        <f>IF(Предыд!K25="-",Предыд!K25,ROUND(Предыд!K25,0))</f>
        <v>-</v>
      </c>
      <c r="J25" s="29" t="str">
        <f>IF(ROUND(Предыд!I25,0)=0,"-",ROUND(Предыд!I25,0))</f>
        <v>-</v>
      </c>
      <c r="K25" s="29" t="str">
        <f>Текущий!L25</f>
        <v>Рихтовка</v>
      </c>
      <c r="L25" s="29">
        <f>Текущий!AL25</f>
        <v>0</v>
      </c>
      <c r="M25" s="29">
        <f>Текущий!AM25</f>
        <v>0</v>
      </c>
      <c r="N25" s="29">
        <f>Текущий!AN25</f>
        <v>0</v>
      </c>
      <c r="O25" s="29">
        <f>Текущий!AP25</f>
        <v>0</v>
      </c>
    </row>
    <row r="26" spans="1:15" x14ac:dyDescent="0.25">
      <c r="A26" s="29">
        <f>Текущий!A26</f>
        <v>1</v>
      </c>
      <c r="B26" s="29">
        <f>Текущий!B26</f>
        <v>13808</v>
      </c>
      <c r="C26" s="29">
        <f>Текущий!C26</f>
        <v>2</v>
      </c>
      <c r="D26" s="29" t="str">
        <f>Текущий!D26</f>
        <v>Кундур-Хабаровский - Казачий</v>
      </c>
      <c r="E26" s="29">
        <f>ROUND(Текущий!J26,0)</f>
        <v>0</v>
      </c>
      <c r="F26" s="29">
        <f>Текущий!E26</f>
        <v>0</v>
      </c>
      <c r="G26" s="16" t="str">
        <f>IF(Текущий!K26="-",Текущий!K26,ROUND(Текущий!K26,0))</f>
        <v>-</v>
      </c>
      <c r="H26" s="29" t="str">
        <f>IF(ROUND(Текущий!I26,0)=0,"-",ROUND(Текущий!I26,0))</f>
        <v>-</v>
      </c>
      <c r="I26" s="16" t="str">
        <f>IF(Предыд!K26="-",Предыд!K26,ROUND(Предыд!K26,0))</f>
        <v>-</v>
      </c>
      <c r="J26" s="29" t="str">
        <f>IF(ROUND(Предыд!I26,0)=0,"-",ROUND(Предыд!I26,0))</f>
        <v>-</v>
      </c>
      <c r="K26" s="29" t="str">
        <f>Текущий!L26</f>
        <v>Рихтовка</v>
      </c>
      <c r="L26" s="29">
        <f>Текущий!AL26</f>
        <v>0</v>
      </c>
      <c r="M26" s="29">
        <f>Текущий!AM26</f>
        <v>0</v>
      </c>
      <c r="N26" s="29">
        <f>Текущий!AN26</f>
        <v>0</v>
      </c>
      <c r="O26" s="29">
        <f>Текущий!AP26</f>
        <v>0</v>
      </c>
    </row>
    <row r="27" spans="1:15" x14ac:dyDescent="0.25">
      <c r="A27" s="29">
        <f>Текущий!A27</f>
        <v>1</v>
      </c>
      <c r="B27" s="29">
        <f>Текущий!B27</f>
        <v>13808</v>
      </c>
      <c r="C27" s="29">
        <f>Текущий!C27</f>
        <v>2</v>
      </c>
      <c r="D27" s="29" t="str">
        <f>Текущий!D27</f>
        <v>Казачий - Ядрин</v>
      </c>
      <c r="E27" s="29">
        <f>ROUND(Текущий!J27,0)</f>
        <v>0</v>
      </c>
      <c r="F27" s="29">
        <f>Текущий!E27</f>
        <v>0</v>
      </c>
      <c r="G27" s="16" t="str">
        <f>IF(Текущий!K27="-",Текущий!K27,ROUND(Текущий!K27,0))</f>
        <v>-</v>
      </c>
      <c r="H27" s="29" t="str">
        <f>IF(ROUND(Текущий!I27,0)=0,"-",ROUND(Текущий!I27,0))</f>
        <v>-</v>
      </c>
      <c r="I27" s="16" t="str">
        <f>IF(Предыд!K27="-",Предыд!K27,ROUND(Предыд!K27,0))</f>
        <v>-</v>
      </c>
      <c r="J27" s="29" t="str">
        <f>IF(ROUND(Предыд!I27,0)=0,"-",ROUND(Предыд!I27,0))</f>
        <v>-</v>
      </c>
      <c r="K27" s="29" t="str">
        <f>Текущий!L27</f>
        <v>Рихтовка</v>
      </c>
      <c r="L27" s="29">
        <f>Текущий!AL27</f>
        <v>0</v>
      </c>
      <c r="M27" s="29">
        <f>Текущий!AM27</f>
        <v>0</v>
      </c>
      <c r="N27" s="29">
        <f>Текущий!AN27</f>
        <v>0</v>
      </c>
      <c r="O27" s="29">
        <f>Текущий!AP27</f>
        <v>0</v>
      </c>
    </row>
    <row r="28" spans="1:15" x14ac:dyDescent="0.25">
      <c r="A28" s="29">
        <f>Текущий!A28</f>
        <v>1</v>
      </c>
      <c r="B28" s="29">
        <f>Текущий!B28</f>
        <v>13808</v>
      </c>
      <c r="C28" s="29">
        <f>Текущий!C28</f>
        <v>2</v>
      </c>
      <c r="D28" s="29" t="str">
        <f>Текущий!D28</f>
        <v>Ядрин - Облучье</v>
      </c>
      <c r="E28" s="29">
        <f>ROUND(Текущий!J28,0)</f>
        <v>0</v>
      </c>
      <c r="F28" s="29">
        <f>Текущий!E28</f>
        <v>0</v>
      </c>
      <c r="G28" s="16" t="str">
        <f>IF(Текущий!K28="-",Текущий!K28,ROUND(Текущий!K28,0))</f>
        <v>-</v>
      </c>
      <c r="H28" s="29" t="str">
        <f>IF(ROUND(Текущий!I28,0)=0,"-",ROUND(Текущий!I28,0))</f>
        <v>-</v>
      </c>
      <c r="I28" s="16" t="str">
        <f>IF(Предыд!K28="-",Предыд!K28,ROUND(Предыд!K28,0))</f>
        <v>-</v>
      </c>
      <c r="J28" s="29" t="str">
        <f>IF(ROUND(Предыд!I28,0)=0,"-",ROUND(Предыд!I28,0))</f>
        <v>-</v>
      </c>
      <c r="K28" s="29" t="str">
        <f>Текущий!L28</f>
        <v>Рихтовка</v>
      </c>
      <c r="L28" s="29">
        <f>Текущий!AL28</f>
        <v>0</v>
      </c>
      <c r="M28" s="29">
        <f>Текущий!AM28</f>
        <v>0</v>
      </c>
      <c r="N28" s="29">
        <f>Текущий!AN28</f>
        <v>0</v>
      </c>
      <c r="O28" s="29">
        <f>Текущий!AP28</f>
        <v>0</v>
      </c>
    </row>
    <row r="29" spans="1:15" x14ac:dyDescent="0.25">
      <c r="A29" s="29">
        <f>Текущий!A29</f>
        <v>1</v>
      </c>
      <c r="B29" s="29">
        <f>Текущий!B29</f>
        <v>13808</v>
      </c>
      <c r="C29" s="29">
        <f>Текущий!C29</f>
        <v>2</v>
      </c>
      <c r="D29" s="29" t="str">
        <f>Текущий!D29</f>
        <v>Облучье - Ударный</v>
      </c>
      <c r="E29" s="29">
        <f>ROUND(Текущий!J29,0)</f>
        <v>0</v>
      </c>
      <c r="F29" s="29">
        <f>Текущий!E29</f>
        <v>0</v>
      </c>
      <c r="G29" s="16" t="str">
        <f>IF(Текущий!K29="-",Текущий!K29,ROUND(Текущий!K29,0))</f>
        <v>-</v>
      </c>
      <c r="H29" s="29" t="str">
        <f>IF(ROUND(Текущий!I29,0)=0,"-",ROUND(Текущий!I29,0))</f>
        <v>-</v>
      </c>
      <c r="I29" s="16" t="str">
        <f>IF(Предыд!K29="-",Предыд!K29,ROUND(Предыд!K29,0))</f>
        <v>-</v>
      </c>
      <c r="J29" s="29" t="str">
        <f>IF(ROUND(Предыд!I29,0)=0,"-",ROUND(Предыд!I29,0))</f>
        <v>-</v>
      </c>
      <c r="K29" s="29" t="str">
        <f>Текущий!L29</f>
        <v>Рихтовка</v>
      </c>
      <c r="L29" s="29">
        <f>Текущий!AL29</f>
        <v>0</v>
      </c>
      <c r="M29" s="29">
        <f>Текущий!AM29</f>
        <v>0</v>
      </c>
      <c r="N29" s="29">
        <f>Текущий!AN29</f>
        <v>0</v>
      </c>
      <c r="O29" s="29">
        <f>Текущий!AP29</f>
        <v>0</v>
      </c>
    </row>
    <row r="30" spans="1:15" x14ac:dyDescent="0.25">
      <c r="A30" s="29">
        <f>Текущий!A30</f>
        <v>1</v>
      </c>
      <c r="B30" s="29">
        <f>Текущий!B30</f>
        <v>13808</v>
      </c>
      <c r="C30" s="29">
        <f>Текущий!C30</f>
        <v>2</v>
      </c>
      <c r="D30" s="29" t="str">
        <f>Текущий!D30</f>
        <v>Ударный - Лагар-Аул</v>
      </c>
      <c r="E30" s="29">
        <f>ROUND(Текущий!J30,0)</f>
        <v>0</v>
      </c>
      <c r="F30" s="29">
        <f>Текущий!E30</f>
        <v>0</v>
      </c>
      <c r="G30" s="16" t="str">
        <f>IF(Текущий!K30="-",Текущий!K30,ROUND(Текущий!K30,0))</f>
        <v>-</v>
      </c>
      <c r="H30" s="29" t="str">
        <f>IF(ROUND(Текущий!I30,0)=0,"-",ROUND(Текущий!I30,0))</f>
        <v>-</v>
      </c>
      <c r="I30" s="16" t="str">
        <f>IF(Предыд!K30="-",Предыд!K30,ROUND(Предыд!K30,0))</f>
        <v>-</v>
      </c>
      <c r="J30" s="29" t="str">
        <f>IF(ROUND(Предыд!I30,0)=0,"-",ROUND(Предыд!I30,0))</f>
        <v>-</v>
      </c>
      <c r="K30" s="29" t="str">
        <f>Текущий!L30</f>
        <v>Рихтовка</v>
      </c>
      <c r="L30" s="29">
        <f>Текущий!AL30</f>
        <v>0</v>
      </c>
      <c r="M30" s="29">
        <f>Текущий!AM30</f>
        <v>0</v>
      </c>
      <c r="N30" s="29">
        <f>Текущий!AN30</f>
        <v>0</v>
      </c>
      <c r="O30" s="29">
        <f>Текущий!AP30</f>
        <v>0</v>
      </c>
    </row>
    <row r="31" spans="1:15" x14ac:dyDescent="0.25">
      <c r="A31" s="29">
        <f>Текущий!A31</f>
        <v>1</v>
      </c>
      <c r="B31" s="29">
        <f>Текущий!B31</f>
        <v>13808</v>
      </c>
      <c r="C31" s="29">
        <f>Текущий!C31</f>
        <v>2</v>
      </c>
      <c r="D31" s="29" t="str">
        <f>Текущий!D31</f>
        <v>Лагар-Аул - Кимкан</v>
      </c>
      <c r="E31" s="29">
        <f>ROUND(Текущий!J31,0)</f>
        <v>0</v>
      </c>
      <c r="F31" s="29">
        <f>Текущий!E31</f>
        <v>0</v>
      </c>
      <c r="G31" s="16" t="str">
        <f>IF(Текущий!K31="-",Текущий!K31,ROUND(Текущий!K31,0))</f>
        <v>-</v>
      </c>
      <c r="H31" s="29" t="str">
        <f>IF(ROUND(Текущий!I31,0)=0,"-",ROUND(Текущий!I31,0))</f>
        <v>-</v>
      </c>
      <c r="I31" s="16" t="str">
        <f>IF(Предыд!K31="-",Предыд!K31,ROUND(Предыд!K31,0))</f>
        <v>-</v>
      </c>
      <c r="J31" s="29" t="str">
        <f>IF(ROUND(Предыд!I31,0)=0,"-",ROUND(Предыд!I31,0))</f>
        <v>-</v>
      </c>
      <c r="K31" s="29" t="str">
        <f>Текущий!L31</f>
        <v>Рихтовка</v>
      </c>
      <c r="L31" s="29">
        <f>Текущий!AL31</f>
        <v>0</v>
      </c>
      <c r="M31" s="29">
        <f>Текущий!AM31</f>
        <v>0</v>
      </c>
      <c r="N31" s="29">
        <f>Текущий!AN31</f>
        <v>0</v>
      </c>
      <c r="O31" s="29">
        <f>Текущий!AP31</f>
        <v>0</v>
      </c>
    </row>
    <row r="32" spans="1:15" x14ac:dyDescent="0.25">
      <c r="A32" s="29">
        <f>Текущий!A32</f>
        <v>1</v>
      </c>
      <c r="B32" s="29">
        <f>Текущий!B32</f>
        <v>13808</v>
      </c>
      <c r="C32" s="29">
        <f>Текущий!C32</f>
        <v>2</v>
      </c>
      <c r="D32" s="29" t="str">
        <f>Текущий!D32</f>
        <v>Кимкан - Известковая</v>
      </c>
      <c r="E32" s="29">
        <f>ROUND(Текущий!J32,0)</f>
        <v>0</v>
      </c>
      <c r="F32" s="29">
        <f>Текущий!E32</f>
        <v>0</v>
      </c>
      <c r="G32" s="16" t="str">
        <f>IF(Текущий!K32="-",Текущий!K32,ROUND(Текущий!K32,0))</f>
        <v>-</v>
      </c>
      <c r="H32" s="29" t="str">
        <f>IF(ROUND(Текущий!I32,0)=0,"-",ROUND(Текущий!I32,0))</f>
        <v>-</v>
      </c>
      <c r="I32" s="16" t="str">
        <f>IF(Предыд!K32="-",Предыд!K32,ROUND(Предыд!K32,0))</f>
        <v>-</v>
      </c>
      <c r="J32" s="29" t="str">
        <f>IF(ROUND(Предыд!I32,0)=0,"-",ROUND(Предыд!I32,0))</f>
        <v>-</v>
      </c>
      <c r="K32" s="29" t="str">
        <f>Текущий!L32</f>
        <v>Рихтовка</v>
      </c>
      <c r="L32" s="29">
        <f>Текущий!AL32</f>
        <v>0</v>
      </c>
      <c r="M32" s="29">
        <f>Текущий!AM32</f>
        <v>0</v>
      </c>
      <c r="N32" s="29">
        <f>Текущий!AN32</f>
        <v>0</v>
      </c>
      <c r="O32" s="29">
        <f>Текущий!AP32</f>
        <v>0</v>
      </c>
    </row>
    <row r="33" spans="1:15" x14ac:dyDescent="0.25">
      <c r="A33" s="29">
        <f>Текущий!A33</f>
        <v>2</v>
      </c>
      <c r="B33" s="29">
        <f>Текущий!B33</f>
        <v>13808</v>
      </c>
      <c r="C33" s="29">
        <f>Текущий!C33</f>
        <v>1</v>
      </c>
      <c r="D33" s="29" t="str">
        <f>Текущий!D33</f>
        <v>Кимкан - Известковая</v>
      </c>
      <c r="E33" s="29">
        <f>ROUND(Текущий!J33,0)</f>
        <v>0</v>
      </c>
      <c r="F33" s="29">
        <f>Текущий!E33</f>
        <v>0</v>
      </c>
      <c r="G33" s="16" t="str">
        <f>IF(Текущий!K33="-",Текущий!K33,ROUND(Текущий!K33,0))</f>
        <v>-</v>
      </c>
      <c r="H33" s="29" t="str">
        <f>IF(ROUND(Текущий!I33,0)=0,"-",ROUND(Текущий!I33,0))</f>
        <v>-</v>
      </c>
      <c r="I33" s="16" t="str">
        <f>IF(Предыд!K33="-",Предыд!K33,ROUND(Предыд!K33,0))</f>
        <v>-</v>
      </c>
      <c r="J33" s="29" t="str">
        <f>IF(ROUND(Предыд!I33,0)=0,"-",ROUND(Предыд!I33,0))</f>
        <v>-</v>
      </c>
      <c r="K33" s="29" t="str">
        <f>Текущий!L33</f>
        <v>Рихтовка</v>
      </c>
      <c r="L33" s="29">
        <f>Текущий!AL33</f>
        <v>0</v>
      </c>
      <c r="M33" s="29">
        <f>Текущий!AM33</f>
        <v>0</v>
      </c>
      <c r="N33" s="29">
        <f>Текущий!AN33</f>
        <v>0</v>
      </c>
      <c r="O33" s="29">
        <f>Текущий!AP33</f>
        <v>0</v>
      </c>
    </row>
    <row r="34" spans="1:15" x14ac:dyDescent="0.25">
      <c r="A34" s="29">
        <f>Текущий!A34</f>
        <v>2</v>
      </c>
      <c r="B34" s="29">
        <f>Текущий!B34</f>
        <v>13808</v>
      </c>
      <c r="C34" s="29">
        <f>Текущий!C34</f>
        <v>1</v>
      </c>
      <c r="D34" s="29" t="str">
        <f>Текущий!D34</f>
        <v>Известковая - Биракан</v>
      </c>
      <c r="E34" s="29">
        <f>ROUND(Текущий!J34,0)</f>
        <v>0</v>
      </c>
      <c r="F34" s="29">
        <f>Текущий!E34</f>
        <v>0</v>
      </c>
      <c r="G34" s="16" t="str">
        <f>IF(Текущий!K34="-",Текущий!K34,ROUND(Текущий!K34,0))</f>
        <v>-</v>
      </c>
      <c r="H34" s="29" t="str">
        <f>IF(ROUND(Текущий!I34,0)=0,"-",ROUND(Текущий!I34,0))</f>
        <v>-</v>
      </c>
      <c r="I34" s="16" t="str">
        <f>IF(Предыд!K34="-",Предыд!K34,ROUND(Предыд!K34,0))</f>
        <v>-</v>
      </c>
      <c r="J34" s="29" t="str">
        <f>IF(ROUND(Предыд!I34,0)=0,"-",ROUND(Предыд!I34,0))</f>
        <v>-</v>
      </c>
      <c r="K34" s="29" t="str">
        <f>Текущий!L34</f>
        <v>Рихтовка</v>
      </c>
      <c r="L34" s="29">
        <f>Текущий!AL34</f>
        <v>0</v>
      </c>
      <c r="M34" s="29">
        <f>Текущий!AM34</f>
        <v>0</v>
      </c>
      <c r="N34" s="29">
        <f>Текущий!AN34</f>
        <v>0</v>
      </c>
      <c r="O34" s="29">
        <f>Текущий!AP34</f>
        <v>0</v>
      </c>
    </row>
    <row r="35" spans="1:15" x14ac:dyDescent="0.25">
      <c r="A35" s="29">
        <f>Текущий!A35</f>
        <v>2</v>
      </c>
      <c r="B35" s="29">
        <f>Текущий!B35</f>
        <v>13808</v>
      </c>
      <c r="C35" s="29">
        <f>Текущий!C35</f>
        <v>1</v>
      </c>
      <c r="D35" s="29" t="str">
        <f>Текущий!D35</f>
        <v>Биракан - Теплое озеро</v>
      </c>
      <c r="E35" s="29">
        <f>ROUND(Текущий!J35,0)</f>
        <v>0</v>
      </c>
      <c r="F35" s="29">
        <f>Текущий!E35</f>
        <v>0</v>
      </c>
      <c r="G35" s="16" t="str">
        <f>IF(Текущий!K35="-",Текущий!K35,ROUND(Текущий!K35,0))</f>
        <v>-</v>
      </c>
      <c r="H35" s="29" t="str">
        <f>IF(ROUND(Текущий!I35,0)=0,"-",ROUND(Текущий!I35,0))</f>
        <v>-</v>
      </c>
      <c r="I35" s="16" t="str">
        <f>IF(Предыд!K35="-",Предыд!K35,ROUND(Предыд!K35,0))</f>
        <v>-</v>
      </c>
      <c r="J35" s="29" t="str">
        <f>IF(ROUND(Предыд!I35,0)=0,"-",ROUND(Предыд!I35,0))</f>
        <v>-</v>
      </c>
      <c r="K35" s="29" t="str">
        <f>Текущий!L35</f>
        <v>Рихтовка</v>
      </c>
      <c r="L35" s="29">
        <f>Текущий!AL35</f>
        <v>0</v>
      </c>
      <c r="M35" s="29">
        <f>Текущий!AM35</f>
        <v>0</v>
      </c>
      <c r="N35" s="29">
        <f>Текущий!AN35</f>
        <v>0</v>
      </c>
      <c r="O35" s="29">
        <f>Текущий!AP35</f>
        <v>0</v>
      </c>
    </row>
    <row r="36" spans="1:15" x14ac:dyDescent="0.25">
      <c r="A36" s="29">
        <f>Текущий!A36</f>
        <v>2</v>
      </c>
      <c r="B36" s="29">
        <f>Текущий!B36</f>
        <v>13808</v>
      </c>
      <c r="C36" s="29">
        <f>Текущий!C36</f>
        <v>1</v>
      </c>
      <c r="D36" s="29" t="str">
        <f>Текущий!D36</f>
        <v>Теплое озеро - Известковый завод</v>
      </c>
      <c r="E36" s="29">
        <f>ROUND(Текущий!J36,0)</f>
        <v>0</v>
      </c>
      <c r="F36" s="29">
        <f>Текущий!E36</f>
        <v>0</v>
      </c>
      <c r="G36" s="16" t="str">
        <f>IF(Текущий!K36="-",Текущий!K36,ROUND(Текущий!K36,0))</f>
        <v>-</v>
      </c>
      <c r="H36" s="29" t="str">
        <f>IF(ROUND(Текущий!I36,0)=0,"-",ROUND(Текущий!I36,0))</f>
        <v>-</v>
      </c>
      <c r="I36" s="16" t="str">
        <f>IF(Предыд!K36="-",Предыд!K36,ROUND(Предыд!K36,0))</f>
        <v>-</v>
      </c>
      <c r="J36" s="29" t="str">
        <f>IF(ROUND(Предыд!I36,0)=0,"-",ROUND(Предыд!I36,0))</f>
        <v>-</v>
      </c>
      <c r="K36" s="29" t="str">
        <f>Текущий!L36</f>
        <v>Рихтовка</v>
      </c>
      <c r="L36" s="29">
        <f>Текущий!AL36</f>
        <v>0</v>
      </c>
      <c r="M36" s="29">
        <f>Текущий!AM36</f>
        <v>0</v>
      </c>
      <c r="N36" s="29">
        <f>Текущий!AN36</f>
        <v>0</v>
      </c>
      <c r="O36" s="29">
        <f>Текущий!AP36</f>
        <v>0</v>
      </c>
    </row>
    <row r="37" spans="1:15" x14ac:dyDescent="0.25">
      <c r="A37" s="29">
        <f>Текущий!A37</f>
        <v>2</v>
      </c>
      <c r="B37" s="29">
        <f>Текущий!B37</f>
        <v>13808</v>
      </c>
      <c r="C37" s="29">
        <f>Текущий!C37</f>
        <v>1</v>
      </c>
      <c r="D37" s="29" t="str">
        <f>Текущий!D37</f>
        <v>Известковый завод - Лондоко</v>
      </c>
      <c r="E37" s="29">
        <f>ROUND(Текущий!J37,0)</f>
        <v>0</v>
      </c>
      <c r="F37" s="29">
        <f>Текущий!E37</f>
        <v>0</v>
      </c>
      <c r="G37" s="16" t="str">
        <f>IF(Текущий!K37="-",Текущий!K37,ROUND(Текущий!K37,0))</f>
        <v>-</v>
      </c>
      <c r="H37" s="29" t="str">
        <f>IF(ROUND(Текущий!I37,0)=0,"-",ROUND(Текущий!I37,0))</f>
        <v>-</v>
      </c>
      <c r="I37" s="16" t="str">
        <f>IF(Предыд!K37="-",Предыд!K37,ROUND(Предыд!K37,0))</f>
        <v>-</v>
      </c>
      <c r="J37" s="29" t="str">
        <f>IF(ROUND(Предыд!I37,0)=0,"-",ROUND(Предыд!I37,0))</f>
        <v>-</v>
      </c>
      <c r="K37" s="29" t="str">
        <f>Текущий!L37</f>
        <v>Рихтовка</v>
      </c>
      <c r="L37" s="29">
        <f>Текущий!AL37</f>
        <v>0</v>
      </c>
      <c r="M37" s="29">
        <f>Текущий!AM37</f>
        <v>0</v>
      </c>
      <c r="N37" s="29">
        <f>Текущий!AN37</f>
        <v>0</v>
      </c>
      <c r="O37" s="29">
        <f>Текущий!AP37</f>
        <v>0</v>
      </c>
    </row>
    <row r="38" spans="1:15" x14ac:dyDescent="0.25">
      <c r="A38" s="29">
        <f>Текущий!A38</f>
        <v>2</v>
      </c>
      <c r="B38" s="29">
        <f>Текущий!B38</f>
        <v>13808</v>
      </c>
      <c r="C38" s="29">
        <f>Текущий!C38</f>
        <v>1</v>
      </c>
      <c r="D38" s="29" t="str">
        <f>Текущий!D38</f>
        <v>Лондоко - Будукан</v>
      </c>
      <c r="E38" s="29">
        <f>ROUND(Текущий!J38,0)</f>
        <v>0</v>
      </c>
      <c r="F38" s="29">
        <f>Текущий!E38</f>
        <v>0</v>
      </c>
      <c r="G38" s="16" t="str">
        <f>IF(Текущий!K38="-",Текущий!K38,ROUND(Текущий!K38,0))</f>
        <v>-</v>
      </c>
      <c r="H38" s="29" t="str">
        <f>IF(ROUND(Текущий!I38,0)=0,"-",ROUND(Текущий!I38,0))</f>
        <v>-</v>
      </c>
      <c r="I38" s="16" t="str">
        <f>IF(Предыд!K38="-",Предыд!K38,ROUND(Предыд!K38,0))</f>
        <v>-</v>
      </c>
      <c r="J38" s="29" t="str">
        <f>IF(ROUND(Предыд!I38,0)=0,"-",ROUND(Предыд!I38,0))</f>
        <v>-</v>
      </c>
      <c r="K38" s="29" t="str">
        <f>Текущий!L38</f>
        <v>Рихтовка</v>
      </c>
      <c r="L38" s="29">
        <f>Текущий!AL38</f>
        <v>0</v>
      </c>
      <c r="M38" s="29">
        <f>Текущий!AM38</f>
        <v>0</v>
      </c>
      <c r="N38" s="29">
        <f>Текущий!AN38</f>
        <v>0</v>
      </c>
      <c r="O38" s="29">
        <f>Текущий!AP38</f>
        <v>0</v>
      </c>
    </row>
    <row r="39" spans="1:15" x14ac:dyDescent="0.25">
      <c r="A39" s="29">
        <f>Текущий!A39</f>
        <v>2</v>
      </c>
      <c r="B39" s="29">
        <f>Текущий!B39</f>
        <v>13808</v>
      </c>
      <c r="C39" s="29">
        <f>Текущий!C39</f>
        <v>1</v>
      </c>
      <c r="D39" s="29" t="str">
        <f>Текущий!D39</f>
        <v>Будукан - Бира</v>
      </c>
      <c r="E39" s="29">
        <f>ROUND(Текущий!J39,0)</f>
        <v>0</v>
      </c>
      <c r="F39" s="29">
        <f>Текущий!E39</f>
        <v>0</v>
      </c>
      <c r="G39" s="16" t="str">
        <f>IF(Текущий!K39="-",Текущий!K39,ROUND(Текущий!K39,0))</f>
        <v>-</v>
      </c>
      <c r="H39" s="29" t="str">
        <f>IF(ROUND(Текущий!I39,0)=0,"-",ROUND(Текущий!I39,0))</f>
        <v>-</v>
      </c>
      <c r="I39" s="16" t="str">
        <f>IF(Предыд!K39="-",Предыд!K39,ROUND(Предыд!K39,0))</f>
        <v>-</v>
      </c>
      <c r="J39" s="29" t="str">
        <f>IF(ROUND(Предыд!I39,0)=0,"-",ROUND(Предыд!I39,0))</f>
        <v>-</v>
      </c>
      <c r="K39" s="29" t="str">
        <f>Текущий!L39</f>
        <v>Рихтовка</v>
      </c>
      <c r="L39" s="29">
        <f>Текущий!AL39</f>
        <v>0</v>
      </c>
      <c r="M39" s="29">
        <f>Текущий!AM39</f>
        <v>0</v>
      </c>
      <c r="N39" s="29">
        <f>Текущий!AN39</f>
        <v>0</v>
      </c>
      <c r="O39" s="29">
        <f>Текущий!AP39</f>
        <v>0</v>
      </c>
    </row>
    <row r="40" spans="1:15" x14ac:dyDescent="0.25">
      <c r="A40" s="29">
        <f>Текущий!A40</f>
        <v>2</v>
      </c>
      <c r="B40" s="29">
        <f>Текущий!B40</f>
        <v>13808</v>
      </c>
      <c r="C40" s="29" t="str">
        <f>Текущий!C40</f>
        <v>обв</v>
      </c>
      <c r="D40" s="29" t="str">
        <f>Текущий!D40</f>
        <v>ст. Бира</v>
      </c>
      <c r="E40" s="29">
        <f>ROUND(Текущий!J40,0)</f>
        <v>0</v>
      </c>
      <c r="F40" s="29">
        <f>Текущий!E40</f>
        <v>0</v>
      </c>
      <c r="G40" s="16" t="str">
        <f>IF(Текущий!K40="-",Текущий!K40,ROUND(Текущий!K40,0))</f>
        <v>-</v>
      </c>
      <c r="H40" s="29" t="str">
        <f>IF(ROUND(Текущий!I40,0)=0,"-",ROUND(Текущий!I40,0))</f>
        <v>-</v>
      </c>
      <c r="I40" s="16" t="str">
        <f>IF(Предыд!K40="-",Предыд!K40,ROUND(Предыд!K40,0))</f>
        <v>-</v>
      </c>
      <c r="J40" s="29" t="str">
        <f>IF(ROUND(Предыд!I40,0)=0,"-",ROUND(Предыд!I40,0))</f>
        <v>-</v>
      </c>
      <c r="K40" s="29" t="str">
        <f>Текущий!L40</f>
        <v>Рихтовка</v>
      </c>
      <c r="L40" s="29">
        <f>Текущий!AL40</f>
        <v>0</v>
      </c>
      <c r="M40" s="29">
        <f>Текущий!AM40</f>
        <v>0</v>
      </c>
      <c r="N40" s="29">
        <f>Текущий!AN40</f>
        <v>0</v>
      </c>
      <c r="O40" s="29">
        <f>Текущий!AP40</f>
        <v>0</v>
      </c>
    </row>
    <row r="41" spans="1:15" x14ac:dyDescent="0.25">
      <c r="A41" s="29">
        <f>Текущий!A41</f>
        <v>2</v>
      </c>
      <c r="B41" s="29">
        <f>Текущий!B41</f>
        <v>13808</v>
      </c>
      <c r="C41" s="29">
        <f>Текущий!C41</f>
        <v>1</v>
      </c>
      <c r="D41" s="29" t="str">
        <f>Текущий!D41</f>
        <v>Бира - Семисточный</v>
      </c>
      <c r="E41" s="29">
        <f>ROUND(Текущий!J41,0)</f>
        <v>0</v>
      </c>
      <c r="F41" s="29">
        <f>Текущий!E41</f>
        <v>0</v>
      </c>
      <c r="G41" s="16" t="str">
        <f>IF(Текущий!K41="-",Текущий!K41,ROUND(Текущий!K41,0))</f>
        <v>-</v>
      </c>
      <c r="H41" s="29" t="str">
        <f>IF(ROUND(Текущий!I41,0)=0,"-",ROUND(Текущий!I41,0))</f>
        <v>-</v>
      </c>
      <c r="I41" s="16" t="str">
        <f>IF(Предыд!K41="-",Предыд!K41,ROUND(Предыд!K41,0))</f>
        <v>-</v>
      </c>
      <c r="J41" s="29" t="str">
        <f>IF(ROUND(Предыд!I41,0)=0,"-",ROUND(Предыд!I41,0))</f>
        <v>-</v>
      </c>
      <c r="K41" s="29" t="str">
        <f>Текущий!L41</f>
        <v>Рихтовка</v>
      </c>
      <c r="L41" s="29">
        <f>Текущий!AL41</f>
        <v>0</v>
      </c>
      <c r="M41" s="29">
        <f>Текущий!AM41</f>
        <v>0</v>
      </c>
      <c r="N41" s="29">
        <f>Текущий!AN41</f>
        <v>0</v>
      </c>
      <c r="O41" s="29">
        <f>Текущий!AP41</f>
        <v>0</v>
      </c>
    </row>
    <row r="42" spans="1:15" x14ac:dyDescent="0.25">
      <c r="A42" s="29">
        <f>Текущий!A42</f>
        <v>2</v>
      </c>
      <c r="B42" s="29">
        <f>Текущий!B42</f>
        <v>13808</v>
      </c>
      <c r="C42" s="29">
        <f>Текущий!C42</f>
        <v>1</v>
      </c>
      <c r="D42" s="29" t="str">
        <f>Текущий!D42</f>
        <v>Семисточный - Кирга</v>
      </c>
      <c r="E42" s="29">
        <f>ROUND(Текущий!J42,0)</f>
        <v>0</v>
      </c>
      <c r="F42" s="29">
        <f>Текущий!E42</f>
        <v>0</v>
      </c>
      <c r="G42" s="16" t="str">
        <f>IF(Текущий!K42="-",Текущий!K42,ROUND(Текущий!K42,0))</f>
        <v>-</v>
      </c>
      <c r="H42" s="29" t="str">
        <f>IF(ROUND(Текущий!I42,0)=0,"-",ROUND(Текущий!I42,0))</f>
        <v>-</v>
      </c>
      <c r="I42" s="16" t="str">
        <f>IF(Предыд!K42="-",Предыд!K42,ROUND(Предыд!K42,0))</f>
        <v>-</v>
      </c>
      <c r="J42" s="29" t="str">
        <f>IF(ROUND(Предыд!I42,0)=0,"-",ROUND(Предыд!I42,0))</f>
        <v>-</v>
      </c>
      <c r="K42" s="29" t="str">
        <f>Текущий!L42</f>
        <v>Рихтовка</v>
      </c>
      <c r="L42" s="29">
        <f>Текущий!AL42</f>
        <v>0</v>
      </c>
      <c r="M42" s="29">
        <f>Текущий!AM42</f>
        <v>0</v>
      </c>
      <c r="N42" s="29">
        <f>Текущий!AN42</f>
        <v>0</v>
      </c>
      <c r="O42" s="29">
        <f>Текущий!AP42</f>
        <v>0</v>
      </c>
    </row>
    <row r="43" spans="1:15" x14ac:dyDescent="0.25">
      <c r="A43" s="29">
        <f>Текущий!A43</f>
        <v>2</v>
      </c>
      <c r="B43" s="29">
        <f>Текущий!B43</f>
        <v>13808</v>
      </c>
      <c r="C43" s="29">
        <f>Текущий!C43</f>
        <v>1</v>
      </c>
      <c r="D43" s="29" t="str">
        <f>Текущий!D43</f>
        <v>Кирга - Биробиджан I</v>
      </c>
      <c r="E43" s="29">
        <f>ROUND(Текущий!J43,0)</f>
        <v>0</v>
      </c>
      <c r="F43" s="29">
        <f>Текущий!E43</f>
        <v>0</v>
      </c>
      <c r="G43" s="16" t="str">
        <f>IF(Текущий!K43="-",Текущий!K43,ROUND(Текущий!K43,0))</f>
        <v>-</v>
      </c>
      <c r="H43" s="29" t="str">
        <f>IF(ROUND(Текущий!I43,0)=0,"-",ROUND(Текущий!I43,0))</f>
        <v>-</v>
      </c>
      <c r="I43" s="16" t="str">
        <f>IF(Предыд!K43="-",Предыд!K43,ROUND(Предыд!K43,0))</f>
        <v>-</v>
      </c>
      <c r="J43" s="29" t="str">
        <f>IF(ROUND(Предыд!I43,0)=0,"-",ROUND(Предыд!I43,0))</f>
        <v>-</v>
      </c>
      <c r="K43" s="29" t="str">
        <f>Текущий!L43</f>
        <v>Рихтовка</v>
      </c>
      <c r="L43" s="29">
        <f>Текущий!AL43</f>
        <v>0</v>
      </c>
      <c r="M43" s="29">
        <f>Текущий!AM43</f>
        <v>0</v>
      </c>
      <c r="N43" s="29">
        <f>Текущий!AN43</f>
        <v>0</v>
      </c>
      <c r="O43" s="29">
        <f>Текущий!AP43</f>
        <v>0</v>
      </c>
    </row>
    <row r="44" spans="1:15" x14ac:dyDescent="0.25">
      <c r="A44" s="29">
        <f>Текущий!A44</f>
        <v>2</v>
      </c>
      <c r="B44" s="29">
        <f>Текущий!B44</f>
        <v>13808</v>
      </c>
      <c r="C44" s="29">
        <f>Текущий!C44</f>
        <v>2</v>
      </c>
      <c r="D44" s="29" t="str">
        <f>Текущий!D44</f>
        <v>Кимкан - Известковая</v>
      </c>
      <c r="E44" s="29">
        <f>ROUND(Текущий!J44,0)</f>
        <v>0</v>
      </c>
      <c r="F44" s="29">
        <f>Текущий!E44</f>
        <v>0</v>
      </c>
      <c r="G44" s="16" t="str">
        <f>IF(Текущий!K44="-",Текущий!K44,ROUND(Текущий!K44,0))</f>
        <v>-</v>
      </c>
      <c r="H44" s="29" t="str">
        <f>IF(ROUND(Текущий!I44,0)=0,"-",ROUND(Текущий!I44,0))</f>
        <v>-</v>
      </c>
      <c r="I44" s="16" t="str">
        <f>IF(Предыд!K44="-",Предыд!K44,ROUND(Предыд!K44,0))</f>
        <v>-</v>
      </c>
      <c r="J44" s="29" t="str">
        <f>IF(ROUND(Предыд!I44,0)=0,"-",ROUND(Предыд!I44,0))</f>
        <v>-</v>
      </c>
      <c r="K44" s="29" t="str">
        <f>Текущий!L44</f>
        <v>Рихтовка</v>
      </c>
      <c r="L44" s="29">
        <f>Текущий!AL44</f>
        <v>0</v>
      </c>
      <c r="M44" s="29">
        <f>Текущий!AM44</f>
        <v>0</v>
      </c>
      <c r="N44" s="29">
        <f>Текущий!AN44</f>
        <v>0</v>
      </c>
      <c r="O44" s="29">
        <f>Текущий!AP44</f>
        <v>0</v>
      </c>
    </row>
    <row r="45" spans="1:15" x14ac:dyDescent="0.25">
      <c r="A45" s="29">
        <f>Текущий!A45</f>
        <v>2</v>
      </c>
      <c r="B45" s="29">
        <f>Текущий!B45</f>
        <v>13808</v>
      </c>
      <c r="C45" s="29">
        <f>Текущий!C45</f>
        <v>2</v>
      </c>
      <c r="D45" s="29" t="str">
        <f>Текущий!D45</f>
        <v>Известковая - Биракан</v>
      </c>
      <c r="E45" s="29">
        <f>ROUND(Текущий!J45,0)</f>
        <v>0</v>
      </c>
      <c r="F45" s="29">
        <f>Текущий!E45</f>
        <v>0</v>
      </c>
      <c r="G45" s="16" t="str">
        <f>IF(Текущий!K45="-",Текущий!K45,ROUND(Текущий!K45,0))</f>
        <v>-</v>
      </c>
      <c r="H45" s="29" t="str">
        <f>IF(ROUND(Текущий!I45,0)=0,"-",ROUND(Текущий!I45,0))</f>
        <v>-</v>
      </c>
      <c r="I45" s="16" t="str">
        <f>IF(Предыд!K45="-",Предыд!K45,ROUND(Предыд!K45,0))</f>
        <v>-</v>
      </c>
      <c r="J45" s="29" t="str">
        <f>IF(ROUND(Предыд!I45,0)=0,"-",ROUND(Предыд!I45,0))</f>
        <v>-</v>
      </c>
      <c r="K45" s="29" t="str">
        <f>Текущий!L45</f>
        <v>Рихтовка</v>
      </c>
      <c r="L45" s="29">
        <f>Текущий!AL45</f>
        <v>0</v>
      </c>
      <c r="M45" s="29">
        <f>Текущий!AM45</f>
        <v>0</v>
      </c>
      <c r="N45" s="29">
        <f>Текущий!AN45</f>
        <v>0</v>
      </c>
      <c r="O45" s="29">
        <f>Текущий!AP45</f>
        <v>0</v>
      </c>
    </row>
    <row r="46" spans="1:15" x14ac:dyDescent="0.25">
      <c r="A46" s="29">
        <f>Текущий!A46</f>
        <v>2</v>
      </c>
      <c r="B46" s="29">
        <f>Текущий!B46</f>
        <v>13808</v>
      </c>
      <c r="C46" s="29">
        <f>Текущий!C46</f>
        <v>2</v>
      </c>
      <c r="D46" s="29" t="str">
        <f>Текущий!D46</f>
        <v>Биракан - Теплое озеро</v>
      </c>
      <c r="E46" s="29">
        <f>ROUND(Текущий!J46,0)</f>
        <v>0</v>
      </c>
      <c r="F46" s="29">
        <f>Текущий!E46</f>
        <v>0</v>
      </c>
      <c r="G46" s="16" t="str">
        <f>IF(Текущий!K46="-",Текущий!K46,ROUND(Текущий!K46,0))</f>
        <v>-</v>
      </c>
      <c r="H46" s="29" t="str">
        <f>IF(ROUND(Текущий!I46,0)=0,"-",ROUND(Текущий!I46,0))</f>
        <v>-</v>
      </c>
      <c r="I46" s="16" t="str">
        <f>IF(Предыд!K46="-",Предыд!K46,ROUND(Предыд!K46,0))</f>
        <v>-</v>
      </c>
      <c r="J46" s="29" t="str">
        <f>IF(ROUND(Предыд!I46,0)=0,"-",ROUND(Предыд!I46,0))</f>
        <v>-</v>
      </c>
      <c r="K46" s="29" t="str">
        <f>Текущий!L46</f>
        <v>Рихтовка</v>
      </c>
      <c r="L46" s="29">
        <f>Текущий!AL46</f>
        <v>0</v>
      </c>
      <c r="M46" s="29">
        <f>Текущий!AM46</f>
        <v>0</v>
      </c>
      <c r="N46" s="29">
        <f>Текущий!AN46</f>
        <v>0</v>
      </c>
      <c r="O46" s="29">
        <f>Текущий!AP46</f>
        <v>0</v>
      </c>
    </row>
    <row r="47" spans="1:15" x14ac:dyDescent="0.25">
      <c r="A47" s="29">
        <f>Текущий!A47</f>
        <v>2</v>
      </c>
      <c r="B47" s="29">
        <f>Текущий!B47</f>
        <v>13808</v>
      </c>
      <c r="C47" s="29">
        <f>Текущий!C47</f>
        <v>2</v>
      </c>
      <c r="D47" s="29" t="str">
        <f>Текущий!D47</f>
        <v>Теплое озеро - Известковый завод</v>
      </c>
      <c r="E47" s="29">
        <f>ROUND(Текущий!J47,0)</f>
        <v>0</v>
      </c>
      <c r="F47" s="29">
        <f>Текущий!E47</f>
        <v>0</v>
      </c>
      <c r="G47" s="16" t="str">
        <f>IF(Текущий!K47="-",Текущий!K47,ROUND(Текущий!K47,0))</f>
        <v>-</v>
      </c>
      <c r="H47" s="29" t="str">
        <f>IF(ROUND(Текущий!I47,0)=0,"-",ROUND(Текущий!I47,0))</f>
        <v>-</v>
      </c>
      <c r="I47" s="16" t="str">
        <f>IF(Предыд!K47="-",Предыд!K47,ROUND(Предыд!K47,0))</f>
        <v>-</v>
      </c>
      <c r="J47" s="29" t="str">
        <f>IF(ROUND(Предыд!I47,0)=0,"-",ROUND(Предыд!I47,0))</f>
        <v>-</v>
      </c>
      <c r="K47" s="29" t="str">
        <f>Текущий!L47</f>
        <v>Рихтовка</v>
      </c>
      <c r="L47" s="29">
        <f>Текущий!AL47</f>
        <v>0</v>
      </c>
      <c r="M47" s="29">
        <f>Текущий!AM47</f>
        <v>0</v>
      </c>
      <c r="N47" s="29">
        <f>Текущий!AN47</f>
        <v>0</v>
      </c>
      <c r="O47" s="29">
        <f>Текущий!AP47</f>
        <v>0</v>
      </c>
    </row>
    <row r="48" spans="1:15" x14ac:dyDescent="0.25">
      <c r="A48" s="29">
        <f>Текущий!A48</f>
        <v>2</v>
      </c>
      <c r="B48" s="29">
        <f>Текущий!B48</f>
        <v>13808</v>
      </c>
      <c r="C48" s="29">
        <f>Текущий!C48</f>
        <v>2</v>
      </c>
      <c r="D48" s="29" t="str">
        <f>Текущий!D48</f>
        <v>Известковый завод - Лондоко</v>
      </c>
      <c r="E48" s="29">
        <f>ROUND(Текущий!J48,0)</f>
        <v>0</v>
      </c>
      <c r="F48" s="29">
        <f>Текущий!E48</f>
        <v>0</v>
      </c>
      <c r="G48" s="16" t="str">
        <f>IF(Текущий!K48="-",Текущий!K48,ROUND(Текущий!K48,0))</f>
        <v>-</v>
      </c>
      <c r="H48" s="29" t="str">
        <f>IF(ROUND(Текущий!I48,0)=0,"-",ROUND(Текущий!I48,0))</f>
        <v>-</v>
      </c>
      <c r="I48" s="16" t="str">
        <f>IF(Предыд!K48="-",Предыд!K48,ROUND(Предыд!K48,0))</f>
        <v>-</v>
      </c>
      <c r="J48" s="29" t="str">
        <f>IF(ROUND(Предыд!I48,0)=0,"-",ROUND(Предыд!I48,0))</f>
        <v>-</v>
      </c>
      <c r="K48" s="29" t="str">
        <f>Текущий!L48</f>
        <v>Рихтовка</v>
      </c>
      <c r="L48" s="29">
        <f>Текущий!AL48</f>
        <v>0</v>
      </c>
      <c r="M48" s="29">
        <f>Текущий!AM48</f>
        <v>0</v>
      </c>
      <c r="N48" s="29">
        <f>Текущий!AN48</f>
        <v>0</v>
      </c>
      <c r="O48" s="29">
        <f>Текущий!AP48</f>
        <v>0</v>
      </c>
    </row>
    <row r="49" spans="1:15" x14ac:dyDescent="0.25">
      <c r="A49" s="29">
        <f>Текущий!A49</f>
        <v>2</v>
      </c>
      <c r="B49" s="29">
        <f>Текущий!B49</f>
        <v>13808</v>
      </c>
      <c r="C49" s="29">
        <f>Текущий!C49</f>
        <v>2</v>
      </c>
      <c r="D49" s="29" t="str">
        <f>Текущий!D49</f>
        <v>Лондоко - Будукан</v>
      </c>
      <c r="E49" s="29">
        <f>ROUND(Текущий!J49,0)</f>
        <v>0</v>
      </c>
      <c r="F49" s="29">
        <f>Текущий!E49</f>
        <v>0</v>
      </c>
      <c r="G49" s="16" t="str">
        <f>IF(Текущий!K49="-",Текущий!K49,ROUND(Текущий!K49,0))</f>
        <v>-</v>
      </c>
      <c r="H49" s="29" t="str">
        <f>IF(ROUND(Текущий!I49,0)=0,"-",ROUND(Текущий!I49,0))</f>
        <v>-</v>
      </c>
      <c r="I49" s="16" t="str">
        <f>IF(Предыд!K49="-",Предыд!K49,ROUND(Предыд!K49,0))</f>
        <v>-</v>
      </c>
      <c r="J49" s="29" t="str">
        <f>IF(ROUND(Предыд!I49,0)=0,"-",ROUND(Предыд!I49,0))</f>
        <v>-</v>
      </c>
      <c r="K49" s="29" t="str">
        <f>Текущий!L49</f>
        <v>Рихтовка</v>
      </c>
      <c r="L49" s="29">
        <f>Текущий!AL49</f>
        <v>0</v>
      </c>
      <c r="M49" s="29">
        <f>Текущий!AM49</f>
        <v>0</v>
      </c>
      <c r="N49" s="29">
        <f>Текущий!AN49</f>
        <v>0</v>
      </c>
      <c r="O49" s="29">
        <f>Текущий!AP49</f>
        <v>0</v>
      </c>
    </row>
    <row r="50" spans="1:15" x14ac:dyDescent="0.25">
      <c r="A50" s="29">
        <f>Текущий!A50</f>
        <v>2</v>
      </c>
      <c r="B50" s="29">
        <f>Текущий!B50</f>
        <v>13808</v>
      </c>
      <c r="C50" s="29">
        <f>Текущий!C50</f>
        <v>2</v>
      </c>
      <c r="D50" s="29" t="str">
        <f>Текущий!D50</f>
        <v>Будукан - Бира</v>
      </c>
      <c r="E50" s="29">
        <f>ROUND(Текущий!J50,0)</f>
        <v>0</v>
      </c>
      <c r="F50" s="29">
        <f>Текущий!E50</f>
        <v>0</v>
      </c>
      <c r="G50" s="16" t="str">
        <f>IF(Текущий!K50="-",Текущий!K50,ROUND(Текущий!K50,0))</f>
        <v>-</v>
      </c>
      <c r="H50" s="29" t="str">
        <f>IF(ROUND(Текущий!I50,0)=0,"-",ROUND(Текущий!I50,0))</f>
        <v>-</v>
      </c>
      <c r="I50" s="16" t="str">
        <f>IF(Предыд!K50="-",Предыд!K50,ROUND(Предыд!K50,0))</f>
        <v>-</v>
      </c>
      <c r="J50" s="29" t="str">
        <f>IF(ROUND(Предыд!I50,0)=0,"-",ROUND(Предыд!I50,0))</f>
        <v>-</v>
      </c>
      <c r="K50" s="29" t="str">
        <f>Текущий!L50</f>
        <v>Рихтовка</v>
      </c>
      <c r="L50" s="29">
        <f>Текущий!AL50</f>
        <v>0</v>
      </c>
      <c r="M50" s="29">
        <f>Текущий!AM50</f>
        <v>0</v>
      </c>
      <c r="N50" s="29">
        <f>Текущий!AN50</f>
        <v>0</v>
      </c>
      <c r="O50" s="29">
        <f>Текущий!AP50</f>
        <v>0</v>
      </c>
    </row>
    <row r="51" spans="1:15" x14ac:dyDescent="0.25">
      <c r="A51" s="29">
        <f>Текущий!A51</f>
        <v>2</v>
      </c>
      <c r="B51" s="29">
        <f>Текущий!B51</f>
        <v>13808</v>
      </c>
      <c r="C51" s="29">
        <f>Текущий!C51</f>
        <v>2</v>
      </c>
      <c r="D51" s="29" t="str">
        <f>Текущий!D51</f>
        <v>Бира - Семисточный</v>
      </c>
      <c r="E51" s="29">
        <f>ROUND(Текущий!J51,0)</f>
        <v>0</v>
      </c>
      <c r="F51" s="29">
        <f>Текущий!E51</f>
        <v>0</v>
      </c>
      <c r="G51" s="16" t="str">
        <f>IF(Текущий!K51="-",Текущий!K51,ROUND(Текущий!K51,0))</f>
        <v>-</v>
      </c>
      <c r="H51" s="29" t="str">
        <f>IF(ROUND(Текущий!I51,0)=0,"-",ROUND(Текущий!I51,0))</f>
        <v>-</v>
      </c>
      <c r="I51" s="16" t="str">
        <f>IF(Предыд!K51="-",Предыд!K51,ROUND(Предыд!K51,0))</f>
        <v>-</v>
      </c>
      <c r="J51" s="29" t="str">
        <f>IF(ROUND(Предыд!I51,0)=0,"-",ROUND(Предыд!I51,0))</f>
        <v>-</v>
      </c>
      <c r="K51" s="29" t="str">
        <f>Текущий!L51</f>
        <v>Рихтовка</v>
      </c>
      <c r="L51" s="29">
        <f>Текущий!AL51</f>
        <v>0</v>
      </c>
      <c r="M51" s="29">
        <f>Текущий!AM51</f>
        <v>0</v>
      </c>
      <c r="N51" s="29">
        <f>Текущий!AN51</f>
        <v>0</v>
      </c>
      <c r="O51" s="29">
        <f>Текущий!AP51</f>
        <v>0</v>
      </c>
    </row>
    <row r="52" spans="1:15" x14ac:dyDescent="0.25">
      <c r="A52" s="29">
        <f>Текущий!A52</f>
        <v>2</v>
      </c>
      <c r="B52" s="29">
        <f>Текущий!B52</f>
        <v>13808</v>
      </c>
      <c r="C52" s="29">
        <f>Текущий!C52</f>
        <v>2</v>
      </c>
      <c r="D52" s="29" t="str">
        <f>Текущий!D52</f>
        <v>Семисточный - Кирга</v>
      </c>
      <c r="E52" s="29">
        <f>ROUND(Текущий!J52,0)</f>
        <v>0</v>
      </c>
      <c r="F52" s="29">
        <f>Текущий!E52</f>
        <v>0</v>
      </c>
      <c r="G52" s="16" t="str">
        <f>IF(Текущий!K52="-",Текущий!K52,ROUND(Текущий!K52,0))</f>
        <v>-</v>
      </c>
      <c r="H52" s="29" t="str">
        <f>IF(ROUND(Текущий!I52,0)=0,"-",ROUND(Текущий!I52,0))</f>
        <v>-</v>
      </c>
      <c r="I52" s="16" t="str">
        <f>IF(Предыд!K52="-",Предыд!K52,ROUND(Предыд!K52,0))</f>
        <v>-</v>
      </c>
      <c r="J52" s="29" t="str">
        <f>IF(ROUND(Предыд!I52,0)=0,"-",ROUND(Предыд!I52,0))</f>
        <v>-</v>
      </c>
      <c r="K52" s="29" t="str">
        <f>Текущий!L52</f>
        <v>Рихтовка</v>
      </c>
      <c r="L52" s="29">
        <f>Текущий!AL52</f>
        <v>0</v>
      </c>
      <c r="M52" s="29">
        <f>Текущий!AM52</f>
        <v>0</v>
      </c>
      <c r="N52" s="29">
        <f>Текущий!AN52</f>
        <v>0</v>
      </c>
      <c r="O52" s="29">
        <f>Текущий!AP52</f>
        <v>0</v>
      </c>
    </row>
    <row r="53" spans="1:15" x14ac:dyDescent="0.25">
      <c r="A53" s="29">
        <f>Текущий!A53</f>
        <v>2</v>
      </c>
      <c r="B53" s="29">
        <f>Текущий!B53</f>
        <v>13808</v>
      </c>
      <c r="C53" s="29">
        <f>Текущий!C53</f>
        <v>2</v>
      </c>
      <c r="D53" s="29" t="str">
        <f>Текущий!D53</f>
        <v>Кирга - Биробиджан I</v>
      </c>
      <c r="E53" s="29">
        <f>ROUND(Текущий!J53,0)</f>
        <v>0</v>
      </c>
      <c r="F53" s="29">
        <f>Текущий!E53</f>
        <v>0</v>
      </c>
      <c r="G53" s="16" t="str">
        <f>IF(Текущий!K53="-",Текущий!K53,ROUND(Текущий!K53,0))</f>
        <v>-</v>
      </c>
      <c r="H53" s="29" t="str">
        <f>IF(ROUND(Текущий!I53,0)=0,"-",ROUND(Текущий!I53,0))</f>
        <v>-</v>
      </c>
      <c r="I53" s="16" t="str">
        <f>IF(Предыд!K53="-",Предыд!K53,ROUND(Предыд!K53,0))</f>
        <v>-</v>
      </c>
      <c r="J53" s="29" t="str">
        <f>IF(ROUND(Предыд!I53,0)=0,"-",ROUND(Предыд!I53,0))</f>
        <v>-</v>
      </c>
      <c r="K53" s="29" t="str">
        <f>Текущий!L53</f>
        <v>Рихтовка</v>
      </c>
      <c r="L53" s="29">
        <f>Текущий!AL53</f>
        <v>0</v>
      </c>
      <c r="M53" s="29">
        <f>Текущий!AM53</f>
        <v>0</v>
      </c>
      <c r="N53" s="29">
        <f>Текущий!AN53</f>
        <v>0</v>
      </c>
      <c r="O53" s="29">
        <f>Текущий!AP53</f>
        <v>0</v>
      </c>
    </row>
    <row r="54" spans="1:15" x14ac:dyDescent="0.25">
      <c r="A54" s="29">
        <f>Текущий!A54</f>
        <v>2</v>
      </c>
      <c r="B54" s="29">
        <f>Текущий!B54</f>
        <v>13873</v>
      </c>
      <c r="C54" s="29" t="str">
        <f>Текущий!C54</f>
        <v>Лен</v>
      </c>
      <c r="D54" s="29" t="str">
        <f>Текущий!D54</f>
        <v>Биробиджан I - Биробиджан II</v>
      </c>
      <c r="E54" s="29">
        <f>ROUND(Текущий!J54,0)</f>
        <v>0</v>
      </c>
      <c r="F54" s="29">
        <f>Текущий!E54</f>
        <v>0</v>
      </c>
      <c r="G54" s="16" t="str">
        <f>IF(Текущий!K54="-",Текущий!K54,ROUND(Текущий!K54,0))</f>
        <v>-</v>
      </c>
      <c r="H54" s="29" t="str">
        <f>IF(ROUND(Текущий!I54,0)=0,"-",ROUND(Текущий!I54,0))</f>
        <v>-</v>
      </c>
      <c r="I54" s="16" t="str">
        <f>IF(Предыд!K54="-",Предыд!K54,ROUND(Предыд!K54,0))</f>
        <v>-</v>
      </c>
      <c r="J54" s="29" t="str">
        <f>IF(ROUND(Предыд!I54,0)=0,"-",ROUND(Предыд!I54,0))</f>
        <v>-</v>
      </c>
      <c r="K54" s="29" t="str">
        <f>Текущий!L54</f>
        <v>Рихтовка</v>
      </c>
      <c r="L54" s="29">
        <f>Текущий!AL54</f>
        <v>0</v>
      </c>
      <c r="M54" s="29">
        <f>Текущий!AM54</f>
        <v>0</v>
      </c>
      <c r="N54" s="29">
        <f>Текущий!AN54</f>
        <v>0</v>
      </c>
      <c r="O54" s="29">
        <f>Текущий!AP54</f>
        <v>0</v>
      </c>
    </row>
    <row r="55" spans="1:15" x14ac:dyDescent="0.25">
      <c r="A55" s="29">
        <f>Текущий!A55</f>
        <v>2</v>
      </c>
      <c r="B55" s="29">
        <f>Текущий!B55</f>
        <v>13873</v>
      </c>
      <c r="C55" s="29" t="str">
        <f>Текущий!C55</f>
        <v>Лен</v>
      </c>
      <c r="D55" s="29" t="str">
        <f>Текущий!D55</f>
        <v>Биробиджан II - Бирофельд</v>
      </c>
      <c r="E55" s="29">
        <f>ROUND(Текущий!J55,0)</f>
        <v>0</v>
      </c>
      <c r="F55" s="29">
        <f>Текущий!E55</f>
        <v>0</v>
      </c>
      <c r="G55" s="16" t="str">
        <f>IF(Текущий!K55="-",Текущий!K55,ROUND(Текущий!K55,0))</f>
        <v>-</v>
      </c>
      <c r="H55" s="29" t="str">
        <f>IF(ROUND(Текущий!I55,0)=0,"-",ROUND(Текущий!I55,0))</f>
        <v>-</v>
      </c>
      <c r="I55" s="16" t="str">
        <f>IF(Предыд!K55="-",Предыд!K55,ROUND(Предыд!K55,0))</f>
        <v>-</v>
      </c>
      <c r="J55" s="29" t="str">
        <f>IF(ROUND(Предыд!I55,0)=0,"-",ROUND(Предыд!I55,0))</f>
        <v>-</v>
      </c>
      <c r="K55" s="29" t="str">
        <f>Текущий!L55</f>
        <v>Рихтовка</v>
      </c>
      <c r="L55" s="29">
        <f>Текущий!AL55</f>
        <v>0</v>
      </c>
      <c r="M55" s="29">
        <f>Текущий!AM55</f>
        <v>0</v>
      </c>
      <c r="N55" s="29">
        <f>Текущий!AN55</f>
        <v>0</v>
      </c>
      <c r="O55" s="29">
        <f>Текущий!AP55</f>
        <v>0</v>
      </c>
    </row>
    <row r="56" spans="1:15" x14ac:dyDescent="0.25">
      <c r="A56" s="29">
        <f>Текущий!A56</f>
        <v>2</v>
      </c>
      <c r="B56" s="29">
        <f>Текущий!B56</f>
        <v>13873</v>
      </c>
      <c r="C56" s="29" t="str">
        <f>Текущий!C56</f>
        <v>Лен</v>
      </c>
      <c r="D56" s="29" t="str">
        <f>Текущий!D56</f>
        <v>Бирофельд - Унгун</v>
      </c>
      <c r="E56" s="29">
        <f>ROUND(Текущий!J56,0)</f>
        <v>0</v>
      </c>
      <c r="F56" s="29">
        <f>Текущий!E56</f>
        <v>0</v>
      </c>
      <c r="G56" s="16" t="str">
        <f>IF(Текущий!K56="-",Текущий!K56,ROUND(Текущий!K56,0))</f>
        <v>-</v>
      </c>
      <c r="H56" s="29" t="str">
        <f>IF(ROUND(Текущий!I56,0)=0,"-",ROUND(Текущий!I56,0))</f>
        <v>-</v>
      </c>
      <c r="I56" s="16" t="str">
        <f>IF(Предыд!K56="-",Предыд!K56,ROUND(Предыд!K56,0))</f>
        <v>-</v>
      </c>
      <c r="J56" s="29" t="str">
        <f>IF(ROUND(Предыд!I56,0)=0,"-",ROUND(Предыд!I56,0))</f>
        <v>-</v>
      </c>
      <c r="K56" s="29" t="str">
        <f>Текущий!L56</f>
        <v>Рихтовка</v>
      </c>
      <c r="L56" s="29">
        <f>Текущий!AL56</f>
        <v>0</v>
      </c>
      <c r="M56" s="29">
        <f>Текущий!AM56</f>
        <v>0</v>
      </c>
      <c r="N56" s="29">
        <f>Текущий!AN56</f>
        <v>0</v>
      </c>
      <c r="O56" s="29">
        <f>Текущий!AP56</f>
        <v>0</v>
      </c>
    </row>
    <row r="57" spans="1:15" x14ac:dyDescent="0.25">
      <c r="A57" s="29">
        <f>Текущий!A57</f>
        <v>2</v>
      </c>
      <c r="B57" s="29">
        <f>Текущий!B57</f>
        <v>13873</v>
      </c>
      <c r="C57" s="29" t="str">
        <f>Текущий!C57</f>
        <v>Лен</v>
      </c>
      <c r="D57" s="29" t="str">
        <f>Текущий!D57</f>
        <v>Унгун - Ленинск</v>
      </c>
      <c r="E57" s="29">
        <f>ROUND(Текущий!J57,0)</f>
        <v>0</v>
      </c>
      <c r="F57" s="29">
        <f>Текущий!E57</f>
        <v>0</v>
      </c>
      <c r="G57" s="16" t="str">
        <f>IF(Текущий!K57="-",Текущий!K57,ROUND(Текущий!K57,0))</f>
        <v>-</v>
      </c>
      <c r="H57" s="29" t="str">
        <f>IF(ROUND(Текущий!I57,0)=0,"-",ROUND(Текущий!I57,0))</f>
        <v>-</v>
      </c>
      <c r="I57" s="16" t="str">
        <f>IF(Предыд!K57="-",Предыд!K57,ROUND(Предыд!K57,0))</f>
        <v>-</v>
      </c>
      <c r="J57" s="29" t="str">
        <f>IF(ROUND(Предыд!I57,0)=0,"-",ROUND(Предыд!I57,0))</f>
        <v>-</v>
      </c>
      <c r="K57" s="29" t="str">
        <f>Текущий!L57</f>
        <v>Рихтовка</v>
      </c>
      <c r="L57" s="29">
        <f>Текущий!AL57</f>
        <v>0</v>
      </c>
      <c r="M57" s="29">
        <f>Текущий!AM57</f>
        <v>0</v>
      </c>
      <c r="N57" s="29">
        <f>Текущий!AN57</f>
        <v>0</v>
      </c>
      <c r="O57" s="29">
        <f>Текущий!AP57</f>
        <v>0</v>
      </c>
    </row>
    <row r="58" spans="1:15" x14ac:dyDescent="0.25">
      <c r="A58" s="29">
        <f>Текущий!A58</f>
        <v>2</v>
      </c>
      <c r="B58" s="29">
        <f>Текущий!B58</f>
        <v>24901</v>
      </c>
      <c r="C58" s="29">
        <f>Текущий!C58</f>
        <v>1</v>
      </c>
      <c r="D58" s="29" t="str">
        <f>Текущий!D58</f>
        <v>Известковая - Брусит</v>
      </c>
      <c r="E58" s="29">
        <f>ROUND(Текущий!J58,0)</f>
        <v>0</v>
      </c>
      <c r="F58" s="29">
        <f>Текущий!E58</f>
        <v>0</v>
      </c>
      <c r="G58" s="16" t="str">
        <f>IF(Текущий!K58="-",Текущий!K58,ROUND(Текущий!K58,0))</f>
        <v>-</v>
      </c>
      <c r="H58" s="29" t="str">
        <f>IF(ROUND(Текущий!I58,0)=0,"-",ROUND(Текущий!I58,0))</f>
        <v>-</v>
      </c>
      <c r="I58" s="16" t="str">
        <f>IF(Предыд!K58="-",Предыд!K58,ROUND(Предыд!K58,0))</f>
        <v>-</v>
      </c>
      <c r="J58" s="29" t="str">
        <f>IF(ROUND(Предыд!I58,0)=0,"-",ROUND(Предыд!I58,0))</f>
        <v>-</v>
      </c>
      <c r="K58" s="29" t="str">
        <f>Текущий!L58</f>
        <v>Рихтовка</v>
      </c>
      <c r="L58" s="29">
        <f>Текущий!AL58</f>
        <v>0</v>
      </c>
      <c r="M58" s="29">
        <f>Текущий!AM58</f>
        <v>0</v>
      </c>
      <c r="N58" s="29">
        <f>Текущий!AN58</f>
        <v>0</v>
      </c>
      <c r="O58" s="29">
        <f>Текущий!AP58</f>
        <v>0</v>
      </c>
    </row>
    <row r="59" spans="1:15" x14ac:dyDescent="0.25">
      <c r="A59" s="29">
        <f>Текущий!A59</f>
        <v>28</v>
      </c>
      <c r="B59" s="29">
        <f>Текущий!B59</f>
        <v>24901</v>
      </c>
      <c r="C59" s="29">
        <f>Текущий!C59</f>
        <v>1</v>
      </c>
      <c r="D59" s="29" t="str">
        <f>Текущий!D59</f>
        <v>Известковая - Брусит</v>
      </c>
      <c r="E59" s="29">
        <f>ROUND(Текущий!J59,0)</f>
        <v>0</v>
      </c>
      <c r="F59" s="29">
        <f>Текущий!E59</f>
        <v>0</v>
      </c>
      <c r="G59" s="16" t="str">
        <f>IF(Текущий!K59="-",Текущий!K59,ROUND(Текущий!K59,0))</f>
        <v>-</v>
      </c>
      <c r="H59" s="29" t="str">
        <f>IF(ROUND(Текущий!I59,0)=0,"-",ROUND(Текущий!I59,0))</f>
        <v>-</v>
      </c>
      <c r="I59" s="16" t="str">
        <f>IF(Предыд!K59="-",Предыд!K59,ROUND(Предыд!K59,0))</f>
        <v>-</v>
      </c>
      <c r="J59" s="29" t="str">
        <f>IF(ROUND(Предыд!I59,0)=0,"-",ROUND(Предыд!I59,0))</f>
        <v>-</v>
      </c>
      <c r="K59" s="29" t="str">
        <f>Текущий!L59</f>
        <v>Рихтовка</v>
      </c>
      <c r="L59" s="29">
        <f>Текущий!AL59</f>
        <v>0</v>
      </c>
      <c r="M59" s="29">
        <f>Текущий!AM59</f>
        <v>0</v>
      </c>
      <c r="N59" s="29">
        <f>Текущий!AN59</f>
        <v>0</v>
      </c>
      <c r="O59" s="29">
        <f>Текущий!AP59</f>
        <v>0</v>
      </c>
    </row>
    <row r="60" spans="1:15" x14ac:dyDescent="0.25">
      <c r="A60" s="29">
        <f>Текущий!A60</f>
        <v>28</v>
      </c>
      <c r="B60" s="29">
        <f>Текущий!B60</f>
        <v>24901</v>
      </c>
      <c r="C60" s="29">
        <f>Текущий!C60</f>
        <v>1</v>
      </c>
      <c r="D60" s="29" t="str">
        <f>Текущий!D60</f>
        <v>Брусит - Кульдур</v>
      </c>
      <c r="E60" s="29">
        <f>ROUND(Текущий!J60,0)</f>
        <v>0</v>
      </c>
      <c r="F60" s="29">
        <f>Текущий!E60</f>
        <v>0</v>
      </c>
      <c r="G60" s="16" t="str">
        <f>IF(Текущий!K60="-",Текущий!K60,ROUND(Текущий!K60,0))</f>
        <v>-</v>
      </c>
      <c r="H60" s="29" t="str">
        <f>IF(ROUND(Текущий!I60,0)=0,"-",ROUND(Текущий!I60,0))</f>
        <v>-</v>
      </c>
      <c r="I60" s="16" t="str">
        <f>IF(Предыд!K60="-",Предыд!K60,ROUND(Предыд!K60,0))</f>
        <v>-</v>
      </c>
      <c r="J60" s="29" t="str">
        <f>IF(ROUND(Предыд!I60,0)=0,"-",ROUND(Предыд!I60,0))</f>
        <v>-</v>
      </c>
      <c r="K60" s="29" t="str">
        <f>Текущий!L60</f>
        <v>Рихтовка</v>
      </c>
      <c r="L60" s="29">
        <f>Текущий!AL60</f>
        <v>0</v>
      </c>
      <c r="M60" s="29">
        <f>Текущий!AM60</f>
        <v>0</v>
      </c>
      <c r="N60" s="29">
        <f>Текущий!AN60</f>
        <v>0</v>
      </c>
      <c r="O60" s="29">
        <f>Текущий!AP60</f>
        <v>0</v>
      </c>
    </row>
    <row r="61" spans="1:15" x14ac:dyDescent="0.25">
      <c r="A61" s="29">
        <f>Текущий!A61</f>
        <v>28</v>
      </c>
      <c r="B61" s="29">
        <f>Текущий!B61</f>
        <v>24901</v>
      </c>
      <c r="C61" s="29">
        <f>Текущий!C61</f>
        <v>1</v>
      </c>
      <c r="D61" s="29" t="str">
        <f>Текущий!D61</f>
        <v>Кульдур - Перевальный</v>
      </c>
      <c r="E61" s="29">
        <f>ROUND(Текущий!J61,0)</f>
        <v>0</v>
      </c>
      <c r="F61" s="29">
        <f>Текущий!E61</f>
        <v>0</v>
      </c>
      <c r="G61" s="16" t="str">
        <f>IF(Текущий!K61="-",Текущий!K61,ROUND(Текущий!K61,0))</f>
        <v>-</v>
      </c>
      <c r="H61" s="29" t="str">
        <f>IF(ROUND(Текущий!I61,0)=0,"-",ROUND(Текущий!I61,0))</f>
        <v>-</v>
      </c>
      <c r="I61" s="16" t="str">
        <f>IF(Предыд!K61="-",Предыд!K61,ROUND(Предыд!K61,0))</f>
        <v>-</v>
      </c>
      <c r="J61" s="29" t="str">
        <f>IF(ROUND(Предыд!I61,0)=0,"-",ROUND(Предыд!I61,0))</f>
        <v>-</v>
      </c>
      <c r="K61" s="29" t="str">
        <f>Текущий!L61</f>
        <v>Рихтовка</v>
      </c>
      <c r="L61" s="29">
        <f>Текущий!AL61</f>
        <v>0</v>
      </c>
      <c r="M61" s="29">
        <f>Текущий!AM61</f>
        <v>0</v>
      </c>
      <c r="N61" s="29">
        <f>Текущий!AN61</f>
        <v>0</v>
      </c>
      <c r="O61" s="29">
        <f>Текущий!AP61</f>
        <v>0</v>
      </c>
    </row>
    <row r="62" spans="1:15" x14ac:dyDescent="0.25">
      <c r="A62" s="29">
        <f>Текущий!A62</f>
        <v>28</v>
      </c>
      <c r="B62" s="29">
        <f>Текущий!B62</f>
        <v>24901</v>
      </c>
      <c r="C62" s="29">
        <f>Текущий!C62</f>
        <v>1</v>
      </c>
      <c r="D62" s="29" t="str">
        <f>Текущий!D62</f>
        <v>Перевальный - Таланжа</v>
      </c>
      <c r="E62" s="29">
        <f>ROUND(Текущий!J62,0)</f>
        <v>0</v>
      </c>
      <c r="F62" s="29">
        <f>Текущий!E62</f>
        <v>0</v>
      </c>
      <c r="G62" s="16" t="str">
        <f>IF(Текущий!K62="-",Текущий!K62,ROUND(Текущий!K62,0))</f>
        <v>-</v>
      </c>
      <c r="H62" s="29" t="str">
        <f>IF(ROUND(Текущий!I62,0)=0,"-",ROUND(Текущий!I62,0))</f>
        <v>-</v>
      </c>
      <c r="I62" s="16" t="str">
        <f>IF(Предыд!K62="-",Предыд!K62,ROUND(Предыд!K62,0))</f>
        <v>-</v>
      </c>
      <c r="J62" s="29" t="str">
        <f>IF(ROUND(Предыд!I62,0)=0,"-",ROUND(Предыд!I62,0))</f>
        <v>-</v>
      </c>
      <c r="K62" s="29" t="str">
        <f>Текущий!L62</f>
        <v>Рихтовка</v>
      </c>
      <c r="L62" s="29">
        <f>Текущий!AL62</f>
        <v>0</v>
      </c>
      <c r="M62" s="29">
        <f>Текущий!AM62</f>
        <v>0</v>
      </c>
      <c r="N62" s="29">
        <f>Текущий!AN62</f>
        <v>0</v>
      </c>
      <c r="O62" s="29">
        <f>Текущий!AP62</f>
        <v>0</v>
      </c>
    </row>
    <row r="63" spans="1:15" x14ac:dyDescent="0.25">
      <c r="A63" s="29">
        <f>Текущий!A63</f>
        <v>28</v>
      </c>
      <c r="B63" s="29">
        <f>Текущий!B63</f>
        <v>24901</v>
      </c>
      <c r="C63" s="29">
        <f>Текущий!C63</f>
        <v>1</v>
      </c>
      <c r="D63" s="29" t="str">
        <f>Текущий!D63</f>
        <v>Таланжа - Зимовье</v>
      </c>
      <c r="E63" s="29">
        <f>ROUND(Текущий!J63,0)</f>
        <v>0</v>
      </c>
      <c r="F63" s="29">
        <f>Текущий!E63</f>
        <v>0</v>
      </c>
      <c r="G63" s="16" t="str">
        <f>IF(Текущий!K63="-",Текущий!K63,ROUND(Текущий!K63,0))</f>
        <v>-</v>
      </c>
      <c r="H63" s="29" t="str">
        <f>IF(ROUND(Текущий!I63,0)=0,"-",ROUND(Текущий!I63,0))</f>
        <v>-</v>
      </c>
      <c r="I63" s="16" t="str">
        <f>IF(Предыд!K63="-",Предыд!K63,ROUND(Предыд!K63,0))</f>
        <v>-</v>
      </c>
      <c r="J63" s="29" t="str">
        <f>IF(ROUND(Предыд!I63,0)=0,"-",ROUND(Предыд!I63,0))</f>
        <v>-</v>
      </c>
      <c r="K63" s="29" t="str">
        <f>Текущий!L63</f>
        <v>Рихтовка</v>
      </c>
      <c r="L63" s="29">
        <f>Текущий!AL63</f>
        <v>0</v>
      </c>
      <c r="M63" s="29">
        <f>Текущий!AM63</f>
        <v>0</v>
      </c>
      <c r="N63" s="29">
        <f>Текущий!AN63</f>
        <v>0</v>
      </c>
      <c r="O63" s="29">
        <f>Текущий!AP63</f>
        <v>0</v>
      </c>
    </row>
    <row r="64" spans="1:15" x14ac:dyDescent="0.25">
      <c r="A64" s="29">
        <f>Текущий!A64</f>
        <v>28</v>
      </c>
      <c r="B64" s="29">
        <f>Текущий!B64</f>
        <v>24901</v>
      </c>
      <c r="C64" s="29">
        <f>Текущий!C64</f>
        <v>1</v>
      </c>
      <c r="D64" s="29" t="str">
        <f>Текущий!D64</f>
        <v>Зимовье - Эхилкан</v>
      </c>
      <c r="E64" s="29">
        <f>ROUND(Текущий!J64,0)</f>
        <v>0</v>
      </c>
      <c r="F64" s="29">
        <f>Текущий!E64</f>
        <v>0</v>
      </c>
      <c r="G64" s="16" t="str">
        <f>IF(Текущий!K64="-",Текущий!K64,ROUND(Текущий!K64,0))</f>
        <v>-</v>
      </c>
      <c r="H64" s="29" t="str">
        <f>IF(ROUND(Текущий!I64,0)=0,"-",ROUND(Текущий!I64,0))</f>
        <v>-</v>
      </c>
      <c r="I64" s="16" t="str">
        <f>IF(Предыд!K64="-",Предыд!K64,ROUND(Предыд!K64,0))</f>
        <v>-</v>
      </c>
      <c r="J64" s="29" t="str">
        <f>IF(ROUND(Предыд!I64,0)=0,"-",ROUND(Предыд!I64,0))</f>
        <v>-</v>
      </c>
      <c r="K64" s="29" t="str">
        <f>Текущий!L64</f>
        <v>Рихтовка</v>
      </c>
      <c r="L64" s="29">
        <f>Текущий!AL64</f>
        <v>0</v>
      </c>
      <c r="M64" s="29">
        <f>Текущий!AM64</f>
        <v>0</v>
      </c>
      <c r="N64" s="29">
        <f>Текущий!AN64</f>
        <v>0</v>
      </c>
      <c r="O64" s="29">
        <f>Текущий!AP64</f>
        <v>0</v>
      </c>
    </row>
    <row r="65" spans="1:15" x14ac:dyDescent="0.25">
      <c r="A65" s="29">
        <f>Текущий!A65</f>
        <v>28</v>
      </c>
      <c r="B65" s="29">
        <f>Текущий!B65</f>
        <v>24901</v>
      </c>
      <c r="C65" s="29">
        <f>Текущий!C65</f>
        <v>1</v>
      </c>
      <c r="D65" s="29" t="str">
        <f>Текущий!D65</f>
        <v>Эхилкан - Таракелок</v>
      </c>
      <c r="E65" s="29">
        <f>ROUND(Текущий!J65,0)</f>
        <v>0</v>
      </c>
      <c r="F65" s="29">
        <f>Текущий!E65</f>
        <v>0</v>
      </c>
      <c r="G65" s="16" t="str">
        <f>IF(Текущий!K65="-",Текущий!K65,ROUND(Текущий!K65,0))</f>
        <v>-</v>
      </c>
      <c r="H65" s="29" t="str">
        <f>IF(ROUND(Текущий!I65,0)=0,"-",ROUND(Текущий!I65,0))</f>
        <v>-</v>
      </c>
      <c r="I65" s="16" t="str">
        <f>IF(Предыд!K65="-",Предыд!K65,ROUND(Предыд!K65,0))</f>
        <v>-</v>
      </c>
      <c r="J65" s="29" t="str">
        <f>IF(ROUND(Предыд!I65,0)=0,"-",ROUND(Предыд!I65,0))</f>
        <v>-</v>
      </c>
      <c r="K65" s="29" t="str">
        <f>Текущий!L65</f>
        <v>Рихтовка</v>
      </c>
      <c r="L65" s="29">
        <f>Текущий!AL65</f>
        <v>0</v>
      </c>
      <c r="M65" s="29">
        <f>Текущий!AM65</f>
        <v>0</v>
      </c>
      <c r="N65" s="29">
        <f>Текущий!AN65</f>
        <v>0</v>
      </c>
      <c r="O65" s="29">
        <f>Текущий!AP65</f>
        <v>0</v>
      </c>
    </row>
    <row r="66" spans="1:15" x14ac:dyDescent="0.25">
      <c r="A66" s="29">
        <f>Текущий!A66</f>
        <v>28</v>
      </c>
      <c r="B66" s="29">
        <f>Текущий!B66</f>
        <v>24901</v>
      </c>
      <c r="C66" s="29">
        <f>Текущий!C66</f>
        <v>1</v>
      </c>
      <c r="D66" s="29" t="str">
        <f>Текущий!D66</f>
        <v>Таракелок - Аланап</v>
      </c>
      <c r="E66" s="29">
        <f>ROUND(Текущий!J66,0)</f>
        <v>0</v>
      </c>
      <c r="F66" s="29">
        <f>Текущий!E66</f>
        <v>0</v>
      </c>
      <c r="G66" s="16" t="str">
        <f>IF(Текущий!K66="-",Текущий!K66,ROUND(Текущий!K66,0))</f>
        <v>-</v>
      </c>
      <c r="H66" s="29" t="str">
        <f>IF(ROUND(Текущий!I66,0)=0,"-",ROUND(Текущий!I66,0))</f>
        <v>-</v>
      </c>
      <c r="I66" s="16" t="str">
        <f>IF(Предыд!K66="-",Предыд!K66,ROUND(Предыд!K66,0))</f>
        <v>-</v>
      </c>
      <c r="J66" s="29" t="str">
        <f>IF(ROUND(Предыд!I66,0)=0,"-",ROUND(Предыд!I66,0))</f>
        <v>-</v>
      </c>
      <c r="K66" s="29" t="str">
        <f>Текущий!L66</f>
        <v>Рихтовка</v>
      </c>
      <c r="L66" s="29">
        <f>Текущий!AL66</f>
        <v>0</v>
      </c>
      <c r="M66" s="29">
        <f>Текущий!AM66</f>
        <v>0</v>
      </c>
      <c r="N66" s="29">
        <f>Текущий!AN66</f>
        <v>0</v>
      </c>
      <c r="O66" s="29">
        <f>Текущий!AP66</f>
        <v>0</v>
      </c>
    </row>
    <row r="67" spans="1:15" x14ac:dyDescent="0.25">
      <c r="A67" s="29">
        <f>Текущий!A67</f>
        <v>28</v>
      </c>
      <c r="B67" s="29">
        <f>Текущий!B67</f>
        <v>24901</v>
      </c>
      <c r="C67" s="29">
        <f>Текущий!C67</f>
        <v>1</v>
      </c>
      <c r="D67" s="29" t="str">
        <f>Текущий!D67</f>
        <v>Аланап - Тырма</v>
      </c>
      <c r="E67" s="29">
        <f>ROUND(Текущий!J67,0)</f>
        <v>0</v>
      </c>
      <c r="F67" s="29">
        <f>Текущий!E67</f>
        <v>0</v>
      </c>
      <c r="G67" s="16" t="str">
        <f>IF(Текущий!K67="-",Текущий!K67,ROUND(Текущий!K67,0))</f>
        <v>-</v>
      </c>
      <c r="H67" s="29" t="str">
        <f>IF(ROUND(Текущий!I67,0)=0,"-",ROUND(Текущий!I67,0))</f>
        <v>-</v>
      </c>
      <c r="I67" s="16" t="str">
        <f>IF(Предыд!K67="-",Предыд!K67,ROUND(Предыд!K67,0))</f>
        <v>-</v>
      </c>
      <c r="J67" s="29" t="str">
        <f>IF(ROUND(Предыд!I67,0)=0,"-",ROUND(Предыд!I67,0))</f>
        <v>-</v>
      </c>
      <c r="K67" s="29" t="str">
        <f>Текущий!L67</f>
        <v>Рихтовка</v>
      </c>
      <c r="L67" s="29">
        <f>Текущий!AL67</f>
        <v>0</v>
      </c>
      <c r="M67" s="29">
        <f>Текущий!AM67</f>
        <v>0</v>
      </c>
      <c r="N67" s="29">
        <f>Текущий!AN67</f>
        <v>0</v>
      </c>
      <c r="O67" s="29">
        <f>Текущий!AP67</f>
        <v>0</v>
      </c>
    </row>
    <row r="68" spans="1:15" x14ac:dyDescent="0.25">
      <c r="A68" s="29">
        <f>Текущий!A68</f>
        <v>28</v>
      </c>
      <c r="B68" s="29">
        <f>Текущий!B68</f>
        <v>24901</v>
      </c>
      <c r="C68" s="29">
        <f>Текущий!C68</f>
        <v>1</v>
      </c>
      <c r="D68" s="29" t="str">
        <f>Текущий!D68</f>
        <v>Тырма - Малинник</v>
      </c>
      <c r="E68" s="29">
        <f>ROUND(Текущий!J68,0)</f>
        <v>0</v>
      </c>
      <c r="F68" s="29">
        <f>Текущий!E68</f>
        <v>0</v>
      </c>
      <c r="G68" s="16" t="str">
        <f>IF(Текущий!K68="-",Текущий!K68,ROUND(Текущий!K68,0))</f>
        <v>-</v>
      </c>
      <c r="H68" s="29" t="str">
        <f>IF(ROUND(Текущий!I68,0)=0,"-",ROUND(Текущий!I68,0))</f>
        <v>-</v>
      </c>
      <c r="I68" s="16" t="str">
        <f>IF(Предыд!K68="-",Предыд!K68,ROUND(Предыд!K68,0))</f>
        <v>-</v>
      </c>
      <c r="J68" s="29" t="str">
        <f>IF(ROUND(Предыд!I68,0)=0,"-",ROUND(Предыд!I68,0))</f>
        <v>-</v>
      </c>
      <c r="K68" s="29" t="str">
        <f>Текущий!L68</f>
        <v>Рихтовка</v>
      </c>
      <c r="L68" s="29">
        <f>Текущий!AL68</f>
        <v>0</v>
      </c>
      <c r="M68" s="29">
        <f>Текущий!AM68</f>
        <v>0</v>
      </c>
      <c r="N68" s="29">
        <f>Текущий!AN68</f>
        <v>0</v>
      </c>
      <c r="O68" s="29">
        <f>Текущий!AP68</f>
        <v>0</v>
      </c>
    </row>
    <row r="69" spans="1:15" x14ac:dyDescent="0.25">
      <c r="A69" s="29">
        <f>Текущий!A69</f>
        <v>28</v>
      </c>
      <c r="B69" s="29">
        <f>Текущий!B69</f>
        <v>24901</v>
      </c>
      <c r="C69" s="29">
        <f>Текущий!C69</f>
        <v>1</v>
      </c>
      <c r="D69" s="29" t="str">
        <f>Текущий!D69</f>
        <v>Малинник - Мошка</v>
      </c>
      <c r="E69" s="29">
        <f>ROUND(Текущий!J69,0)</f>
        <v>0</v>
      </c>
      <c r="F69" s="29">
        <f>Текущий!E69</f>
        <v>0</v>
      </c>
      <c r="G69" s="16" t="str">
        <f>IF(Текущий!K69="-",Текущий!K69,ROUND(Текущий!K69,0))</f>
        <v>-</v>
      </c>
      <c r="H69" s="29" t="str">
        <f>IF(ROUND(Текущий!I69,0)=0,"-",ROUND(Текущий!I69,0))</f>
        <v>-</v>
      </c>
      <c r="I69" s="16" t="str">
        <f>IF(Предыд!K69="-",Предыд!K69,ROUND(Предыд!K69,0))</f>
        <v>-</v>
      </c>
      <c r="J69" s="29" t="str">
        <f>IF(ROUND(Предыд!I69,0)=0,"-",ROUND(Предыд!I69,0))</f>
        <v>-</v>
      </c>
      <c r="K69" s="29" t="str">
        <f>Текущий!L69</f>
        <v>Рихтовка</v>
      </c>
      <c r="L69" s="29">
        <f>Текущий!AL69</f>
        <v>0</v>
      </c>
      <c r="M69" s="29">
        <f>Текущий!AM69</f>
        <v>0</v>
      </c>
      <c r="N69" s="29">
        <f>Текущий!AN69</f>
        <v>0</v>
      </c>
      <c r="O69" s="29">
        <f>Текущий!AP69</f>
        <v>0</v>
      </c>
    </row>
    <row r="70" spans="1:15" x14ac:dyDescent="0.25">
      <c r="A70" s="29">
        <f>Текущий!A70</f>
        <v>28</v>
      </c>
      <c r="B70" s="29">
        <f>Текущий!B70</f>
        <v>24901</v>
      </c>
      <c r="C70" s="29">
        <f>Текущий!C70</f>
        <v>1</v>
      </c>
      <c r="D70" s="29" t="str">
        <f>Текущий!D70</f>
        <v>Мошка - Согда</v>
      </c>
      <c r="E70" s="29">
        <f>ROUND(Текущий!J70,0)</f>
        <v>0</v>
      </c>
      <c r="F70" s="29">
        <f>Текущий!E70</f>
        <v>0</v>
      </c>
      <c r="G70" s="16" t="str">
        <f>IF(Текущий!K70="-",Текущий!K70,ROUND(Текущий!K70,0))</f>
        <v>-</v>
      </c>
      <c r="H70" s="29" t="str">
        <f>IF(ROUND(Текущий!I70,0)=0,"-",ROUND(Текущий!I70,0))</f>
        <v>-</v>
      </c>
      <c r="I70" s="16" t="str">
        <f>IF(Предыд!K70="-",Предыд!K70,ROUND(Предыд!K70,0))</f>
        <v>-</v>
      </c>
      <c r="J70" s="29" t="str">
        <f>IF(ROUND(Предыд!I70,0)=0,"-",ROUND(Предыд!I70,0))</f>
        <v>-</v>
      </c>
      <c r="K70" s="29" t="str">
        <f>Текущий!L70</f>
        <v>Рихтовка</v>
      </c>
      <c r="L70" s="29">
        <f>Текущий!AL70</f>
        <v>0</v>
      </c>
      <c r="M70" s="29">
        <f>Текущий!AM70</f>
        <v>0</v>
      </c>
      <c r="N70" s="29">
        <f>Текущий!AN70</f>
        <v>0</v>
      </c>
      <c r="O70" s="29">
        <f>Текущий!AP70</f>
        <v>0</v>
      </c>
    </row>
    <row r="71" spans="1:15" x14ac:dyDescent="0.25">
      <c r="A71" s="29">
        <f>Текущий!A71</f>
        <v>28</v>
      </c>
      <c r="B71" s="29">
        <f>Текущий!B71</f>
        <v>24901</v>
      </c>
      <c r="C71" s="29">
        <f>Текущий!C71</f>
        <v>1</v>
      </c>
      <c r="D71" s="29" t="str">
        <f>Текущий!D71</f>
        <v>Согда - Ушман</v>
      </c>
      <c r="E71" s="29">
        <f>ROUND(Текущий!J71,0)</f>
        <v>0</v>
      </c>
      <c r="F71" s="29">
        <f>Текущий!E71</f>
        <v>0</v>
      </c>
      <c r="G71" s="16" t="str">
        <f>IF(Текущий!K71="-",Текущий!K71,ROUND(Текущий!K71,0))</f>
        <v>-</v>
      </c>
      <c r="H71" s="29" t="str">
        <f>IF(ROUND(Текущий!I71,0)=0,"-",ROUND(Текущий!I71,0))</f>
        <v>-</v>
      </c>
      <c r="I71" s="16" t="str">
        <f>IF(Предыд!K71="-",Предыд!K71,ROUND(Предыд!K71,0))</f>
        <v>-</v>
      </c>
      <c r="J71" s="29" t="str">
        <f>IF(ROUND(Предыд!I71,0)=0,"-",ROUND(Предыд!I71,0))</f>
        <v>-</v>
      </c>
      <c r="K71" s="29" t="str">
        <f>Текущий!L71</f>
        <v>Рихтовка</v>
      </c>
      <c r="L71" s="29">
        <f>Текущий!AL71</f>
        <v>0</v>
      </c>
      <c r="M71" s="29">
        <f>Текущий!AM71</f>
        <v>0</v>
      </c>
      <c r="N71" s="29">
        <f>Текущий!AN71</f>
        <v>0</v>
      </c>
      <c r="O71" s="29">
        <f>Текущий!AP71</f>
        <v>0</v>
      </c>
    </row>
    <row r="72" spans="1:15" x14ac:dyDescent="0.25">
      <c r="A72" s="29">
        <f>Текущий!A72</f>
        <v>28</v>
      </c>
      <c r="B72" s="29">
        <f>Текущий!B72</f>
        <v>24901</v>
      </c>
      <c r="C72" s="29">
        <f>Текущий!C72</f>
        <v>1</v>
      </c>
      <c r="D72" s="29" t="str">
        <f>Текущий!D72</f>
        <v>Ушман - Корчагин</v>
      </c>
      <c r="E72" s="29">
        <f>ROUND(Текущий!J72,0)</f>
        <v>0</v>
      </c>
      <c r="F72" s="29">
        <f>Текущий!E72</f>
        <v>0</v>
      </c>
      <c r="G72" s="16" t="str">
        <f>IF(Текущий!K72="-",Текущий!K72,ROUND(Текущий!K72,0))</f>
        <v>-</v>
      </c>
      <c r="H72" s="29" t="str">
        <f>IF(ROUND(Текущий!I72,0)=0,"-",ROUND(Текущий!I72,0))</f>
        <v>-</v>
      </c>
      <c r="I72" s="16" t="str">
        <f>IF(Предыд!K72="-",Предыд!K72,ROUND(Предыд!K72,0))</f>
        <v>-</v>
      </c>
      <c r="J72" s="29" t="str">
        <f>IF(ROUND(Предыд!I72,0)=0,"-",ROUND(Предыд!I72,0))</f>
        <v>-</v>
      </c>
      <c r="K72" s="29" t="str">
        <f>Текущий!L72</f>
        <v>Рихтовка</v>
      </c>
      <c r="L72" s="29">
        <f>Текущий!AL72</f>
        <v>0</v>
      </c>
      <c r="M72" s="29">
        <f>Текущий!AM72</f>
        <v>0</v>
      </c>
      <c r="N72" s="29">
        <f>Текущий!AN72</f>
        <v>0</v>
      </c>
      <c r="O72" s="29">
        <f>Текущий!AP72</f>
        <v>0</v>
      </c>
    </row>
    <row r="73" spans="1:15" x14ac:dyDescent="0.25">
      <c r="A73" s="29">
        <f>Текущий!A73</f>
        <v>29</v>
      </c>
      <c r="B73" s="29">
        <f>Текущий!B73</f>
        <v>24901</v>
      </c>
      <c r="C73" s="29">
        <f>Текущий!C73</f>
        <v>1</v>
      </c>
      <c r="D73" s="29" t="str">
        <f>Текущий!D73</f>
        <v>Корчагин - Ягдынья</v>
      </c>
      <c r="E73" s="29">
        <f>ROUND(Текущий!J73,0)</f>
        <v>0</v>
      </c>
      <c r="F73" s="29">
        <f>Текущий!E73</f>
        <v>0</v>
      </c>
      <c r="G73" s="16" t="str">
        <f>IF(Текущий!K73="-",Текущий!K73,ROUND(Текущий!K73,0))</f>
        <v>-</v>
      </c>
      <c r="H73" s="29" t="str">
        <f>IF(ROUND(Текущий!I73,0)=0,"-",ROUND(Текущий!I73,0))</f>
        <v>-</v>
      </c>
      <c r="I73" s="16" t="str">
        <f>IF(Предыд!K73="-",Предыд!K73,ROUND(Предыд!K73,0))</f>
        <v>-</v>
      </c>
      <c r="J73" s="29" t="str">
        <f>IF(ROUND(Предыд!I73,0)=0,"-",ROUND(Предыд!I73,0))</f>
        <v>-</v>
      </c>
      <c r="K73" s="29" t="str">
        <f>Текущий!L73</f>
        <v>Рихтовка</v>
      </c>
      <c r="L73" s="29">
        <f>Текущий!AL73</f>
        <v>0</v>
      </c>
      <c r="M73" s="29">
        <f>Текущий!AM73</f>
        <v>0</v>
      </c>
      <c r="N73" s="29">
        <f>Текущий!AN73</f>
        <v>0</v>
      </c>
      <c r="O73" s="29">
        <f>Текущий!AP73</f>
        <v>0</v>
      </c>
    </row>
    <row r="74" spans="1:15" x14ac:dyDescent="0.25">
      <c r="A74" s="29">
        <f>Текущий!A74</f>
        <v>29</v>
      </c>
      <c r="B74" s="29">
        <f>Текущий!B74</f>
        <v>24901</v>
      </c>
      <c r="C74" s="29">
        <f>Текущий!C74</f>
        <v>1</v>
      </c>
      <c r="D74" s="29" t="str">
        <f>Текущий!D74</f>
        <v>Ягдынья - Долина</v>
      </c>
      <c r="E74" s="29">
        <f>ROUND(Текущий!J74,0)</f>
        <v>0</v>
      </c>
      <c r="F74" s="29">
        <f>Текущий!E74</f>
        <v>0</v>
      </c>
      <c r="G74" s="16" t="str">
        <f>IF(Текущий!K74="-",Текущий!K74,ROUND(Текущий!K74,0))</f>
        <v>-</v>
      </c>
      <c r="H74" s="29" t="str">
        <f>IF(ROUND(Текущий!I74,0)=0,"-",ROUND(Текущий!I74,0))</f>
        <v>-</v>
      </c>
      <c r="I74" s="16" t="str">
        <f>IF(Предыд!K74="-",Предыд!K74,ROUND(Предыд!K74,0))</f>
        <v>-</v>
      </c>
      <c r="J74" s="29" t="str">
        <f>IF(ROUND(Предыд!I74,0)=0,"-",ROUND(Предыд!I74,0))</f>
        <v>-</v>
      </c>
      <c r="K74" s="29" t="str">
        <f>Текущий!L74</f>
        <v>Рихтовка</v>
      </c>
      <c r="L74" s="29">
        <f>Текущий!AL74</f>
        <v>0</v>
      </c>
      <c r="M74" s="29">
        <f>Текущий!AM74</f>
        <v>0</v>
      </c>
      <c r="N74" s="29">
        <f>Текущий!AN74</f>
        <v>0</v>
      </c>
      <c r="O74" s="29">
        <f>Текущий!AP74</f>
        <v>0</v>
      </c>
    </row>
    <row r="75" spans="1:15" x14ac:dyDescent="0.25">
      <c r="A75" s="29">
        <f>Текущий!A75</f>
        <v>29</v>
      </c>
      <c r="B75" s="29">
        <f>Текущий!B75</f>
        <v>24901</v>
      </c>
      <c r="C75" s="29">
        <f>Текущий!C75</f>
        <v>1</v>
      </c>
      <c r="D75" s="29" t="str">
        <f>Текущий!D75</f>
        <v>Долина - Эльга</v>
      </c>
      <c r="E75" s="29">
        <f>ROUND(Текущий!J75,0)</f>
        <v>0</v>
      </c>
      <c r="F75" s="29">
        <f>Текущий!E75</f>
        <v>0</v>
      </c>
      <c r="G75" s="16" t="str">
        <f>IF(Текущий!K75="-",Текущий!K75,ROUND(Текущий!K75,0))</f>
        <v>-</v>
      </c>
      <c r="H75" s="29" t="str">
        <f>IF(ROUND(Текущий!I75,0)=0,"-",ROUND(Текущий!I75,0))</f>
        <v>-</v>
      </c>
      <c r="I75" s="16" t="str">
        <f>IF(Предыд!K75="-",Предыд!K75,ROUND(Предыд!K75,0))</f>
        <v>-</v>
      </c>
      <c r="J75" s="29" t="str">
        <f>IF(ROUND(Предыд!I75,0)=0,"-",ROUND(Предыд!I75,0))</f>
        <v>-</v>
      </c>
      <c r="K75" s="29" t="str">
        <f>Текущий!L75</f>
        <v>Рихтовка</v>
      </c>
      <c r="L75" s="29">
        <f>Текущий!AL75</f>
        <v>0</v>
      </c>
      <c r="M75" s="29">
        <f>Текущий!AM75</f>
        <v>0</v>
      </c>
      <c r="N75" s="29">
        <f>Текущий!AN75</f>
        <v>0</v>
      </c>
      <c r="O75" s="29">
        <f>Текущий!AP75</f>
        <v>0</v>
      </c>
    </row>
    <row r="76" spans="1:15" x14ac:dyDescent="0.25">
      <c r="A76" s="29">
        <f>Текущий!A76</f>
        <v>29</v>
      </c>
      <c r="B76" s="29">
        <f>Текущий!B76</f>
        <v>24901</v>
      </c>
      <c r="C76" s="29">
        <f>Текущий!C76</f>
        <v>1</v>
      </c>
      <c r="D76" s="29" t="str">
        <f>Текущий!D76</f>
        <v>Эльга - Адникан</v>
      </c>
      <c r="E76" s="29">
        <f>ROUND(Текущий!J76,0)</f>
        <v>0</v>
      </c>
      <c r="F76" s="29">
        <f>Текущий!E76</f>
        <v>0</v>
      </c>
      <c r="G76" s="16" t="str">
        <f>IF(Текущий!K76="-",Текущий!K76,ROUND(Текущий!K76,0))</f>
        <v>-</v>
      </c>
      <c r="H76" s="29" t="str">
        <f>IF(ROUND(Текущий!I76,0)=0,"-",ROUND(Текущий!I76,0))</f>
        <v>-</v>
      </c>
      <c r="I76" s="16" t="str">
        <f>IF(Предыд!K76="-",Предыд!K76,ROUND(Предыд!K76,0))</f>
        <v>-</v>
      </c>
      <c r="J76" s="29" t="str">
        <f>IF(ROUND(Предыд!I76,0)=0,"-",ROUND(Предыд!I76,0))</f>
        <v>-</v>
      </c>
      <c r="K76" s="29" t="str">
        <f>Текущий!L76</f>
        <v>Рихтовка</v>
      </c>
      <c r="L76" s="29">
        <f>Текущий!AL76</f>
        <v>0</v>
      </c>
      <c r="M76" s="29">
        <f>Текущий!AM76</f>
        <v>0</v>
      </c>
      <c r="N76" s="29">
        <f>Текущий!AN76</f>
        <v>0</v>
      </c>
      <c r="O76" s="29">
        <f>Текущий!AP76</f>
        <v>0</v>
      </c>
    </row>
    <row r="77" spans="1:15" x14ac:dyDescent="0.25">
      <c r="A77" s="29">
        <f>Текущий!A77</f>
        <v>29</v>
      </c>
      <c r="B77" s="29">
        <f>Текущий!B77</f>
        <v>24901</v>
      </c>
      <c r="C77" s="29">
        <f>Текущий!C77</f>
        <v>1</v>
      </c>
      <c r="D77" s="29" t="str">
        <f>Текущий!D77</f>
        <v>Адникан - Дубликан</v>
      </c>
      <c r="E77" s="29">
        <f>ROUND(Текущий!J77,0)</f>
        <v>0</v>
      </c>
      <c r="F77" s="29">
        <f>Текущий!E77</f>
        <v>0</v>
      </c>
      <c r="G77" s="16" t="str">
        <f>IF(Текущий!K77="-",Текущий!K77,ROUND(Текущий!K77,0))</f>
        <v>-</v>
      </c>
      <c r="H77" s="29" t="str">
        <f>IF(ROUND(Текущий!I77,0)=0,"-",ROUND(Текущий!I77,0))</f>
        <v>-</v>
      </c>
      <c r="I77" s="16" t="str">
        <f>IF(Предыд!K77="-",Предыд!K77,ROUND(Предыд!K77,0))</f>
        <v>-</v>
      </c>
      <c r="J77" s="29" t="str">
        <f>IF(ROUND(Предыд!I77,0)=0,"-",ROUND(Предыд!I77,0))</f>
        <v>-</v>
      </c>
      <c r="K77" s="29" t="str">
        <f>Текущий!L77</f>
        <v>Рихтовка</v>
      </c>
      <c r="L77" s="29">
        <f>Текущий!AL77</f>
        <v>0</v>
      </c>
      <c r="M77" s="29">
        <f>Текущий!AM77</f>
        <v>0</v>
      </c>
      <c r="N77" s="29">
        <f>Текущий!AN77</f>
        <v>0</v>
      </c>
      <c r="O77" s="29">
        <f>Текущий!AP77</f>
        <v>0</v>
      </c>
    </row>
    <row r="78" spans="1:15" x14ac:dyDescent="0.25">
      <c r="A78" s="29">
        <f>Текущий!A78</f>
        <v>29</v>
      </c>
      <c r="B78" s="29">
        <f>Текущий!B78</f>
        <v>24901</v>
      </c>
      <c r="C78" s="29">
        <f>Текущий!C78</f>
        <v>1</v>
      </c>
      <c r="D78" s="29" t="str">
        <f>Текущий!D78</f>
        <v>Дубликан - Новый Ургал (Рзд 3 км)</v>
      </c>
      <c r="E78" s="29">
        <f>ROUND(Текущий!J78,0)</f>
        <v>0</v>
      </c>
      <c r="F78" s="29">
        <f>Текущий!E78</f>
        <v>0</v>
      </c>
      <c r="G78" s="16" t="str">
        <f>IF(Текущий!K78="-",Текущий!K78,ROUND(Текущий!K78,0))</f>
        <v>-</v>
      </c>
      <c r="H78" s="29" t="str">
        <f>IF(ROUND(Текущий!I78,0)=0,"-",ROUND(Текущий!I78,0))</f>
        <v>-</v>
      </c>
      <c r="I78" s="16" t="str">
        <f>IF(Предыд!K78="-",Предыд!K78,ROUND(Предыд!K78,0))</f>
        <v>-</v>
      </c>
      <c r="J78" s="29" t="str">
        <f>IF(ROUND(Предыд!I78,0)=0,"-",ROUND(Предыд!I78,0))</f>
        <v>-</v>
      </c>
      <c r="K78" s="29" t="str">
        <f>Текущий!L78</f>
        <v>Рихтовка</v>
      </c>
      <c r="L78" s="29">
        <f>Текущий!AL78</f>
        <v>0</v>
      </c>
      <c r="M78" s="29">
        <f>Текущий!AM78</f>
        <v>0</v>
      </c>
      <c r="N78" s="29">
        <f>Текущий!AN78</f>
        <v>0</v>
      </c>
      <c r="O78" s="29">
        <f>Текущий!AP78</f>
        <v>0</v>
      </c>
    </row>
    <row r="79" spans="1:15" x14ac:dyDescent="0.25">
      <c r="A79" s="29">
        <f>Текущий!A79</f>
        <v>29</v>
      </c>
      <c r="B79" s="29">
        <f>Текущий!B79</f>
        <v>24901</v>
      </c>
      <c r="C79" s="29">
        <f>Текущий!C79</f>
        <v>1</v>
      </c>
      <c r="D79" s="29" t="str">
        <f>Текущий!D79</f>
        <v>Новый Ургал (Рзд 3 км) - Ургал I</v>
      </c>
      <c r="E79" s="29">
        <f>ROUND(Текущий!J79,0)</f>
        <v>0</v>
      </c>
      <c r="F79" s="29">
        <f>Текущий!E79</f>
        <v>0</v>
      </c>
      <c r="G79" s="16" t="str">
        <f>IF(Текущий!K79="-",Текущий!K79,ROUND(Текущий!K79,0))</f>
        <v>-</v>
      </c>
      <c r="H79" s="29" t="str">
        <f>IF(ROUND(Текущий!I79,0)=0,"-",ROUND(Текущий!I79,0))</f>
        <v>-</v>
      </c>
      <c r="I79" s="16" t="str">
        <f>IF(Предыд!K79="-",Предыд!K79,ROUND(Предыд!K79,0))</f>
        <v>-</v>
      </c>
      <c r="J79" s="29" t="str">
        <f>IF(ROUND(Предыд!I79,0)=0,"-",ROUND(Предыд!I79,0))</f>
        <v>-</v>
      </c>
      <c r="K79" s="29" t="str">
        <f>Текущий!L79</f>
        <v>Рихтовка</v>
      </c>
      <c r="L79" s="29">
        <f>Текущий!AL79</f>
        <v>0</v>
      </c>
      <c r="M79" s="29">
        <f>Текущий!AM79</f>
        <v>0</v>
      </c>
      <c r="N79" s="29">
        <f>Текущий!AN79</f>
        <v>0</v>
      </c>
      <c r="O79" s="29">
        <f>Текущий!AP79</f>
        <v>0</v>
      </c>
    </row>
    <row r="80" spans="1:15" x14ac:dyDescent="0.25">
      <c r="A80" s="29">
        <f>Текущий!A80</f>
        <v>29</v>
      </c>
      <c r="B80" s="29">
        <f>Текущий!B80</f>
        <v>24901</v>
      </c>
      <c r="C80" s="29">
        <f>Текущий!C80</f>
        <v>1</v>
      </c>
      <c r="D80" s="29" t="str">
        <f>Текущий!D80</f>
        <v>Ургал I - Разъезд 349 км</v>
      </c>
      <c r="E80" s="29">
        <f>ROUND(Текущий!J80,0)</f>
        <v>0</v>
      </c>
      <c r="F80" s="29">
        <f>Текущий!E80</f>
        <v>0</v>
      </c>
      <c r="G80" s="16" t="str">
        <f>IF(Текущий!K80="-",Текущий!K80,ROUND(Текущий!K80,0))</f>
        <v>-</v>
      </c>
      <c r="H80" s="29" t="str">
        <f>IF(ROUND(Текущий!I80,0)=0,"-",ROUND(Текущий!I80,0))</f>
        <v>-</v>
      </c>
      <c r="I80" s="16" t="str">
        <f>IF(Предыд!K80="-",Предыд!K80,ROUND(Предыд!K80,0))</f>
        <v>-</v>
      </c>
      <c r="J80" s="29" t="str">
        <f>IF(ROUND(Предыд!I80,0)=0,"-",ROUND(Предыд!I80,0))</f>
        <v>-</v>
      </c>
      <c r="K80" s="29" t="str">
        <f>Текущий!L80</f>
        <v>Рихтовка</v>
      </c>
      <c r="L80" s="29">
        <f>Текущий!AL80</f>
        <v>0</v>
      </c>
      <c r="M80" s="29">
        <f>Текущий!AM80</f>
        <v>0</v>
      </c>
      <c r="N80" s="29">
        <f>Текущий!AN80</f>
        <v>0</v>
      </c>
      <c r="O80" s="29">
        <f>Текущий!AP80</f>
        <v>0</v>
      </c>
    </row>
    <row r="81" spans="1:15" x14ac:dyDescent="0.25">
      <c r="A81" s="29">
        <f>Текущий!A81</f>
        <v>29</v>
      </c>
      <c r="B81" s="29">
        <f>Текущий!B81</f>
        <v>24901</v>
      </c>
      <c r="C81" s="29">
        <f>Текущий!C81</f>
        <v>1</v>
      </c>
      <c r="D81" s="29" t="str">
        <f>Текущий!D81</f>
        <v>Разъезд 349 км - Чегдомын</v>
      </c>
      <c r="E81" s="29">
        <f>ROUND(Текущий!J81,0)</f>
        <v>0</v>
      </c>
      <c r="F81" s="29">
        <f>Текущий!E81</f>
        <v>0</v>
      </c>
      <c r="G81" s="16" t="str">
        <f>IF(Текущий!K81="-",Текущий!K81,ROUND(Текущий!K81,0))</f>
        <v>-</v>
      </c>
      <c r="H81" s="29" t="str">
        <f>IF(ROUND(Текущий!I81,0)=0,"-",ROUND(Текущий!I81,0))</f>
        <v>-</v>
      </c>
      <c r="I81" s="16" t="str">
        <f>IF(Предыд!K81="-",Предыд!K81,ROUND(Предыд!K81,0))</f>
        <v>-</v>
      </c>
      <c r="J81" s="29" t="str">
        <f>IF(ROUND(Предыд!I81,0)=0,"-",ROUND(Предыд!I81,0))</f>
        <v>-</v>
      </c>
      <c r="K81" s="29" t="str">
        <f>Текущий!L81</f>
        <v>Рихтовка</v>
      </c>
      <c r="L81" s="29">
        <f>Текущий!AL81</f>
        <v>0</v>
      </c>
      <c r="M81" s="29">
        <f>Текущий!AM81</f>
        <v>0</v>
      </c>
      <c r="N81" s="29">
        <f>Текущий!AN81</f>
        <v>0</v>
      </c>
      <c r="O81" s="29">
        <f>Текущий!AP81</f>
        <v>0</v>
      </c>
    </row>
    <row r="82" spans="1:15" x14ac:dyDescent="0.25">
      <c r="A82" s="29">
        <f>Текущий!A82</f>
        <v>20</v>
      </c>
      <c r="B82" s="29">
        <f>Текущий!B82</f>
        <v>24602</v>
      </c>
      <c r="C82" s="29">
        <f>Текущий!C82</f>
        <v>1</v>
      </c>
      <c r="D82" s="29" t="str">
        <f>Текущий!D82</f>
        <v>ст. Хани</v>
      </c>
      <c r="E82" s="29">
        <f>ROUND(Текущий!J82,0)</f>
        <v>0</v>
      </c>
      <c r="F82" s="29">
        <f>Текущий!E82</f>
        <v>0</v>
      </c>
      <c r="G82" s="16" t="str">
        <f>IF(Текущий!K82="-",Текущий!K82,ROUND(Текущий!K82,0))</f>
        <v>-</v>
      </c>
      <c r="H82" s="29" t="str">
        <f>IF(ROUND(Текущий!I82,0)=0,"-",ROUND(Текущий!I82,0))</f>
        <v>-</v>
      </c>
      <c r="I82" s="16" t="str">
        <f>IF(Предыд!K82="-",Предыд!K82,ROUND(Предыд!K82,0))</f>
        <v>-</v>
      </c>
      <c r="J82" s="29" t="str">
        <f>IF(ROUND(Предыд!I82,0)=0,"-",ROUND(Предыд!I82,0))</f>
        <v>-</v>
      </c>
      <c r="K82" s="29" t="str">
        <f>Текущий!L82</f>
        <v>Рихтовка</v>
      </c>
      <c r="L82" s="29">
        <f>Текущий!AL82</f>
        <v>0</v>
      </c>
      <c r="M82" s="29">
        <f>Текущий!AM82</f>
        <v>0</v>
      </c>
      <c r="N82" s="29">
        <f>Текущий!AN82</f>
        <v>0</v>
      </c>
      <c r="O82" s="29">
        <f>Текущий!AP82</f>
        <v>0</v>
      </c>
    </row>
    <row r="83" spans="1:15" x14ac:dyDescent="0.25">
      <c r="A83" s="29">
        <f>Текущий!A83</f>
        <v>20</v>
      </c>
      <c r="B83" s="29">
        <f>Текущий!B83</f>
        <v>24602</v>
      </c>
      <c r="C83" s="29">
        <f>Текущий!C83</f>
        <v>2</v>
      </c>
      <c r="D83" s="29" t="str">
        <f>Текущий!D83</f>
        <v>ст. Хани</v>
      </c>
      <c r="E83" s="29">
        <f>ROUND(Текущий!J83,0)</f>
        <v>0</v>
      </c>
      <c r="F83" s="29">
        <f>Текущий!E83</f>
        <v>0</v>
      </c>
      <c r="G83" s="16" t="str">
        <f>IF(Текущий!K83="-",Текущий!K83,ROUND(Текущий!K83,0))</f>
        <v>-</v>
      </c>
      <c r="H83" s="29" t="str">
        <f>IF(ROUND(Текущий!I83,0)=0,"-",ROUND(Текущий!I83,0))</f>
        <v>-</v>
      </c>
      <c r="I83" s="16" t="str">
        <f>IF(Предыд!K83="-",Предыд!K83,ROUND(Предыд!K83,0))</f>
        <v>-</v>
      </c>
      <c r="J83" s="29" t="str">
        <f>IF(ROUND(Предыд!I83,0)=0,"-",ROUND(Предыд!I83,0))</f>
        <v>-</v>
      </c>
      <c r="K83" s="29" t="str">
        <f>Текущий!L83</f>
        <v>Рихтовка</v>
      </c>
      <c r="L83" s="29">
        <f>Текущий!AL83</f>
        <v>0</v>
      </c>
      <c r="M83" s="29">
        <f>Текущий!AM83</f>
        <v>0</v>
      </c>
      <c r="N83" s="29">
        <f>Текущий!AN83</f>
        <v>0</v>
      </c>
      <c r="O83" s="29">
        <f>Текущий!AP83</f>
        <v>0</v>
      </c>
    </row>
    <row r="84" spans="1:15" x14ac:dyDescent="0.25">
      <c r="A84" s="29">
        <f>Текущий!A84</f>
        <v>20</v>
      </c>
      <c r="B84" s="29">
        <f>Текущий!B84</f>
        <v>24602</v>
      </c>
      <c r="C84" s="29">
        <f>Текущий!C84</f>
        <v>1</v>
      </c>
      <c r="D84" s="29" t="str">
        <f>Текущий!D84</f>
        <v>Хани - Усколь</v>
      </c>
      <c r="E84" s="29">
        <f>ROUND(Текущий!J84,0)</f>
        <v>0</v>
      </c>
      <c r="F84" s="29">
        <f>Текущий!E84</f>
        <v>0</v>
      </c>
      <c r="G84" s="16" t="str">
        <f>IF(Текущий!K84="-",Текущий!K84,ROUND(Текущий!K84,0))</f>
        <v>-</v>
      </c>
      <c r="H84" s="29" t="str">
        <f>IF(ROUND(Текущий!I84,0)=0,"-",ROUND(Текущий!I84,0))</f>
        <v>-</v>
      </c>
      <c r="I84" s="16" t="str">
        <f>IF(Предыд!K84="-",Предыд!K84,ROUND(Предыд!K84,0))</f>
        <v>-</v>
      </c>
      <c r="J84" s="29" t="str">
        <f>IF(ROUND(Предыд!I84,0)=0,"-",ROUND(Предыд!I84,0))</f>
        <v>-</v>
      </c>
      <c r="K84" s="29" t="str">
        <f>Текущий!L84</f>
        <v>Рихтовка</v>
      </c>
      <c r="L84" s="29">
        <f>Текущий!AL84</f>
        <v>0</v>
      </c>
      <c r="M84" s="29">
        <f>Текущий!AM84</f>
        <v>0</v>
      </c>
      <c r="N84" s="29">
        <f>Текущий!AN84</f>
        <v>0</v>
      </c>
      <c r="O84" s="29">
        <f>Текущий!AP84</f>
        <v>0</v>
      </c>
    </row>
    <row r="85" spans="1:15" x14ac:dyDescent="0.25">
      <c r="A85" s="29">
        <f>Текущий!A85</f>
        <v>20</v>
      </c>
      <c r="B85" s="29">
        <f>Текущий!B85</f>
        <v>24602</v>
      </c>
      <c r="C85" s="29">
        <f>Текущий!C85</f>
        <v>1</v>
      </c>
      <c r="D85" s="29" t="str">
        <f>Текущий!D85</f>
        <v>Усколь - Вельбеткан</v>
      </c>
      <c r="E85" s="29">
        <f>ROUND(Текущий!J85,0)</f>
        <v>0</v>
      </c>
      <c r="F85" s="29">
        <f>Текущий!E85</f>
        <v>0</v>
      </c>
      <c r="G85" s="16" t="str">
        <f>IF(Текущий!K85="-",Текущий!K85,ROUND(Текущий!K85,0))</f>
        <v>-</v>
      </c>
      <c r="H85" s="29" t="str">
        <f>IF(ROUND(Текущий!I85,0)=0,"-",ROUND(Текущий!I85,0))</f>
        <v>-</v>
      </c>
      <c r="I85" s="16" t="str">
        <f>IF(Предыд!K85="-",Предыд!K85,ROUND(Предыд!K85,0))</f>
        <v>-</v>
      </c>
      <c r="J85" s="29" t="str">
        <f>IF(ROUND(Предыд!I85,0)=0,"-",ROUND(Предыд!I85,0))</f>
        <v>-</v>
      </c>
      <c r="K85" s="29" t="str">
        <f>Текущий!L85</f>
        <v>Рихтовка</v>
      </c>
      <c r="L85" s="29">
        <f>Текущий!AL85</f>
        <v>0</v>
      </c>
      <c r="M85" s="29">
        <f>Текущий!AM85</f>
        <v>0</v>
      </c>
      <c r="N85" s="29">
        <f>Текущий!AN85</f>
        <v>0</v>
      </c>
      <c r="O85" s="29">
        <f>Текущий!AP85</f>
        <v>0</v>
      </c>
    </row>
    <row r="86" spans="1:15" x14ac:dyDescent="0.25">
      <c r="A86" s="29">
        <f>Текущий!A86</f>
        <v>20</v>
      </c>
      <c r="B86" s="29">
        <f>Текущий!B86</f>
        <v>24602</v>
      </c>
      <c r="C86" s="29">
        <f>Текущий!C86</f>
        <v>1</v>
      </c>
      <c r="D86" s="29" t="str">
        <f>Текущий!D86</f>
        <v>Вельбеткан - Олекма</v>
      </c>
      <c r="E86" s="29">
        <f>ROUND(Текущий!J86,0)</f>
        <v>0</v>
      </c>
      <c r="F86" s="29">
        <f>Текущий!E86</f>
        <v>0</v>
      </c>
      <c r="G86" s="16" t="str">
        <f>IF(Текущий!K86="-",Текущий!K86,ROUND(Текущий!K86,0))</f>
        <v>-</v>
      </c>
      <c r="H86" s="29" t="str">
        <f>IF(ROUND(Текущий!I86,0)=0,"-",ROUND(Текущий!I86,0))</f>
        <v>-</v>
      </c>
      <c r="I86" s="16" t="str">
        <f>IF(Предыд!K86="-",Предыд!K86,ROUND(Предыд!K86,0))</f>
        <v>-</v>
      </c>
      <c r="J86" s="29" t="str">
        <f>IF(ROUND(Предыд!I86,0)=0,"-",ROUND(Предыд!I86,0))</f>
        <v>-</v>
      </c>
      <c r="K86" s="29" t="str">
        <f>Текущий!L86</f>
        <v>Рихтовка</v>
      </c>
      <c r="L86" s="29">
        <f>Текущий!AL86</f>
        <v>0</v>
      </c>
      <c r="M86" s="29">
        <f>Текущий!AM86</f>
        <v>0</v>
      </c>
      <c r="N86" s="29">
        <f>Текущий!AN86</f>
        <v>0</v>
      </c>
      <c r="O86" s="29">
        <f>Текущий!AP86</f>
        <v>0</v>
      </c>
    </row>
    <row r="87" spans="1:15" x14ac:dyDescent="0.25">
      <c r="A87" s="29">
        <f>Текущий!A87</f>
        <v>20</v>
      </c>
      <c r="B87" s="29">
        <f>Текущий!B87</f>
        <v>24602</v>
      </c>
      <c r="C87" s="29">
        <f>Текущий!C87</f>
        <v>1</v>
      </c>
      <c r="D87" s="29" t="str">
        <f>Текущий!D87</f>
        <v>Олекма - Разъезд 1945 км</v>
      </c>
      <c r="E87" s="29">
        <f>ROUND(Текущий!J87,0)</f>
        <v>0</v>
      </c>
      <c r="F87" s="29">
        <f>Текущий!E87</f>
        <v>0</v>
      </c>
      <c r="G87" s="16" t="str">
        <f>IF(Текущий!K87="-",Текущий!K87,ROUND(Текущий!K87,0))</f>
        <v>-</v>
      </c>
      <c r="H87" s="29" t="str">
        <f>IF(ROUND(Текущий!I87,0)=0,"-",ROUND(Текущий!I87,0))</f>
        <v>-</v>
      </c>
      <c r="I87" s="16" t="str">
        <f>IF(Предыд!K87="-",Предыд!K87,ROUND(Предыд!K87,0))</f>
        <v>-</v>
      </c>
      <c r="J87" s="29" t="str">
        <f>IF(ROUND(Предыд!I87,0)=0,"-",ROUND(Предыд!I87,0))</f>
        <v>-</v>
      </c>
      <c r="K87" s="29" t="str">
        <f>Текущий!L87</f>
        <v>Рихтовка</v>
      </c>
      <c r="L87" s="29">
        <f>Текущий!AL87</f>
        <v>0</v>
      </c>
      <c r="M87" s="29">
        <f>Текущий!AM87</f>
        <v>0</v>
      </c>
      <c r="N87" s="29">
        <f>Текущий!AN87</f>
        <v>0</v>
      </c>
      <c r="O87" s="29">
        <f>Текущий!AP87</f>
        <v>0</v>
      </c>
    </row>
    <row r="88" spans="1:15" x14ac:dyDescent="0.25">
      <c r="A88" s="29">
        <f>Текущий!A88</f>
        <v>20</v>
      </c>
      <c r="B88" s="29">
        <f>Текущий!B88</f>
        <v>24602</v>
      </c>
      <c r="C88" s="29">
        <f>Текущий!C88</f>
        <v>1</v>
      </c>
      <c r="D88" s="29" t="str">
        <f>Текущий!D88</f>
        <v>Разъезд 1945 км - Имангракан</v>
      </c>
      <c r="E88" s="29">
        <f>ROUND(Текущий!J88,0)</f>
        <v>0</v>
      </c>
      <c r="F88" s="29">
        <f>Текущий!E88</f>
        <v>0</v>
      </c>
      <c r="G88" s="16" t="str">
        <f>IF(Текущий!K88="-",Текущий!K88,ROUND(Текущий!K88,0))</f>
        <v>-</v>
      </c>
      <c r="H88" s="29" t="str">
        <f>IF(ROUND(Текущий!I88,0)=0,"-",ROUND(Текущий!I88,0))</f>
        <v>-</v>
      </c>
      <c r="I88" s="16" t="str">
        <f>IF(Предыд!K88="-",Предыд!K88,ROUND(Предыд!K88,0))</f>
        <v>-</v>
      </c>
      <c r="J88" s="29" t="str">
        <f>IF(ROUND(Предыд!I88,0)=0,"-",ROUND(Предыд!I88,0))</f>
        <v>-</v>
      </c>
      <c r="K88" s="29" t="str">
        <f>Текущий!L88</f>
        <v>Рихтовка</v>
      </c>
      <c r="L88" s="29">
        <f>Текущий!AL88</f>
        <v>0</v>
      </c>
      <c r="M88" s="29">
        <f>Текущий!AM88</f>
        <v>0</v>
      </c>
      <c r="N88" s="29">
        <f>Текущий!AN88</f>
        <v>0</v>
      </c>
      <c r="O88" s="29">
        <f>Текущий!AP88</f>
        <v>0</v>
      </c>
    </row>
    <row r="89" spans="1:15" x14ac:dyDescent="0.25">
      <c r="A89" s="29">
        <f>Текущий!A89</f>
        <v>20</v>
      </c>
      <c r="B89" s="29">
        <f>Текущий!B89</f>
        <v>24602</v>
      </c>
      <c r="C89" s="29">
        <f>Текущий!C89</f>
        <v>1</v>
      </c>
      <c r="D89" s="29" t="str">
        <f>Текущий!D89</f>
        <v>Имангракан - Тас-Юрях</v>
      </c>
      <c r="E89" s="29">
        <f>ROUND(Текущий!J89,0)</f>
        <v>0</v>
      </c>
      <c r="F89" s="29">
        <f>Текущий!E89</f>
        <v>0</v>
      </c>
      <c r="G89" s="16" t="str">
        <f>IF(Текущий!K89="-",Текущий!K89,ROUND(Текущий!K89,0))</f>
        <v>-</v>
      </c>
      <c r="H89" s="29" t="str">
        <f>IF(ROUND(Текущий!I89,0)=0,"-",ROUND(Текущий!I89,0))</f>
        <v>-</v>
      </c>
      <c r="I89" s="16" t="str">
        <f>IF(Предыд!K89="-",Предыд!K89,ROUND(Предыд!K89,0))</f>
        <v>-</v>
      </c>
      <c r="J89" s="29" t="str">
        <f>IF(ROUND(Предыд!I89,0)=0,"-",ROUND(Предыд!I89,0))</f>
        <v>-</v>
      </c>
      <c r="K89" s="29" t="str">
        <f>Текущий!L89</f>
        <v>Рихтовка</v>
      </c>
      <c r="L89" s="29">
        <f>Текущий!AL89</f>
        <v>0</v>
      </c>
      <c r="M89" s="29">
        <f>Текущий!AM89</f>
        <v>0</v>
      </c>
      <c r="N89" s="29">
        <f>Текущий!AN89</f>
        <v>0</v>
      </c>
      <c r="O89" s="29">
        <f>Текущий!AP89</f>
        <v>0</v>
      </c>
    </row>
    <row r="90" spans="1:15" x14ac:dyDescent="0.25">
      <c r="A90" s="29">
        <f>Текущий!A90</f>
        <v>20</v>
      </c>
      <c r="B90" s="29">
        <f>Текущий!B90</f>
        <v>24602</v>
      </c>
      <c r="C90" s="29">
        <f>Текущий!C90</f>
        <v>1</v>
      </c>
      <c r="D90" s="29" t="str">
        <f>Текущий!D90</f>
        <v>Тас-Юрях - Юктали</v>
      </c>
      <c r="E90" s="29">
        <f>ROUND(Текущий!J90,0)</f>
        <v>0</v>
      </c>
      <c r="F90" s="29">
        <f>Текущий!E90</f>
        <v>0</v>
      </c>
      <c r="G90" s="16" t="str">
        <f>IF(Текущий!K90="-",Текущий!K90,ROUND(Текущий!K90,0))</f>
        <v>-</v>
      </c>
      <c r="H90" s="29" t="str">
        <f>IF(ROUND(Текущий!I90,0)=0,"-",ROUND(Текущий!I90,0))</f>
        <v>-</v>
      </c>
      <c r="I90" s="16" t="str">
        <f>IF(Предыд!K90="-",Предыд!K90,ROUND(Предыд!K90,0))</f>
        <v>-</v>
      </c>
      <c r="J90" s="29" t="str">
        <f>IF(ROUND(Предыд!I90,0)=0,"-",ROUND(Предыд!I90,0))</f>
        <v>-</v>
      </c>
      <c r="K90" s="29" t="str">
        <f>Текущий!L90</f>
        <v>Рихтовка</v>
      </c>
      <c r="L90" s="29">
        <f>Текущий!AL90</f>
        <v>0</v>
      </c>
      <c r="M90" s="29">
        <f>Текущий!AM90</f>
        <v>0</v>
      </c>
      <c r="N90" s="29">
        <f>Текущий!AN90</f>
        <v>0</v>
      </c>
      <c r="O90" s="29">
        <f>Текущий!AP90</f>
        <v>0</v>
      </c>
    </row>
    <row r="91" spans="1:15" x14ac:dyDescent="0.25">
      <c r="A91" s="29">
        <f>Текущий!A91</f>
        <v>20</v>
      </c>
      <c r="B91" s="29">
        <f>Текущий!B91</f>
        <v>24602</v>
      </c>
      <c r="C91" s="29">
        <f>Текущий!C91</f>
        <v>1</v>
      </c>
      <c r="D91" s="29" t="str">
        <f>Текущий!D91</f>
        <v>Юктали - Талума</v>
      </c>
      <c r="E91" s="29">
        <f>ROUND(Текущий!J91,0)</f>
        <v>0</v>
      </c>
      <c r="F91" s="29">
        <f>Текущий!E91</f>
        <v>0</v>
      </c>
      <c r="G91" s="16" t="str">
        <f>IF(Текущий!K91="-",Текущий!K91,ROUND(Текущий!K91,0))</f>
        <v>-</v>
      </c>
      <c r="H91" s="29" t="str">
        <f>IF(ROUND(Текущий!I91,0)=0,"-",ROUND(Текущий!I91,0))</f>
        <v>-</v>
      </c>
      <c r="I91" s="16" t="str">
        <f>IF(Предыд!K91="-",Предыд!K91,ROUND(Предыд!K91,0))</f>
        <v>-</v>
      </c>
      <c r="J91" s="29" t="str">
        <f>IF(ROUND(Предыд!I91,0)=0,"-",ROUND(Предыд!I91,0))</f>
        <v>-</v>
      </c>
      <c r="K91" s="29" t="str">
        <f>Текущий!L91</f>
        <v>Рихтовка</v>
      </c>
      <c r="L91" s="29">
        <f>Текущий!AL91</f>
        <v>0</v>
      </c>
      <c r="M91" s="29">
        <f>Текущий!AM91</f>
        <v>0</v>
      </c>
      <c r="N91" s="29">
        <f>Текущий!AN91</f>
        <v>0</v>
      </c>
      <c r="O91" s="29">
        <f>Текущий!AP91</f>
        <v>0</v>
      </c>
    </row>
    <row r="92" spans="1:15" x14ac:dyDescent="0.25">
      <c r="A92" s="29">
        <f>Текущий!A92</f>
        <v>20</v>
      </c>
      <c r="B92" s="29">
        <f>Текущий!B92</f>
        <v>24602</v>
      </c>
      <c r="C92" s="29">
        <f>Текущий!C92</f>
        <v>1</v>
      </c>
      <c r="D92" s="29" t="str">
        <f>Текущий!D92</f>
        <v>Талума - Дюгабуль</v>
      </c>
      <c r="E92" s="29">
        <f>ROUND(Текущий!J92,0)</f>
        <v>0</v>
      </c>
      <c r="F92" s="29">
        <f>Текущий!E92</f>
        <v>0</v>
      </c>
      <c r="G92" s="16" t="str">
        <f>IF(Текущий!K92="-",Текущий!K92,ROUND(Текущий!K92,0))</f>
        <v>-</v>
      </c>
      <c r="H92" s="29" t="str">
        <f>IF(ROUND(Текущий!I92,0)=0,"-",ROUND(Текущий!I92,0))</f>
        <v>-</v>
      </c>
      <c r="I92" s="16" t="str">
        <f>IF(Предыд!K92="-",Предыд!K92,ROUND(Предыд!K92,0))</f>
        <v>-</v>
      </c>
      <c r="J92" s="29" t="str">
        <f>IF(ROUND(Предыд!I92,0)=0,"-",ROUND(Предыд!I92,0))</f>
        <v>-</v>
      </c>
      <c r="K92" s="29" t="str">
        <f>Текущий!L92</f>
        <v>Рихтовка</v>
      </c>
      <c r="L92" s="29">
        <f>Текущий!AL92</f>
        <v>0</v>
      </c>
      <c r="M92" s="29">
        <f>Текущий!AM92</f>
        <v>0</v>
      </c>
      <c r="N92" s="29">
        <f>Текущий!AN92</f>
        <v>0</v>
      </c>
      <c r="O92" s="29">
        <f>Текущий!AP92</f>
        <v>0</v>
      </c>
    </row>
    <row r="93" spans="1:15" x14ac:dyDescent="0.25">
      <c r="A93" s="29">
        <f>Текущий!A93</f>
        <v>20</v>
      </c>
      <c r="B93" s="29">
        <f>Текущий!B93</f>
        <v>24602</v>
      </c>
      <c r="C93" s="29">
        <f>Текущий!C93</f>
        <v>1</v>
      </c>
      <c r="D93" s="29" t="str">
        <f>Текущий!D93</f>
        <v>Дюгабуль - Ункур</v>
      </c>
      <c r="E93" s="29">
        <f>ROUND(Текущий!J93,0)</f>
        <v>0</v>
      </c>
      <c r="F93" s="29">
        <f>Текущий!E93</f>
        <v>0</v>
      </c>
      <c r="G93" s="16" t="str">
        <f>IF(Текущий!K93="-",Текущий!K93,ROUND(Текущий!K93,0))</f>
        <v>-</v>
      </c>
      <c r="H93" s="29" t="str">
        <f>IF(ROUND(Текущий!I93,0)=0,"-",ROUND(Текущий!I93,0))</f>
        <v>-</v>
      </c>
      <c r="I93" s="16" t="str">
        <f>IF(Предыд!K93="-",Предыд!K93,ROUND(Предыд!K93,0))</f>
        <v>-</v>
      </c>
      <c r="J93" s="29" t="str">
        <f>IF(ROUND(Предыд!I93,0)=0,"-",ROUND(Предыд!I93,0))</f>
        <v>-</v>
      </c>
      <c r="K93" s="29" t="str">
        <f>Текущий!L93</f>
        <v>Рихтовка</v>
      </c>
      <c r="L93" s="29">
        <f>Текущий!AL93</f>
        <v>0</v>
      </c>
      <c r="M93" s="29">
        <f>Текущий!AM93</f>
        <v>0</v>
      </c>
      <c r="N93" s="29">
        <f>Текущий!AN93</f>
        <v>0</v>
      </c>
      <c r="O93" s="29">
        <f>Текущий!AP93</f>
        <v>0</v>
      </c>
    </row>
    <row r="94" spans="1:15" x14ac:dyDescent="0.25">
      <c r="A94" s="29">
        <f>Текущий!A94</f>
        <v>20</v>
      </c>
      <c r="B94" s="29">
        <f>Текущий!B94</f>
        <v>24602</v>
      </c>
      <c r="C94" s="29">
        <f>Текущий!C94</f>
        <v>1</v>
      </c>
      <c r="D94" s="29" t="str">
        <f>Текущий!D94</f>
        <v>Ункур - Разъезд 2017 км</v>
      </c>
      <c r="E94" s="29">
        <f>ROUND(Текущий!J94,0)</f>
        <v>0</v>
      </c>
      <c r="F94" s="29">
        <f>Текущий!E94</f>
        <v>0</v>
      </c>
      <c r="G94" s="16" t="str">
        <f>IF(Текущий!K94="-",Текущий!K94,ROUND(Текущий!K94,0))</f>
        <v>-</v>
      </c>
      <c r="H94" s="29" t="str">
        <f>IF(ROUND(Текущий!I94,0)=0,"-",ROUND(Текущий!I94,0))</f>
        <v>-</v>
      </c>
      <c r="I94" s="16" t="str">
        <f>IF(Предыд!K94="-",Предыд!K94,ROUND(Предыд!K94,0))</f>
        <v>-</v>
      </c>
      <c r="J94" s="29" t="str">
        <f>IF(ROUND(Предыд!I94,0)=0,"-",ROUND(Предыд!I94,0))</f>
        <v>-</v>
      </c>
      <c r="K94" s="29" t="str">
        <f>Текущий!L94</f>
        <v>Рихтовка</v>
      </c>
      <c r="L94" s="29">
        <f>Текущий!AL94</f>
        <v>0</v>
      </c>
      <c r="M94" s="29">
        <f>Текущий!AM94</f>
        <v>0</v>
      </c>
      <c r="N94" s="29">
        <f>Текущий!AN94</f>
        <v>0</v>
      </c>
      <c r="O94" s="29">
        <f>Текущий!AP94</f>
        <v>0</v>
      </c>
    </row>
    <row r="95" spans="1:15" x14ac:dyDescent="0.25">
      <c r="A95" s="29">
        <f>Текущий!A95</f>
        <v>20</v>
      </c>
      <c r="B95" s="29">
        <f>Текущий!B95</f>
        <v>24602</v>
      </c>
      <c r="C95" s="29">
        <f>Текущий!C95</f>
        <v>1</v>
      </c>
      <c r="D95" s="29" t="str">
        <f>Текущий!D95</f>
        <v>Разъезд 2017 км - Чильчи</v>
      </c>
      <c r="E95" s="29">
        <f>ROUND(Текущий!J95,0)</f>
        <v>0</v>
      </c>
      <c r="F95" s="29">
        <f>Текущий!E95</f>
        <v>0</v>
      </c>
      <c r="G95" s="16" t="str">
        <f>IF(Текущий!K95="-",Текущий!K95,ROUND(Текущий!K95,0))</f>
        <v>-</v>
      </c>
      <c r="H95" s="29" t="str">
        <f>IF(ROUND(Текущий!I95,0)=0,"-",ROUND(Текущий!I95,0))</f>
        <v>-</v>
      </c>
      <c r="I95" s="16" t="str">
        <f>IF(Предыд!K95="-",Предыд!K95,ROUND(Предыд!K95,0))</f>
        <v>-</v>
      </c>
      <c r="J95" s="29" t="str">
        <f>IF(ROUND(Предыд!I95,0)=0,"-",ROUND(Предыд!I95,0))</f>
        <v>-</v>
      </c>
      <c r="K95" s="29" t="str">
        <f>Текущий!L95</f>
        <v>Рихтовка</v>
      </c>
      <c r="L95" s="29">
        <f>Текущий!AL95</f>
        <v>0</v>
      </c>
      <c r="M95" s="29">
        <f>Текущий!AM95</f>
        <v>0</v>
      </c>
      <c r="N95" s="29">
        <f>Текущий!AN95</f>
        <v>0</v>
      </c>
      <c r="O95" s="29">
        <f>Текущий!AP95</f>
        <v>0</v>
      </c>
    </row>
    <row r="96" spans="1:15" x14ac:dyDescent="0.25">
      <c r="A96" s="25"/>
      <c r="B96" s="25"/>
      <c r="C96" s="25"/>
      <c r="D96" s="25"/>
      <c r="E96" s="25"/>
      <c r="F96" s="25"/>
      <c r="G96" s="16"/>
      <c r="H96" s="25"/>
      <c r="I96" s="16"/>
      <c r="J96" s="25"/>
      <c r="K96" s="25"/>
      <c r="L96" s="25"/>
      <c r="M96" s="25"/>
      <c r="N96" s="25"/>
      <c r="O96" s="25"/>
    </row>
    <row r="97" spans="1:15" x14ac:dyDescent="0.25">
      <c r="A97" s="25"/>
      <c r="B97" s="25"/>
      <c r="C97" s="25"/>
      <c r="D97" s="25"/>
      <c r="E97" s="25"/>
      <c r="F97" s="25"/>
      <c r="G97" s="16"/>
      <c r="H97" s="25"/>
      <c r="I97" s="16"/>
      <c r="J97" s="25"/>
      <c r="K97" s="25"/>
      <c r="L97" s="25"/>
      <c r="M97" s="25"/>
      <c r="N97" s="25"/>
      <c r="O97" s="25"/>
    </row>
    <row r="98" spans="1:15" x14ac:dyDescent="0.25">
      <c r="A98" s="25"/>
      <c r="B98" s="25"/>
      <c r="C98" s="25"/>
      <c r="D98" s="25"/>
      <c r="E98" s="25"/>
      <c r="F98" s="25"/>
      <c r="G98" s="16"/>
      <c r="H98" s="25"/>
      <c r="I98" s="16"/>
      <c r="J98" s="25"/>
      <c r="K98" s="25"/>
      <c r="L98" s="25"/>
      <c r="M98" s="25"/>
      <c r="N98" s="25"/>
      <c r="O98" s="25"/>
    </row>
    <row r="99" spans="1:15" x14ac:dyDescent="0.25">
      <c r="A99" s="25"/>
      <c r="B99" s="25"/>
      <c r="C99" s="25"/>
      <c r="D99" s="25"/>
      <c r="E99" s="25"/>
      <c r="F99" s="25"/>
      <c r="G99" s="16"/>
      <c r="H99" s="25"/>
      <c r="I99" s="16"/>
      <c r="J99" s="25"/>
      <c r="K99" s="25"/>
      <c r="L99" s="25"/>
      <c r="M99" s="25"/>
      <c r="N99" s="25"/>
      <c r="O99" s="25"/>
    </row>
    <row r="100" spans="1:15" x14ac:dyDescent="0.25">
      <c r="A100" s="25"/>
      <c r="B100" s="25"/>
      <c r="C100" s="25"/>
      <c r="D100" s="25"/>
      <c r="E100" s="25"/>
      <c r="F100" s="25"/>
      <c r="G100" s="16"/>
      <c r="H100" s="25"/>
      <c r="I100" s="16"/>
      <c r="J100" s="25"/>
      <c r="K100" s="25"/>
      <c r="L100" s="25"/>
      <c r="M100" s="25"/>
      <c r="N100" s="25"/>
      <c r="O100" s="25"/>
    </row>
    <row r="101" spans="1:15" x14ac:dyDescent="0.25">
      <c r="A101" s="25"/>
      <c r="B101" s="25"/>
      <c r="C101" s="25"/>
      <c r="D101" s="25"/>
      <c r="E101" s="25"/>
      <c r="F101" s="25"/>
      <c r="G101" s="16"/>
      <c r="H101" s="25"/>
      <c r="I101" s="16"/>
      <c r="J101" s="25"/>
      <c r="K101" s="25"/>
      <c r="L101" s="25"/>
      <c r="M101" s="25"/>
      <c r="N101" s="25"/>
      <c r="O101" s="25"/>
    </row>
    <row r="102" spans="1:15" x14ac:dyDescent="0.25">
      <c r="A102" s="25"/>
      <c r="B102" s="25"/>
      <c r="C102" s="25"/>
      <c r="D102" s="25"/>
      <c r="E102" s="25"/>
      <c r="F102" s="25"/>
      <c r="G102" s="16"/>
      <c r="H102" s="25"/>
      <c r="I102" s="16"/>
      <c r="J102" s="25"/>
      <c r="K102" s="25"/>
      <c r="L102" s="25"/>
      <c r="M102" s="25"/>
      <c r="N102" s="25"/>
      <c r="O102" s="25"/>
    </row>
    <row r="103" spans="1:15" x14ac:dyDescent="0.25">
      <c r="A103" s="25"/>
      <c r="B103" s="25"/>
      <c r="C103" s="25"/>
      <c r="D103" s="25"/>
      <c r="E103" s="25"/>
      <c r="F103" s="25"/>
      <c r="G103" s="16"/>
      <c r="H103" s="25"/>
      <c r="I103" s="16"/>
      <c r="J103" s="25"/>
      <c r="K103" s="25"/>
      <c r="L103" s="25"/>
      <c r="M103" s="25"/>
      <c r="N103" s="25"/>
      <c r="O103" s="25"/>
    </row>
    <row r="104" spans="1:15" x14ac:dyDescent="0.25">
      <c r="A104" s="25"/>
      <c r="B104" s="25"/>
      <c r="C104" s="25"/>
      <c r="D104" s="25"/>
      <c r="E104" s="25"/>
      <c r="F104" s="25"/>
      <c r="G104" s="16"/>
      <c r="H104" s="25"/>
      <c r="I104" s="16"/>
      <c r="J104" s="25"/>
      <c r="K104" s="25"/>
      <c r="L104" s="25"/>
      <c r="M104" s="25"/>
      <c r="N104" s="25"/>
      <c r="O104" s="25"/>
    </row>
    <row r="105" spans="1:15" x14ac:dyDescent="0.25">
      <c r="A105" s="25"/>
      <c r="B105" s="25"/>
      <c r="C105" s="25"/>
      <c r="D105" s="25"/>
      <c r="E105" s="25"/>
      <c r="F105" s="25"/>
      <c r="G105" s="16"/>
      <c r="H105" s="25"/>
      <c r="I105" s="16"/>
      <c r="J105" s="25"/>
      <c r="K105" s="25"/>
      <c r="L105" s="25"/>
      <c r="M105" s="25"/>
      <c r="N105" s="25"/>
      <c r="O105" s="25"/>
    </row>
    <row r="106" spans="1:15" x14ac:dyDescent="0.25">
      <c r="A106" s="25"/>
      <c r="B106" s="25"/>
      <c r="C106" s="25"/>
      <c r="D106" s="25"/>
      <c r="E106" s="25"/>
      <c r="F106" s="25"/>
      <c r="G106" s="16"/>
      <c r="H106" s="25"/>
      <c r="I106" s="16"/>
      <c r="J106" s="25"/>
      <c r="K106" s="25"/>
      <c r="L106" s="25"/>
      <c r="M106" s="25"/>
      <c r="N106" s="25"/>
      <c r="O106" s="25"/>
    </row>
    <row r="107" spans="1:15" x14ac:dyDescent="0.25">
      <c r="A107" s="25"/>
      <c r="B107" s="25"/>
      <c r="C107" s="25"/>
      <c r="D107" s="25"/>
      <c r="E107" s="25"/>
      <c r="F107" s="25"/>
      <c r="G107" s="16"/>
      <c r="H107" s="25"/>
      <c r="I107" s="16"/>
      <c r="J107" s="25"/>
      <c r="K107" s="25"/>
      <c r="L107" s="25"/>
      <c r="M107" s="25"/>
      <c r="N107" s="25"/>
      <c r="O107" s="25"/>
    </row>
    <row r="108" spans="1:15" x14ac:dyDescent="0.25">
      <c r="A108" s="25"/>
      <c r="B108" s="25"/>
      <c r="C108" s="25"/>
      <c r="D108" s="25"/>
      <c r="E108" s="25"/>
      <c r="F108" s="25"/>
      <c r="G108" s="16"/>
      <c r="H108" s="25"/>
      <c r="I108" s="16"/>
      <c r="J108" s="25"/>
      <c r="K108" s="25"/>
      <c r="L108" s="25"/>
      <c r="M108" s="25"/>
      <c r="N108" s="25"/>
      <c r="O108" s="25"/>
    </row>
    <row r="109" spans="1:15" x14ac:dyDescent="0.25">
      <c r="A109" s="25"/>
      <c r="B109" s="25"/>
      <c r="C109" s="25"/>
      <c r="D109" s="25"/>
      <c r="E109" s="25"/>
      <c r="F109" s="25"/>
      <c r="G109" s="16"/>
      <c r="H109" s="25"/>
      <c r="I109" s="16"/>
      <c r="J109" s="25"/>
      <c r="K109" s="25"/>
      <c r="L109" s="25"/>
      <c r="M109" s="25"/>
      <c r="N109" s="25"/>
      <c r="O109" s="25"/>
    </row>
    <row r="110" spans="1:15" x14ac:dyDescent="0.25">
      <c r="A110" s="25"/>
      <c r="B110" s="25"/>
      <c r="C110" s="25"/>
      <c r="D110" s="25"/>
      <c r="E110" s="25"/>
      <c r="F110" s="25"/>
      <c r="G110" s="16"/>
      <c r="H110" s="25"/>
      <c r="I110" s="16"/>
      <c r="J110" s="25"/>
      <c r="K110" s="25"/>
      <c r="L110" s="25"/>
      <c r="M110" s="25"/>
      <c r="N110" s="25"/>
      <c r="O110" s="25"/>
    </row>
    <row r="111" spans="1:15" x14ac:dyDescent="0.25">
      <c r="A111" s="25"/>
      <c r="B111" s="25"/>
      <c r="C111" s="25"/>
      <c r="D111" s="25"/>
      <c r="E111" s="25"/>
      <c r="F111" s="25"/>
      <c r="G111" s="16"/>
      <c r="H111" s="25"/>
      <c r="I111" s="16"/>
      <c r="J111" s="25"/>
      <c r="K111" s="25"/>
      <c r="L111" s="25"/>
      <c r="M111" s="25"/>
      <c r="N111" s="25"/>
      <c r="O111" s="25"/>
    </row>
    <row r="112" spans="1:15" x14ac:dyDescent="0.25">
      <c r="A112" s="25"/>
      <c r="B112" s="25"/>
      <c r="C112" s="25"/>
      <c r="D112" s="25"/>
      <c r="E112" s="25"/>
      <c r="F112" s="25"/>
      <c r="G112" s="16"/>
      <c r="H112" s="25"/>
      <c r="I112" s="16"/>
      <c r="J112" s="25"/>
      <c r="K112" s="25"/>
      <c r="L112" s="25"/>
      <c r="M112" s="25"/>
      <c r="N112" s="25"/>
      <c r="O112" s="25"/>
    </row>
    <row r="113" spans="1:15" x14ac:dyDescent="0.25">
      <c r="A113" s="25"/>
      <c r="B113" s="25"/>
      <c r="C113" s="25"/>
      <c r="D113" s="25"/>
      <c r="E113" s="25"/>
      <c r="F113" s="25"/>
      <c r="G113" s="16"/>
      <c r="H113" s="25"/>
      <c r="I113" s="16"/>
      <c r="J113" s="25"/>
      <c r="K113" s="25"/>
      <c r="L113" s="25"/>
      <c r="M113" s="25"/>
      <c r="N113" s="25"/>
      <c r="O113" s="25"/>
    </row>
    <row r="114" spans="1:15" x14ac:dyDescent="0.25">
      <c r="A114" s="25"/>
      <c r="B114" s="25"/>
      <c r="C114" s="25"/>
      <c r="D114" s="25"/>
      <c r="E114" s="25"/>
      <c r="F114" s="25"/>
      <c r="G114" s="16"/>
      <c r="H114" s="25"/>
      <c r="I114" s="16"/>
      <c r="J114" s="25"/>
      <c r="K114" s="25"/>
      <c r="L114" s="25"/>
      <c r="M114" s="25"/>
      <c r="N114" s="25"/>
      <c r="O114" s="25"/>
    </row>
    <row r="115" spans="1:15" x14ac:dyDescent="0.25">
      <c r="A115" s="25"/>
      <c r="B115" s="25"/>
      <c r="C115" s="25"/>
      <c r="D115" s="25"/>
      <c r="E115" s="25"/>
      <c r="F115" s="25"/>
      <c r="G115" s="16"/>
      <c r="H115" s="25"/>
      <c r="I115" s="16"/>
      <c r="J115" s="25"/>
      <c r="K115" s="25"/>
      <c r="L115" s="25"/>
      <c r="M115" s="25"/>
      <c r="N115" s="25"/>
      <c r="O115" s="25"/>
    </row>
    <row r="116" spans="1:15" x14ac:dyDescent="0.25">
      <c r="A116" s="25"/>
      <c r="B116" s="25"/>
      <c r="C116" s="25"/>
      <c r="D116" s="25"/>
      <c r="E116" s="25"/>
      <c r="F116" s="25"/>
      <c r="G116" s="16"/>
      <c r="H116" s="25"/>
      <c r="I116" s="16"/>
      <c r="J116" s="25"/>
      <c r="K116" s="25"/>
      <c r="L116" s="25"/>
      <c r="M116" s="25"/>
      <c r="N116" s="25"/>
      <c r="O116" s="25"/>
    </row>
    <row r="117" spans="1:15" x14ac:dyDescent="0.25">
      <c r="A117" s="25"/>
      <c r="B117" s="25"/>
      <c r="C117" s="25"/>
      <c r="D117" s="25"/>
      <c r="E117" s="25"/>
      <c r="F117" s="25"/>
      <c r="G117" s="16"/>
      <c r="H117" s="25"/>
      <c r="I117" s="16"/>
      <c r="J117" s="25"/>
      <c r="K117" s="25"/>
      <c r="L117" s="25"/>
      <c r="M117" s="25"/>
      <c r="N117" s="25"/>
      <c r="O117" s="25"/>
    </row>
    <row r="118" spans="1:15" x14ac:dyDescent="0.25">
      <c r="A118" s="25"/>
      <c r="B118" s="25"/>
      <c r="C118" s="25"/>
      <c r="D118" s="25"/>
      <c r="E118" s="25"/>
      <c r="F118" s="25"/>
      <c r="G118" s="16"/>
      <c r="H118" s="25"/>
      <c r="I118" s="16"/>
      <c r="J118" s="25"/>
      <c r="K118" s="25"/>
      <c r="L118" s="25"/>
      <c r="M118" s="25"/>
      <c r="N118" s="25"/>
      <c r="O118" s="25"/>
    </row>
    <row r="119" spans="1:15" x14ac:dyDescent="0.25">
      <c r="A119" s="25"/>
      <c r="B119" s="25"/>
      <c r="C119" s="25"/>
      <c r="D119" s="25"/>
      <c r="E119" s="25"/>
      <c r="F119" s="25"/>
      <c r="G119" s="16"/>
      <c r="H119" s="25"/>
      <c r="I119" s="16"/>
      <c r="J119" s="25"/>
      <c r="K119" s="25"/>
      <c r="L119" s="25"/>
      <c r="M119" s="25"/>
      <c r="N119" s="25"/>
      <c r="O119" s="25"/>
    </row>
    <row r="120" spans="1:15" x14ac:dyDescent="0.25">
      <c r="A120" s="25"/>
      <c r="B120" s="25"/>
      <c r="C120" s="25"/>
      <c r="D120" s="25"/>
      <c r="E120" s="25"/>
      <c r="F120" s="25"/>
      <c r="G120" s="16"/>
      <c r="H120" s="25"/>
      <c r="I120" s="16"/>
      <c r="J120" s="25"/>
      <c r="K120" s="25"/>
      <c r="L120" s="25"/>
      <c r="M120" s="25"/>
      <c r="N120" s="25"/>
      <c r="O120" s="25"/>
    </row>
    <row r="121" spans="1:15" x14ac:dyDescent="0.25">
      <c r="A121" s="25"/>
      <c r="B121" s="25"/>
      <c r="C121" s="25"/>
      <c r="D121" s="25"/>
      <c r="E121" s="25"/>
      <c r="F121" s="25"/>
      <c r="G121" s="16"/>
      <c r="H121" s="25"/>
      <c r="I121" s="16"/>
      <c r="J121" s="25"/>
      <c r="K121" s="25"/>
      <c r="L121" s="25"/>
      <c r="M121" s="25"/>
      <c r="N121" s="25"/>
      <c r="O121" s="25"/>
    </row>
    <row r="122" spans="1:15" x14ac:dyDescent="0.25">
      <c r="A122" s="25"/>
      <c r="B122" s="25"/>
      <c r="C122" s="25"/>
      <c r="D122" s="25"/>
      <c r="E122" s="25"/>
      <c r="F122" s="25"/>
      <c r="G122" s="16"/>
      <c r="H122" s="25"/>
      <c r="I122" s="16"/>
      <c r="J122" s="25"/>
      <c r="K122" s="25"/>
      <c r="L122" s="25"/>
      <c r="M122" s="25"/>
      <c r="N122" s="25"/>
      <c r="O122" s="25"/>
    </row>
    <row r="123" spans="1:15" x14ac:dyDescent="0.25">
      <c r="A123" s="25"/>
      <c r="B123" s="25"/>
      <c r="C123" s="25"/>
      <c r="D123" s="25"/>
      <c r="E123" s="25"/>
      <c r="F123" s="25"/>
      <c r="G123" s="16"/>
      <c r="H123" s="25"/>
      <c r="I123" s="16"/>
      <c r="J123" s="25"/>
      <c r="K123" s="25"/>
      <c r="L123" s="25"/>
      <c r="M123" s="25"/>
      <c r="N123" s="25"/>
      <c r="O123" s="25"/>
    </row>
    <row r="124" spans="1:15" x14ac:dyDescent="0.25">
      <c r="A124" s="25"/>
      <c r="B124" s="25"/>
      <c r="C124" s="25"/>
      <c r="D124" s="25"/>
      <c r="E124" s="25"/>
      <c r="F124" s="25"/>
      <c r="G124" s="16"/>
      <c r="H124" s="25"/>
      <c r="I124" s="16"/>
      <c r="J124" s="25"/>
      <c r="K124" s="25"/>
      <c r="L124" s="25"/>
      <c r="M124" s="25"/>
      <c r="N124" s="25"/>
      <c r="O124" s="25"/>
    </row>
    <row r="125" spans="1:15" x14ac:dyDescent="0.25">
      <c r="A125" s="25"/>
      <c r="B125" s="25"/>
      <c r="C125" s="25"/>
      <c r="D125" s="25"/>
      <c r="E125" s="25"/>
      <c r="F125" s="25"/>
      <c r="G125" s="16"/>
      <c r="H125" s="25"/>
      <c r="I125" s="16"/>
      <c r="J125" s="25"/>
      <c r="K125" s="25"/>
      <c r="L125" s="25"/>
      <c r="M125" s="25"/>
      <c r="N125" s="25"/>
      <c r="O125" s="25"/>
    </row>
    <row r="126" spans="1:15" x14ac:dyDescent="0.25">
      <c r="A126" s="25"/>
      <c r="B126" s="25"/>
      <c r="C126" s="25"/>
      <c r="D126" s="25"/>
      <c r="E126" s="25"/>
      <c r="F126" s="25"/>
      <c r="G126" s="16"/>
      <c r="H126" s="25"/>
      <c r="I126" s="16"/>
      <c r="J126" s="25"/>
      <c r="K126" s="25"/>
      <c r="L126" s="25"/>
      <c r="M126" s="25"/>
      <c r="N126" s="25"/>
      <c r="O126" s="25"/>
    </row>
    <row r="127" spans="1:15" x14ac:dyDescent="0.25">
      <c r="A127" s="25"/>
      <c r="B127" s="25"/>
      <c r="C127" s="25"/>
      <c r="D127" s="25"/>
      <c r="E127" s="25"/>
      <c r="F127" s="25"/>
      <c r="G127" s="16"/>
      <c r="H127" s="25"/>
      <c r="I127" s="16"/>
      <c r="J127" s="25"/>
      <c r="K127" s="25"/>
      <c r="L127" s="25"/>
      <c r="M127" s="25"/>
      <c r="N127" s="25"/>
      <c r="O127" s="25"/>
    </row>
    <row r="128" spans="1:15" x14ac:dyDescent="0.25">
      <c r="A128" s="25"/>
      <c r="B128" s="25"/>
      <c r="C128" s="25"/>
      <c r="D128" s="25"/>
      <c r="E128" s="25"/>
      <c r="F128" s="25"/>
      <c r="G128" s="16"/>
      <c r="H128" s="25"/>
      <c r="I128" s="16"/>
      <c r="J128" s="25"/>
      <c r="K128" s="25"/>
      <c r="L128" s="25"/>
      <c r="M128" s="25"/>
      <c r="N128" s="25"/>
      <c r="O128" s="25"/>
    </row>
    <row r="129" spans="1:15" x14ac:dyDescent="0.25">
      <c r="A129" s="25"/>
      <c r="B129" s="25"/>
      <c r="C129" s="25"/>
      <c r="D129" s="25"/>
      <c r="E129" s="25"/>
      <c r="F129" s="25"/>
      <c r="G129" s="16"/>
      <c r="H129" s="25"/>
      <c r="I129" s="16"/>
      <c r="J129" s="25"/>
      <c r="K129" s="25"/>
      <c r="L129" s="25"/>
      <c r="M129" s="25"/>
      <c r="N129" s="25"/>
      <c r="O129" s="25"/>
    </row>
    <row r="130" spans="1:15" x14ac:dyDescent="0.25">
      <c r="A130" s="25"/>
      <c r="B130" s="25"/>
      <c r="C130" s="25"/>
      <c r="D130" s="25"/>
      <c r="E130" s="25"/>
      <c r="F130" s="25"/>
      <c r="G130" s="16"/>
      <c r="H130" s="25"/>
      <c r="I130" s="16"/>
      <c r="J130" s="25"/>
      <c r="K130" s="25"/>
      <c r="L130" s="25"/>
      <c r="M130" s="25"/>
      <c r="N130" s="25"/>
      <c r="O130" s="25"/>
    </row>
    <row r="131" spans="1:15" x14ac:dyDescent="0.25">
      <c r="A131" s="25"/>
      <c r="B131" s="25"/>
      <c r="C131" s="25"/>
      <c r="D131" s="25"/>
      <c r="E131" s="25"/>
      <c r="F131" s="25"/>
      <c r="G131" s="16"/>
      <c r="H131" s="25"/>
      <c r="I131" s="16"/>
      <c r="J131" s="25"/>
      <c r="K131" s="25"/>
      <c r="L131" s="25"/>
      <c r="M131" s="25"/>
      <c r="N131" s="25"/>
      <c r="O131" s="25"/>
    </row>
    <row r="132" spans="1:15" x14ac:dyDescent="0.25">
      <c r="A132" s="25"/>
      <c r="B132" s="25"/>
      <c r="C132" s="25"/>
      <c r="D132" s="25"/>
      <c r="E132" s="25"/>
      <c r="F132" s="25"/>
      <c r="G132" s="16"/>
      <c r="H132" s="25"/>
      <c r="I132" s="16"/>
      <c r="J132" s="25"/>
      <c r="K132" s="25"/>
      <c r="L132" s="25"/>
      <c r="M132" s="25"/>
      <c r="N132" s="25"/>
      <c r="O132" s="25"/>
    </row>
    <row r="133" spans="1:15" x14ac:dyDescent="0.25">
      <c r="A133" s="25"/>
      <c r="B133" s="25"/>
      <c r="C133" s="25"/>
      <c r="D133" s="25"/>
      <c r="E133" s="25"/>
      <c r="F133" s="25"/>
      <c r="G133" s="16"/>
      <c r="H133" s="25"/>
      <c r="I133" s="16"/>
      <c r="J133" s="25"/>
      <c r="K133" s="25"/>
      <c r="L133" s="25"/>
      <c r="M133" s="25"/>
      <c r="N133" s="25"/>
      <c r="O133" s="25"/>
    </row>
    <row r="134" spans="1:15" x14ac:dyDescent="0.25">
      <c r="A134" s="25"/>
      <c r="B134" s="25"/>
      <c r="C134" s="25"/>
      <c r="D134" s="25"/>
      <c r="E134" s="25"/>
      <c r="F134" s="25"/>
      <c r="G134" s="16"/>
      <c r="H134" s="25"/>
      <c r="I134" s="16"/>
      <c r="J134" s="25"/>
      <c r="K134" s="25"/>
      <c r="L134" s="25"/>
      <c r="M134" s="25"/>
      <c r="N134" s="25"/>
      <c r="O134" s="25"/>
    </row>
    <row r="135" spans="1:15" x14ac:dyDescent="0.25">
      <c r="A135" s="25"/>
      <c r="B135" s="25"/>
      <c r="C135" s="25"/>
      <c r="D135" s="25"/>
      <c r="E135" s="25"/>
      <c r="F135" s="25"/>
      <c r="G135" s="16"/>
      <c r="H135" s="25"/>
      <c r="I135" s="16"/>
      <c r="J135" s="25"/>
      <c r="K135" s="25"/>
      <c r="L135" s="25"/>
      <c r="M135" s="25"/>
      <c r="N135" s="25"/>
      <c r="O135" s="25"/>
    </row>
    <row r="136" spans="1:15" x14ac:dyDescent="0.25">
      <c r="A136" s="25"/>
      <c r="B136" s="25"/>
      <c r="C136" s="25"/>
      <c r="D136" s="25"/>
      <c r="E136" s="25"/>
      <c r="F136" s="25"/>
      <c r="G136" s="16"/>
      <c r="H136" s="25"/>
      <c r="I136" s="16"/>
      <c r="J136" s="25"/>
      <c r="K136" s="25"/>
      <c r="L136" s="25"/>
      <c r="M136" s="25"/>
      <c r="N136" s="25"/>
      <c r="O136" s="25"/>
    </row>
    <row r="137" spans="1:15" x14ac:dyDescent="0.25">
      <c r="A137" s="25"/>
      <c r="B137" s="25"/>
      <c r="C137" s="25"/>
      <c r="D137" s="25"/>
      <c r="E137" s="25"/>
      <c r="F137" s="25"/>
      <c r="G137" s="16"/>
      <c r="H137" s="25"/>
      <c r="I137" s="16"/>
      <c r="J137" s="25"/>
      <c r="K137" s="25"/>
      <c r="L137" s="25"/>
      <c r="M137" s="25"/>
      <c r="N137" s="25"/>
      <c r="O137" s="25"/>
    </row>
    <row r="138" spans="1:15" x14ac:dyDescent="0.25">
      <c r="A138" s="25"/>
      <c r="B138" s="25"/>
      <c r="C138" s="25"/>
      <c r="D138" s="25"/>
      <c r="E138" s="25"/>
      <c r="F138" s="25"/>
      <c r="G138" s="16"/>
      <c r="H138" s="25"/>
      <c r="I138" s="16"/>
      <c r="J138" s="25"/>
      <c r="K138" s="25"/>
      <c r="L138" s="25"/>
      <c r="M138" s="25"/>
      <c r="N138" s="25"/>
      <c r="O138" s="25"/>
    </row>
    <row r="139" spans="1:15" x14ac:dyDescent="0.25">
      <c r="A139" s="25"/>
      <c r="B139" s="25"/>
      <c r="C139" s="25"/>
      <c r="D139" s="25"/>
      <c r="E139" s="25"/>
      <c r="F139" s="25"/>
      <c r="G139" s="16"/>
      <c r="H139" s="25"/>
      <c r="I139" s="16"/>
      <c r="J139" s="25"/>
      <c r="K139" s="25"/>
      <c r="L139" s="25"/>
      <c r="M139" s="25"/>
      <c r="N139" s="25"/>
      <c r="O139" s="25"/>
    </row>
    <row r="140" spans="1:15" x14ac:dyDescent="0.25">
      <c r="A140" s="25"/>
      <c r="B140" s="25"/>
      <c r="C140" s="25"/>
      <c r="D140" s="25"/>
      <c r="E140" s="25"/>
      <c r="F140" s="25"/>
      <c r="G140" s="16"/>
      <c r="H140" s="25"/>
      <c r="I140" s="16"/>
      <c r="J140" s="25"/>
      <c r="K140" s="25"/>
      <c r="L140" s="25"/>
      <c r="M140" s="25"/>
      <c r="N140" s="25"/>
      <c r="O140" s="25"/>
    </row>
    <row r="141" spans="1:15" x14ac:dyDescent="0.25">
      <c r="A141" s="25"/>
      <c r="B141" s="25"/>
      <c r="C141" s="25"/>
      <c r="D141" s="25"/>
      <c r="E141" s="25"/>
      <c r="F141" s="25"/>
      <c r="G141" s="16"/>
      <c r="H141" s="25"/>
      <c r="I141" s="16"/>
      <c r="J141" s="25"/>
      <c r="K141" s="25"/>
      <c r="L141" s="25"/>
      <c r="M141" s="25"/>
      <c r="N141" s="25"/>
      <c r="O141" s="25"/>
    </row>
    <row r="142" spans="1:15" x14ac:dyDescent="0.25">
      <c r="A142" s="25"/>
      <c r="B142" s="25"/>
      <c r="C142" s="25"/>
      <c r="D142" s="25"/>
      <c r="E142" s="25"/>
      <c r="F142" s="25"/>
      <c r="G142" s="16"/>
      <c r="H142" s="25"/>
      <c r="I142" s="16"/>
      <c r="J142" s="25"/>
      <c r="K142" s="25"/>
      <c r="L142" s="25"/>
      <c r="M142" s="25"/>
      <c r="N142" s="25"/>
      <c r="O142" s="25"/>
    </row>
    <row r="143" spans="1:15" x14ac:dyDescent="0.25">
      <c r="A143" s="25"/>
      <c r="B143" s="25"/>
      <c r="C143" s="25"/>
      <c r="D143" s="25"/>
      <c r="E143" s="25"/>
      <c r="F143" s="25"/>
      <c r="G143" s="16"/>
      <c r="H143" s="25"/>
      <c r="I143" s="16"/>
      <c r="J143" s="25"/>
      <c r="K143" s="25"/>
      <c r="L143" s="25"/>
      <c r="M143" s="25"/>
      <c r="N143" s="25"/>
      <c r="O143" s="25"/>
    </row>
    <row r="144" spans="1:15" x14ac:dyDescent="0.25">
      <c r="A144" s="25"/>
      <c r="B144" s="25"/>
      <c r="C144" s="25"/>
      <c r="D144" s="25"/>
      <c r="E144" s="25"/>
      <c r="F144" s="25"/>
      <c r="G144" s="16"/>
      <c r="H144" s="25"/>
      <c r="I144" s="16"/>
      <c r="J144" s="25"/>
      <c r="K144" s="25"/>
      <c r="L144" s="25"/>
      <c r="M144" s="25"/>
      <c r="N144" s="25"/>
      <c r="O144" s="25"/>
    </row>
    <row r="145" spans="1:15" x14ac:dyDescent="0.25">
      <c r="A145" s="25"/>
      <c r="B145" s="25"/>
      <c r="C145" s="25"/>
      <c r="D145" s="25"/>
      <c r="E145" s="25"/>
      <c r="F145" s="25"/>
      <c r="G145" s="16"/>
      <c r="H145" s="25"/>
      <c r="I145" s="16"/>
      <c r="J145" s="25"/>
      <c r="K145" s="25"/>
      <c r="L145" s="25"/>
      <c r="M145" s="25"/>
      <c r="N145" s="25"/>
      <c r="O145" s="25"/>
    </row>
    <row r="146" spans="1:15" x14ac:dyDescent="0.25">
      <c r="A146" s="25"/>
      <c r="B146" s="25"/>
      <c r="C146" s="25"/>
      <c r="D146" s="25"/>
      <c r="E146" s="25"/>
      <c r="F146" s="25"/>
      <c r="G146" s="16"/>
      <c r="H146" s="25"/>
      <c r="I146" s="16"/>
      <c r="J146" s="25"/>
      <c r="K146" s="25"/>
      <c r="L146" s="25"/>
      <c r="M146" s="25"/>
      <c r="N146" s="25"/>
      <c r="O146" s="25"/>
    </row>
    <row r="147" spans="1:15" x14ac:dyDescent="0.25">
      <c r="A147" s="25"/>
      <c r="B147" s="25"/>
      <c r="C147" s="25"/>
      <c r="D147" s="25"/>
      <c r="E147" s="25"/>
      <c r="F147" s="25"/>
      <c r="G147" s="16"/>
      <c r="H147" s="25"/>
      <c r="I147" s="16"/>
      <c r="J147" s="25"/>
      <c r="K147" s="25"/>
      <c r="L147" s="25"/>
      <c r="M147" s="25"/>
      <c r="N147" s="25"/>
      <c r="O147" s="25"/>
    </row>
    <row r="148" spans="1:15" x14ac:dyDescent="0.25">
      <c r="A148" s="25"/>
      <c r="B148" s="25"/>
      <c r="C148" s="25"/>
      <c r="D148" s="25"/>
      <c r="E148" s="25"/>
      <c r="F148" s="25"/>
      <c r="G148" s="16"/>
      <c r="H148" s="25"/>
      <c r="I148" s="16"/>
      <c r="J148" s="25"/>
      <c r="K148" s="25"/>
      <c r="L148" s="25"/>
      <c r="M148" s="25"/>
      <c r="N148" s="25"/>
      <c r="O148" s="25"/>
    </row>
    <row r="149" spans="1:15" x14ac:dyDescent="0.25">
      <c r="A149" s="25"/>
      <c r="B149" s="25"/>
      <c r="C149" s="25"/>
      <c r="D149" s="25"/>
      <c r="E149" s="25"/>
      <c r="F149" s="25"/>
      <c r="G149" s="16"/>
      <c r="H149" s="25"/>
      <c r="I149" s="16"/>
      <c r="J149" s="25"/>
      <c r="K149" s="25"/>
      <c r="L149" s="25"/>
      <c r="M149" s="25"/>
      <c r="N149" s="25"/>
      <c r="O149" s="25"/>
    </row>
    <row r="150" spans="1:15" x14ac:dyDescent="0.25">
      <c r="A150" s="25"/>
      <c r="B150" s="25"/>
      <c r="C150" s="25"/>
      <c r="D150" s="25"/>
      <c r="E150" s="25"/>
      <c r="F150" s="25"/>
      <c r="G150" s="16"/>
      <c r="H150" s="25"/>
      <c r="I150" s="16"/>
      <c r="J150" s="25"/>
      <c r="K150" s="25"/>
      <c r="L150" s="25"/>
      <c r="M150" s="25"/>
      <c r="N150" s="25"/>
      <c r="O150" s="25"/>
    </row>
    <row r="151" spans="1:15" x14ac:dyDescent="0.25">
      <c r="A151" s="25"/>
      <c r="B151" s="25"/>
      <c r="C151" s="25"/>
      <c r="D151" s="25"/>
      <c r="E151" s="25"/>
      <c r="F151" s="25"/>
      <c r="G151" s="16"/>
      <c r="H151" s="25"/>
      <c r="I151" s="16"/>
      <c r="J151" s="25"/>
      <c r="K151" s="25"/>
      <c r="L151" s="25"/>
      <c r="M151" s="25"/>
      <c r="N151" s="25"/>
      <c r="O151" s="25"/>
    </row>
    <row r="152" spans="1:15" x14ac:dyDescent="0.25">
      <c r="A152" s="25"/>
      <c r="B152" s="25"/>
      <c r="C152" s="25"/>
      <c r="D152" s="25"/>
      <c r="E152" s="25"/>
      <c r="F152" s="25"/>
      <c r="G152" s="16"/>
      <c r="H152" s="25"/>
      <c r="I152" s="16"/>
      <c r="J152" s="25"/>
      <c r="K152" s="25"/>
      <c r="L152" s="25"/>
      <c r="M152" s="25"/>
      <c r="N152" s="25"/>
      <c r="O152" s="25"/>
    </row>
    <row r="153" spans="1:15" x14ac:dyDescent="0.25">
      <c r="A153" s="25"/>
      <c r="B153" s="25"/>
      <c r="C153" s="25"/>
      <c r="D153" s="25"/>
      <c r="E153" s="25"/>
      <c r="F153" s="25"/>
      <c r="G153" s="16"/>
      <c r="H153" s="25"/>
      <c r="I153" s="16"/>
      <c r="J153" s="25"/>
      <c r="K153" s="25"/>
      <c r="L153" s="25"/>
      <c r="M153" s="25"/>
      <c r="N153" s="25"/>
      <c r="O153" s="25"/>
    </row>
    <row r="154" spans="1:15" x14ac:dyDescent="0.25">
      <c r="A154" s="25"/>
      <c r="B154" s="25"/>
      <c r="C154" s="25"/>
      <c r="D154" s="25"/>
      <c r="E154" s="25"/>
      <c r="F154" s="25"/>
      <c r="G154" s="16"/>
      <c r="H154" s="25"/>
      <c r="I154" s="16"/>
      <c r="J154" s="25"/>
      <c r="K154" s="25"/>
      <c r="L154" s="25"/>
      <c r="M154" s="25"/>
      <c r="N154" s="25"/>
      <c r="O154" s="25"/>
    </row>
    <row r="155" spans="1:15" x14ac:dyDescent="0.25">
      <c r="A155" s="25"/>
      <c r="B155" s="25"/>
      <c r="C155" s="25"/>
      <c r="D155" s="25"/>
      <c r="E155" s="25"/>
      <c r="F155" s="25"/>
      <c r="G155" s="16"/>
      <c r="H155" s="25"/>
      <c r="I155" s="16"/>
      <c r="J155" s="25"/>
      <c r="K155" s="25"/>
      <c r="L155" s="25"/>
      <c r="M155" s="25"/>
      <c r="N155" s="25"/>
      <c r="O155" s="25"/>
    </row>
    <row r="156" spans="1:15" x14ac:dyDescent="0.25">
      <c r="A156" s="25"/>
      <c r="B156" s="25"/>
      <c r="C156" s="25"/>
      <c r="D156" s="25"/>
      <c r="E156" s="25"/>
      <c r="F156" s="25"/>
      <c r="G156" s="16"/>
      <c r="H156" s="25"/>
      <c r="I156" s="16"/>
      <c r="J156" s="25"/>
      <c r="K156" s="25"/>
      <c r="L156" s="25"/>
      <c r="M156" s="25"/>
      <c r="N156" s="25"/>
      <c r="O156" s="25"/>
    </row>
    <row r="157" spans="1:15" x14ac:dyDescent="0.25">
      <c r="A157" s="25"/>
      <c r="B157" s="25"/>
      <c r="C157" s="25"/>
      <c r="D157" s="25"/>
      <c r="E157" s="25"/>
      <c r="F157" s="25"/>
      <c r="G157" s="16"/>
      <c r="H157" s="25"/>
      <c r="I157" s="16"/>
      <c r="J157" s="25"/>
      <c r="K157" s="25"/>
      <c r="L157" s="25"/>
      <c r="M157" s="25"/>
      <c r="N157" s="25"/>
      <c r="O157" s="25"/>
    </row>
    <row r="158" spans="1:15" x14ac:dyDescent="0.25">
      <c r="A158" s="25"/>
      <c r="B158" s="25"/>
      <c r="C158" s="25"/>
      <c r="D158" s="25"/>
      <c r="E158" s="25"/>
      <c r="F158" s="25"/>
      <c r="G158" s="16"/>
      <c r="H158" s="25"/>
      <c r="I158" s="16"/>
      <c r="J158" s="25"/>
      <c r="K158" s="25"/>
      <c r="L158" s="25"/>
      <c r="M158" s="25"/>
      <c r="N158" s="25"/>
      <c r="O158" s="25"/>
    </row>
    <row r="159" spans="1:15" x14ac:dyDescent="0.25">
      <c r="A159" s="25"/>
      <c r="B159" s="25"/>
      <c r="C159" s="25"/>
      <c r="D159" s="25"/>
      <c r="E159" s="25"/>
      <c r="F159" s="25"/>
      <c r="G159" s="16"/>
      <c r="H159" s="25"/>
      <c r="I159" s="16"/>
      <c r="J159" s="25"/>
      <c r="K159" s="25"/>
      <c r="L159" s="25"/>
      <c r="M159" s="25"/>
      <c r="N159" s="25"/>
      <c r="O159" s="25"/>
    </row>
    <row r="160" spans="1:15" x14ac:dyDescent="0.25">
      <c r="A160" s="25"/>
      <c r="B160" s="25"/>
      <c r="C160" s="25"/>
      <c r="D160" s="25"/>
      <c r="E160" s="25"/>
      <c r="F160" s="25"/>
      <c r="G160" s="16"/>
      <c r="H160" s="25"/>
      <c r="I160" s="16"/>
      <c r="J160" s="25"/>
      <c r="K160" s="25"/>
      <c r="L160" s="25"/>
      <c r="M160" s="25"/>
      <c r="N160" s="25"/>
      <c r="O160" s="25"/>
    </row>
    <row r="161" spans="1:15" x14ac:dyDescent="0.25">
      <c r="A161" s="25"/>
      <c r="B161" s="25"/>
      <c r="C161" s="25"/>
      <c r="D161" s="25"/>
      <c r="E161" s="25"/>
      <c r="F161" s="25"/>
      <c r="G161" s="16"/>
      <c r="H161" s="25"/>
      <c r="I161" s="16"/>
      <c r="J161" s="25"/>
      <c r="K161" s="25"/>
      <c r="L161" s="25"/>
      <c r="M161" s="25"/>
      <c r="N161" s="25"/>
      <c r="O161" s="25"/>
    </row>
    <row r="162" spans="1:15" x14ac:dyDescent="0.25">
      <c r="A162" s="25"/>
      <c r="B162" s="25"/>
      <c r="C162" s="25"/>
      <c r="D162" s="25"/>
      <c r="E162" s="25"/>
      <c r="F162" s="25"/>
      <c r="G162" s="16"/>
      <c r="H162" s="25"/>
      <c r="I162" s="16"/>
      <c r="J162" s="25"/>
      <c r="K162" s="25"/>
      <c r="L162" s="25"/>
      <c r="M162" s="25"/>
      <c r="N162" s="25"/>
      <c r="O162" s="25"/>
    </row>
    <row r="163" spans="1:15" x14ac:dyDescent="0.25">
      <c r="A163" s="25"/>
      <c r="B163" s="25"/>
      <c r="C163" s="25"/>
      <c r="D163" s="25"/>
      <c r="E163" s="25"/>
      <c r="F163" s="25"/>
      <c r="G163" s="16"/>
      <c r="H163" s="25"/>
      <c r="I163" s="16"/>
      <c r="J163" s="25"/>
      <c r="K163" s="25"/>
      <c r="L163" s="25"/>
      <c r="M163" s="25"/>
      <c r="N163" s="25"/>
      <c r="O163" s="25"/>
    </row>
    <row r="164" spans="1:15" x14ac:dyDescent="0.25">
      <c r="A164" s="25"/>
      <c r="B164" s="25"/>
      <c r="C164" s="25"/>
      <c r="D164" s="25"/>
      <c r="E164" s="25"/>
      <c r="F164" s="25"/>
      <c r="G164" s="16"/>
      <c r="H164" s="25"/>
      <c r="I164" s="16"/>
      <c r="J164" s="25"/>
      <c r="K164" s="25"/>
      <c r="L164" s="25"/>
      <c r="M164" s="25"/>
      <c r="N164" s="25"/>
      <c r="O164" s="25"/>
    </row>
    <row r="165" spans="1:15" x14ac:dyDescent="0.25">
      <c r="A165" s="25"/>
      <c r="B165" s="25"/>
      <c r="C165" s="25"/>
      <c r="D165" s="25"/>
      <c r="E165" s="25"/>
      <c r="F165" s="25"/>
      <c r="G165" s="16"/>
      <c r="H165" s="25"/>
      <c r="I165" s="16"/>
      <c r="J165" s="25"/>
      <c r="K165" s="25"/>
      <c r="L165" s="25"/>
      <c r="M165" s="25"/>
      <c r="N165" s="25"/>
      <c r="O165" s="25"/>
    </row>
    <row r="166" spans="1:15" x14ac:dyDescent="0.25">
      <c r="A166" s="25"/>
      <c r="B166" s="25"/>
      <c r="C166" s="25"/>
      <c r="D166" s="25"/>
      <c r="E166" s="25"/>
      <c r="F166" s="25"/>
      <c r="G166" s="16"/>
      <c r="H166" s="25"/>
      <c r="I166" s="16"/>
      <c r="J166" s="25"/>
      <c r="K166" s="25"/>
      <c r="L166" s="25"/>
      <c r="M166" s="25"/>
      <c r="N166" s="25"/>
      <c r="O166" s="25"/>
    </row>
    <row r="167" spans="1:15" x14ac:dyDescent="0.25">
      <c r="A167" s="25"/>
      <c r="B167" s="25"/>
      <c r="C167" s="25"/>
      <c r="D167" s="25"/>
      <c r="E167" s="25"/>
      <c r="F167" s="25"/>
      <c r="G167" s="16"/>
      <c r="H167" s="25"/>
      <c r="I167" s="16"/>
      <c r="J167" s="25"/>
      <c r="K167" s="25"/>
      <c r="L167" s="25"/>
      <c r="M167" s="25"/>
      <c r="N167" s="25"/>
      <c r="O167" s="25"/>
    </row>
    <row r="168" spans="1:15" x14ac:dyDescent="0.25">
      <c r="A168" s="25"/>
      <c r="B168" s="25"/>
      <c r="C168" s="25"/>
      <c r="D168" s="25"/>
      <c r="E168" s="25"/>
      <c r="F168" s="25"/>
      <c r="G168" s="16"/>
      <c r="H168" s="25"/>
      <c r="I168" s="16"/>
      <c r="J168" s="25"/>
      <c r="K168" s="25"/>
      <c r="L168" s="25"/>
      <c r="M168" s="25"/>
      <c r="N168" s="25"/>
      <c r="O168" s="25"/>
    </row>
    <row r="169" spans="1:15" x14ac:dyDescent="0.25">
      <c r="A169" s="25"/>
      <c r="B169" s="25"/>
      <c r="C169" s="25"/>
      <c r="D169" s="25"/>
      <c r="E169" s="25"/>
      <c r="F169" s="25"/>
      <c r="G169" s="16"/>
      <c r="H169" s="25"/>
      <c r="I169" s="16"/>
      <c r="J169" s="25"/>
      <c r="K169" s="25"/>
      <c r="L169" s="25"/>
      <c r="M169" s="25"/>
      <c r="N169" s="25"/>
      <c r="O169" s="25"/>
    </row>
    <row r="170" spans="1:15" x14ac:dyDescent="0.25">
      <c r="A170" s="25"/>
      <c r="B170" s="25"/>
      <c r="C170" s="25"/>
      <c r="D170" s="25"/>
      <c r="E170" s="25"/>
      <c r="F170" s="25"/>
      <c r="G170" s="16"/>
      <c r="H170" s="25"/>
      <c r="I170" s="16"/>
      <c r="J170" s="25"/>
      <c r="K170" s="25"/>
      <c r="L170" s="25"/>
      <c r="M170" s="25"/>
      <c r="N170" s="25"/>
      <c r="O170" s="25"/>
    </row>
    <row r="171" spans="1:15" x14ac:dyDescent="0.25">
      <c r="A171" s="25"/>
      <c r="B171" s="25"/>
      <c r="C171" s="25"/>
      <c r="D171" s="25"/>
      <c r="E171" s="25"/>
      <c r="F171" s="25"/>
      <c r="G171" s="16"/>
      <c r="H171" s="25"/>
      <c r="I171" s="16"/>
      <c r="J171" s="25"/>
      <c r="K171" s="25"/>
      <c r="L171" s="25"/>
      <c r="M171" s="25"/>
      <c r="N171" s="25"/>
      <c r="O171" s="25"/>
    </row>
    <row r="172" spans="1:15" x14ac:dyDescent="0.25">
      <c r="A172" s="25"/>
      <c r="B172" s="25"/>
      <c r="C172" s="25"/>
      <c r="D172" s="25"/>
      <c r="E172" s="25"/>
      <c r="F172" s="25"/>
      <c r="G172" s="16"/>
      <c r="H172" s="25"/>
      <c r="I172" s="16"/>
      <c r="J172" s="25"/>
      <c r="K172" s="25"/>
      <c r="L172" s="25"/>
      <c r="M172" s="25"/>
      <c r="N172" s="25"/>
      <c r="O172" s="25"/>
    </row>
    <row r="173" spans="1:15" x14ac:dyDescent="0.25">
      <c r="A173" s="25"/>
      <c r="B173" s="25"/>
      <c r="C173" s="25"/>
      <c r="D173" s="25"/>
      <c r="E173" s="25"/>
      <c r="F173" s="25"/>
      <c r="G173" s="16"/>
      <c r="H173" s="25"/>
      <c r="I173" s="16"/>
      <c r="J173" s="25"/>
      <c r="K173" s="25"/>
      <c r="L173" s="25"/>
      <c r="M173" s="25"/>
      <c r="N173" s="25"/>
      <c r="O173" s="25"/>
    </row>
    <row r="174" spans="1:15" x14ac:dyDescent="0.25">
      <c r="A174" s="25"/>
      <c r="B174" s="25"/>
      <c r="C174" s="25"/>
      <c r="D174" s="25"/>
      <c r="E174" s="25"/>
      <c r="F174" s="25"/>
      <c r="G174" s="16"/>
      <c r="H174" s="25"/>
      <c r="I174" s="16"/>
      <c r="J174" s="25"/>
      <c r="K174" s="25"/>
      <c r="L174" s="25"/>
      <c r="M174" s="25"/>
      <c r="N174" s="25"/>
      <c r="O174" s="25"/>
    </row>
    <row r="175" spans="1:15" x14ac:dyDescent="0.25">
      <c r="A175" s="25"/>
      <c r="B175" s="25"/>
      <c r="C175" s="25"/>
      <c r="D175" s="25"/>
      <c r="E175" s="25"/>
      <c r="F175" s="25"/>
      <c r="G175" s="16"/>
      <c r="H175" s="25"/>
      <c r="I175" s="16"/>
      <c r="J175" s="25"/>
      <c r="K175" s="25"/>
      <c r="L175" s="25"/>
      <c r="M175" s="25"/>
      <c r="N175" s="25"/>
      <c r="O175" s="25"/>
    </row>
    <row r="176" spans="1:15" x14ac:dyDescent="0.25">
      <c r="A176" s="25"/>
      <c r="B176" s="25"/>
      <c r="C176" s="25"/>
      <c r="D176" s="25"/>
      <c r="E176" s="25"/>
      <c r="F176" s="25"/>
      <c r="G176" s="16"/>
      <c r="H176" s="25"/>
      <c r="I176" s="16"/>
      <c r="J176" s="25"/>
      <c r="K176" s="25"/>
      <c r="L176" s="25"/>
      <c r="M176" s="25"/>
      <c r="N176" s="25"/>
      <c r="O176" s="25"/>
    </row>
    <row r="177" spans="1:15" x14ac:dyDescent="0.25">
      <c r="A177" s="25"/>
      <c r="B177" s="25"/>
      <c r="C177" s="25"/>
      <c r="D177" s="25"/>
      <c r="E177" s="25"/>
      <c r="F177" s="25"/>
      <c r="G177" s="16"/>
      <c r="H177" s="25"/>
      <c r="I177" s="16"/>
      <c r="J177" s="25"/>
      <c r="K177" s="25"/>
      <c r="L177" s="25"/>
      <c r="M177" s="25"/>
      <c r="N177" s="25"/>
      <c r="O177" s="25"/>
    </row>
    <row r="178" spans="1:15" x14ac:dyDescent="0.25">
      <c r="A178" s="25"/>
      <c r="B178" s="25"/>
      <c r="C178" s="25"/>
      <c r="D178" s="25"/>
      <c r="E178" s="25"/>
      <c r="F178" s="25"/>
      <c r="G178" s="16"/>
      <c r="H178" s="25"/>
      <c r="I178" s="16"/>
      <c r="J178" s="25"/>
      <c r="K178" s="25"/>
      <c r="L178" s="25"/>
      <c r="M178" s="25"/>
      <c r="N178" s="25"/>
      <c r="O178" s="25"/>
    </row>
    <row r="179" spans="1:15" x14ac:dyDescent="0.25">
      <c r="A179" s="25"/>
      <c r="B179" s="25"/>
      <c r="C179" s="25"/>
      <c r="D179" s="25"/>
      <c r="E179" s="25"/>
      <c r="F179" s="25"/>
      <c r="G179" s="16"/>
      <c r="H179" s="25"/>
      <c r="I179" s="16"/>
      <c r="J179" s="25"/>
      <c r="K179" s="25"/>
      <c r="L179" s="25"/>
      <c r="M179" s="25"/>
      <c r="N179" s="25"/>
      <c r="O179" s="25"/>
    </row>
    <row r="180" spans="1:15" x14ac:dyDescent="0.25">
      <c r="A180" s="25"/>
      <c r="B180" s="25"/>
      <c r="C180" s="25"/>
      <c r="D180" s="25"/>
      <c r="E180" s="25"/>
      <c r="F180" s="25"/>
      <c r="G180" s="16"/>
      <c r="H180" s="25"/>
      <c r="I180" s="16"/>
      <c r="J180" s="25"/>
      <c r="K180" s="25"/>
      <c r="L180" s="25"/>
      <c r="M180" s="25"/>
      <c r="N180" s="25"/>
      <c r="O180" s="25"/>
    </row>
    <row r="181" spans="1:15" x14ac:dyDescent="0.25">
      <c r="A181" s="25"/>
      <c r="B181" s="25"/>
      <c r="C181" s="25"/>
      <c r="D181" s="25"/>
      <c r="E181" s="25"/>
      <c r="F181" s="25"/>
      <c r="G181" s="16"/>
      <c r="H181" s="25"/>
      <c r="I181" s="16"/>
      <c r="J181" s="25"/>
      <c r="K181" s="25"/>
      <c r="L181" s="25"/>
      <c r="M181" s="25"/>
      <c r="N181" s="25"/>
      <c r="O181" s="25"/>
    </row>
    <row r="182" spans="1:15" x14ac:dyDescent="0.25">
      <c r="A182" s="25"/>
      <c r="B182" s="25"/>
      <c r="C182" s="25"/>
      <c r="D182" s="25"/>
      <c r="E182" s="25"/>
      <c r="F182" s="25"/>
      <c r="G182" s="16"/>
      <c r="H182" s="25"/>
      <c r="I182" s="16"/>
      <c r="J182" s="25"/>
      <c r="K182" s="25"/>
      <c r="L182" s="25"/>
      <c r="M182" s="25"/>
      <c r="N182" s="25"/>
      <c r="O182" s="25"/>
    </row>
    <row r="183" spans="1:15" x14ac:dyDescent="0.25">
      <c r="A183" s="25"/>
      <c r="B183" s="25"/>
      <c r="C183" s="25"/>
      <c r="D183" s="25"/>
      <c r="E183" s="25"/>
      <c r="F183" s="25"/>
      <c r="G183" s="16"/>
      <c r="H183" s="25"/>
      <c r="I183" s="16"/>
      <c r="J183" s="25"/>
      <c r="K183" s="25"/>
      <c r="L183" s="25"/>
      <c r="M183" s="25"/>
      <c r="N183" s="25"/>
      <c r="O183" s="25"/>
    </row>
    <row r="184" spans="1:15" x14ac:dyDescent="0.25">
      <c r="A184" s="25"/>
      <c r="B184" s="25"/>
      <c r="C184" s="25"/>
      <c r="D184" s="25"/>
      <c r="E184" s="25"/>
      <c r="F184" s="25"/>
      <c r="G184" s="16"/>
      <c r="H184" s="25"/>
      <c r="I184" s="16"/>
      <c r="J184" s="25"/>
      <c r="K184" s="25"/>
      <c r="L184" s="25"/>
      <c r="M184" s="25"/>
      <c r="N184" s="25"/>
      <c r="O184" s="25"/>
    </row>
    <row r="185" spans="1:15" x14ac:dyDescent="0.25">
      <c r="A185" s="25"/>
      <c r="B185" s="25"/>
      <c r="C185" s="25"/>
      <c r="D185" s="25"/>
      <c r="E185" s="25"/>
      <c r="F185" s="25"/>
      <c r="G185" s="16"/>
      <c r="H185" s="25"/>
      <c r="I185" s="16"/>
      <c r="J185" s="25"/>
      <c r="K185" s="25"/>
      <c r="L185" s="25"/>
      <c r="M185" s="25"/>
      <c r="N185" s="25"/>
      <c r="O185" s="25"/>
    </row>
    <row r="186" spans="1:15" x14ac:dyDescent="0.25">
      <c r="A186" s="25"/>
      <c r="B186" s="25"/>
      <c r="C186" s="25"/>
      <c r="D186" s="25"/>
      <c r="E186" s="25"/>
      <c r="F186" s="25"/>
      <c r="G186" s="16"/>
      <c r="H186" s="25"/>
      <c r="I186" s="16"/>
      <c r="J186" s="25"/>
      <c r="K186" s="25"/>
      <c r="L186" s="25"/>
      <c r="M186" s="25"/>
      <c r="N186" s="25"/>
      <c r="O186" s="25"/>
    </row>
    <row r="187" spans="1:15" x14ac:dyDescent="0.25">
      <c r="A187" s="25"/>
      <c r="B187" s="25"/>
      <c r="C187" s="25"/>
      <c r="D187" s="25"/>
      <c r="E187" s="25"/>
      <c r="F187" s="25"/>
      <c r="G187" s="16"/>
      <c r="H187" s="25"/>
      <c r="I187" s="16"/>
      <c r="J187" s="25"/>
      <c r="K187" s="25"/>
      <c r="L187" s="25"/>
      <c r="M187" s="25"/>
      <c r="N187" s="25"/>
      <c r="O187" s="25"/>
    </row>
    <row r="188" spans="1:15" x14ac:dyDescent="0.25">
      <c r="A188" s="25"/>
      <c r="B188" s="25"/>
      <c r="C188" s="25"/>
      <c r="D188" s="25"/>
      <c r="E188" s="25"/>
      <c r="F188" s="25"/>
      <c r="G188" s="16"/>
      <c r="H188" s="25"/>
      <c r="I188" s="16"/>
      <c r="J188" s="25"/>
      <c r="K188" s="25"/>
      <c r="L188" s="25"/>
      <c r="M188" s="25"/>
      <c r="N188" s="25"/>
      <c r="O188" s="25"/>
    </row>
    <row r="189" spans="1:15" x14ac:dyDescent="0.25">
      <c r="A189" s="25"/>
      <c r="B189" s="25"/>
      <c r="C189" s="25"/>
      <c r="D189" s="25"/>
      <c r="E189" s="25"/>
      <c r="F189" s="25"/>
      <c r="G189" s="16"/>
      <c r="H189" s="25"/>
      <c r="I189" s="16"/>
      <c r="J189" s="25"/>
      <c r="K189" s="25"/>
      <c r="L189" s="25"/>
      <c r="M189" s="25"/>
      <c r="N189" s="25"/>
      <c r="O189" s="25"/>
    </row>
    <row r="190" spans="1:15" x14ac:dyDescent="0.25">
      <c r="A190" s="25"/>
      <c r="B190" s="25"/>
      <c r="C190" s="25"/>
      <c r="D190" s="25"/>
      <c r="E190" s="25"/>
      <c r="F190" s="25"/>
      <c r="G190" s="16"/>
      <c r="H190" s="25"/>
      <c r="I190" s="16"/>
      <c r="J190" s="25"/>
      <c r="K190" s="25"/>
      <c r="L190" s="25"/>
      <c r="M190" s="25"/>
      <c r="N190" s="25"/>
      <c r="O190" s="25"/>
    </row>
    <row r="191" spans="1:15" x14ac:dyDescent="0.25">
      <c r="A191" s="25"/>
      <c r="B191" s="25"/>
      <c r="C191" s="25"/>
      <c r="D191" s="25"/>
      <c r="E191" s="25"/>
      <c r="F191" s="25"/>
      <c r="G191" s="16"/>
      <c r="H191" s="25"/>
      <c r="I191" s="16"/>
      <c r="J191" s="25"/>
      <c r="K191" s="25"/>
      <c r="L191" s="25"/>
      <c r="M191" s="25"/>
      <c r="N191" s="25"/>
      <c r="O191" s="25"/>
    </row>
    <row r="192" spans="1:15" x14ac:dyDescent="0.25">
      <c r="A192" s="25"/>
      <c r="B192" s="25"/>
      <c r="C192" s="25"/>
      <c r="D192" s="25"/>
      <c r="E192" s="25"/>
      <c r="F192" s="25"/>
      <c r="G192" s="16"/>
      <c r="H192" s="25"/>
      <c r="I192" s="16"/>
      <c r="J192" s="25"/>
      <c r="K192" s="25"/>
      <c r="L192" s="25"/>
      <c r="M192" s="25"/>
      <c r="N192" s="25"/>
      <c r="O192" s="25"/>
    </row>
    <row r="193" spans="1:15" x14ac:dyDescent="0.25">
      <c r="A193" s="25"/>
      <c r="B193" s="25"/>
      <c r="C193" s="25"/>
      <c r="D193" s="25"/>
      <c r="E193" s="25"/>
      <c r="F193" s="25"/>
      <c r="G193" s="16"/>
      <c r="H193" s="25"/>
      <c r="I193" s="16"/>
      <c r="J193" s="25"/>
      <c r="K193" s="25"/>
      <c r="L193" s="25"/>
      <c r="M193" s="25"/>
      <c r="N193" s="25"/>
      <c r="O193" s="25"/>
    </row>
    <row r="194" spans="1:15" x14ac:dyDescent="0.25">
      <c r="A194" s="25"/>
      <c r="B194" s="25"/>
      <c r="C194" s="25"/>
      <c r="D194" s="25"/>
      <c r="E194" s="25"/>
      <c r="F194" s="25"/>
      <c r="G194" s="16"/>
      <c r="H194" s="25"/>
      <c r="I194" s="16"/>
      <c r="J194" s="25"/>
      <c r="K194" s="25"/>
      <c r="L194" s="25"/>
      <c r="M194" s="25"/>
      <c r="N194" s="25"/>
      <c r="O194" s="25"/>
    </row>
    <row r="195" spans="1:15" x14ac:dyDescent="0.25">
      <c r="A195" s="25"/>
      <c r="B195" s="25"/>
      <c r="C195" s="25"/>
      <c r="D195" s="25"/>
      <c r="E195" s="25"/>
      <c r="F195" s="25"/>
      <c r="G195" s="16"/>
      <c r="H195" s="25"/>
      <c r="I195" s="16"/>
      <c r="J195" s="25"/>
      <c r="K195" s="25"/>
      <c r="L195" s="25"/>
      <c r="M195" s="25"/>
      <c r="N195" s="25"/>
      <c r="O195" s="25"/>
    </row>
    <row r="196" spans="1:15" x14ac:dyDescent="0.25">
      <c r="A196" s="25"/>
      <c r="B196" s="25"/>
      <c r="C196" s="25"/>
      <c r="D196" s="25"/>
      <c r="E196" s="25"/>
      <c r="F196" s="25"/>
      <c r="G196" s="16"/>
      <c r="H196" s="25"/>
      <c r="I196" s="16"/>
      <c r="J196" s="25"/>
      <c r="K196" s="25"/>
      <c r="L196" s="25"/>
      <c r="M196" s="25"/>
      <c r="N196" s="25"/>
      <c r="O196" s="25"/>
    </row>
    <row r="197" spans="1:15" x14ac:dyDescent="0.25">
      <c r="A197" s="25"/>
      <c r="B197" s="25"/>
      <c r="C197" s="25"/>
      <c r="D197" s="25"/>
      <c r="E197" s="25"/>
      <c r="F197" s="25"/>
      <c r="G197" s="16"/>
      <c r="H197" s="25"/>
      <c r="I197" s="16"/>
      <c r="J197" s="25"/>
      <c r="K197" s="25"/>
      <c r="L197" s="25"/>
      <c r="M197" s="25"/>
      <c r="N197" s="25"/>
      <c r="O197" s="25"/>
    </row>
    <row r="198" spans="1:15" x14ac:dyDescent="0.25">
      <c r="A198" s="25"/>
      <c r="B198" s="25"/>
      <c r="C198" s="25"/>
      <c r="D198" s="25"/>
      <c r="E198" s="25"/>
      <c r="F198" s="25"/>
      <c r="G198" s="16"/>
      <c r="H198" s="25"/>
      <c r="I198" s="16"/>
      <c r="J198" s="25"/>
      <c r="K198" s="25"/>
      <c r="L198" s="25"/>
      <c r="M198" s="25"/>
      <c r="N198" s="25"/>
      <c r="O198" s="25"/>
    </row>
    <row r="199" spans="1:15" x14ac:dyDescent="0.25">
      <c r="A199" s="25"/>
      <c r="B199" s="25"/>
      <c r="C199" s="25"/>
      <c r="D199" s="25"/>
      <c r="E199" s="25"/>
      <c r="F199" s="25"/>
      <c r="G199" s="16"/>
      <c r="H199" s="25"/>
      <c r="I199" s="16"/>
      <c r="J199" s="25"/>
      <c r="K199" s="25"/>
      <c r="L199" s="25"/>
      <c r="M199" s="25"/>
      <c r="N199" s="25"/>
      <c r="O199" s="25"/>
    </row>
    <row r="200" spans="1:15" x14ac:dyDescent="0.25">
      <c r="A200" s="25"/>
      <c r="B200" s="25"/>
      <c r="C200" s="25"/>
      <c r="D200" s="25"/>
      <c r="E200" s="25"/>
      <c r="F200" s="25"/>
      <c r="G200" s="16"/>
      <c r="H200" s="25"/>
      <c r="I200" s="16"/>
      <c r="J200" s="25"/>
      <c r="K200" s="25"/>
      <c r="L200" s="25"/>
      <c r="M200" s="25"/>
      <c r="N200" s="25"/>
      <c r="O200" s="25"/>
    </row>
    <row r="201" spans="1:15" x14ac:dyDescent="0.25">
      <c r="A201" s="25"/>
      <c r="B201" s="25"/>
      <c r="C201" s="25"/>
      <c r="D201" s="25"/>
      <c r="E201" s="25"/>
      <c r="F201" s="25"/>
      <c r="G201" s="16"/>
      <c r="H201" s="25"/>
      <c r="I201" s="16"/>
      <c r="J201" s="25"/>
      <c r="K201" s="25"/>
      <c r="L201" s="25"/>
      <c r="M201" s="25"/>
      <c r="N201" s="25"/>
      <c r="O201" s="25"/>
    </row>
    <row r="202" spans="1:15" x14ac:dyDescent="0.25">
      <c r="A202" s="25"/>
      <c r="B202" s="25"/>
      <c r="C202" s="25"/>
      <c r="D202" s="25"/>
      <c r="E202" s="25"/>
      <c r="F202" s="25"/>
      <c r="G202" s="16"/>
      <c r="H202" s="25"/>
      <c r="I202" s="16"/>
      <c r="J202" s="25"/>
      <c r="K202" s="25"/>
      <c r="L202" s="25"/>
      <c r="M202" s="25"/>
      <c r="N202" s="25"/>
      <c r="O202" s="25"/>
    </row>
    <row r="203" spans="1:15" x14ac:dyDescent="0.25">
      <c r="A203" s="25"/>
      <c r="B203" s="25"/>
      <c r="C203" s="25"/>
      <c r="D203" s="25"/>
      <c r="E203" s="25"/>
      <c r="F203" s="25"/>
      <c r="G203" s="16"/>
      <c r="H203" s="25"/>
      <c r="I203" s="16"/>
      <c r="J203" s="25"/>
      <c r="K203" s="25"/>
      <c r="L203" s="25"/>
      <c r="M203" s="25"/>
      <c r="N203" s="25"/>
      <c r="O203" s="25"/>
    </row>
    <row r="204" spans="1:15" x14ac:dyDescent="0.25">
      <c r="A204" s="25"/>
      <c r="B204" s="25"/>
      <c r="C204" s="25"/>
      <c r="D204" s="25"/>
      <c r="E204" s="25"/>
      <c r="F204" s="25"/>
      <c r="G204" s="16"/>
      <c r="H204" s="25"/>
      <c r="I204" s="16"/>
      <c r="J204" s="25"/>
      <c r="K204" s="25"/>
      <c r="L204" s="25"/>
      <c r="M204" s="25"/>
      <c r="N204" s="25"/>
      <c r="O204" s="25"/>
    </row>
    <row r="205" spans="1:15" x14ac:dyDescent="0.25">
      <c r="A205" s="25"/>
      <c r="B205" s="25"/>
      <c r="C205" s="25"/>
      <c r="D205" s="25"/>
      <c r="E205" s="25"/>
      <c r="F205" s="25"/>
      <c r="G205" s="16"/>
      <c r="H205" s="25"/>
      <c r="I205" s="16"/>
      <c r="J205" s="25"/>
      <c r="K205" s="25"/>
      <c r="L205" s="25"/>
      <c r="M205" s="25"/>
      <c r="N205" s="25"/>
      <c r="O205" s="25"/>
    </row>
    <row r="206" spans="1:15" x14ac:dyDescent="0.25">
      <c r="A206" s="25"/>
      <c r="B206" s="25"/>
      <c r="C206" s="25"/>
      <c r="D206" s="25"/>
      <c r="E206" s="25"/>
      <c r="F206" s="25"/>
      <c r="G206" s="16"/>
      <c r="H206" s="25"/>
      <c r="I206" s="16"/>
      <c r="J206" s="25"/>
      <c r="K206" s="25"/>
      <c r="L206" s="25"/>
      <c r="M206" s="25"/>
      <c r="N206" s="25"/>
      <c r="O206" s="25"/>
    </row>
    <row r="207" spans="1:15" x14ac:dyDescent="0.25">
      <c r="A207" s="25"/>
      <c r="B207" s="25"/>
      <c r="C207" s="25"/>
      <c r="D207" s="25"/>
      <c r="E207" s="25"/>
      <c r="F207" s="25"/>
      <c r="G207" s="16"/>
      <c r="H207" s="25"/>
      <c r="I207" s="16"/>
      <c r="J207" s="25"/>
      <c r="K207" s="25"/>
      <c r="L207" s="25"/>
      <c r="M207" s="25"/>
      <c r="N207" s="25"/>
      <c r="O207" s="25"/>
    </row>
    <row r="208" spans="1:15" x14ac:dyDescent="0.25">
      <c r="A208" s="25"/>
      <c r="B208" s="25"/>
      <c r="C208" s="25"/>
      <c r="D208" s="25"/>
      <c r="E208" s="25"/>
      <c r="F208" s="25"/>
      <c r="G208" s="16"/>
      <c r="H208" s="25"/>
      <c r="I208" s="16"/>
      <c r="J208" s="25"/>
      <c r="K208" s="25"/>
      <c r="L208" s="25"/>
      <c r="M208" s="25"/>
      <c r="N208" s="25"/>
      <c r="O208" s="25"/>
    </row>
    <row r="209" spans="1:15" x14ac:dyDescent="0.25">
      <c r="A209" s="25"/>
      <c r="B209" s="25"/>
      <c r="C209" s="25"/>
      <c r="D209" s="25"/>
      <c r="E209" s="25"/>
      <c r="F209" s="25"/>
      <c r="G209" s="16"/>
      <c r="H209" s="25"/>
      <c r="I209" s="16"/>
      <c r="J209" s="25"/>
      <c r="K209" s="25"/>
      <c r="L209" s="25"/>
      <c r="M209" s="25"/>
      <c r="N209" s="25"/>
      <c r="O209" s="25"/>
    </row>
    <row r="210" spans="1:15" x14ac:dyDescent="0.25">
      <c r="A210" s="25"/>
      <c r="B210" s="25"/>
      <c r="C210" s="25"/>
      <c r="D210" s="25"/>
      <c r="E210" s="25"/>
      <c r="F210" s="25"/>
      <c r="G210" s="16"/>
      <c r="H210" s="25"/>
      <c r="I210" s="16"/>
      <c r="J210" s="25"/>
      <c r="K210" s="25"/>
      <c r="L210" s="25"/>
      <c r="M210" s="25"/>
      <c r="N210" s="25"/>
      <c r="O210" s="25"/>
    </row>
    <row r="211" spans="1:15" x14ac:dyDescent="0.25">
      <c r="A211" s="25"/>
      <c r="B211" s="25"/>
      <c r="C211" s="25"/>
      <c r="D211" s="25"/>
      <c r="E211" s="25"/>
      <c r="F211" s="25"/>
      <c r="G211" s="16"/>
      <c r="H211" s="25"/>
      <c r="I211" s="16"/>
      <c r="J211" s="25"/>
      <c r="K211" s="25"/>
      <c r="L211" s="25"/>
      <c r="M211" s="25"/>
      <c r="N211" s="25"/>
      <c r="O211" s="25"/>
    </row>
    <row r="212" spans="1:15" x14ac:dyDescent="0.25">
      <c r="A212" s="25"/>
      <c r="B212" s="25"/>
      <c r="C212" s="25"/>
      <c r="D212" s="25"/>
      <c r="E212" s="25"/>
      <c r="F212" s="25"/>
      <c r="G212" s="16"/>
      <c r="H212" s="25"/>
      <c r="I212" s="16"/>
      <c r="J212" s="25"/>
      <c r="K212" s="25"/>
      <c r="L212" s="25"/>
      <c r="M212" s="25"/>
      <c r="N212" s="25"/>
      <c r="O212" s="25"/>
    </row>
    <row r="213" spans="1:15" x14ac:dyDescent="0.25">
      <c r="A213" s="25"/>
      <c r="B213" s="25"/>
      <c r="C213" s="25"/>
      <c r="D213" s="25"/>
      <c r="E213" s="25"/>
      <c r="F213" s="25"/>
      <c r="G213" s="16"/>
      <c r="H213" s="25"/>
      <c r="I213" s="16"/>
      <c r="J213" s="25"/>
      <c r="K213" s="25"/>
      <c r="L213" s="25"/>
      <c r="M213" s="25"/>
      <c r="N213" s="25"/>
      <c r="O213" s="25"/>
    </row>
    <row r="214" spans="1:15" x14ac:dyDescent="0.25">
      <c r="A214" s="25"/>
      <c r="B214" s="25"/>
      <c r="C214" s="25"/>
      <c r="D214" s="25"/>
      <c r="E214" s="25"/>
      <c r="F214" s="25"/>
      <c r="G214" s="16"/>
      <c r="H214" s="25"/>
      <c r="I214" s="16"/>
      <c r="J214" s="25"/>
      <c r="K214" s="25"/>
      <c r="L214" s="25"/>
      <c r="M214" s="25"/>
      <c r="N214" s="25"/>
      <c r="O214" s="25"/>
    </row>
    <row r="215" spans="1:15" x14ac:dyDescent="0.25">
      <c r="A215" s="25"/>
      <c r="B215" s="25"/>
      <c r="C215" s="25"/>
      <c r="D215" s="25"/>
      <c r="E215" s="25"/>
      <c r="F215" s="25"/>
      <c r="G215" s="16"/>
      <c r="H215" s="25"/>
      <c r="I215" s="16"/>
      <c r="J215" s="25"/>
      <c r="K215" s="25"/>
      <c r="L215" s="25"/>
      <c r="M215" s="25"/>
      <c r="N215" s="25"/>
      <c r="O215" s="25"/>
    </row>
    <row r="216" spans="1:15" x14ac:dyDescent="0.25">
      <c r="A216" s="25"/>
      <c r="B216" s="25"/>
      <c r="C216" s="25"/>
      <c r="D216" s="25"/>
      <c r="E216" s="25"/>
      <c r="F216" s="25"/>
      <c r="G216" s="16"/>
      <c r="H216" s="25"/>
      <c r="I216" s="16"/>
      <c r="J216" s="25"/>
      <c r="K216" s="25"/>
      <c r="L216" s="25"/>
      <c r="M216" s="25"/>
      <c r="N216" s="25"/>
      <c r="O216" s="25"/>
    </row>
    <row r="217" spans="1:15" x14ac:dyDescent="0.25">
      <c r="A217" s="25"/>
      <c r="B217" s="25"/>
      <c r="C217" s="25"/>
      <c r="D217" s="25"/>
      <c r="E217" s="25"/>
      <c r="F217" s="25"/>
      <c r="G217" s="16"/>
      <c r="H217" s="25"/>
      <c r="I217" s="16"/>
      <c r="J217" s="25"/>
      <c r="K217" s="25"/>
      <c r="L217" s="25"/>
      <c r="M217" s="25"/>
      <c r="N217" s="25"/>
      <c r="O217" s="25"/>
    </row>
    <row r="218" spans="1:15" x14ac:dyDescent="0.25">
      <c r="A218" s="25"/>
      <c r="B218" s="25"/>
      <c r="C218" s="25"/>
      <c r="D218" s="25"/>
      <c r="E218" s="25"/>
      <c r="F218" s="25"/>
      <c r="G218" s="16"/>
      <c r="H218" s="25"/>
      <c r="I218" s="16"/>
      <c r="J218" s="25"/>
      <c r="K218" s="25"/>
      <c r="L218" s="25"/>
      <c r="M218" s="25"/>
      <c r="N218" s="25"/>
      <c r="O218" s="25"/>
    </row>
    <row r="219" spans="1:15" x14ac:dyDescent="0.25">
      <c r="A219" s="25"/>
      <c r="B219" s="25"/>
      <c r="C219" s="25"/>
      <c r="D219" s="25"/>
      <c r="E219" s="25"/>
      <c r="F219" s="25"/>
      <c r="G219" s="16"/>
      <c r="H219" s="25"/>
      <c r="I219" s="16"/>
      <c r="J219" s="25"/>
      <c r="K219" s="25"/>
      <c r="L219" s="25"/>
      <c r="M219" s="25"/>
      <c r="N219" s="25"/>
      <c r="O219" s="25"/>
    </row>
    <row r="220" spans="1:15" x14ac:dyDescent="0.25">
      <c r="A220" s="25"/>
      <c r="B220" s="25"/>
      <c r="C220" s="25"/>
      <c r="D220" s="25"/>
      <c r="E220" s="25"/>
      <c r="F220" s="25"/>
      <c r="G220" s="16"/>
      <c r="H220" s="25"/>
      <c r="I220" s="16"/>
      <c r="J220" s="25"/>
      <c r="K220" s="25"/>
      <c r="L220" s="25"/>
      <c r="M220" s="25"/>
      <c r="N220" s="25"/>
      <c r="O220" s="25"/>
    </row>
    <row r="221" spans="1:15" x14ac:dyDescent="0.25">
      <c r="A221" s="25"/>
      <c r="B221" s="25"/>
      <c r="C221" s="25"/>
      <c r="D221" s="25"/>
      <c r="E221" s="25"/>
      <c r="F221" s="25"/>
      <c r="G221" s="16"/>
      <c r="H221" s="25"/>
      <c r="I221" s="16"/>
      <c r="J221" s="25"/>
      <c r="K221" s="25"/>
      <c r="L221" s="25"/>
      <c r="M221" s="25"/>
      <c r="N221" s="25"/>
      <c r="O221" s="25"/>
    </row>
    <row r="222" spans="1:15" x14ac:dyDescent="0.25">
      <c r="A222" s="25"/>
      <c r="B222" s="25"/>
      <c r="C222" s="25"/>
      <c r="D222" s="25"/>
      <c r="E222" s="25"/>
      <c r="F222" s="25"/>
      <c r="G222" s="16"/>
      <c r="H222" s="25"/>
      <c r="I222" s="16"/>
      <c r="J222" s="25"/>
      <c r="K222" s="25"/>
      <c r="L222" s="25"/>
      <c r="M222" s="25"/>
      <c r="N222" s="25"/>
      <c r="O222" s="25"/>
    </row>
    <row r="223" spans="1:15" x14ac:dyDescent="0.25">
      <c r="A223" s="25"/>
      <c r="B223" s="25"/>
      <c r="C223" s="25"/>
      <c r="D223" s="25"/>
      <c r="E223" s="25"/>
      <c r="F223" s="25"/>
      <c r="G223" s="16"/>
      <c r="H223" s="25"/>
      <c r="I223" s="16"/>
      <c r="J223" s="25"/>
      <c r="K223" s="25"/>
      <c r="L223" s="25"/>
      <c r="M223" s="25"/>
      <c r="N223" s="25"/>
      <c r="O223" s="25"/>
    </row>
    <row r="224" spans="1:15" x14ac:dyDescent="0.25">
      <c r="A224" s="25"/>
      <c r="B224" s="25"/>
      <c r="C224" s="25"/>
      <c r="D224" s="25"/>
      <c r="E224" s="25"/>
      <c r="F224" s="25"/>
      <c r="G224" s="16"/>
      <c r="H224" s="25"/>
      <c r="I224" s="16"/>
      <c r="J224" s="25"/>
      <c r="K224" s="25"/>
      <c r="L224" s="25"/>
      <c r="M224" s="25"/>
      <c r="N224" s="25"/>
      <c r="O224" s="25"/>
    </row>
    <row r="225" spans="1:15" x14ac:dyDescent="0.25">
      <c r="A225" s="25"/>
      <c r="B225" s="25"/>
      <c r="C225" s="25"/>
      <c r="D225" s="25"/>
      <c r="E225" s="25"/>
      <c r="F225" s="25"/>
      <c r="G225" s="16"/>
      <c r="H225" s="25"/>
      <c r="I225" s="16"/>
      <c r="J225" s="25"/>
      <c r="K225" s="25"/>
      <c r="L225" s="25"/>
      <c r="M225" s="25"/>
      <c r="N225" s="25"/>
      <c r="O225" s="25"/>
    </row>
    <row r="226" spans="1:15" x14ac:dyDescent="0.25">
      <c r="A226" s="25"/>
      <c r="B226" s="25"/>
      <c r="C226" s="25"/>
      <c r="D226" s="25"/>
      <c r="E226" s="25"/>
      <c r="F226" s="25"/>
      <c r="G226" s="16"/>
      <c r="H226" s="25"/>
      <c r="I226" s="16"/>
      <c r="J226" s="25"/>
      <c r="K226" s="25"/>
      <c r="L226" s="25"/>
      <c r="M226" s="25"/>
      <c r="N226" s="25"/>
      <c r="O226" s="25"/>
    </row>
    <row r="227" spans="1:15" x14ac:dyDescent="0.25">
      <c r="A227" s="25"/>
      <c r="B227" s="25"/>
      <c r="C227" s="25"/>
      <c r="D227" s="25"/>
      <c r="E227" s="25"/>
      <c r="F227" s="25"/>
      <c r="G227" s="16"/>
      <c r="H227" s="25"/>
      <c r="I227" s="16"/>
      <c r="J227" s="25"/>
      <c r="K227" s="25"/>
      <c r="L227" s="25"/>
      <c r="M227" s="25"/>
      <c r="N227" s="25"/>
      <c r="O227" s="25"/>
    </row>
    <row r="228" spans="1:15" x14ac:dyDescent="0.25">
      <c r="A228" s="25"/>
      <c r="B228" s="25"/>
      <c r="C228" s="25"/>
      <c r="D228" s="25"/>
      <c r="E228" s="25"/>
      <c r="F228" s="25"/>
      <c r="G228" s="16"/>
      <c r="H228" s="25"/>
      <c r="I228" s="16"/>
      <c r="J228" s="25"/>
      <c r="K228" s="25"/>
      <c r="L228" s="25"/>
      <c r="M228" s="25"/>
      <c r="N228" s="25"/>
      <c r="O228" s="25"/>
    </row>
    <row r="229" spans="1:15" x14ac:dyDescent="0.25">
      <c r="A229" s="25"/>
      <c r="B229" s="25"/>
      <c r="C229" s="25"/>
      <c r="D229" s="25"/>
      <c r="E229" s="25"/>
      <c r="F229" s="25"/>
      <c r="G229" s="16"/>
      <c r="H229" s="25"/>
      <c r="I229" s="16"/>
      <c r="J229" s="25"/>
      <c r="K229" s="25"/>
      <c r="L229" s="25"/>
      <c r="M229" s="25"/>
      <c r="N229" s="25"/>
      <c r="O229" s="25"/>
    </row>
    <row r="230" spans="1:15" x14ac:dyDescent="0.25">
      <c r="A230" s="25"/>
      <c r="B230" s="25"/>
      <c r="C230" s="25"/>
      <c r="D230" s="25"/>
      <c r="E230" s="25"/>
      <c r="F230" s="25"/>
      <c r="G230" s="16"/>
      <c r="H230" s="25"/>
      <c r="I230" s="16"/>
      <c r="J230" s="25"/>
      <c r="K230" s="25"/>
      <c r="L230" s="25"/>
      <c r="M230" s="25"/>
      <c r="N230" s="25"/>
      <c r="O230" s="25"/>
    </row>
    <row r="231" spans="1:15" x14ac:dyDescent="0.25">
      <c r="A231" s="25"/>
      <c r="B231" s="25"/>
      <c r="C231" s="25"/>
      <c r="D231" s="25"/>
      <c r="E231" s="25"/>
      <c r="F231" s="25"/>
      <c r="G231" s="16"/>
      <c r="H231" s="25"/>
      <c r="I231" s="16"/>
      <c r="J231" s="25"/>
      <c r="K231" s="25"/>
      <c r="L231" s="25"/>
      <c r="M231" s="25"/>
      <c r="N231" s="25"/>
      <c r="O231" s="25"/>
    </row>
    <row r="232" spans="1:15" x14ac:dyDescent="0.25">
      <c r="A232" s="25"/>
      <c r="B232" s="25"/>
      <c r="C232" s="25"/>
      <c r="D232" s="25"/>
      <c r="E232" s="25"/>
      <c r="F232" s="25"/>
      <c r="G232" s="16"/>
      <c r="H232" s="25"/>
      <c r="I232" s="16"/>
      <c r="J232" s="25"/>
      <c r="K232" s="25"/>
      <c r="L232" s="25"/>
      <c r="M232" s="25"/>
      <c r="N232" s="25"/>
      <c r="O232" s="25"/>
    </row>
    <row r="233" spans="1:15" x14ac:dyDescent="0.25">
      <c r="A233" s="25"/>
      <c r="B233" s="25"/>
      <c r="C233" s="25"/>
      <c r="D233" s="25"/>
      <c r="E233" s="25"/>
      <c r="F233" s="25"/>
      <c r="G233" s="16"/>
      <c r="H233" s="25"/>
      <c r="I233" s="16"/>
      <c r="J233" s="25"/>
      <c r="K233" s="25"/>
      <c r="L233" s="25"/>
      <c r="M233" s="25"/>
      <c r="N233" s="25"/>
      <c r="O233" s="25"/>
    </row>
    <row r="234" spans="1:15" x14ac:dyDescent="0.25">
      <c r="A234" s="25"/>
      <c r="B234" s="25"/>
      <c r="C234" s="25"/>
      <c r="D234" s="25"/>
      <c r="E234" s="25"/>
      <c r="F234" s="25"/>
      <c r="G234" s="16"/>
      <c r="H234" s="25"/>
      <c r="I234" s="16"/>
      <c r="J234" s="25"/>
      <c r="K234" s="25"/>
      <c r="L234" s="25"/>
      <c r="M234" s="25"/>
      <c r="N234" s="25"/>
      <c r="O234" s="25"/>
    </row>
    <row r="235" spans="1:15" x14ac:dyDescent="0.25">
      <c r="A235" s="25"/>
      <c r="B235" s="25"/>
      <c r="C235" s="25"/>
      <c r="D235" s="25"/>
      <c r="E235" s="25"/>
      <c r="F235" s="25"/>
      <c r="G235" s="16"/>
      <c r="H235" s="25"/>
      <c r="I235" s="16"/>
      <c r="J235" s="25"/>
      <c r="K235" s="25"/>
      <c r="L235" s="25"/>
      <c r="M235" s="25"/>
      <c r="N235" s="25"/>
      <c r="O235" s="25"/>
    </row>
    <row r="236" spans="1:15" x14ac:dyDescent="0.25">
      <c r="A236" s="25"/>
      <c r="B236" s="25"/>
      <c r="C236" s="25"/>
      <c r="D236" s="25"/>
      <c r="E236" s="25"/>
      <c r="F236" s="25"/>
      <c r="G236" s="16"/>
      <c r="H236" s="25"/>
      <c r="I236" s="16"/>
      <c r="J236" s="25"/>
      <c r="K236" s="25"/>
      <c r="L236" s="25"/>
      <c r="M236" s="25"/>
      <c r="N236" s="25"/>
      <c r="O236" s="25"/>
    </row>
    <row r="237" spans="1:15" x14ac:dyDescent="0.25">
      <c r="A237" s="25"/>
      <c r="B237" s="25"/>
      <c r="C237" s="25"/>
      <c r="D237" s="25"/>
      <c r="E237" s="25"/>
      <c r="F237" s="25"/>
      <c r="G237" s="16"/>
      <c r="H237" s="25"/>
      <c r="I237" s="16"/>
      <c r="J237" s="25"/>
      <c r="K237" s="25"/>
      <c r="L237" s="25"/>
      <c r="M237" s="25"/>
      <c r="N237" s="25"/>
      <c r="O237" s="25"/>
    </row>
    <row r="238" spans="1:15" x14ac:dyDescent="0.25">
      <c r="A238" s="25"/>
      <c r="B238" s="25"/>
      <c r="C238" s="25"/>
      <c r="D238" s="25"/>
      <c r="E238" s="25"/>
      <c r="F238" s="25"/>
      <c r="G238" s="16"/>
      <c r="H238" s="25"/>
      <c r="I238" s="16"/>
      <c r="J238" s="25"/>
      <c r="K238" s="25"/>
      <c r="L238" s="25"/>
      <c r="M238" s="25"/>
      <c r="N238" s="25"/>
      <c r="O238" s="25"/>
    </row>
    <row r="239" spans="1:15" x14ac:dyDescent="0.25">
      <c r="A239" s="25"/>
      <c r="B239" s="25"/>
      <c r="C239" s="25"/>
      <c r="D239" s="25"/>
      <c r="E239" s="25"/>
      <c r="F239" s="25"/>
      <c r="G239" s="16"/>
      <c r="H239" s="25"/>
      <c r="I239" s="16"/>
      <c r="J239" s="25"/>
      <c r="K239" s="25"/>
      <c r="L239" s="25"/>
      <c r="M239" s="25"/>
      <c r="N239" s="25"/>
      <c r="O239" s="25"/>
    </row>
    <row r="240" spans="1:15" x14ac:dyDescent="0.25">
      <c r="A240" s="25"/>
      <c r="B240" s="25"/>
      <c r="C240" s="25"/>
      <c r="D240" s="25"/>
      <c r="E240" s="25"/>
      <c r="F240" s="25"/>
      <c r="G240" s="16"/>
      <c r="H240" s="25"/>
      <c r="I240" s="16"/>
      <c r="J240" s="25"/>
      <c r="K240" s="25"/>
      <c r="L240" s="25"/>
      <c r="M240" s="25"/>
      <c r="N240" s="25"/>
      <c r="O240" s="25"/>
    </row>
    <row r="241" spans="1:15" x14ac:dyDescent="0.25">
      <c r="A241" s="25"/>
      <c r="B241" s="25"/>
      <c r="C241" s="25"/>
      <c r="D241" s="25"/>
      <c r="E241" s="25"/>
      <c r="F241" s="25"/>
      <c r="G241" s="16"/>
      <c r="H241" s="25"/>
      <c r="I241" s="16"/>
      <c r="J241" s="25"/>
      <c r="K241" s="25"/>
      <c r="L241" s="25"/>
      <c r="M241" s="25"/>
      <c r="N241" s="25"/>
      <c r="O241" s="25"/>
    </row>
    <row r="242" spans="1:15" x14ac:dyDescent="0.25">
      <c r="A242" s="25"/>
      <c r="B242" s="25"/>
      <c r="C242" s="25"/>
      <c r="D242" s="25"/>
      <c r="E242" s="25"/>
      <c r="F242" s="25"/>
      <c r="G242" s="16"/>
      <c r="H242" s="25"/>
      <c r="I242" s="16"/>
      <c r="J242" s="25"/>
      <c r="K242" s="25"/>
      <c r="L242" s="25"/>
      <c r="M242" s="25"/>
      <c r="N242" s="25"/>
      <c r="O242" s="25"/>
    </row>
    <row r="243" spans="1:15" x14ac:dyDescent="0.25">
      <c r="A243" s="25"/>
      <c r="B243" s="25"/>
      <c r="C243" s="25"/>
      <c r="D243" s="25"/>
      <c r="E243" s="25"/>
      <c r="F243" s="25"/>
      <c r="G243" s="16"/>
      <c r="H243" s="25"/>
      <c r="I243" s="16"/>
      <c r="J243" s="25"/>
      <c r="K243" s="25"/>
      <c r="L243" s="25"/>
      <c r="M243" s="25"/>
      <c r="N243" s="25"/>
      <c r="O243" s="25"/>
    </row>
    <row r="244" spans="1:15" x14ac:dyDescent="0.25">
      <c r="A244" s="25"/>
      <c r="B244" s="25"/>
      <c r="C244" s="25"/>
      <c r="D244" s="25"/>
      <c r="E244" s="25"/>
      <c r="F244" s="25"/>
      <c r="G244" s="16"/>
      <c r="H244" s="25"/>
      <c r="I244" s="16"/>
      <c r="J244" s="25"/>
      <c r="K244" s="25"/>
      <c r="L244" s="25"/>
      <c r="M244" s="25"/>
      <c r="N244" s="25"/>
      <c r="O244" s="25"/>
    </row>
    <row r="245" spans="1:15" x14ac:dyDescent="0.25">
      <c r="A245" s="25"/>
      <c r="B245" s="25"/>
      <c r="C245" s="25"/>
      <c r="D245" s="25"/>
      <c r="E245" s="25"/>
      <c r="F245" s="25"/>
      <c r="G245" s="16"/>
      <c r="H245" s="25"/>
      <c r="I245" s="16"/>
      <c r="J245" s="25"/>
      <c r="K245" s="25"/>
      <c r="L245" s="25"/>
      <c r="M245" s="25"/>
      <c r="N245" s="25"/>
      <c r="O245" s="25"/>
    </row>
    <row r="246" spans="1:15" x14ac:dyDescent="0.25">
      <c r="A246" s="25"/>
      <c r="B246" s="25"/>
      <c r="C246" s="25"/>
      <c r="D246" s="25"/>
      <c r="E246" s="25"/>
      <c r="F246" s="25"/>
      <c r="G246" s="16"/>
      <c r="H246" s="25"/>
      <c r="I246" s="16"/>
      <c r="J246" s="25"/>
      <c r="K246" s="25"/>
      <c r="L246" s="25"/>
      <c r="M246" s="25"/>
      <c r="N246" s="25"/>
      <c r="O246" s="25"/>
    </row>
    <row r="247" spans="1:15" x14ac:dyDescent="0.25">
      <c r="A247" s="25"/>
      <c r="B247" s="25"/>
      <c r="C247" s="25"/>
      <c r="D247" s="25"/>
      <c r="E247" s="25"/>
      <c r="F247" s="25"/>
      <c r="G247" s="16"/>
      <c r="H247" s="25"/>
      <c r="I247" s="16"/>
      <c r="J247" s="25"/>
      <c r="K247" s="25"/>
      <c r="L247" s="25"/>
      <c r="M247" s="25"/>
      <c r="N247" s="25"/>
      <c r="O247" s="25"/>
    </row>
    <row r="248" spans="1:15" x14ac:dyDescent="0.25">
      <c r="A248" s="25"/>
      <c r="B248" s="25"/>
      <c r="C248" s="25"/>
      <c r="D248" s="25"/>
      <c r="E248" s="25"/>
      <c r="F248" s="25"/>
      <c r="G248" s="16"/>
      <c r="H248" s="25"/>
      <c r="I248" s="16"/>
      <c r="J248" s="25"/>
      <c r="K248" s="25"/>
      <c r="L248" s="25"/>
      <c r="M248" s="25"/>
      <c r="N248" s="25"/>
      <c r="O248" s="25"/>
    </row>
    <row r="249" spans="1:15" x14ac:dyDescent="0.25">
      <c r="A249" s="25"/>
      <c r="B249" s="25"/>
      <c r="C249" s="25"/>
      <c r="D249" s="25"/>
      <c r="E249" s="25"/>
      <c r="F249" s="25"/>
      <c r="G249" s="16"/>
      <c r="H249" s="25"/>
      <c r="I249" s="16"/>
      <c r="J249" s="25"/>
      <c r="K249" s="25"/>
      <c r="L249" s="25"/>
      <c r="M249" s="25"/>
      <c r="N249" s="25"/>
      <c r="O249" s="25"/>
    </row>
    <row r="250" spans="1:15" x14ac:dyDescent="0.25">
      <c r="A250" s="25"/>
      <c r="B250" s="25"/>
      <c r="C250" s="25"/>
      <c r="D250" s="25"/>
      <c r="E250" s="25"/>
      <c r="F250" s="25"/>
      <c r="G250" s="16"/>
      <c r="H250" s="25"/>
      <c r="I250" s="16"/>
      <c r="J250" s="25"/>
      <c r="K250" s="25"/>
      <c r="L250" s="25"/>
      <c r="M250" s="25"/>
      <c r="N250" s="25"/>
      <c r="O250" s="25"/>
    </row>
    <row r="251" spans="1:15" x14ac:dyDescent="0.25">
      <c r="A251" s="25"/>
      <c r="B251" s="25"/>
      <c r="C251" s="25"/>
      <c r="D251" s="25"/>
      <c r="E251" s="25"/>
      <c r="F251" s="25"/>
      <c r="G251" s="16"/>
      <c r="H251" s="25"/>
      <c r="I251" s="16"/>
      <c r="J251" s="25"/>
      <c r="K251" s="25"/>
      <c r="L251" s="25"/>
      <c r="M251" s="25"/>
      <c r="N251" s="25"/>
      <c r="O251" s="25"/>
    </row>
    <row r="252" spans="1:15" x14ac:dyDescent="0.25">
      <c r="A252" s="25"/>
      <c r="B252" s="25"/>
      <c r="C252" s="25"/>
      <c r="D252" s="25"/>
      <c r="E252" s="25"/>
      <c r="F252" s="25"/>
      <c r="G252" s="16"/>
      <c r="H252" s="25"/>
      <c r="I252" s="16"/>
      <c r="J252" s="25"/>
      <c r="K252" s="25"/>
      <c r="L252" s="25"/>
      <c r="M252" s="25"/>
      <c r="N252" s="25"/>
      <c r="O252" s="25"/>
    </row>
    <row r="253" spans="1:15" x14ac:dyDescent="0.25">
      <c r="A253" s="25"/>
      <c r="B253" s="25"/>
      <c r="C253" s="25"/>
      <c r="D253" s="25"/>
      <c r="E253" s="25"/>
      <c r="F253" s="25"/>
      <c r="G253" s="16"/>
      <c r="H253" s="25"/>
      <c r="I253" s="16"/>
      <c r="J253" s="25"/>
      <c r="K253" s="25"/>
      <c r="L253" s="25"/>
      <c r="M253" s="25"/>
      <c r="N253" s="25"/>
      <c r="O253" s="25"/>
    </row>
    <row r="254" spans="1:15" x14ac:dyDescent="0.25">
      <c r="A254" s="25"/>
      <c r="B254" s="25"/>
      <c r="C254" s="25"/>
      <c r="D254" s="25"/>
      <c r="E254" s="25"/>
      <c r="F254" s="25"/>
      <c r="G254" s="16"/>
      <c r="H254" s="25"/>
      <c r="I254" s="16"/>
      <c r="J254" s="25"/>
      <c r="K254" s="25"/>
      <c r="L254" s="25"/>
      <c r="M254" s="25"/>
      <c r="N254" s="25"/>
      <c r="O254" s="25"/>
    </row>
    <row r="255" spans="1:15" x14ac:dyDescent="0.25">
      <c r="A255" s="25"/>
      <c r="B255" s="25"/>
      <c r="C255" s="25"/>
      <c r="D255" s="25"/>
      <c r="E255" s="25"/>
      <c r="F255" s="25"/>
      <c r="G255" s="16"/>
      <c r="H255" s="25"/>
      <c r="I255" s="16"/>
      <c r="J255" s="25"/>
      <c r="K255" s="25"/>
      <c r="L255" s="25"/>
      <c r="M255" s="25"/>
      <c r="N255" s="25"/>
      <c r="O255" s="25"/>
    </row>
    <row r="256" spans="1:15" x14ac:dyDescent="0.25">
      <c r="A256" s="25"/>
      <c r="B256" s="25"/>
      <c r="C256" s="25"/>
      <c r="D256" s="25"/>
      <c r="E256" s="25"/>
      <c r="F256" s="25"/>
      <c r="G256" s="16"/>
      <c r="H256" s="25"/>
      <c r="I256" s="16"/>
      <c r="J256" s="25"/>
      <c r="K256" s="25"/>
      <c r="L256" s="25"/>
      <c r="M256" s="25"/>
      <c r="N256" s="25"/>
      <c r="O256" s="25"/>
    </row>
    <row r="257" spans="1:15" x14ac:dyDescent="0.25">
      <c r="A257" s="25"/>
      <c r="B257" s="25"/>
      <c r="C257" s="25"/>
      <c r="D257" s="25"/>
      <c r="E257" s="25"/>
      <c r="F257" s="25"/>
      <c r="G257" s="16"/>
      <c r="H257" s="25"/>
      <c r="I257" s="16"/>
      <c r="J257" s="25"/>
      <c r="K257" s="25"/>
      <c r="L257" s="25"/>
      <c r="M257" s="25"/>
      <c r="N257" s="25"/>
      <c r="O257" s="25"/>
    </row>
    <row r="258" spans="1:15" x14ac:dyDescent="0.25">
      <c r="A258" s="25"/>
      <c r="B258" s="25"/>
      <c r="C258" s="25"/>
      <c r="D258" s="25"/>
      <c r="E258" s="25"/>
      <c r="F258" s="25"/>
      <c r="G258" s="16"/>
      <c r="H258" s="25"/>
      <c r="I258" s="16"/>
      <c r="J258" s="25"/>
      <c r="K258" s="25"/>
      <c r="L258" s="25"/>
      <c r="M258" s="25"/>
      <c r="N258" s="25"/>
      <c r="O258" s="25"/>
    </row>
    <row r="259" spans="1:15" x14ac:dyDescent="0.25">
      <c r="A259" s="25"/>
      <c r="B259" s="25"/>
      <c r="C259" s="25"/>
      <c r="D259" s="25"/>
      <c r="E259" s="25"/>
      <c r="F259" s="25"/>
      <c r="G259" s="16"/>
      <c r="H259" s="25"/>
      <c r="I259" s="16"/>
      <c r="J259" s="25"/>
      <c r="K259" s="25"/>
      <c r="L259" s="25"/>
      <c r="M259" s="25"/>
      <c r="N259" s="25"/>
      <c r="O259" s="25"/>
    </row>
    <row r="260" spans="1:15" x14ac:dyDescent="0.25">
      <c r="A260" s="25"/>
      <c r="B260" s="25"/>
      <c r="C260" s="25"/>
      <c r="D260" s="25"/>
      <c r="E260" s="25"/>
      <c r="F260" s="25"/>
      <c r="G260" s="16"/>
      <c r="H260" s="25"/>
      <c r="I260" s="16"/>
      <c r="J260" s="25"/>
      <c r="K260" s="25"/>
      <c r="L260" s="25"/>
      <c r="M260" s="25"/>
      <c r="N260" s="25"/>
      <c r="O260" s="25"/>
    </row>
    <row r="261" spans="1:15" x14ac:dyDescent="0.25">
      <c r="A261" s="25"/>
      <c r="B261" s="25"/>
      <c r="C261" s="25"/>
      <c r="D261" s="25"/>
      <c r="E261" s="25"/>
      <c r="F261" s="25"/>
      <c r="G261" s="16"/>
      <c r="H261" s="25"/>
      <c r="I261" s="16"/>
      <c r="J261" s="25"/>
      <c r="K261" s="25"/>
      <c r="L261" s="25"/>
      <c r="M261" s="25"/>
      <c r="N261" s="25"/>
      <c r="O261" s="25"/>
    </row>
    <row r="262" spans="1:15" x14ac:dyDescent="0.25">
      <c r="A262" s="25"/>
      <c r="B262" s="25"/>
      <c r="C262" s="25"/>
      <c r="D262" s="25"/>
      <c r="E262" s="25"/>
      <c r="F262" s="25"/>
      <c r="G262" s="16"/>
      <c r="H262" s="25"/>
      <c r="I262" s="16"/>
      <c r="J262" s="25"/>
      <c r="K262" s="25"/>
      <c r="L262" s="25"/>
      <c r="M262" s="25"/>
      <c r="N262" s="25"/>
      <c r="O262" s="25"/>
    </row>
    <row r="263" spans="1:15" x14ac:dyDescent="0.25">
      <c r="A263" s="25"/>
      <c r="B263" s="25"/>
      <c r="C263" s="25"/>
      <c r="D263" s="25"/>
      <c r="E263" s="25"/>
      <c r="F263" s="25"/>
      <c r="G263" s="16"/>
      <c r="H263" s="25"/>
      <c r="I263" s="16"/>
      <c r="J263" s="25"/>
      <c r="K263" s="25"/>
      <c r="L263" s="25"/>
      <c r="M263" s="25"/>
      <c r="N263" s="25"/>
      <c r="O263" s="25"/>
    </row>
    <row r="264" spans="1:15" x14ac:dyDescent="0.25">
      <c r="A264" s="25"/>
      <c r="B264" s="25"/>
      <c r="C264" s="25"/>
      <c r="D264" s="25"/>
      <c r="E264" s="25"/>
      <c r="F264" s="25"/>
      <c r="G264" s="16"/>
      <c r="H264" s="25"/>
      <c r="I264" s="16"/>
      <c r="J264" s="25"/>
      <c r="K264" s="25"/>
      <c r="L264" s="25"/>
      <c r="M264" s="25"/>
      <c r="N264" s="25"/>
      <c r="O264" s="25"/>
    </row>
    <row r="265" spans="1:15" x14ac:dyDescent="0.25">
      <c r="A265" s="25"/>
      <c r="B265" s="25"/>
      <c r="C265" s="25"/>
      <c r="D265" s="25"/>
      <c r="E265" s="25"/>
      <c r="F265" s="25"/>
      <c r="G265" s="16"/>
      <c r="H265" s="25"/>
      <c r="I265" s="16"/>
      <c r="J265" s="25"/>
      <c r="K265" s="25"/>
      <c r="L265" s="25"/>
      <c r="M265" s="25"/>
      <c r="N265" s="25"/>
      <c r="O265" s="25"/>
    </row>
    <row r="266" spans="1:15" x14ac:dyDescent="0.25">
      <c r="A266" s="25"/>
      <c r="B266" s="25"/>
      <c r="C266" s="25"/>
      <c r="D266" s="25"/>
      <c r="E266" s="25"/>
      <c r="F266" s="25"/>
      <c r="G266" s="16"/>
      <c r="H266" s="25"/>
      <c r="I266" s="16"/>
      <c r="J266" s="25"/>
      <c r="K266" s="25"/>
      <c r="L266" s="25"/>
      <c r="M266" s="25"/>
      <c r="N266" s="25"/>
      <c r="O266" s="25"/>
    </row>
    <row r="267" spans="1:15" x14ac:dyDescent="0.25">
      <c r="A267" s="25"/>
      <c r="B267" s="25"/>
      <c r="C267" s="25"/>
      <c r="D267" s="25"/>
      <c r="E267" s="25"/>
      <c r="F267" s="25"/>
      <c r="G267" s="16"/>
      <c r="H267" s="25"/>
      <c r="I267" s="16"/>
      <c r="J267" s="25"/>
      <c r="K267" s="25"/>
      <c r="L267" s="25"/>
      <c r="M267" s="25"/>
      <c r="N267" s="25"/>
      <c r="O267" s="25"/>
    </row>
    <row r="268" spans="1:15" x14ac:dyDescent="0.25">
      <c r="A268" s="25"/>
      <c r="B268" s="25"/>
      <c r="C268" s="25"/>
      <c r="D268" s="25"/>
      <c r="E268" s="25"/>
      <c r="F268" s="25"/>
      <c r="G268" s="16"/>
      <c r="H268" s="25"/>
      <c r="I268" s="16"/>
      <c r="J268" s="25"/>
      <c r="K268" s="25"/>
      <c r="L268" s="25"/>
      <c r="M268" s="25"/>
      <c r="N268" s="25"/>
      <c r="O268" s="25"/>
    </row>
    <row r="269" spans="1:15" x14ac:dyDescent="0.25">
      <c r="A269" s="25"/>
      <c r="B269" s="25"/>
      <c r="C269" s="25"/>
      <c r="D269" s="25"/>
      <c r="E269" s="25"/>
      <c r="F269" s="25"/>
      <c r="G269" s="16"/>
      <c r="H269" s="25"/>
      <c r="I269" s="16"/>
      <c r="J269" s="25"/>
      <c r="K269" s="25"/>
      <c r="L269" s="25"/>
      <c r="M269" s="25"/>
      <c r="N269" s="25"/>
      <c r="O269" s="25"/>
    </row>
    <row r="270" spans="1:15" x14ac:dyDescent="0.25">
      <c r="A270" s="25"/>
      <c r="B270" s="25"/>
      <c r="C270" s="25"/>
      <c r="D270" s="25"/>
      <c r="E270" s="25"/>
      <c r="F270" s="25"/>
      <c r="G270" s="16"/>
      <c r="H270" s="25"/>
      <c r="I270" s="16"/>
      <c r="J270" s="25"/>
      <c r="K270" s="25"/>
      <c r="L270" s="25"/>
      <c r="M270" s="25"/>
      <c r="N270" s="25"/>
      <c r="O270" s="25"/>
    </row>
    <row r="271" spans="1:15" x14ac:dyDescent="0.25">
      <c r="A271" s="25"/>
      <c r="B271" s="25"/>
      <c r="C271" s="25"/>
      <c r="D271" s="25"/>
      <c r="E271" s="25"/>
      <c r="F271" s="25"/>
      <c r="G271" s="16"/>
      <c r="H271" s="25"/>
      <c r="I271" s="16"/>
      <c r="J271" s="25"/>
      <c r="K271" s="25"/>
      <c r="L271" s="25"/>
      <c r="M271" s="25"/>
      <c r="N271" s="25"/>
      <c r="O271" s="25"/>
    </row>
    <row r="272" spans="1:15" x14ac:dyDescent="0.25">
      <c r="A272" s="25"/>
      <c r="B272" s="25"/>
      <c r="C272" s="25"/>
      <c r="D272" s="25"/>
      <c r="E272" s="25"/>
      <c r="F272" s="25"/>
      <c r="G272" s="16"/>
      <c r="H272" s="25"/>
      <c r="I272" s="16"/>
      <c r="J272" s="25"/>
      <c r="K272" s="25"/>
      <c r="L272" s="25"/>
      <c r="M272" s="25"/>
      <c r="N272" s="25"/>
      <c r="O272" s="25"/>
    </row>
    <row r="273" spans="1:15" x14ac:dyDescent="0.25">
      <c r="A273" s="25"/>
      <c r="B273" s="25"/>
      <c r="C273" s="25"/>
      <c r="D273" s="25"/>
      <c r="E273" s="25"/>
      <c r="F273" s="25"/>
      <c r="G273" s="16"/>
      <c r="H273" s="25"/>
      <c r="I273" s="16"/>
      <c r="J273" s="25"/>
      <c r="K273" s="25"/>
      <c r="L273" s="25"/>
      <c r="M273" s="25"/>
      <c r="N273" s="25"/>
      <c r="O273" s="25"/>
    </row>
    <row r="274" spans="1:15" x14ac:dyDescent="0.25">
      <c r="A274" s="25"/>
      <c r="B274" s="25"/>
      <c r="C274" s="25"/>
      <c r="D274" s="25"/>
      <c r="E274" s="25"/>
      <c r="F274" s="25"/>
      <c r="G274" s="16"/>
      <c r="H274" s="25"/>
      <c r="I274" s="16"/>
      <c r="J274" s="25"/>
      <c r="K274" s="25"/>
      <c r="L274" s="25"/>
      <c r="M274" s="25"/>
      <c r="N274" s="25"/>
      <c r="O274" s="25"/>
    </row>
    <row r="275" spans="1:15" x14ac:dyDescent="0.25">
      <c r="A275" s="25"/>
      <c r="B275" s="25"/>
      <c r="C275" s="25"/>
      <c r="D275" s="25"/>
      <c r="E275" s="25"/>
      <c r="F275" s="25"/>
      <c r="G275" s="16"/>
      <c r="H275" s="25"/>
      <c r="I275" s="16"/>
      <c r="J275" s="25"/>
      <c r="K275" s="25"/>
      <c r="L275" s="25"/>
      <c r="M275" s="25"/>
      <c r="N275" s="25"/>
      <c r="O275" s="25"/>
    </row>
    <row r="276" spans="1:15" x14ac:dyDescent="0.25">
      <c r="A276" s="25"/>
      <c r="B276" s="25"/>
      <c r="C276" s="25"/>
      <c r="D276" s="25"/>
      <c r="E276" s="25"/>
      <c r="F276" s="25"/>
      <c r="G276" s="16"/>
      <c r="H276" s="25"/>
      <c r="I276" s="16"/>
      <c r="J276" s="25"/>
      <c r="K276" s="25"/>
      <c r="L276" s="25"/>
      <c r="M276" s="25"/>
      <c r="N276" s="25"/>
      <c r="O276" s="25"/>
    </row>
    <row r="277" spans="1:15" x14ac:dyDescent="0.25">
      <c r="A277" s="25"/>
      <c r="B277" s="25"/>
      <c r="C277" s="25"/>
      <c r="D277" s="25"/>
      <c r="E277" s="25"/>
      <c r="F277" s="25"/>
      <c r="G277" s="16"/>
      <c r="H277" s="25"/>
      <c r="I277" s="16"/>
      <c r="J277" s="25"/>
      <c r="K277" s="25"/>
      <c r="L277" s="25"/>
      <c r="M277" s="25"/>
      <c r="N277" s="25"/>
      <c r="O277" s="25"/>
    </row>
    <row r="278" spans="1:15" x14ac:dyDescent="0.25">
      <c r="A278" s="25"/>
      <c r="B278" s="25"/>
      <c r="C278" s="25"/>
      <c r="D278" s="25"/>
      <c r="E278" s="25"/>
      <c r="F278" s="25"/>
      <c r="G278" s="16"/>
      <c r="H278" s="25"/>
      <c r="I278" s="16"/>
      <c r="J278" s="25"/>
      <c r="K278" s="25"/>
      <c r="L278" s="25"/>
      <c r="M278" s="25"/>
      <c r="N278" s="25"/>
      <c r="O278" s="25"/>
    </row>
    <row r="279" spans="1:15" x14ac:dyDescent="0.25">
      <c r="A279" s="25"/>
      <c r="B279" s="25"/>
      <c r="C279" s="25"/>
      <c r="D279" s="25"/>
      <c r="E279" s="25"/>
      <c r="F279" s="25"/>
      <c r="G279" s="16"/>
      <c r="H279" s="25"/>
      <c r="I279" s="16"/>
      <c r="J279" s="25"/>
      <c r="K279" s="25"/>
      <c r="L279" s="25"/>
      <c r="M279" s="25"/>
      <c r="N279" s="25"/>
      <c r="O279" s="25"/>
    </row>
    <row r="280" spans="1:15" x14ac:dyDescent="0.25">
      <c r="A280" s="25"/>
      <c r="B280" s="25"/>
      <c r="C280" s="25"/>
      <c r="D280" s="25"/>
      <c r="E280" s="25"/>
      <c r="F280" s="25"/>
      <c r="G280" s="16"/>
      <c r="H280" s="25"/>
      <c r="I280" s="16"/>
      <c r="J280" s="25"/>
      <c r="K280" s="25"/>
      <c r="L280" s="25"/>
      <c r="M280" s="25"/>
      <c r="N280" s="25"/>
      <c r="O280" s="25"/>
    </row>
    <row r="281" spans="1:15" x14ac:dyDescent="0.25">
      <c r="A281" s="25"/>
      <c r="B281" s="25"/>
      <c r="C281" s="25"/>
      <c r="D281" s="25"/>
      <c r="E281" s="25"/>
      <c r="F281" s="25"/>
      <c r="G281" s="16"/>
      <c r="H281" s="25"/>
      <c r="I281" s="16"/>
      <c r="J281" s="25"/>
      <c r="K281" s="25"/>
      <c r="L281" s="25"/>
      <c r="M281" s="25"/>
      <c r="N281" s="25"/>
      <c r="O281" s="25"/>
    </row>
    <row r="282" spans="1:15" x14ac:dyDescent="0.25">
      <c r="A282" s="25"/>
      <c r="B282" s="25"/>
      <c r="C282" s="25"/>
      <c r="D282" s="25"/>
      <c r="E282" s="25"/>
      <c r="F282" s="25"/>
      <c r="G282" s="16"/>
      <c r="H282" s="25"/>
      <c r="I282" s="16"/>
      <c r="J282" s="25"/>
      <c r="K282" s="25"/>
      <c r="L282" s="25"/>
      <c r="M282" s="25"/>
      <c r="N282" s="25"/>
      <c r="O282" s="25"/>
    </row>
    <row r="283" spans="1:15" x14ac:dyDescent="0.25">
      <c r="A283" s="25"/>
      <c r="B283" s="25"/>
      <c r="C283" s="25"/>
      <c r="D283" s="25"/>
      <c r="E283" s="25"/>
      <c r="F283" s="25"/>
      <c r="G283" s="16"/>
      <c r="H283" s="25"/>
      <c r="I283" s="16"/>
      <c r="J283" s="25"/>
      <c r="K283" s="25"/>
      <c r="L283" s="25"/>
      <c r="M283" s="25"/>
      <c r="N283" s="25"/>
      <c r="O283" s="25"/>
    </row>
    <row r="284" spans="1:15" x14ac:dyDescent="0.25">
      <c r="A284" s="25"/>
      <c r="B284" s="25"/>
      <c r="C284" s="25"/>
      <c r="D284" s="25"/>
      <c r="E284" s="25"/>
      <c r="F284" s="25"/>
      <c r="G284" s="16"/>
      <c r="H284" s="25"/>
      <c r="I284" s="16"/>
      <c r="J284" s="25"/>
      <c r="K284" s="25"/>
      <c r="L284" s="25"/>
      <c r="M284" s="25"/>
      <c r="N284" s="25"/>
      <c r="O284" s="25"/>
    </row>
    <row r="285" spans="1:15" x14ac:dyDescent="0.25">
      <c r="A285" s="25"/>
      <c r="B285" s="25"/>
      <c r="C285" s="25"/>
      <c r="D285" s="25"/>
      <c r="E285" s="25"/>
      <c r="F285" s="25"/>
      <c r="G285" s="16"/>
      <c r="H285" s="25"/>
      <c r="I285" s="16"/>
      <c r="J285" s="25"/>
      <c r="K285" s="25"/>
      <c r="L285" s="25"/>
      <c r="M285" s="25"/>
      <c r="N285" s="25"/>
      <c r="O285" s="25"/>
    </row>
    <row r="286" spans="1:15" x14ac:dyDescent="0.25">
      <c r="A286" s="25"/>
      <c r="B286" s="25"/>
      <c r="C286" s="25"/>
      <c r="D286" s="25"/>
      <c r="E286" s="25"/>
      <c r="F286" s="25"/>
      <c r="G286" s="16"/>
      <c r="H286" s="25"/>
      <c r="I286" s="16"/>
      <c r="J286" s="25"/>
      <c r="K286" s="25"/>
      <c r="L286" s="25"/>
      <c r="M286" s="25"/>
      <c r="N286" s="25"/>
      <c r="O286" s="25"/>
    </row>
    <row r="287" spans="1:15" x14ac:dyDescent="0.25">
      <c r="A287" s="25"/>
      <c r="B287" s="25"/>
      <c r="C287" s="25"/>
      <c r="D287" s="25"/>
      <c r="E287" s="25"/>
      <c r="F287" s="25"/>
      <c r="G287" s="16"/>
      <c r="H287" s="25"/>
      <c r="I287" s="16"/>
      <c r="J287" s="25"/>
      <c r="K287" s="25"/>
      <c r="L287" s="25"/>
      <c r="M287" s="25"/>
      <c r="N287" s="25"/>
      <c r="O287" s="25"/>
    </row>
    <row r="288" spans="1:15" x14ac:dyDescent="0.25">
      <c r="A288" s="25"/>
      <c r="B288" s="25"/>
      <c r="C288" s="25"/>
      <c r="D288" s="25"/>
      <c r="E288" s="25"/>
      <c r="F288" s="25"/>
      <c r="G288" s="16"/>
      <c r="H288" s="25"/>
      <c r="I288" s="16"/>
      <c r="J288" s="25"/>
      <c r="K288" s="25"/>
      <c r="L288" s="25"/>
      <c r="M288" s="25"/>
      <c r="N288" s="25"/>
      <c r="O288" s="25"/>
    </row>
    <row r="289" spans="1:15" x14ac:dyDescent="0.25">
      <c r="A289" s="25"/>
      <c r="B289" s="25"/>
      <c r="C289" s="25"/>
      <c r="D289" s="25"/>
      <c r="E289" s="25"/>
      <c r="F289" s="25"/>
      <c r="G289" s="16"/>
      <c r="H289" s="25"/>
      <c r="I289" s="16"/>
      <c r="J289" s="25"/>
      <c r="K289" s="25"/>
      <c r="L289" s="25"/>
      <c r="M289" s="25"/>
      <c r="N289" s="25"/>
      <c r="O289" s="25"/>
    </row>
    <row r="290" spans="1:15" x14ac:dyDescent="0.25">
      <c r="A290" s="25"/>
      <c r="B290" s="25"/>
      <c r="C290" s="25"/>
      <c r="D290" s="25"/>
      <c r="E290" s="25"/>
      <c r="F290" s="25"/>
      <c r="G290" s="16"/>
      <c r="H290" s="25"/>
      <c r="I290" s="16"/>
      <c r="J290" s="25"/>
      <c r="K290" s="25"/>
      <c r="L290" s="25"/>
      <c r="M290" s="25"/>
      <c r="N290" s="25"/>
      <c r="O290" s="25"/>
    </row>
    <row r="291" spans="1:15" x14ac:dyDescent="0.25">
      <c r="A291" s="25"/>
      <c r="B291" s="25"/>
      <c r="C291" s="25"/>
      <c r="D291" s="25"/>
      <c r="E291" s="25"/>
      <c r="F291" s="25"/>
      <c r="G291" s="16"/>
      <c r="H291" s="25"/>
      <c r="I291" s="16"/>
      <c r="J291" s="25"/>
      <c r="K291" s="25"/>
      <c r="L291" s="25"/>
      <c r="M291" s="25"/>
      <c r="N291" s="25"/>
      <c r="O291" s="25"/>
    </row>
    <row r="292" spans="1:15" x14ac:dyDescent="0.25">
      <c r="A292" s="25"/>
      <c r="B292" s="25"/>
      <c r="C292" s="25"/>
      <c r="D292" s="25"/>
      <c r="E292" s="25"/>
      <c r="F292" s="25"/>
      <c r="G292" s="16"/>
      <c r="H292" s="25"/>
      <c r="I292" s="16"/>
      <c r="J292" s="25"/>
      <c r="K292" s="25"/>
      <c r="L292" s="25"/>
      <c r="M292" s="25"/>
      <c r="N292" s="25"/>
      <c r="O292" s="25"/>
    </row>
    <row r="293" spans="1:15" x14ac:dyDescent="0.25">
      <c r="A293" s="25"/>
      <c r="B293" s="25"/>
      <c r="C293" s="25"/>
      <c r="D293" s="25"/>
      <c r="E293" s="25"/>
      <c r="F293" s="25"/>
      <c r="G293" s="16"/>
      <c r="H293" s="25"/>
      <c r="I293" s="16"/>
      <c r="J293" s="25"/>
      <c r="K293" s="25"/>
      <c r="L293" s="25"/>
      <c r="M293" s="25"/>
      <c r="N293" s="25"/>
      <c r="O293" s="25"/>
    </row>
    <row r="294" spans="1:15" x14ac:dyDescent="0.25">
      <c r="A294" s="25"/>
      <c r="B294" s="25"/>
      <c r="C294" s="25"/>
      <c r="D294" s="25"/>
      <c r="E294" s="25"/>
      <c r="F294" s="25"/>
      <c r="G294" s="16"/>
      <c r="H294" s="25"/>
      <c r="I294" s="16"/>
      <c r="J294" s="25"/>
      <c r="K294" s="25"/>
      <c r="L294" s="25"/>
      <c r="M294" s="25"/>
      <c r="N294" s="25"/>
      <c r="O294" s="25"/>
    </row>
    <row r="295" spans="1:15" x14ac:dyDescent="0.25">
      <c r="A295" s="25"/>
      <c r="B295" s="25"/>
      <c r="C295" s="25"/>
      <c r="D295" s="25"/>
      <c r="E295" s="25"/>
      <c r="F295" s="25"/>
      <c r="G295" s="16"/>
      <c r="H295" s="25"/>
      <c r="I295" s="16"/>
      <c r="J295" s="25"/>
      <c r="K295" s="25"/>
      <c r="L295" s="25"/>
      <c r="M295" s="25"/>
      <c r="N295" s="25"/>
      <c r="O295" s="25"/>
    </row>
    <row r="296" spans="1:15" x14ac:dyDescent="0.25">
      <c r="A296" s="25"/>
      <c r="B296" s="25"/>
      <c r="C296" s="25"/>
      <c r="D296" s="25"/>
      <c r="E296" s="25"/>
      <c r="F296" s="25"/>
      <c r="G296" s="16"/>
      <c r="H296" s="25"/>
      <c r="I296" s="16"/>
      <c r="J296" s="25"/>
      <c r="K296" s="25"/>
      <c r="L296" s="25"/>
      <c r="M296" s="25"/>
      <c r="N296" s="25"/>
      <c r="O296" s="25"/>
    </row>
    <row r="297" spans="1:15" x14ac:dyDescent="0.25">
      <c r="A297" s="25"/>
      <c r="B297" s="25"/>
      <c r="C297" s="25"/>
      <c r="D297" s="25"/>
      <c r="E297" s="25"/>
      <c r="F297" s="25"/>
      <c r="G297" s="16"/>
      <c r="H297" s="25"/>
      <c r="I297" s="16"/>
      <c r="J297" s="25"/>
      <c r="K297" s="25"/>
      <c r="L297" s="25"/>
      <c r="M297" s="25"/>
      <c r="N297" s="25"/>
      <c r="O297" s="25"/>
    </row>
    <row r="298" spans="1:15" x14ac:dyDescent="0.25">
      <c r="A298" s="25"/>
      <c r="B298" s="25"/>
      <c r="C298" s="25"/>
      <c r="D298" s="25"/>
      <c r="E298" s="25"/>
      <c r="F298" s="25"/>
      <c r="G298" s="16"/>
      <c r="H298" s="25"/>
      <c r="I298" s="16"/>
      <c r="J298" s="25"/>
      <c r="K298" s="25"/>
      <c r="L298" s="25"/>
      <c r="M298" s="25"/>
      <c r="N298" s="25"/>
      <c r="O298" s="25"/>
    </row>
    <row r="299" spans="1:15" x14ac:dyDescent="0.25">
      <c r="A299" s="25"/>
      <c r="B299" s="25"/>
      <c r="C299" s="25"/>
      <c r="D299" s="25"/>
      <c r="E299" s="25"/>
      <c r="F299" s="25"/>
      <c r="G299" s="16"/>
      <c r="H299" s="25"/>
      <c r="I299" s="16"/>
      <c r="J299" s="25"/>
      <c r="K299" s="25"/>
      <c r="L299" s="25"/>
      <c r="M299" s="25"/>
      <c r="N299" s="25"/>
      <c r="O299" s="25"/>
    </row>
    <row r="300" spans="1:15" x14ac:dyDescent="0.25">
      <c r="A300" s="25"/>
      <c r="B300" s="25"/>
      <c r="C300" s="25"/>
      <c r="D300" s="25"/>
      <c r="E300" s="25"/>
      <c r="F300" s="25"/>
      <c r="G300" s="16"/>
      <c r="H300" s="25"/>
      <c r="I300" s="16"/>
      <c r="J300" s="25"/>
      <c r="K300" s="25"/>
      <c r="L300" s="25"/>
      <c r="M300" s="25"/>
      <c r="N300" s="25"/>
      <c r="O300" s="25"/>
    </row>
    <row r="301" spans="1:15" x14ac:dyDescent="0.25">
      <c r="A301" s="25"/>
      <c r="B301" s="25"/>
      <c r="C301" s="25"/>
      <c r="D301" s="25"/>
      <c r="E301" s="25"/>
      <c r="F301" s="25"/>
      <c r="G301" s="16"/>
      <c r="H301" s="25"/>
      <c r="I301" s="16"/>
      <c r="J301" s="25"/>
      <c r="K301" s="25"/>
      <c r="L301" s="25"/>
      <c r="M301" s="25"/>
      <c r="N301" s="25"/>
      <c r="O301" s="25"/>
    </row>
    <row r="302" spans="1:15" x14ac:dyDescent="0.25">
      <c r="A302" s="25"/>
      <c r="B302" s="25"/>
      <c r="C302" s="25"/>
      <c r="D302" s="25"/>
      <c r="E302" s="25"/>
      <c r="F302" s="25"/>
      <c r="G302" s="16"/>
      <c r="H302" s="25"/>
      <c r="I302" s="16"/>
      <c r="J302" s="25"/>
      <c r="K302" s="25"/>
      <c r="L302" s="25"/>
      <c r="M302" s="25"/>
      <c r="N302" s="25"/>
      <c r="O302" s="25"/>
    </row>
    <row r="303" spans="1:15" x14ac:dyDescent="0.25">
      <c r="A303" s="25"/>
      <c r="B303" s="25"/>
      <c r="C303" s="25"/>
      <c r="D303" s="25"/>
      <c r="E303" s="25"/>
      <c r="F303" s="25"/>
      <c r="G303" s="16"/>
      <c r="H303" s="25"/>
      <c r="I303" s="16"/>
      <c r="J303" s="25"/>
      <c r="K303" s="25"/>
      <c r="L303" s="25"/>
      <c r="M303" s="25"/>
      <c r="N303" s="25"/>
      <c r="O303" s="25"/>
    </row>
    <row r="304" spans="1:15" x14ac:dyDescent="0.25">
      <c r="A304" s="25"/>
      <c r="B304" s="25"/>
      <c r="C304" s="25"/>
      <c r="D304" s="25"/>
      <c r="E304" s="25"/>
      <c r="F304" s="25"/>
      <c r="G304" s="16"/>
      <c r="H304" s="25"/>
      <c r="I304" s="16"/>
      <c r="J304" s="25"/>
      <c r="K304" s="25"/>
      <c r="L304" s="25"/>
      <c r="M304" s="25"/>
      <c r="N304" s="25"/>
      <c r="O304" s="25"/>
    </row>
    <row r="305" spans="1:15" x14ac:dyDescent="0.25">
      <c r="A305" s="25"/>
      <c r="B305" s="25"/>
      <c r="C305" s="25"/>
      <c r="D305" s="25"/>
      <c r="E305" s="25"/>
      <c r="F305" s="25"/>
      <c r="G305" s="16"/>
      <c r="H305" s="25"/>
      <c r="I305" s="16"/>
      <c r="J305" s="25"/>
      <c r="K305" s="25"/>
      <c r="L305" s="25"/>
      <c r="M305" s="25"/>
      <c r="N305" s="25"/>
      <c r="O305" s="25"/>
    </row>
    <row r="306" spans="1:15" x14ac:dyDescent="0.25">
      <c r="A306" s="25"/>
      <c r="B306" s="25"/>
      <c r="C306" s="25"/>
      <c r="D306" s="25"/>
      <c r="E306" s="25"/>
      <c r="F306" s="25"/>
      <c r="G306" s="16"/>
      <c r="H306" s="25"/>
      <c r="I306" s="16"/>
      <c r="J306" s="25"/>
      <c r="K306" s="25"/>
      <c r="L306" s="25"/>
      <c r="M306" s="25"/>
      <c r="N306" s="25"/>
      <c r="O306" s="25"/>
    </row>
    <row r="307" spans="1:15" x14ac:dyDescent="0.25">
      <c r="A307" s="25"/>
      <c r="B307" s="25"/>
      <c r="C307" s="25"/>
      <c r="D307" s="25"/>
      <c r="E307" s="25"/>
      <c r="F307" s="25"/>
      <c r="G307" s="16"/>
      <c r="H307" s="25"/>
      <c r="I307" s="16"/>
      <c r="J307" s="25"/>
      <c r="K307" s="25"/>
      <c r="L307" s="25"/>
      <c r="M307" s="25"/>
      <c r="N307" s="25"/>
      <c r="O307" s="25"/>
    </row>
    <row r="308" spans="1:15" x14ac:dyDescent="0.25">
      <c r="A308" s="25"/>
      <c r="B308" s="25"/>
      <c r="C308" s="25"/>
      <c r="D308" s="25"/>
      <c r="E308" s="25"/>
      <c r="F308" s="25"/>
      <c r="G308" s="16"/>
      <c r="H308" s="25"/>
      <c r="I308" s="16"/>
      <c r="J308" s="25"/>
      <c r="K308" s="25"/>
      <c r="L308" s="25"/>
      <c r="M308" s="25"/>
      <c r="N308" s="25"/>
      <c r="O308" s="25"/>
    </row>
    <row r="309" spans="1:15" x14ac:dyDescent="0.25">
      <c r="A309" s="25"/>
      <c r="B309" s="25"/>
      <c r="C309" s="25"/>
      <c r="D309" s="25"/>
      <c r="E309" s="25"/>
      <c r="F309" s="25"/>
      <c r="G309" s="16"/>
      <c r="H309" s="25"/>
      <c r="I309" s="16"/>
      <c r="J309" s="25"/>
      <c r="K309" s="25"/>
      <c r="L309" s="25"/>
      <c r="M309" s="25"/>
      <c r="N309" s="25"/>
      <c r="O309" s="25"/>
    </row>
    <row r="310" spans="1:15" x14ac:dyDescent="0.25">
      <c r="A310" s="25"/>
      <c r="B310" s="25"/>
      <c r="C310" s="25"/>
      <c r="D310" s="25"/>
      <c r="E310" s="25"/>
      <c r="F310" s="25"/>
      <c r="G310" s="16"/>
      <c r="H310" s="25"/>
      <c r="I310" s="16"/>
      <c r="J310" s="25"/>
      <c r="K310" s="25"/>
      <c r="L310" s="25"/>
      <c r="M310" s="25"/>
      <c r="N310" s="25"/>
      <c r="O310" s="25"/>
    </row>
    <row r="311" spans="1:15" x14ac:dyDescent="0.25">
      <c r="A311" s="25"/>
      <c r="B311" s="25"/>
      <c r="C311" s="25"/>
      <c r="D311" s="25"/>
      <c r="E311" s="25"/>
      <c r="F311" s="25"/>
      <c r="G311" s="16"/>
      <c r="H311" s="25"/>
      <c r="I311" s="16"/>
      <c r="J311" s="25"/>
      <c r="K311" s="25"/>
      <c r="L311" s="25"/>
      <c r="M311" s="25"/>
      <c r="N311" s="25"/>
      <c r="O311" s="25"/>
    </row>
    <row r="312" spans="1:15" x14ac:dyDescent="0.25">
      <c r="A312" s="25"/>
      <c r="B312" s="25"/>
      <c r="C312" s="25"/>
      <c r="D312" s="25"/>
      <c r="E312" s="25"/>
      <c r="F312" s="25"/>
      <c r="G312" s="16"/>
      <c r="H312" s="25"/>
      <c r="I312" s="16"/>
      <c r="J312" s="25"/>
      <c r="K312" s="25"/>
      <c r="L312" s="25"/>
      <c r="M312" s="25"/>
      <c r="N312" s="25"/>
      <c r="O312" s="25"/>
    </row>
    <row r="313" spans="1:15" x14ac:dyDescent="0.25">
      <c r="A313" s="25"/>
      <c r="B313" s="25"/>
      <c r="C313" s="25"/>
      <c r="D313" s="25"/>
      <c r="E313" s="25"/>
      <c r="F313" s="25"/>
      <c r="G313" s="16"/>
      <c r="H313" s="25"/>
      <c r="I313" s="16"/>
      <c r="J313" s="25"/>
      <c r="K313" s="25"/>
      <c r="L313" s="25"/>
      <c r="M313" s="25"/>
      <c r="N313" s="25"/>
      <c r="O313" s="25"/>
    </row>
    <row r="314" spans="1:15" x14ac:dyDescent="0.25">
      <c r="A314" s="25"/>
      <c r="B314" s="25"/>
      <c r="C314" s="25"/>
      <c r="D314" s="25"/>
      <c r="E314" s="25"/>
      <c r="F314" s="25"/>
      <c r="G314" s="16"/>
      <c r="H314" s="25"/>
      <c r="I314" s="16"/>
      <c r="J314" s="25"/>
      <c r="K314" s="25"/>
      <c r="L314" s="25"/>
      <c r="M314" s="25"/>
      <c r="N314" s="25"/>
      <c r="O314" s="25"/>
    </row>
    <row r="315" spans="1:15" x14ac:dyDescent="0.25">
      <c r="A315" s="25"/>
      <c r="B315" s="25"/>
      <c r="C315" s="25"/>
      <c r="D315" s="25"/>
      <c r="E315" s="25"/>
      <c r="F315" s="25"/>
      <c r="G315" s="16"/>
      <c r="H315" s="25"/>
      <c r="I315" s="16"/>
      <c r="J315" s="25"/>
      <c r="K315" s="25"/>
      <c r="L315" s="25"/>
      <c r="M315" s="25"/>
      <c r="N315" s="25"/>
      <c r="O315" s="25"/>
    </row>
    <row r="316" spans="1:15" x14ac:dyDescent="0.25">
      <c r="A316" s="25"/>
      <c r="B316" s="25"/>
      <c r="C316" s="25"/>
      <c r="D316" s="25"/>
      <c r="E316" s="25"/>
      <c r="F316" s="25"/>
      <c r="G316" s="16"/>
      <c r="H316" s="25"/>
      <c r="I316" s="16"/>
      <c r="J316" s="25"/>
      <c r="K316" s="25"/>
      <c r="L316" s="25"/>
      <c r="M316" s="25"/>
      <c r="N316" s="25"/>
      <c r="O316" s="25"/>
    </row>
    <row r="317" spans="1:15" x14ac:dyDescent="0.25">
      <c r="A317" s="25"/>
      <c r="B317" s="25"/>
      <c r="C317" s="25"/>
      <c r="D317" s="25"/>
      <c r="E317" s="25"/>
      <c r="F317" s="25"/>
      <c r="G317" s="16"/>
      <c r="H317" s="25"/>
      <c r="I317" s="16"/>
      <c r="J317" s="25"/>
      <c r="K317" s="25"/>
      <c r="L317" s="25"/>
      <c r="M317" s="25"/>
      <c r="N317" s="25"/>
      <c r="O317" s="25"/>
    </row>
    <row r="318" spans="1:15" x14ac:dyDescent="0.25">
      <c r="A318" s="25"/>
      <c r="B318" s="25"/>
      <c r="C318" s="25"/>
      <c r="D318" s="25"/>
      <c r="E318" s="25"/>
      <c r="F318" s="25"/>
      <c r="G318" s="16"/>
      <c r="H318" s="25"/>
      <c r="I318" s="16"/>
      <c r="J318" s="25"/>
      <c r="K318" s="25"/>
      <c r="L318" s="25"/>
      <c r="M318" s="25"/>
      <c r="N318" s="25"/>
      <c r="O318" s="25"/>
    </row>
    <row r="319" spans="1:15" x14ac:dyDescent="0.25">
      <c r="A319" s="25"/>
      <c r="B319" s="25"/>
      <c r="C319" s="25"/>
      <c r="D319" s="25"/>
      <c r="E319" s="25"/>
      <c r="F319" s="25"/>
      <c r="G319" s="16"/>
      <c r="H319" s="25"/>
      <c r="I319" s="16"/>
      <c r="J319" s="25"/>
      <c r="K319" s="25"/>
      <c r="L319" s="25"/>
      <c r="M319" s="25"/>
      <c r="N319" s="25"/>
      <c r="O319" s="25"/>
    </row>
    <row r="320" spans="1:15" x14ac:dyDescent="0.25">
      <c r="A320" s="25"/>
      <c r="B320" s="25"/>
      <c r="C320" s="25"/>
      <c r="D320" s="25"/>
      <c r="E320" s="25"/>
      <c r="F320" s="25"/>
      <c r="G320" s="16"/>
      <c r="H320" s="25"/>
      <c r="I320" s="16"/>
      <c r="J320" s="25"/>
      <c r="K320" s="25"/>
      <c r="L320" s="25"/>
      <c r="M320" s="25"/>
      <c r="N320" s="25"/>
      <c r="O320" s="25"/>
    </row>
    <row r="321" spans="1:15" x14ac:dyDescent="0.25">
      <c r="A321" s="25"/>
      <c r="B321" s="25"/>
      <c r="C321" s="25"/>
      <c r="D321" s="25"/>
      <c r="E321" s="25"/>
      <c r="F321" s="25"/>
      <c r="G321" s="16"/>
      <c r="H321" s="25"/>
      <c r="I321" s="16"/>
      <c r="J321" s="25"/>
      <c r="K321" s="25"/>
      <c r="L321" s="25"/>
      <c r="M321" s="25"/>
      <c r="N321" s="25"/>
      <c r="O321" s="25"/>
    </row>
    <row r="322" spans="1:15" x14ac:dyDescent="0.25">
      <c r="A322" s="25"/>
      <c r="B322" s="25"/>
      <c r="C322" s="25"/>
      <c r="D322" s="25"/>
      <c r="E322" s="25"/>
      <c r="F322" s="25"/>
      <c r="G322" s="16"/>
      <c r="H322" s="25"/>
      <c r="I322" s="16"/>
      <c r="J322" s="25"/>
      <c r="K322" s="25"/>
      <c r="L322" s="25"/>
      <c r="M322" s="25"/>
      <c r="N322" s="25"/>
      <c r="O322" s="25"/>
    </row>
    <row r="323" spans="1:15" x14ac:dyDescent="0.25">
      <c r="A323" s="25"/>
      <c r="B323" s="25"/>
      <c r="C323" s="25"/>
      <c r="D323" s="25"/>
      <c r="E323" s="25"/>
      <c r="F323" s="25"/>
      <c r="G323" s="16"/>
      <c r="H323" s="25"/>
      <c r="I323" s="16"/>
      <c r="J323" s="25"/>
      <c r="K323" s="25"/>
      <c r="L323" s="25"/>
      <c r="M323" s="25"/>
      <c r="N323" s="25"/>
      <c r="O323" s="25"/>
    </row>
    <row r="324" spans="1:15" x14ac:dyDescent="0.25">
      <c r="A324" s="25"/>
      <c r="B324" s="25"/>
      <c r="C324" s="25"/>
      <c r="D324" s="25"/>
      <c r="E324" s="25"/>
      <c r="F324" s="25"/>
      <c r="G324" s="16"/>
      <c r="H324" s="25"/>
      <c r="I324" s="16"/>
      <c r="J324" s="25"/>
      <c r="K324" s="25"/>
      <c r="L324" s="25"/>
      <c r="M324" s="25"/>
      <c r="N324" s="25"/>
      <c r="O324" s="25"/>
    </row>
    <row r="325" spans="1:15" x14ac:dyDescent="0.25">
      <c r="A325" s="25"/>
      <c r="B325" s="25"/>
      <c r="C325" s="25"/>
      <c r="D325" s="25"/>
      <c r="E325" s="25"/>
      <c r="F325" s="25"/>
      <c r="G325" s="16"/>
      <c r="H325" s="25"/>
      <c r="I325" s="16"/>
      <c r="J325" s="25"/>
      <c r="K325" s="25"/>
      <c r="L325" s="25"/>
      <c r="M325" s="25"/>
      <c r="N325" s="25"/>
      <c r="O325" s="25"/>
    </row>
    <row r="326" spans="1:15" x14ac:dyDescent="0.25">
      <c r="A326" s="25"/>
      <c r="B326" s="25"/>
      <c r="C326" s="25"/>
      <c r="D326" s="25"/>
      <c r="E326" s="25"/>
      <c r="F326" s="25"/>
      <c r="G326" s="16"/>
      <c r="H326" s="25"/>
      <c r="I326" s="16"/>
      <c r="J326" s="25"/>
      <c r="K326" s="25"/>
      <c r="L326" s="25"/>
      <c r="M326" s="25"/>
      <c r="N326" s="25"/>
      <c r="O326" s="25"/>
    </row>
    <row r="327" spans="1:15" x14ac:dyDescent="0.25">
      <c r="A327" s="25"/>
      <c r="B327" s="25"/>
      <c r="C327" s="25"/>
      <c r="D327" s="25"/>
      <c r="E327" s="25"/>
      <c r="F327" s="25"/>
      <c r="G327" s="16"/>
      <c r="H327" s="25"/>
      <c r="I327" s="16"/>
      <c r="J327" s="25"/>
      <c r="K327" s="25"/>
      <c r="L327" s="25"/>
      <c r="M327" s="25"/>
      <c r="N327" s="25"/>
      <c r="O327" s="25"/>
    </row>
    <row r="328" spans="1:15" x14ac:dyDescent="0.25">
      <c r="A328" s="25"/>
      <c r="B328" s="25"/>
      <c r="C328" s="25"/>
      <c r="D328" s="25"/>
      <c r="E328" s="25"/>
      <c r="F328" s="25"/>
      <c r="G328" s="16"/>
      <c r="H328" s="25"/>
      <c r="I328" s="16"/>
      <c r="J328" s="25"/>
      <c r="K328" s="25"/>
      <c r="L328" s="25"/>
      <c r="M328" s="25"/>
      <c r="N328" s="25"/>
      <c r="O328" s="25"/>
    </row>
    <row r="329" spans="1:15" x14ac:dyDescent="0.25">
      <c r="A329" s="25"/>
      <c r="B329" s="25"/>
      <c r="C329" s="25"/>
      <c r="D329" s="25"/>
      <c r="E329" s="25"/>
      <c r="F329" s="25"/>
      <c r="G329" s="16"/>
      <c r="H329" s="25"/>
      <c r="I329" s="16"/>
      <c r="J329" s="25"/>
      <c r="K329" s="25"/>
      <c r="L329" s="25"/>
      <c r="M329" s="25"/>
      <c r="N329" s="25"/>
      <c r="O329" s="25"/>
    </row>
    <row r="330" spans="1:15" x14ac:dyDescent="0.25">
      <c r="A330" s="25"/>
      <c r="B330" s="25"/>
      <c r="C330" s="25"/>
      <c r="D330" s="25"/>
      <c r="E330" s="25"/>
      <c r="F330" s="25"/>
      <c r="G330" s="16"/>
      <c r="H330" s="25"/>
      <c r="I330" s="16"/>
      <c r="J330" s="25"/>
      <c r="K330" s="25"/>
      <c r="L330" s="25"/>
      <c r="M330" s="25"/>
      <c r="N330" s="25"/>
      <c r="O330" s="25"/>
    </row>
    <row r="331" spans="1:15" x14ac:dyDescent="0.25">
      <c r="A331" s="25"/>
      <c r="B331" s="25"/>
      <c r="C331" s="25"/>
      <c r="D331" s="25"/>
      <c r="E331" s="25"/>
      <c r="F331" s="25"/>
      <c r="G331" s="16"/>
      <c r="H331" s="25"/>
      <c r="I331" s="16"/>
      <c r="J331" s="25"/>
      <c r="K331" s="25"/>
      <c r="L331" s="25"/>
      <c r="M331" s="25"/>
      <c r="N331" s="25"/>
      <c r="O331" s="25"/>
    </row>
    <row r="332" spans="1:15" x14ac:dyDescent="0.25">
      <c r="A332" s="25"/>
      <c r="B332" s="25"/>
      <c r="C332" s="25"/>
      <c r="D332" s="25"/>
      <c r="E332" s="25"/>
      <c r="F332" s="25"/>
      <c r="G332" s="16"/>
      <c r="H332" s="25"/>
      <c r="I332" s="16"/>
      <c r="J332" s="25"/>
      <c r="K332" s="25"/>
      <c r="L332" s="25"/>
      <c r="M332" s="25"/>
      <c r="N332" s="25"/>
      <c r="O332" s="25"/>
    </row>
    <row r="333" spans="1:15" x14ac:dyDescent="0.25">
      <c r="A333" s="25"/>
      <c r="B333" s="25"/>
      <c r="C333" s="25"/>
      <c r="D333" s="25"/>
      <c r="E333" s="25"/>
      <c r="F333" s="25"/>
      <c r="G333" s="16"/>
      <c r="H333" s="25"/>
      <c r="I333" s="16"/>
      <c r="J333" s="25"/>
      <c r="K333" s="25"/>
      <c r="L333" s="25"/>
      <c r="M333" s="25"/>
      <c r="N333" s="25"/>
      <c r="O333" s="25"/>
    </row>
    <row r="334" spans="1:15" x14ac:dyDescent="0.25">
      <c r="A334" s="25"/>
      <c r="B334" s="25"/>
      <c r="C334" s="25"/>
      <c r="D334" s="25"/>
      <c r="E334" s="25"/>
      <c r="F334" s="25"/>
      <c r="G334" s="16"/>
      <c r="H334" s="25"/>
      <c r="I334" s="16"/>
      <c r="J334" s="25"/>
      <c r="K334" s="25"/>
      <c r="L334" s="25"/>
      <c r="M334" s="25"/>
      <c r="N334" s="25"/>
      <c r="O334" s="25"/>
    </row>
    <row r="335" spans="1:15" x14ac:dyDescent="0.25">
      <c r="A335" s="25"/>
      <c r="B335" s="25"/>
      <c r="C335" s="25"/>
      <c r="D335" s="25"/>
      <c r="E335" s="25"/>
      <c r="F335" s="25"/>
      <c r="G335" s="16"/>
      <c r="H335" s="25"/>
      <c r="I335" s="16"/>
      <c r="J335" s="25"/>
      <c r="K335" s="25"/>
      <c r="L335" s="25"/>
      <c r="M335" s="25"/>
      <c r="N335" s="25"/>
      <c r="O335" s="25"/>
    </row>
    <row r="336" spans="1:15" x14ac:dyDescent="0.25">
      <c r="A336" s="25"/>
      <c r="B336" s="25"/>
      <c r="C336" s="25"/>
      <c r="D336" s="25"/>
      <c r="E336" s="25"/>
      <c r="F336" s="25"/>
      <c r="G336" s="16"/>
      <c r="H336" s="25"/>
      <c r="I336" s="16"/>
      <c r="J336" s="25"/>
      <c r="K336" s="25"/>
      <c r="L336" s="25"/>
      <c r="M336" s="25"/>
      <c r="N336" s="25"/>
      <c r="O336" s="25"/>
    </row>
    <row r="337" spans="1:15" x14ac:dyDescent="0.25">
      <c r="A337" s="25"/>
      <c r="B337" s="25"/>
      <c r="C337" s="25"/>
      <c r="D337" s="25"/>
      <c r="E337" s="25"/>
      <c r="F337" s="25"/>
      <c r="G337" s="16"/>
      <c r="H337" s="25"/>
      <c r="I337" s="16"/>
      <c r="J337" s="25"/>
      <c r="K337" s="25"/>
      <c r="L337" s="25"/>
      <c r="M337" s="25"/>
      <c r="N337" s="25"/>
      <c r="O337" s="25"/>
    </row>
    <row r="338" spans="1:15" x14ac:dyDescent="0.25">
      <c r="A338" s="25"/>
      <c r="B338" s="25"/>
      <c r="C338" s="25"/>
      <c r="D338" s="25"/>
      <c r="E338" s="25"/>
      <c r="F338" s="25"/>
      <c r="G338" s="16"/>
      <c r="H338" s="25"/>
      <c r="I338" s="16"/>
      <c r="J338" s="25"/>
      <c r="K338" s="25"/>
      <c r="L338" s="25"/>
      <c r="M338" s="25"/>
      <c r="N338" s="25"/>
      <c r="O338" s="25"/>
    </row>
    <row r="339" spans="1:15" x14ac:dyDescent="0.25">
      <c r="A339" s="25"/>
      <c r="B339" s="25"/>
      <c r="C339" s="25"/>
      <c r="D339" s="25"/>
      <c r="E339" s="25"/>
      <c r="F339" s="25"/>
      <c r="G339" s="16"/>
      <c r="H339" s="25"/>
      <c r="I339" s="16"/>
      <c r="J339" s="25"/>
      <c r="K339" s="25"/>
      <c r="L339" s="25"/>
      <c r="M339" s="25"/>
      <c r="N339" s="25"/>
      <c r="O339" s="25"/>
    </row>
    <row r="340" spans="1:15" x14ac:dyDescent="0.25">
      <c r="A340" s="25"/>
      <c r="B340" s="25"/>
      <c r="C340" s="25"/>
      <c r="D340" s="25"/>
      <c r="E340" s="25"/>
      <c r="F340" s="25"/>
      <c r="G340" s="16"/>
      <c r="H340" s="25"/>
      <c r="I340" s="16"/>
      <c r="J340" s="25"/>
      <c r="K340" s="25"/>
      <c r="L340" s="25"/>
      <c r="M340" s="25"/>
      <c r="N340" s="25"/>
      <c r="O340" s="25"/>
    </row>
    <row r="341" spans="1:15" x14ac:dyDescent="0.25">
      <c r="A341" s="25"/>
      <c r="B341" s="25"/>
      <c r="C341" s="25"/>
      <c r="D341" s="25"/>
      <c r="E341" s="25"/>
      <c r="F341" s="25"/>
      <c r="G341" s="16"/>
      <c r="H341" s="25"/>
      <c r="I341" s="16"/>
      <c r="J341" s="25"/>
      <c r="K341" s="25"/>
      <c r="L341" s="25"/>
      <c r="M341" s="25"/>
      <c r="N341" s="25"/>
      <c r="O341" s="25"/>
    </row>
    <row r="342" spans="1:15" x14ac:dyDescent="0.25">
      <c r="A342" s="25"/>
      <c r="B342" s="25"/>
      <c r="C342" s="25"/>
      <c r="D342" s="25"/>
      <c r="E342" s="25"/>
      <c r="F342" s="25"/>
      <c r="G342" s="16"/>
      <c r="H342" s="25"/>
      <c r="I342" s="16"/>
      <c r="J342" s="25"/>
      <c r="K342" s="25"/>
      <c r="L342" s="25"/>
      <c r="M342" s="25"/>
      <c r="N342" s="25"/>
      <c r="O342" s="25"/>
    </row>
    <row r="343" spans="1:15" x14ac:dyDescent="0.25">
      <c r="A343" s="25"/>
      <c r="B343" s="25"/>
      <c r="C343" s="25"/>
      <c r="D343" s="25"/>
      <c r="E343" s="25"/>
      <c r="F343" s="25"/>
      <c r="G343" s="16"/>
      <c r="H343" s="25"/>
      <c r="I343" s="16"/>
      <c r="J343" s="25"/>
      <c r="K343" s="25"/>
      <c r="L343" s="25"/>
      <c r="M343" s="25"/>
      <c r="N343" s="25"/>
      <c r="O343" s="25"/>
    </row>
    <row r="344" spans="1:15" x14ac:dyDescent="0.25">
      <c r="A344" s="25"/>
      <c r="B344" s="25"/>
      <c r="C344" s="25"/>
      <c r="D344" s="25"/>
      <c r="E344" s="25"/>
      <c r="F344" s="25"/>
      <c r="G344" s="16"/>
      <c r="H344" s="25"/>
      <c r="I344" s="16"/>
      <c r="J344" s="25"/>
      <c r="K344" s="25"/>
      <c r="L344" s="25"/>
      <c r="M344" s="25"/>
      <c r="N344" s="25"/>
      <c r="O344" s="25"/>
    </row>
    <row r="345" spans="1:15" x14ac:dyDescent="0.25">
      <c r="A345" s="25"/>
      <c r="B345" s="25"/>
      <c r="C345" s="25"/>
      <c r="D345" s="25"/>
      <c r="E345" s="25"/>
      <c r="F345" s="25"/>
      <c r="G345" s="16"/>
      <c r="H345" s="25"/>
      <c r="I345" s="16"/>
      <c r="J345" s="25"/>
      <c r="K345" s="25"/>
      <c r="L345" s="25"/>
      <c r="M345" s="25"/>
      <c r="N345" s="25"/>
      <c r="O345" s="25"/>
    </row>
    <row r="346" spans="1:15" x14ac:dyDescent="0.25">
      <c r="A346" s="25"/>
      <c r="B346" s="25"/>
      <c r="C346" s="25"/>
      <c r="D346" s="25"/>
      <c r="E346" s="25"/>
      <c r="F346" s="25"/>
      <c r="G346" s="16"/>
      <c r="H346" s="25"/>
      <c r="I346" s="16"/>
      <c r="J346" s="25"/>
      <c r="K346" s="25"/>
      <c r="L346" s="25"/>
      <c r="M346" s="25"/>
      <c r="N346" s="25"/>
      <c r="O346" s="25"/>
    </row>
    <row r="347" spans="1:15" x14ac:dyDescent="0.25">
      <c r="A347" s="25"/>
      <c r="B347" s="25"/>
      <c r="C347" s="25"/>
      <c r="D347" s="25"/>
      <c r="E347" s="25"/>
      <c r="F347" s="25"/>
      <c r="G347" s="16"/>
      <c r="H347" s="25"/>
      <c r="I347" s="16"/>
      <c r="J347" s="25"/>
      <c r="K347" s="25"/>
      <c r="L347" s="25"/>
      <c r="M347" s="25"/>
      <c r="N347" s="25"/>
      <c r="O347" s="25"/>
    </row>
    <row r="348" spans="1:15" x14ac:dyDescent="0.25">
      <c r="A348" s="25"/>
      <c r="B348" s="25"/>
      <c r="C348" s="25"/>
      <c r="D348" s="25"/>
      <c r="E348" s="25"/>
      <c r="F348" s="25"/>
      <c r="G348" s="16"/>
      <c r="H348" s="25"/>
      <c r="I348" s="16"/>
      <c r="J348" s="25"/>
      <c r="K348" s="25"/>
      <c r="L348" s="25"/>
      <c r="M348" s="25"/>
      <c r="N348" s="25"/>
      <c r="O348" s="25"/>
    </row>
    <row r="349" spans="1:15" x14ac:dyDescent="0.25">
      <c r="A349" s="25"/>
      <c r="B349" s="25"/>
      <c r="C349" s="25"/>
      <c r="D349" s="25"/>
      <c r="E349" s="25"/>
      <c r="F349" s="25"/>
      <c r="G349" s="16"/>
      <c r="H349" s="25"/>
      <c r="I349" s="16"/>
      <c r="J349" s="25"/>
      <c r="K349" s="25"/>
      <c r="L349" s="25"/>
      <c r="M349" s="25"/>
      <c r="N349" s="25"/>
      <c r="O349" s="25"/>
    </row>
    <row r="350" spans="1:15" x14ac:dyDescent="0.25">
      <c r="A350" s="25"/>
      <c r="B350" s="25"/>
      <c r="C350" s="25"/>
      <c r="D350" s="25"/>
      <c r="E350" s="25"/>
      <c r="F350" s="25"/>
      <c r="G350" s="16"/>
      <c r="H350" s="25"/>
      <c r="I350" s="16"/>
      <c r="J350" s="25"/>
      <c r="K350" s="25"/>
      <c r="L350" s="25"/>
      <c r="M350" s="25"/>
      <c r="N350" s="25"/>
      <c r="O350" s="25"/>
    </row>
    <row r="351" spans="1:15" x14ac:dyDescent="0.25">
      <c r="A351" s="25"/>
      <c r="B351" s="25"/>
      <c r="C351" s="25"/>
      <c r="D351" s="25"/>
      <c r="E351" s="25"/>
      <c r="F351" s="25"/>
      <c r="G351" s="16"/>
      <c r="H351" s="25"/>
      <c r="I351" s="16"/>
      <c r="J351" s="25"/>
      <c r="K351" s="25"/>
      <c r="L351" s="25"/>
      <c r="M351" s="25"/>
      <c r="N351" s="25"/>
      <c r="O351" s="25"/>
    </row>
    <row r="352" spans="1:15" x14ac:dyDescent="0.25">
      <c r="A352" s="25"/>
      <c r="B352" s="25"/>
      <c r="C352" s="25"/>
      <c r="D352" s="25"/>
      <c r="E352" s="25"/>
      <c r="F352" s="25"/>
      <c r="G352" s="16"/>
      <c r="H352" s="25"/>
      <c r="I352" s="16"/>
      <c r="J352" s="25"/>
      <c r="K352" s="25"/>
      <c r="L352" s="25"/>
      <c r="M352" s="25"/>
      <c r="N352" s="25"/>
      <c r="O352" s="25"/>
    </row>
    <row r="353" spans="1:15" x14ac:dyDescent="0.25">
      <c r="A353" s="25"/>
      <c r="B353" s="25"/>
      <c r="C353" s="25"/>
      <c r="D353" s="25"/>
      <c r="E353" s="25"/>
      <c r="F353" s="25"/>
      <c r="G353" s="16"/>
      <c r="H353" s="25"/>
      <c r="I353" s="16"/>
      <c r="J353" s="25"/>
      <c r="K353" s="25"/>
      <c r="L353" s="25"/>
      <c r="M353" s="25"/>
      <c r="N353" s="25"/>
      <c r="O353" s="25"/>
    </row>
    <row r="354" spans="1:15" x14ac:dyDescent="0.25">
      <c r="A354" s="25"/>
      <c r="B354" s="25"/>
      <c r="C354" s="25"/>
      <c r="D354" s="25"/>
      <c r="E354" s="25"/>
      <c r="F354" s="25"/>
      <c r="G354" s="16"/>
      <c r="H354" s="25"/>
      <c r="I354" s="16"/>
      <c r="J354" s="25"/>
      <c r="K354" s="25"/>
      <c r="L354" s="25"/>
      <c r="M354" s="25"/>
      <c r="N354" s="25"/>
      <c r="O354" s="25"/>
    </row>
    <row r="355" spans="1:15" x14ac:dyDescent="0.25">
      <c r="A355" s="25"/>
      <c r="B355" s="25"/>
      <c r="C355" s="25"/>
      <c r="D355" s="25"/>
      <c r="E355" s="25"/>
      <c r="F355" s="25"/>
      <c r="G355" s="16"/>
      <c r="H355" s="25"/>
      <c r="I355" s="16"/>
      <c r="J355" s="25"/>
      <c r="K355" s="25"/>
      <c r="L355" s="25"/>
      <c r="M355" s="25"/>
      <c r="N355" s="25"/>
      <c r="O355" s="25"/>
    </row>
    <row r="356" spans="1:15" x14ac:dyDescent="0.25">
      <c r="A356" s="25"/>
      <c r="B356" s="25"/>
      <c r="C356" s="25"/>
      <c r="D356" s="25"/>
      <c r="E356" s="25"/>
      <c r="F356" s="25"/>
      <c r="G356" s="16"/>
      <c r="H356" s="25"/>
      <c r="I356" s="16"/>
      <c r="J356" s="25"/>
      <c r="K356" s="25"/>
      <c r="L356" s="25"/>
      <c r="M356" s="25"/>
      <c r="N356" s="25"/>
      <c r="O356" s="25"/>
    </row>
    <row r="357" spans="1:15" x14ac:dyDescent="0.25">
      <c r="A357" s="25"/>
      <c r="B357" s="25"/>
      <c r="C357" s="25"/>
      <c r="D357" s="25"/>
      <c r="E357" s="25"/>
      <c r="F357" s="25"/>
      <c r="G357" s="16"/>
      <c r="H357" s="25"/>
      <c r="I357" s="16"/>
      <c r="J357" s="25"/>
      <c r="K357" s="25"/>
      <c r="L357" s="25"/>
      <c r="M357" s="25"/>
      <c r="N357" s="25"/>
      <c r="O357" s="25"/>
    </row>
    <row r="358" spans="1:15" x14ac:dyDescent="0.25">
      <c r="A358" s="25"/>
      <c r="B358" s="25"/>
      <c r="C358" s="25"/>
      <c r="D358" s="25"/>
      <c r="E358" s="25"/>
      <c r="F358" s="25"/>
      <c r="G358" s="16"/>
      <c r="H358" s="25"/>
      <c r="I358" s="16"/>
      <c r="J358" s="25"/>
      <c r="K358" s="25"/>
      <c r="L358" s="25"/>
      <c r="M358" s="25"/>
      <c r="N358" s="25"/>
      <c r="O358" s="25"/>
    </row>
    <row r="359" spans="1:15" x14ac:dyDescent="0.25">
      <c r="A359" s="25"/>
      <c r="B359" s="25"/>
      <c r="C359" s="25"/>
      <c r="D359" s="25"/>
      <c r="E359" s="25"/>
      <c r="F359" s="25"/>
      <c r="G359" s="16"/>
      <c r="H359" s="25"/>
      <c r="I359" s="16"/>
      <c r="J359" s="25"/>
      <c r="K359" s="25"/>
      <c r="L359" s="25"/>
      <c r="M359" s="25"/>
      <c r="N359" s="25"/>
      <c r="O359" s="25"/>
    </row>
    <row r="360" spans="1:15" x14ac:dyDescent="0.25">
      <c r="A360" s="25"/>
      <c r="B360" s="25"/>
      <c r="C360" s="25"/>
      <c r="D360" s="25"/>
      <c r="E360" s="25"/>
      <c r="F360" s="25"/>
      <c r="G360" s="16"/>
      <c r="H360" s="25"/>
      <c r="I360" s="16"/>
      <c r="J360" s="25"/>
      <c r="K360" s="25"/>
      <c r="L360" s="25"/>
      <c r="M360" s="25"/>
      <c r="N360" s="25"/>
      <c r="O360" s="25"/>
    </row>
    <row r="361" spans="1:15" x14ac:dyDescent="0.25">
      <c r="A361" s="25"/>
      <c r="B361" s="25"/>
      <c r="C361" s="25"/>
      <c r="D361" s="25"/>
      <c r="E361" s="25"/>
      <c r="F361" s="25"/>
      <c r="G361" s="16"/>
      <c r="H361" s="25"/>
      <c r="I361" s="16"/>
      <c r="J361" s="25"/>
      <c r="K361" s="25"/>
      <c r="L361" s="25"/>
      <c r="M361" s="25"/>
      <c r="N361" s="25"/>
      <c r="O361" s="25"/>
    </row>
    <row r="362" spans="1:15" x14ac:dyDescent="0.25">
      <c r="A362" s="25"/>
      <c r="B362" s="25"/>
      <c r="C362" s="25"/>
      <c r="D362" s="25"/>
      <c r="E362" s="25"/>
      <c r="F362" s="25"/>
      <c r="G362" s="16"/>
      <c r="H362" s="25"/>
      <c r="I362" s="16"/>
      <c r="J362" s="25"/>
      <c r="K362" s="25"/>
      <c r="L362" s="25"/>
      <c r="M362" s="25"/>
      <c r="N362" s="25"/>
      <c r="O362" s="25"/>
    </row>
    <row r="363" spans="1:15" x14ac:dyDescent="0.25">
      <c r="A363" s="25"/>
      <c r="B363" s="25"/>
      <c r="C363" s="25"/>
      <c r="D363" s="25"/>
      <c r="E363" s="25"/>
      <c r="F363" s="25"/>
      <c r="G363" s="16"/>
      <c r="H363" s="25"/>
      <c r="I363" s="16"/>
      <c r="J363" s="25"/>
      <c r="K363" s="25"/>
      <c r="L363" s="25"/>
      <c r="M363" s="25"/>
      <c r="N363" s="25"/>
      <c r="O363" s="25"/>
    </row>
    <row r="364" spans="1:15" x14ac:dyDescent="0.25">
      <c r="A364" s="25"/>
      <c r="B364" s="25"/>
      <c r="C364" s="25"/>
      <c r="D364" s="25"/>
      <c r="E364" s="25"/>
      <c r="F364" s="25"/>
      <c r="G364" s="16"/>
      <c r="H364" s="25"/>
      <c r="I364" s="16"/>
      <c r="J364" s="25"/>
      <c r="K364" s="25"/>
      <c r="L364" s="25"/>
      <c r="M364" s="25"/>
      <c r="N364" s="25"/>
      <c r="O364" s="25"/>
    </row>
    <row r="365" spans="1:15" x14ac:dyDescent="0.25">
      <c r="A365" s="25"/>
      <c r="B365" s="25"/>
      <c r="C365" s="25"/>
      <c r="D365" s="25"/>
      <c r="E365" s="25"/>
      <c r="F365" s="25"/>
      <c r="G365" s="16"/>
      <c r="H365" s="25"/>
      <c r="I365" s="16"/>
      <c r="J365" s="25"/>
      <c r="K365" s="25"/>
      <c r="L365" s="25"/>
      <c r="M365" s="25"/>
      <c r="N365" s="25"/>
      <c r="O365" s="25"/>
    </row>
    <row r="366" spans="1:15" x14ac:dyDescent="0.25">
      <c r="A366" s="25"/>
      <c r="B366" s="25"/>
      <c r="C366" s="25"/>
      <c r="D366" s="25"/>
      <c r="E366" s="25"/>
      <c r="F366" s="25"/>
      <c r="G366" s="16"/>
      <c r="H366" s="25"/>
      <c r="I366" s="16"/>
      <c r="J366" s="25"/>
      <c r="K366" s="25"/>
      <c r="L366" s="25"/>
      <c r="M366" s="25"/>
      <c r="N366" s="25"/>
      <c r="O366" s="25"/>
    </row>
    <row r="367" spans="1:15" x14ac:dyDescent="0.25">
      <c r="A367" s="25"/>
      <c r="B367" s="25"/>
      <c r="C367" s="25"/>
      <c r="D367" s="25"/>
      <c r="E367" s="25"/>
      <c r="F367" s="25"/>
      <c r="G367" s="16"/>
      <c r="H367" s="25"/>
      <c r="I367" s="16"/>
      <c r="J367" s="25"/>
      <c r="K367" s="25"/>
      <c r="L367" s="25"/>
      <c r="M367" s="25"/>
      <c r="N367" s="25"/>
      <c r="O367" s="25"/>
    </row>
    <row r="368" spans="1:15" x14ac:dyDescent="0.25">
      <c r="A368" s="25"/>
      <c r="B368" s="25"/>
      <c r="C368" s="25"/>
      <c r="D368" s="25"/>
      <c r="E368" s="25"/>
      <c r="F368" s="25"/>
      <c r="G368" s="16"/>
      <c r="H368" s="25"/>
      <c r="I368" s="16"/>
      <c r="J368" s="25"/>
      <c r="K368" s="25"/>
      <c r="L368" s="25"/>
      <c r="M368" s="25"/>
      <c r="N368" s="25"/>
      <c r="O368" s="25"/>
    </row>
    <row r="369" spans="1:15" x14ac:dyDescent="0.25">
      <c r="A369" s="25"/>
      <c r="B369" s="25"/>
      <c r="C369" s="25"/>
      <c r="D369" s="25"/>
      <c r="E369" s="25"/>
      <c r="F369" s="25"/>
      <c r="G369" s="16"/>
      <c r="H369" s="25"/>
      <c r="I369" s="16"/>
      <c r="J369" s="25"/>
      <c r="K369" s="25"/>
      <c r="L369" s="25"/>
      <c r="M369" s="25"/>
      <c r="N369" s="25"/>
      <c r="O369" s="25"/>
    </row>
    <row r="370" spans="1:15" x14ac:dyDescent="0.25">
      <c r="A370" s="25"/>
      <c r="B370" s="25"/>
      <c r="C370" s="25"/>
      <c r="D370" s="25"/>
      <c r="E370" s="25"/>
      <c r="F370" s="25"/>
      <c r="G370" s="16"/>
      <c r="H370" s="25"/>
      <c r="I370" s="16"/>
      <c r="J370" s="25"/>
      <c r="K370" s="25"/>
      <c r="L370" s="25"/>
      <c r="M370" s="25"/>
      <c r="N370" s="25"/>
      <c r="O370" s="25"/>
    </row>
    <row r="371" spans="1:15" x14ac:dyDescent="0.25">
      <c r="A371" s="25"/>
      <c r="B371" s="25"/>
      <c r="C371" s="25"/>
      <c r="D371" s="25"/>
      <c r="E371" s="25"/>
      <c r="F371" s="25"/>
      <c r="G371" s="16"/>
      <c r="H371" s="25"/>
      <c r="I371" s="16"/>
      <c r="J371" s="25"/>
      <c r="K371" s="25"/>
      <c r="L371" s="25"/>
      <c r="M371" s="25"/>
      <c r="N371" s="25"/>
      <c r="O371" s="25"/>
    </row>
    <row r="372" spans="1:15" x14ac:dyDescent="0.25">
      <c r="A372" s="25"/>
      <c r="B372" s="25"/>
      <c r="C372" s="25"/>
      <c r="D372" s="25"/>
      <c r="E372" s="25"/>
      <c r="F372" s="25"/>
      <c r="G372" s="16"/>
      <c r="H372" s="25"/>
      <c r="I372" s="16"/>
      <c r="J372" s="25"/>
      <c r="K372" s="25"/>
      <c r="L372" s="25"/>
      <c r="M372" s="25"/>
      <c r="N372" s="25"/>
      <c r="O372" s="25"/>
    </row>
    <row r="373" spans="1:15" x14ac:dyDescent="0.25">
      <c r="A373" s="25"/>
      <c r="B373" s="25"/>
      <c r="C373" s="25"/>
      <c r="D373" s="25"/>
      <c r="E373" s="25"/>
      <c r="F373" s="25"/>
      <c r="G373" s="16"/>
      <c r="H373" s="25"/>
      <c r="I373" s="16"/>
      <c r="J373" s="25"/>
      <c r="K373" s="25"/>
      <c r="L373" s="25"/>
      <c r="M373" s="25"/>
      <c r="N373" s="25"/>
      <c r="O373" s="25"/>
    </row>
    <row r="374" spans="1:15" x14ac:dyDescent="0.25">
      <c r="A374" s="25"/>
      <c r="B374" s="25"/>
      <c r="C374" s="25"/>
      <c r="D374" s="25"/>
      <c r="E374" s="25"/>
      <c r="F374" s="25"/>
      <c r="G374" s="16"/>
      <c r="H374" s="25"/>
      <c r="I374" s="16"/>
      <c r="J374" s="25"/>
      <c r="K374" s="25"/>
      <c r="L374" s="25"/>
      <c r="M374" s="25"/>
      <c r="N374" s="25"/>
      <c r="O374" s="25"/>
    </row>
    <row r="375" spans="1:15" x14ac:dyDescent="0.25">
      <c r="A375" s="25"/>
      <c r="B375" s="25"/>
      <c r="C375" s="25"/>
      <c r="D375" s="25"/>
      <c r="E375" s="25"/>
      <c r="F375" s="25"/>
      <c r="G375" s="16"/>
      <c r="H375" s="25"/>
      <c r="I375" s="16"/>
      <c r="J375" s="25"/>
      <c r="K375" s="25"/>
      <c r="L375" s="25"/>
      <c r="M375" s="25"/>
      <c r="N375" s="25"/>
      <c r="O375" s="25"/>
    </row>
    <row r="376" spans="1:15" x14ac:dyDescent="0.25">
      <c r="A376" s="25"/>
      <c r="B376" s="25"/>
      <c r="C376" s="25"/>
      <c r="D376" s="25"/>
      <c r="E376" s="25"/>
      <c r="F376" s="25"/>
      <c r="G376" s="16"/>
      <c r="H376" s="25"/>
      <c r="I376" s="16"/>
      <c r="J376" s="25"/>
      <c r="K376" s="25"/>
      <c r="L376" s="25"/>
      <c r="M376" s="25"/>
      <c r="N376" s="25"/>
      <c r="O376" s="25"/>
    </row>
    <row r="377" spans="1:15" x14ac:dyDescent="0.25">
      <c r="A377" s="25"/>
      <c r="B377" s="25"/>
      <c r="C377" s="25"/>
      <c r="D377" s="25"/>
      <c r="E377" s="25"/>
      <c r="F377" s="25"/>
      <c r="G377" s="16"/>
      <c r="H377" s="25"/>
      <c r="I377" s="16"/>
      <c r="J377" s="25"/>
      <c r="K377" s="25"/>
      <c r="L377" s="25"/>
      <c r="M377" s="25"/>
      <c r="N377" s="25"/>
      <c r="O377" s="25"/>
    </row>
    <row r="378" spans="1:15" x14ac:dyDescent="0.25">
      <c r="A378" s="25"/>
      <c r="B378" s="25"/>
      <c r="C378" s="25"/>
      <c r="D378" s="25"/>
      <c r="E378" s="25"/>
      <c r="F378" s="25"/>
      <c r="G378" s="16"/>
      <c r="H378" s="25"/>
      <c r="I378" s="16"/>
      <c r="J378" s="25"/>
      <c r="K378" s="25"/>
      <c r="L378" s="25"/>
      <c r="M378" s="25"/>
      <c r="N378" s="25"/>
      <c r="O378" s="25"/>
    </row>
    <row r="379" spans="1:15" x14ac:dyDescent="0.25">
      <c r="A379" s="25"/>
      <c r="B379" s="25"/>
      <c r="C379" s="25"/>
      <c r="D379" s="25"/>
      <c r="E379" s="25"/>
      <c r="F379" s="25"/>
      <c r="G379" s="16"/>
      <c r="H379" s="25"/>
      <c r="I379" s="16"/>
      <c r="J379" s="25"/>
      <c r="K379" s="25"/>
      <c r="L379" s="25"/>
      <c r="M379" s="25"/>
      <c r="N379" s="25"/>
      <c r="O379" s="25"/>
    </row>
    <row r="380" spans="1:15" x14ac:dyDescent="0.25">
      <c r="A380" s="25"/>
      <c r="B380" s="25"/>
      <c r="C380" s="25"/>
      <c r="D380" s="25"/>
      <c r="E380" s="25"/>
      <c r="F380" s="25"/>
      <c r="G380" s="16"/>
      <c r="H380" s="25"/>
      <c r="I380" s="16"/>
      <c r="J380" s="25"/>
      <c r="K380" s="25"/>
      <c r="L380" s="25"/>
      <c r="M380" s="25"/>
      <c r="N380" s="25"/>
      <c r="O380" s="25"/>
    </row>
    <row r="381" spans="1:15" x14ac:dyDescent="0.25">
      <c r="A381" s="25"/>
      <c r="B381" s="25"/>
      <c r="C381" s="25"/>
      <c r="D381" s="25"/>
      <c r="E381" s="25"/>
      <c r="F381" s="25"/>
      <c r="G381" s="16"/>
      <c r="H381" s="25"/>
      <c r="I381" s="16"/>
      <c r="J381" s="25"/>
      <c r="K381" s="25"/>
      <c r="L381" s="25"/>
      <c r="M381" s="25"/>
      <c r="N381" s="25"/>
      <c r="O381" s="25"/>
    </row>
    <row r="382" spans="1:15" x14ac:dyDescent="0.25">
      <c r="A382" s="25"/>
      <c r="B382" s="25"/>
      <c r="C382" s="25"/>
      <c r="D382" s="25"/>
      <c r="E382" s="25"/>
      <c r="F382" s="25"/>
      <c r="G382" s="16"/>
      <c r="H382" s="25"/>
      <c r="I382" s="16"/>
      <c r="J382" s="25"/>
      <c r="K382" s="25"/>
      <c r="L382" s="25"/>
      <c r="M382" s="25"/>
      <c r="N382" s="25"/>
      <c r="O382" s="25"/>
    </row>
    <row r="383" spans="1:15" x14ac:dyDescent="0.25">
      <c r="A383" s="25"/>
      <c r="B383" s="25"/>
      <c r="C383" s="25"/>
      <c r="D383" s="25"/>
      <c r="E383" s="25"/>
      <c r="F383" s="25"/>
      <c r="G383" s="16"/>
      <c r="H383" s="25"/>
      <c r="I383" s="16"/>
      <c r="J383" s="25"/>
      <c r="K383" s="25"/>
      <c r="L383" s="25"/>
      <c r="M383" s="25"/>
      <c r="N383" s="25"/>
      <c r="O383" s="25"/>
    </row>
    <row r="384" spans="1:15" x14ac:dyDescent="0.25">
      <c r="A384" s="25"/>
      <c r="B384" s="25"/>
      <c r="C384" s="25"/>
      <c r="D384" s="25"/>
      <c r="E384" s="25"/>
      <c r="F384" s="25"/>
      <c r="G384" s="16"/>
      <c r="H384" s="25"/>
      <c r="I384" s="16"/>
      <c r="J384" s="25"/>
      <c r="K384" s="25"/>
      <c r="L384" s="25"/>
      <c r="M384" s="25"/>
      <c r="N384" s="25"/>
      <c r="O384" s="25"/>
    </row>
    <row r="385" spans="1:15" x14ac:dyDescent="0.25">
      <c r="A385" s="25"/>
      <c r="B385" s="25"/>
      <c r="C385" s="25"/>
      <c r="D385" s="25"/>
      <c r="E385" s="25"/>
      <c r="F385" s="25"/>
      <c r="G385" s="16"/>
      <c r="H385" s="25"/>
      <c r="I385" s="16"/>
      <c r="J385" s="25"/>
      <c r="K385" s="25"/>
      <c r="L385" s="25"/>
      <c r="M385" s="25"/>
      <c r="N385" s="25"/>
      <c r="O385" s="25"/>
    </row>
    <row r="386" spans="1:15" x14ac:dyDescent="0.25">
      <c r="A386" s="25"/>
      <c r="B386" s="25"/>
      <c r="C386" s="25"/>
      <c r="D386" s="25"/>
      <c r="E386" s="25"/>
      <c r="F386" s="25"/>
      <c r="G386" s="16"/>
      <c r="H386" s="25"/>
      <c r="I386" s="16"/>
      <c r="J386" s="25"/>
      <c r="K386" s="25"/>
      <c r="L386" s="25"/>
      <c r="M386" s="25"/>
      <c r="N386" s="25"/>
      <c r="O386" s="25"/>
    </row>
    <row r="387" spans="1:15" x14ac:dyDescent="0.25">
      <c r="A387" s="25"/>
      <c r="B387" s="25"/>
      <c r="C387" s="25"/>
      <c r="D387" s="25"/>
      <c r="E387" s="25"/>
      <c r="F387" s="25"/>
      <c r="G387" s="16"/>
      <c r="H387" s="25"/>
      <c r="I387" s="16"/>
      <c r="J387" s="25"/>
      <c r="K387" s="25"/>
      <c r="L387" s="25"/>
      <c r="M387" s="25"/>
      <c r="N387" s="25"/>
      <c r="O387" s="25"/>
    </row>
    <row r="388" spans="1:15" x14ac:dyDescent="0.25">
      <c r="A388" s="25"/>
      <c r="B388" s="25"/>
      <c r="C388" s="25"/>
      <c r="D388" s="25"/>
      <c r="E388" s="25"/>
      <c r="F388" s="25"/>
      <c r="G388" s="16"/>
      <c r="H388" s="25"/>
      <c r="I388" s="16"/>
      <c r="J388" s="25"/>
      <c r="K388" s="25"/>
      <c r="L388" s="25"/>
      <c r="M388" s="25"/>
      <c r="N388" s="25"/>
      <c r="O388" s="25"/>
    </row>
    <row r="389" spans="1:15" x14ac:dyDescent="0.25">
      <c r="A389" s="25"/>
      <c r="B389" s="25"/>
      <c r="C389" s="25"/>
      <c r="D389" s="25"/>
      <c r="E389" s="25"/>
      <c r="F389" s="25"/>
      <c r="G389" s="16"/>
      <c r="H389" s="25"/>
      <c r="I389" s="16"/>
      <c r="J389" s="25"/>
      <c r="K389" s="25"/>
      <c r="L389" s="25"/>
      <c r="M389" s="25"/>
      <c r="N389" s="25"/>
      <c r="O389" s="25"/>
    </row>
    <row r="390" spans="1:15" x14ac:dyDescent="0.25">
      <c r="A390" s="25"/>
      <c r="B390" s="25"/>
      <c r="C390" s="25"/>
      <c r="D390" s="25"/>
      <c r="E390" s="25"/>
      <c r="F390" s="25"/>
      <c r="G390" s="16"/>
      <c r="H390" s="25"/>
      <c r="I390" s="16"/>
      <c r="J390" s="25"/>
      <c r="K390" s="25"/>
      <c r="L390" s="25"/>
      <c r="M390" s="25"/>
      <c r="N390" s="25"/>
      <c r="O390" s="25"/>
    </row>
    <row r="391" spans="1:15" x14ac:dyDescent="0.25">
      <c r="A391" s="25"/>
      <c r="B391" s="25"/>
      <c r="C391" s="25"/>
      <c r="D391" s="25"/>
      <c r="E391" s="25"/>
      <c r="F391" s="25"/>
      <c r="G391" s="16"/>
      <c r="H391" s="25"/>
      <c r="I391" s="16"/>
      <c r="J391" s="25"/>
      <c r="K391" s="25"/>
      <c r="L391" s="25"/>
      <c r="M391" s="25"/>
      <c r="N391" s="25"/>
      <c r="O391" s="25"/>
    </row>
    <row r="392" spans="1:15" x14ac:dyDescent="0.25">
      <c r="A392" s="25"/>
      <c r="B392" s="25"/>
      <c r="C392" s="25"/>
      <c r="D392" s="25"/>
      <c r="E392" s="25"/>
      <c r="F392" s="25"/>
      <c r="G392" s="16"/>
      <c r="H392" s="25"/>
      <c r="I392" s="16"/>
      <c r="J392" s="25"/>
      <c r="K392" s="25"/>
      <c r="L392" s="25"/>
      <c r="M392" s="25"/>
      <c r="N392" s="25"/>
      <c r="O392" s="25"/>
    </row>
    <row r="393" spans="1:15" x14ac:dyDescent="0.25">
      <c r="A393" s="25"/>
      <c r="B393" s="25"/>
      <c r="C393" s="25"/>
      <c r="D393" s="25"/>
      <c r="E393" s="25"/>
      <c r="F393" s="25"/>
      <c r="G393" s="16"/>
      <c r="H393" s="25"/>
      <c r="I393" s="16"/>
      <c r="J393" s="25"/>
      <c r="K393" s="25"/>
      <c r="L393" s="25"/>
      <c r="M393" s="25"/>
      <c r="N393" s="25"/>
      <c r="O393" s="25"/>
    </row>
    <row r="394" spans="1:15" x14ac:dyDescent="0.25">
      <c r="A394" s="25"/>
      <c r="B394" s="25"/>
      <c r="C394" s="25"/>
      <c r="D394" s="25"/>
      <c r="E394" s="25"/>
      <c r="F394" s="25"/>
      <c r="G394" s="16"/>
      <c r="H394" s="25"/>
      <c r="I394" s="16"/>
      <c r="J394" s="25"/>
      <c r="K394" s="25"/>
      <c r="L394" s="25"/>
      <c r="M394" s="25"/>
      <c r="N394" s="25"/>
      <c r="O394" s="25"/>
    </row>
    <row r="395" spans="1:15" x14ac:dyDescent="0.25">
      <c r="A395" s="25"/>
      <c r="B395" s="25"/>
      <c r="C395" s="25"/>
      <c r="D395" s="25"/>
      <c r="E395" s="25"/>
      <c r="F395" s="25"/>
      <c r="G395" s="16"/>
      <c r="H395" s="25"/>
      <c r="I395" s="16"/>
      <c r="J395" s="25"/>
      <c r="K395" s="25"/>
      <c r="L395" s="25"/>
      <c r="M395" s="25"/>
      <c r="N395" s="25"/>
      <c r="O395" s="25"/>
    </row>
    <row r="396" spans="1:15" x14ac:dyDescent="0.25">
      <c r="A396" s="25"/>
      <c r="B396" s="25"/>
      <c r="C396" s="25"/>
      <c r="D396" s="25"/>
      <c r="E396" s="25"/>
      <c r="F396" s="25"/>
      <c r="G396" s="16"/>
      <c r="H396" s="25"/>
      <c r="I396" s="16"/>
      <c r="J396" s="25"/>
      <c r="K396" s="25"/>
      <c r="L396" s="25"/>
      <c r="M396" s="25"/>
      <c r="N396" s="25"/>
      <c r="O396" s="25"/>
    </row>
    <row r="397" spans="1:15" x14ac:dyDescent="0.25">
      <c r="A397" s="25"/>
      <c r="B397" s="25"/>
      <c r="C397" s="25"/>
      <c r="D397" s="25"/>
      <c r="E397" s="25"/>
      <c r="F397" s="25"/>
      <c r="G397" s="16"/>
      <c r="H397" s="25"/>
      <c r="I397" s="16"/>
      <c r="J397" s="25"/>
      <c r="K397" s="25"/>
      <c r="L397" s="25"/>
      <c r="M397" s="25"/>
      <c r="N397" s="25"/>
      <c r="O397" s="25"/>
    </row>
    <row r="398" spans="1:15" x14ac:dyDescent="0.25">
      <c r="A398" s="25"/>
      <c r="B398" s="25"/>
      <c r="C398" s="25"/>
      <c r="D398" s="25"/>
      <c r="E398" s="25"/>
      <c r="F398" s="25"/>
      <c r="G398" s="16"/>
      <c r="H398" s="25"/>
      <c r="I398" s="16"/>
      <c r="J398" s="25"/>
      <c r="K398" s="25"/>
      <c r="L398" s="25"/>
      <c r="M398" s="25"/>
      <c r="N398" s="25"/>
      <c r="O398" s="25"/>
    </row>
    <row r="399" spans="1:15" x14ac:dyDescent="0.25">
      <c r="A399" s="25"/>
      <c r="B399" s="25"/>
      <c r="C399" s="25"/>
      <c r="D399" s="25"/>
      <c r="E399" s="25"/>
      <c r="F399" s="25"/>
      <c r="G399" s="16"/>
      <c r="H399" s="25"/>
      <c r="I399" s="16"/>
      <c r="J399" s="25"/>
      <c r="K399" s="25"/>
      <c r="L399" s="25"/>
      <c r="M399" s="25"/>
      <c r="N399" s="25"/>
      <c r="O399" s="25"/>
    </row>
    <row r="400" spans="1:15" x14ac:dyDescent="0.25">
      <c r="A400" s="25"/>
      <c r="B400" s="25"/>
      <c r="C400" s="25"/>
      <c r="D400" s="25"/>
      <c r="E400" s="25"/>
      <c r="F400" s="25"/>
      <c r="G400" s="16"/>
      <c r="H400" s="25"/>
      <c r="I400" s="16"/>
      <c r="J400" s="25"/>
      <c r="K400" s="25"/>
      <c r="L400" s="25"/>
      <c r="M400" s="25"/>
      <c r="N400" s="25"/>
      <c r="O400" s="25"/>
    </row>
    <row r="401" spans="1:15" x14ac:dyDescent="0.25">
      <c r="A401" s="25"/>
      <c r="B401" s="25"/>
      <c r="C401" s="25"/>
      <c r="D401" s="25"/>
      <c r="E401" s="25"/>
      <c r="F401" s="25"/>
      <c r="G401" s="16"/>
      <c r="H401" s="25"/>
      <c r="I401" s="16"/>
      <c r="J401" s="25"/>
      <c r="K401" s="25"/>
      <c r="L401" s="25"/>
      <c r="M401" s="25"/>
      <c r="N401" s="25"/>
      <c r="O401" s="25"/>
    </row>
    <row r="402" spans="1:15" x14ac:dyDescent="0.25">
      <c r="A402" s="25"/>
      <c r="B402" s="25"/>
      <c r="C402" s="25"/>
      <c r="D402" s="25"/>
      <c r="E402" s="25"/>
      <c r="F402" s="25"/>
      <c r="G402" s="16"/>
      <c r="H402" s="25"/>
      <c r="I402" s="16"/>
      <c r="J402" s="25"/>
      <c r="K402" s="25"/>
      <c r="L402" s="25"/>
      <c r="M402" s="25"/>
      <c r="N402" s="25"/>
      <c r="O402" s="25"/>
    </row>
    <row r="403" spans="1:15" x14ac:dyDescent="0.25">
      <c r="A403" s="25"/>
      <c r="B403" s="25"/>
      <c r="C403" s="25"/>
      <c r="D403" s="25"/>
      <c r="E403" s="25"/>
      <c r="F403" s="25"/>
      <c r="G403" s="16"/>
      <c r="H403" s="25"/>
      <c r="I403" s="16"/>
      <c r="J403" s="25"/>
      <c r="K403" s="25"/>
      <c r="L403" s="25"/>
      <c r="M403" s="25"/>
      <c r="N403" s="25"/>
      <c r="O403" s="25"/>
    </row>
    <row r="404" spans="1:15" x14ac:dyDescent="0.25">
      <c r="A404" s="25"/>
      <c r="B404" s="25"/>
      <c r="C404" s="25"/>
      <c r="D404" s="25"/>
      <c r="E404" s="25"/>
      <c r="F404" s="25"/>
      <c r="G404" s="16"/>
      <c r="H404" s="25"/>
      <c r="I404" s="16"/>
      <c r="J404" s="25"/>
      <c r="K404" s="25"/>
      <c r="L404" s="25"/>
      <c r="M404" s="25"/>
      <c r="N404" s="25"/>
      <c r="O404" s="25"/>
    </row>
    <row r="405" spans="1:15" x14ac:dyDescent="0.25">
      <c r="A405" s="25"/>
      <c r="B405" s="25"/>
      <c r="C405" s="25"/>
      <c r="D405" s="25"/>
      <c r="E405" s="25"/>
      <c r="F405" s="25"/>
      <c r="G405" s="16"/>
      <c r="H405" s="25"/>
      <c r="I405" s="16"/>
      <c r="J405" s="25"/>
      <c r="K405" s="25"/>
      <c r="L405" s="25"/>
      <c r="M405" s="25"/>
      <c r="N405" s="25"/>
      <c r="O405" s="25"/>
    </row>
    <row r="406" spans="1:15" x14ac:dyDescent="0.25">
      <c r="A406" s="25"/>
      <c r="B406" s="25"/>
      <c r="C406" s="25"/>
      <c r="D406" s="25"/>
      <c r="E406" s="25"/>
      <c r="F406" s="25"/>
      <c r="G406" s="16"/>
      <c r="H406" s="25"/>
      <c r="I406" s="16"/>
      <c r="J406" s="25"/>
      <c r="K406" s="25"/>
      <c r="L406" s="25"/>
      <c r="M406" s="25"/>
      <c r="N406" s="25"/>
      <c r="O406" s="25"/>
    </row>
    <row r="407" spans="1:15" x14ac:dyDescent="0.25">
      <c r="A407" s="25"/>
      <c r="B407" s="25"/>
      <c r="C407" s="25"/>
      <c r="D407" s="25"/>
      <c r="E407" s="25"/>
      <c r="F407" s="25"/>
      <c r="G407" s="16"/>
      <c r="H407" s="25"/>
      <c r="I407" s="16"/>
      <c r="J407" s="25"/>
      <c r="K407" s="25"/>
      <c r="L407" s="25"/>
      <c r="M407" s="25"/>
      <c r="N407" s="25"/>
      <c r="O407" s="25"/>
    </row>
    <row r="408" spans="1:15" x14ac:dyDescent="0.25">
      <c r="A408" s="25"/>
      <c r="B408" s="25"/>
      <c r="C408" s="25"/>
      <c r="D408" s="25"/>
      <c r="E408" s="25"/>
      <c r="F408" s="25"/>
      <c r="G408" s="16"/>
      <c r="H408" s="25"/>
      <c r="I408" s="16"/>
      <c r="J408" s="25"/>
      <c r="K408" s="25"/>
      <c r="L408" s="25"/>
      <c r="M408" s="25"/>
      <c r="N408" s="25"/>
      <c r="O408" s="25"/>
    </row>
    <row r="409" spans="1:15" x14ac:dyDescent="0.25">
      <c r="A409" s="25"/>
      <c r="B409" s="25"/>
      <c r="C409" s="25"/>
      <c r="D409" s="25"/>
      <c r="E409" s="25"/>
      <c r="F409" s="25"/>
      <c r="G409" s="16"/>
      <c r="H409" s="25"/>
      <c r="I409" s="16"/>
      <c r="J409" s="25"/>
      <c r="K409" s="25"/>
      <c r="L409" s="25"/>
      <c r="M409" s="25"/>
      <c r="N409" s="25"/>
      <c r="O409" s="25"/>
    </row>
    <row r="410" spans="1:15" x14ac:dyDescent="0.25">
      <c r="A410" s="25"/>
      <c r="B410" s="25"/>
      <c r="C410" s="25"/>
      <c r="D410" s="25"/>
      <c r="E410" s="25"/>
      <c r="F410" s="25"/>
      <c r="G410" s="16"/>
      <c r="H410" s="25"/>
      <c r="I410" s="16"/>
      <c r="J410" s="25"/>
      <c r="K410" s="25"/>
      <c r="L410" s="25"/>
      <c r="M410" s="25"/>
      <c r="N410" s="25"/>
      <c r="O410" s="25"/>
    </row>
    <row r="411" spans="1:15" x14ac:dyDescent="0.25">
      <c r="A411" s="25"/>
      <c r="B411" s="25"/>
      <c r="C411" s="25"/>
      <c r="D411" s="25"/>
      <c r="E411" s="25"/>
      <c r="F411" s="25"/>
      <c r="G411" s="16"/>
      <c r="H411" s="25"/>
      <c r="I411" s="16"/>
      <c r="J411" s="25"/>
      <c r="K411" s="25"/>
      <c r="L411" s="25"/>
      <c r="M411" s="25"/>
      <c r="N411" s="25"/>
      <c r="O411" s="25"/>
    </row>
    <row r="412" spans="1:15" x14ac:dyDescent="0.25">
      <c r="A412" s="25"/>
      <c r="B412" s="25"/>
      <c r="C412" s="25"/>
      <c r="D412" s="25"/>
      <c r="E412" s="25"/>
      <c r="F412" s="25"/>
      <c r="G412" s="16"/>
      <c r="H412" s="25"/>
      <c r="I412" s="16"/>
      <c r="J412" s="25"/>
      <c r="K412" s="25"/>
      <c r="L412" s="25"/>
      <c r="M412" s="25"/>
      <c r="N412" s="25"/>
      <c r="O412" s="25"/>
    </row>
    <row r="413" spans="1:15" x14ac:dyDescent="0.25">
      <c r="A413" s="25"/>
      <c r="B413" s="25"/>
      <c r="C413" s="25"/>
      <c r="D413" s="25"/>
      <c r="E413" s="25"/>
      <c r="F413" s="25"/>
      <c r="G413" s="16"/>
      <c r="H413" s="25"/>
      <c r="I413" s="16"/>
      <c r="J413" s="25"/>
      <c r="K413" s="25"/>
      <c r="L413" s="25"/>
      <c r="M413" s="25"/>
      <c r="N413" s="25"/>
      <c r="O413" s="25"/>
    </row>
    <row r="414" spans="1:15" x14ac:dyDescent="0.25">
      <c r="A414" s="25"/>
      <c r="B414" s="25"/>
      <c r="C414" s="25"/>
      <c r="D414" s="25"/>
      <c r="E414" s="25"/>
      <c r="F414" s="25"/>
      <c r="G414" s="16"/>
      <c r="H414" s="25"/>
      <c r="I414" s="16"/>
      <c r="J414" s="25"/>
      <c r="K414" s="25"/>
      <c r="L414" s="25"/>
      <c r="M414" s="25"/>
      <c r="N414" s="25"/>
      <c r="O414" s="25"/>
    </row>
    <row r="415" spans="1:15" x14ac:dyDescent="0.25">
      <c r="A415" s="25"/>
      <c r="B415" s="25"/>
      <c r="C415" s="25"/>
      <c r="D415" s="25"/>
      <c r="E415" s="25"/>
      <c r="F415" s="25"/>
      <c r="G415" s="16"/>
      <c r="H415" s="25"/>
      <c r="I415" s="16"/>
      <c r="J415" s="25"/>
      <c r="K415" s="25"/>
      <c r="L415" s="25"/>
      <c r="M415" s="25"/>
      <c r="N415" s="25"/>
      <c r="O415" s="25"/>
    </row>
    <row r="416" spans="1:15" x14ac:dyDescent="0.25">
      <c r="A416" s="25"/>
      <c r="B416" s="25"/>
      <c r="C416" s="25"/>
      <c r="D416" s="25"/>
      <c r="E416" s="25"/>
      <c r="F416" s="25"/>
      <c r="G416" s="16"/>
      <c r="H416" s="25"/>
      <c r="I416" s="16"/>
      <c r="J416" s="25"/>
      <c r="K416" s="25"/>
      <c r="L416" s="25"/>
      <c r="M416" s="25"/>
      <c r="N416" s="25"/>
      <c r="O416" s="25"/>
    </row>
    <row r="417" spans="1:15" x14ac:dyDescent="0.25">
      <c r="A417" s="25"/>
      <c r="B417" s="25"/>
      <c r="C417" s="25"/>
      <c r="D417" s="25"/>
      <c r="E417" s="25"/>
      <c r="F417" s="25"/>
      <c r="G417" s="16"/>
      <c r="H417" s="25"/>
      <c r="I417" s="16"/>
      <c r="J417" s="25"/>
      <c r="K417" s="25"/>
      <c r="L417" s="25"/>
      <c r="M417" s="25"/>
      <c r="N417" s="25"/>
      <c r="O417" s="25"/>
    </row>
    <row r="418" spans="1:15" x14ac:dyDescent="0.25">
      <c r="A418" s="25"/>
      <c r="B418" s="25"/>
      <c r="C418" s="25"/>
      <c r="D418" s="25"/>
      <c r="E418" s="25"/>
      <c r="F418" s="25"/>
      <c r="G418" s="16"/>
      <c r="H418" s="25"/>
      <c r="I418" s="16"/>
      <c r="J418" s="25"/>
      <c r="K418" s="25"/>
      <c r="L418" s="25"/>
      <c r="M418" s="25"/>
      <c r="N418" s="25"/>
      <c r="O418" s="25"/>
    </row>
    <row r="419" spans="1:15" x14ac:dyDescent="0.25">
      <c r="A419" s="25"/>
      <c r="B419" s="25"/>
      <c r="C419" s="25"/>
      <c r="D419" s="25"/>
      <c r="E419" s="25"/>
      <c r="F419" s="25"/>
      <c r="G419" s="16"/>
      <c r="H419" s="25"/>
      <c r="I419" s="16"/>
      <c r="J419" s="25"/>
      <c r="K419" s="25"/>
      <c r="L419" s="25"/>
      <c r="M419" s="25"/>
      <c r="N419" s="25"/>
      <c r="O419" s="25"/>
    </row>
    <row r="420" spans="1:15" x14ac:dyDescent="0.25">
      <c r="A420" s="25"/>
      <c r="B420" s="25"/>
      <c r="C420" s="25"/>
      <c r="D420" s="25"/>
      <c r="E420" s="25"/>
      <c r="F420" s="25"/>
      <c r="G420" s="16"/>
      <c r="H420" s="25"/>
      <c r="I420" s="16"/>
      <c r="J420" s="25"/>
      <c r="K420" s="25"/>
      <c r="L420" s="25"/>
      <c r="M420" s="25"/>
      <c r="N420" s="25"/>
      <c r="O420" s="25"/>
    </row>
    <row r="421" spans="1:15" x14ac:dyDescent="0.25">
      <c r="A421" s="25"/>
      <c r="B421" s="25"/>
      <c r="C421" s="25"/>
      <c r="D421" s="25"/>
      <c r="E421" s="25"/>
      <c r="F421" s="25"/>
      <c r="G421" s="16"/>
      <c r="H421" s="25"/>
      <c r="I421" s="16"/>
      <c r="J421" s="25"/>
      <c r="K421" s="25"/>
      <c r="L421" s="25"/>
      <c r="M421" s="25"/>
      <c r="N421" s="25"/>
      <c r="O421" s="25"/>
    </row>
    <row r="422" spans="1:15" x14ac:dyDescent="0.25">
      <c r="A422" s="25"/>
      <c r="B422" s="25"/>
      <c r="C422" s="25"/>
      <c r="D422" s="25"/>
      <c r="E422" s="25"/>
      <c r="F422" s="25"/>
      <c r="G422" s="16"/>
      <c r="H422" s="25"/>
      <c r="I422" s="16"/>
      <c r="J422" s="25"/>
      <c r="K422" s="25"/>
      <c r="L422" s="25"/>
      <c r="M422" s="25"/>
      <c r="N422" s="25"/>
      <c r="O422" s="25"/>
    </row>
    <row r="423" spans="1:15" x14ac:dyDescent="0.25">
      <c r="A423" s="25"/>
      <c r="B423" s="25"/>
      <c r="C423" s="25"/>
      <c r="D423" s="25"/>
      <c r="E423" s="25"/>
      <c r="F423" s="25"/>
      <c r="G423" s="16"/>
      <c r="H423" s="25"/>
      <c r="I423" s="16"/>
      <c r="J423" s="25"/>
      <c r="K423" s="25"/>
      <c r="L423" s="25"/>
      <c r="M423" s="25"/>
      <c r="N423" s="25"/>
      <c r="O423" s="25"/>
    </row>
    <row r="424" spans="1:15" x14ac:dyDescent="0.25">
      <c r="A424" s="25"/>
      <c r="B424" s="25"/>
      <c r="C424" s="25"/>
      <c r="D424" s="25"/>
      <c r="E424" s="25"/>
      <c r="F424" s="25"/>
      <c r="G424" s="16"/>
      <c r="H424" s="25"/>
      <c r="I424" s="16"/>
      <c r="J424" s="25"/>
      <c r="K424" s="25"/>
      <c r="L424" s="25"/>
      <c r="M424" s="25"/>
      <c r="N424" s="25"/>
      <c r="O424" s="25"/>
    </row>
    <row r="425" spans="1:15" x14ac:dyDescent="0.25">
      <c r="A425" s="25"/>
      <c r="B425" s="25"/>
      <c r="C425" s="25"/>
      <c r="D425" s="25"/>
      <c r="E425" s="25"/>
      <c r="F425" s="25"/>
      <c r="G425" s="16"/>
      <c r="H425" s="25"/>
      <c r="I425" s="16"/>
      <c r="J425" s="25"/>
      <c r="K425" s="25"/>
      <c r="L425" s="25"/>
      <c r="M425" s="25"/>
      <c r="N425" s="25"/>
      <c r="O425" s="25"/>
    </row>
    <row r="426" spans="1:15" x14ac:dyDescent="0.25">
      <c r="A426" s="25"/>
      <c r="B426" s="25"/>
      <c r="C426" s="25"/>
      <c r="D426" s="25"/>
      <c r="E426" s="25"/>
      <c r="F426" s="25"/>
      <c r="G426" s="16"/>
      <c r="H426" s="25"/>
      <c r="I426" s="16"/>
      <c r="J426" s="25"/>
      <c r="K426" s="25"/>
      <c r="L426" s="25"/>
      <c r="M426" s="25"/>
      <c r="N426" s="25"/>
      <c r="O426" s="25"/>
    </row>
    <row r="427" spans="1:15" x14ac:dyDescent="0.25">
      <c r="A427" s="25"/>
      <c r="B427" s="25"/>
      <c r="C427" s="25"/>
      <c r="D427" s="25"/>
      <c r="E427" s="25"/>
      <c r="F427" s="25"/>
      <c r="G427" s="16"/>
      <c r="H427" s="25"/>
      <c r="I427" s="16"/>
      <c r="J427" s="25"/>
      <c r="K427" s="25"/>
      <c r="L427" s="25"/>
      <c r="M427" s="25"/>
      <c r="N427" s="25"/>
      <c r="O427" s="25"/>
    </row>
    <row r="428" spans="1:15" x14ac:dyDescent="0.25">
      <c r="A428" s="25"/>
      <c r="B428" s="25"/>
      <c r="C428" s="25"/>
      <c r="D428" s="25"/>
      <c r="E428" s="25"/>
      <c r="F428" s="25"/>
      <c r="G428" s="16"/>
      <c r="H428" s="25"/>
      <c r="I428" s="16"/>
      <c r="J428" s="25"/>
      <c r="K428" s="25"/>
      <c r="L428" s="25"/>
      <c r="M428" s="25"/>
      <c r="N428" s="25"/>
      <c r="O428" s="25"/>
    </row>
    <row r="429" spans="1:15" x14ac:dyDescent="0.25">
      <c r="A429" s="25"/>
      <c r="B429" s="25"/>
      <c r="C429" s="25"/>
      <c r="D429" s="25"/>
      <c r="E429" s="25"/>
      <c r="F429" s="25"/>
      <c r="G429" s="16"/>
      <c r="H429" s="25"/>
      <c r="I429" s="16"/>
      <c r="J429" s="25"/>
      <c r="K429" s="25"/>
      <c r="L429" s="25"/>
      <c r="M429" s="25"/>
      <c r="N429" s="25"/>
      <c r="O429" s="25"/>
    </row>
    <row r="430" spans="1:15" x14ac:dyDescent="0.25">
      <c r="A430" s="25"/>
      <c r="B430" s="25"/>
      <c r="C430" s="25"/>
      <c r="D430" s="25"/>
      <c r="E430" s="25"/>
      <c r="F430" s="25"/>
      <c r="G430" s="16"/>
      <c r="H430" s="25"/>
      <c r="I430" s="16"/>
      <c r="J430" s="25"/>
      <c r="K430" s="25"/>
      <c r="L430" s="25"/>
      <c r="M430" s="25"/>
      <c r="N430" s="25"/>
      <c r="O430" s="25"/>
    </row>
    <row r="431" spans="1:15" x14ac:dyDescent="0.25">
      <c r="A431" s="25"/>
      <c r="B431" s="25"/>
      <c r="C431" s="25"/>
      <c r="D431" s="25"/>
      <c r="E431" s="25"/>
      <c r="F431" s="25"/>
      <c r="G431" s="16"/>
      <c r="H431" s="25"/>
      <c r="I431" s="16"/>
      <c r="J431" s="25"/>
      <c r="K431" s="25"/>
      <c r="L431" s="25"/>
      <c r="M431" s="25"/>
      <c r="N431" s="25"/>
      <c r="O431" s="25"/>
    </row>
    <row r="432" spans="1:15" x14ac:dyDescent="0.25">
      <c r="A432" s="25"/>
      <c r="B432" s="25"/>
      <c r="C432" s="25"/>
      <c r="D432" s="25"/>
      <c r="E432" s="25"/>
      <c r="F432" s="25"/>
      <c r="G432" s="16"/>
      <c r="H432" s="25"/>
      <c r="I432" s="16"/>
      <c r="J432" s="25"/>
      <c r="K432" s="25"/>
      <c r="L432" s="25"/>
      <c r="M432" s="25"/>
      <c r="N432" s="25"/>
      <c r="O432" s="25"/>
    </row>
    <row r="433" spans="1:15" x14ac:dyDescent="0.25">
      <c r="A433" s="25"/>
      <c r="B433" s="25"/>
      <c r="C433" s="25"/>
      <c r="D433" s="25"/>
      <c r="E433" s="25"/>
      <c r="F433" s="25"/>
      <c r="G433" s="16"/>
      <c r="H433" s="25"/>
      <c r="I433" s="16"/>
      <c r="J433" s="25"/>
      <c r="K433" s="25"/>
      <c r="L433" s="25"/>
      <c r="M433" s="25"/>
      <c r="N433" s="25"/>
      <c r="O433" s="25"/>
    </row>
    <row r="434" spans="1:15" x14ac:dyDescent="0.25">
      <c r="A434" s="25"/>
      <c r="B434" s="25"/>
      <c r="C434" s="25"/>
      <c r="D434" s="25"/>
      <c r="E434" s="25"/>
      <c r="F434" s="25"/>
      <c r="G434" s="16"/>
      <c r="H434" s="25"/>
      <c r="I434" s="16"/>
      <c r="J434" s="25"/>
      <c r="K434" s="25"/>
      <c r="L434" s="25"/>
      <c r="M434" s="25"/>
      <c r="N434" s="25"/>
      <c r="O434" s="25"/>
    </row>
    <row r="435" spans="1:15" x14ac:dyDescent="0.25">
      <c r="A435" s="25"/>
      <c r="B435" s="25"/>
      <c r="C435" s="25"/>
      <c r="D435" s="25"/>
      <c r="E435" s="25"/>
      <c r="F435" s="25"/>
      <c r="G435" s="16"/>
      <c r="H435" s="25"/>
      <c r="I435" s="16"/>
      <c r="J435" s="25"/>
      <c r="K435" s="25"/>
      <c r="L435" s="25"/>
      <c r="M435" s="25"/>
      <c r="N435" s="25"/>
      <c r="O435" s="25"/>
    </row>
    <row r="436" spans="1:15" x14ac:dyDescent="0.25">
      <c r="A436" s="25"/>
      <c r="B436" s="25"/>
      <c r="C436" s="25"/>
      <c r="D436" s="25"/>
      <c r="E436" s="25"/>
      <c r="F436" s="25"/>
      <c r="G436" s="16"/>
      <c r="H436" s="25"/>
      <c r="I436" s="16"/>
      <c r="J436" s="25"/>
      <c r="K436" s="25"/>
      <c r="L436" s="25"/>
      <c r="M436" s="25"/>
      <c r="N436" s="25"/>
      <c r="O436" s="25"/>
    </row>
    <row r="437" spans="1:15" x14ac:dyDescent="0.25">
      <c r="A437" s="25"/>
      <c r="B437" s="25"/>
      <c r="C437" s="25"/>
      <c r="D437" s="25"/>
      <c r="E437" s="25"/>
      <c r="F437" s="25"/>
      <c r="G437" s="16"/>
      <c r="H437" s="25"/>
      <c r="I437" s="16"/>
      <c r="J437" s="25"/>
      <c r="K437" s="25"/>
      <c r="L437" s="25"/>
      <c r="M437" s="25"/>
      <c r="N437" s="25"/>
      <c r="O437" s="25"/>
    </row>
    <row r="438" spans="1:15" x14ac:dyDescent="0.25">
      <c r="A438" s="25"/>
      <c r="B438" s="25"/>
      <c r="C438" s="25"/>
      <c r="D438" s="25"/>
      <c r="E438" s="25"/>
      <c r="F438" s="25"/>
      <c r="G438" s="16"/>
      <c r="H438" s="25"/>
      <c r="I438" s="16"/>
      <c r="J438" s="25"/>
      <c r="K438" s="25"/>
      <c r="L438" s="25"/>
      <c r="M438" s="25"/>
      <c r="N438" s="25"/>
      <c r="O438" s="25"/>
    </row>
    <row r="439" spans="1:15" x14ac:dyDescent="0.25">
      <c r="A439" s="25"/>
      <c r="B439" s="25"/>
      <c r="C439" s="25"/>
      <c r="D439" s="25"/>
      <c r="E439" s="25"/>
      <c r="F439" s="25"/>
      <c r="G439" s="16"/>
      <c r="H439" s="25"/>
      <c r="I439" s="16"/>
      <c r="J439" s="25"/>
      <c r="K439" s="25"/>
      <c r="L439" s="25"/>
      <c r="M439" s="25"/>
      <c r="N439" s="25"/>
      <c r="O439" s="25"/>
    </row>
    <row r="440" spans="1:15" x14ac:dyDescent="0.25">
      <c r="A440" s="25"/>
      <c r="B440" s="25"/>
      <c r="C440" s="25"/>
      <c r="D440" s="25"/>
      <c r="E440" s="25"/>
      <c r="F440" s="25"/>
      <c r="G440" s="16"/>
      <c r="H440" s="25"/>
      <c r="I440" s="16"/>
      <c r="J440" s="25"/>
      <c r="K440" s="25"/>
      <c r="L440" s="25"/>
      <c r="M440" s="25"/>
      <c r="N440" s="25"/>
      <c r="O440" s="25"/>
    </row>
    <row r="441" spans="1:15" x14ac:dyDescent="0.25">
      <c r="A441" s="25"/>
      <c r="B441" s="25"/>
      <c r="C441" s="25"/>
      <c r="D441" s="25"/>
      <c r="E441" s="25"/>
      <c r="F441" s="25"/>
      <c r="G441" s="16"/>
      <c r="H441" s="25"/>
      <c r="I441" s="16"/>
      <c r="J441" s="25"/>
      <c r="K441" s="25"/>
      <c r="L441" s="25"/>
      <c r="M441" s="25"/>
      <c r="N441" s="25"/>
      <c r="O441" s="25"/>
    </row>
    <row r="442" spans="1:15" x14ac:dyDescent="0.25">
      <c r="A442" s="25"/>
      <c r="B442" s="25"/>
      <c r="C442" s="25"/>
      <c r="D442" s="25"/>
      <c r="E442" s="25"/>
      <c r="F442" s="25"/>
      <c r="G442" s="16"/>
      <c r="H442" s="25"/>
      <c r="I442" s="16"/>
      <c r="J442" s="25"/>
      <c r="K442" s="25"/>
      <c r="L442" s="25"/>
      <c r="M442" s="25"/>
      <c r="N442" s="25"/>
      <c r="O442" s="25"/>
    </row>
    <row r="443" spans="1:15" x14ac:dyDescent="0.25">
      <c r="A443" s="25"/>
      <c r="B443" s="25"/>
      <c r="C443" s="25"/>
      <c r="D443" s="25"/>
      <c r="E443" s="25"/>
      <c r="F443" s="25"/>
      <c r="G443" s="16"/>
      <c r="H443" s="25"/>
      <c r="I443" s="16"/>
      <c r="J443" s="25"/>
      <c r="K443" s="25"/>
      <c r="L443" s="25"/>
      <c r="M443" s="25"/>
      <c r="N443" s="25"/>
      <c r="O443" s="25"/>
    </row>
    <row r="444" spans="1:15" x14ac:dyDescent="0.25">
      <c r="A444" s="25"/>
      <c r="B444" s="25"/>
      <c r="C444" s="25"/>
      <c r="D444" s="25"/>
      <c r="E444" s="25"/>
      <c r="F444" s="25"/>
      <c r="G444" s="16"/>
      <c r="H444" s="25"/>
      <c r="I444" s="16"/>
      <c r="J444" s="25"/>
      <c r="K444" s="25"/>
      <c r="L444" s="25"/>
      <c r="M444" s="25"/>
      <c r="N444" s="25"/>
      <c r="O444" s="25"/>
    </row>
    <row r="445" spans="1:15" x14ac:dyDescent="0.25">
      <c r="A445" s="25"/>
      <c r="B445" s="25"/>
      <c r="C445" s="25"/>
      <c r="D445" s="25"/>
      <c r="E445" s="25"/>
      <c r="F445" s="25"/>
      <c r="G445" s="16"/>
      <c r="H445" s="25"/>
      <c r="I445" s="16"/>
      <c r="J445" s="25"/>
      <c r="K445" s="25"/>
      <c r="L445" s="25"/>
      <c r="M445" s="25"/>
      <c r="N445" s="25"/>
      <c r="O445" s="25"/>
    </row>
    <row r="446" spans="1:15" x14ac:dyDescent="0.25">
      <c r="A446" s="25"/>
      <c r="B446" s="25"/>
      <c r="C446" s="25"/>
      <c r="D446" s="25"/>
      <c r="E446" s="25"/>
      <c r="F446" s="25"/>
      <c r="G446" s="16"/>
      <c r="H446" s="25"/>
      <c r="I446" s="16"/>
      <c r="J446" s="25"/>
      <c r="K446" s="25"/>
      <c r="L446" s="25"/>
      <c r="M446" s="25"/>
      <c r="N446" s="25"/>
      <c r="O446" s="25"/>
    </row>
    <row r="447" spans="1:15" x14ac:dyDescent="0.25">
      <c r="A447" s="25"/>
      <c r="B447" s="25"/>
      <c r="C447" s="25"/>
      <c r="D447" s="25"/>
      <c r="E447" s="25"/>
      <c r="F447" s="25"/>
      <c r="G447" s="16"/>
      <c r="H447" s="25"/>
      <c r="I447" s="16"/>
      <c r="J447" s="25"/>
      <c r="K447" s="25"/>
      <c r="L447" s="25"/>
      <c r="M447" s="25"/>
      <c r="N447" s="25"/>
      <c r="O447" s="25"/>
    </row>
    <row r="448" spans="1:15" x14ac:dyDescent="0.25">
      <c r="A448" s="25"/>
      <c r="B448" s="25"/>
      <c r="C448" s="25"/>
      <c r="D448" s="25"/>
      <c r="E448" s="25"/>
      <c r="F448" s="25"/>
      <c r="G448" s="16"/>
      <c r="H448" s="25"/>
      <c r="I448" s="16"/>
      <c r="J448" s="25"/>
      <c r="K448" s="25"/>
      <c r="L448" s="25"/>
      <c r="M448" s="25"/>
      <c r="N448" s="25"/>
      <c r="O448" s="25"/>
    </row>
    <row r="449" spans="1:15" x14ac:dyDescent="0.25">
      <c r="A449" s="25"/>
      <c r="B449" s="25"/>
      <c r="C449" s="25"/>
      <c r="D449" s="25"/>
      <c r="E449" s="25"/>
      <c r="F449" s="25"/>
      <c r="G449" s="16"/>
      <c r="H449" s="25"/>
      <c r="I449" s="16"/>
      <c r="J449" s="25"/>
      <c r="K449" s="25"/>
      <c r="L449" s="25"/>
      <c r="M449" s="25"/>
      <c r="N449" s="25"/>
      <c r="O449" s="25"/>
    </row>
    <row r="450" spans="1:15" x14ac:dyDescent="0.25">
      <c r="A450" s="25"/>
      <c r="B450" s="25"/>
      <c r="C450" s="25"/>
      <c r="D450" s="25"/>
      <c r="E450" s="25"/>
      <c r="F450" s="25"/>
      <c r="G450" s="16"/>
      <c r="H450" s="25"/>
      <c r="I450" s="16"/>
      <c r="J450" s="25"/>
      <c r="K450" s="25"/>
      <c r="L450" s="25"/>
      <c r="M450" s="25"/>
      <c r="N450" s="25"/>
      <c r="O450" s="25"/>
    </row>
    <row r="451" spans="1:15" x14ac:dyDescent="0.25">
      <c r="A451" s="25"/>
      <c r="B451" s="25"/>
      <c r="C451" s="25"/>
      <c r="D451" s="25"/>
      <c r="E451" s="25"/>
      <c r="F451" s="25"/>
      <c r="G451" s="16"/>
      <c r="H451" s="25"/>
      <c r="I451" s="16"/>
      <c r="J451" s="25"/>
      <c r="K451" s="25"/>
      <c r="L451" s="25"/>
      <c r="M451" s="25"/>
      <c r="N451" s="25"/>
      <c r="O451" s="25"/>
    </row>
    <row r="452" spans="1:15" x14ac:dyDescent="0.25">
      <c r="A452" s="25"/>
      <c r="B452" s="25"/>
      <c r="C452" s="25"/>
      <c r="D452" s="25"/>
      <c r="E452" s="25"/>
      <c r="F452" s="25"/>
      <c r="G452" s="16"/>
      <c r="H452" s="25"/>
      <c r="I452" s="16"/>
      <c r="J452" s="25"/>
      <c r="K452" s="25"/>
      <c r="L452" s="25"/>
      <c r="M452" s="25"/>
      <c r="N452" s="25"/>
      <c r="O452" s="25"/>
    </row>
    <row r="453" spans="1:15" x14ac:dyDescent="0.25">
      <c r="A453" s="25"/>
      <c r="B453" s="25"/>
      <c r="C453" s="25"/>
      <c r="D453" s="25"/>
      <c r="E453" s="25"/>
      <c r="F453" s="25"/>
      <c r="G453" s="16"/>
      <c r="H453" s="25"/>
      <c r="I453" s="16"/>
      <c r="J453" s="25"/>
      <c r="K453" s="25"/>
      <c r="L453" s="25"/>
      <c r="M453" s="25"/>
      <c r="N453" s="25"/>
      <c r="O453" s="25"/>
    </row>
    <row r="454" spans="1:15" x14ac:dyDescent="0.25">
      <c r="A454" s="25"/>
      <c r="B454" s="25"/>
      <c r="C454" s="25"/>
      <c r="D454" s="25"/>
      <c r="E454" s="25"/>
      <c r="F454" s="25"/>
      <c r="G454" s="16"/>
      <c r="H454" s="25"/>
      <c r="I454" s="16"/>
      <c r="J454" s="25"/>
      <c r="K454" s="25"/>
      <c r="L454" s="25"/>
      <c r="M454" s="25"/>
      <c r="N454" s="25"/>
      <c r="O454" s="25"/>
    </row>
    <row r="455" spans="1:15" x14ac:dyDescent="0.25">
      <c r="A455" s="25"/>
      <c r="B455" s="25"/>
      <c r="C455" s="25"/>
      <c r="D455" s="25"/>
      <c r="E455" s="25"/>
      <c r="F455" s="25"/>
      <c r="G455" s="16"/>
      <c r="H455" s="25"/>
      <c r="I455" s="16"/>
      <c r="J455" s="25"/>
      <c r="K455" s="25"/>
      <c r="L455" s="25"/>
      <c r="M455" s="25"/>
      <c r="N455" s="25"/>
      <c r="O455" s="25"/>
    </row>
    <row r="456" spans="1:15" x14ac:dyDescent="0.25">
      <c r="A456" s="25"/>
      <c r="B456" s="25"/>
      <c r="C456" s="25"/>
      <c r="D456" s="25"/>
      <c r="E456" s="25"/>
      <c r="F456" s="25"/>
      <c r="G456" s="16"/>
      <c r="H456" s="25"/>
      <c r="I456" s="16"/>
      <c r="J456" s="25"/>
      <c r="K456" s="25"/>
      <c r="L456" s="25"/>
      <c r="M456" s="25"/>
      <c r="N456" s="25"/>
      <c r="O456" s="25"/>
    </row>
    <row r="457" spans="1:15" x14ac:dyDescent="0.25">
      <c r="A457" s="25"/>
      <c r="B457" s="25"/>
      <c r="C457" s="25"/>
      <c r="D457" s="25"/>
      <c r="E457" s="25"/>
      <c r="F457" s="25"/>
      <c r="G457" s="16"/>
      <c r="H457" s="25"/>
      <c r="I457" s="16"/>
      <c r="J457" s="25"/>
      <c r="K457" s="25"/>
      <c r="L457" s="25"/>
      <c r="M457" s="25"/>
      <c r="N457" s="25"/>
      <c r="O457" s="25"/>
    </row>
    <row r="458" spans="1:15" x14ac:dyDescent="0.25">
      <c r="A458" s="25"/>
      <c r="B458" s="25"/>
      <c r="C458" s="25"/>
      <c r="D458" s="25"/>
      <c r="E458" s="25"/>
      <c r="F458" s="25"/>
      <c r="G458" s="16"/>
      <c r="H458" s="25"/>
      <c r="I458" s="16"/>
      <c r="J458" s="25"/>
      <c r="K458" s="25"/>
      <c r="L458" s="25"/>
      <c r="M458" s="25"/>
      <c r="N458" s="25"/>
      <c r="O458" s="25"/>
    </row>
    <row r="459" spans="1:15" x14ac:dyDescent="0.25">
      <c r="A459" s="25"/>
      <c r="B459" s="25"/>
      <c r="C459" s="25"/>
      <c r="D459" s="25"/>
      <c r="E459" s="25"/>
      <c r="F459" s="25"/>
      <c r="G459" s="16"/>
      <c r="H459" s="25"/>
      <c r="I459" s="16"/>
      <c r="J459" s="25"/>
      <c r="K459" s="25"/>
      <c r="L459" s="25"/>
      <c r="M459" s="25"/>
      <c r="N459" s="25"/>
      <c r="O459" s="25"/>
    </row>
    <row r="460" spans="1:15" x14ac:dyDescent="0.25">
      <c r="A460" s="25"/>
      <c r="B460" s="25"/>
      <c r="C460" s="25"/>
      <c r="D460" s="25"/>
      <c r="E460" s="25"/>
      <c r="F460" s="25"/>
      <c r="G460" s="16"/>
      <c r="H460" s="25"/>
      <c r="I460" s="16"/>
      <c r="J460" s="25"/>
      <c r="K460" s="25"/>
      <c r="L460" s="25"/>
      <c r="M460" s="25"/>
      <c r="N460" s="25"/>
      <c r="O460" s="25"/>
    </row>
    <row r="461" spans="1:15" x14ac:dyDescent="0.25">
      <c r="A461" s="25"/>
      <c r="B461" s="25"/>
      <c r="C461" s="25"/>
      <c r="D461" s="25"/>
      <c r="E461" s="25"/>
      <c r="F461" s="25"/>
      <c r="G461" s="16"/>
      <c r="H461" s="25"/>
      <c r="I461" s="16"/>
      <c r="J461" s="25"/>
      <c r="K461" s="25"/>
      <c r="L461" s="25"/>
      <c r="M461" s="25"/>
      <c r="N461" s="25"/>
      <c r="O461" s="25"/>
    </row>
    <row r="462" spans="1:15" x14ac:dyDescent="0.25">
      <c r="A462" s="25"/>
      <c r="B462" s="25"/>
      <c r="C462" s="25"/>
      <c r="D462" s="25"/>
      <c r="E462" s="25"/>
      <c r="F462" s="25"/>
      <c r="G462" s="16"/>
      <c r="H462" s="25"/>
      <c r="I462" s="16"/>
      <c r="J462" s="25"/>
      <c r="K462" s="25"/>
      <c r="L462" s="25"/>
      <c r="M462" s="25"/>
      <c r="N462" s="25"/>
      <c r="O462" s="25"/>
    </row>
    <row r="463" spans="1:15" x14ac:dyDescent="0.25">
      <c r="A463" s="25"/>
      <c r="B463" s="25"/>
      <c r="C463" s="25"/>
      <c r="D463" s="25"/>
      <c r="E463" s="25"/>
      <c r="F463" s="25"/>
      <c r="G463" s="16"/>
      <c r="H463" s="25"/>
      <c r="I463" s="16"/>
      <c r="J463" s="25"/>
      <c r="K463" s="25"/>
      <c r="L463" s="25"/>
      <c r="M463" s="25"/>
      <c r="N463" s="25"/>
      <c r="O463" s="25"/>
    </row>
    <row r="464" spans="1:15" x14ac:dyDescent="0.25">
      <c r="A464" s="25"/>
      <c r="B464" s="25"/>
      <c r="C464" s="25"/>
      <c r="D464" s="25"/>
      <c r="E464" s="25"/>
      <c r="F464" s="25"/>
      <c r="G464" s="16"/>
      <c r="H464" s="25"/>
      <c r="I464" s="16"/>
      <c r="J464" s="25"/>
      <c r="K464" s="25"/>
      <c r="L464" s="25"/>
      <c r="M464" s="25"/>
      <c r="N464" s="25"/>
      <c r="O464" s="25"/>
    </row>
    <row r="465" spans="1:15" x14ac:dyDescent="0.25">
      <c r="A465" s="25"/>
      <c r="B465" s="25"/>
      <c r="C465" s="25"/>
      <c r="D465" s="25"/>
      <c r="E465" s="25"/>
      <c r="F465" s="25"/>
      <c r="G465" s="16"/>
      <c r="H465" s="25"/>
      <c r="I465" s="16"/>
      <c r="J465" s="25"/>
      <c r="K465" s="25"/>
      <c r="L465" s="25"/>
      <c r="M465" s="25"/>
      <c r="N465" s="25"/>
      <c r="O465" s="25"/>
    </row>
    <row r="466" spans="1:15" x14ac:dyDescent="0.25">
      <c r="A466" s="25"/>
      <c r="B466" s="25"/>
      <c r="C466" s="25"/>
      <c r="D466" s="25"/>
      <c r="E466" s="25"/>
      <c r="F466" s="25"/>
      <c r="G466" s="16"/>
      <c r="H466" s="25"/>
      <c r="I466" s="16"/>
      <c r="J466" s="25"/>
      <c r="K466" s="25"/>
      <c r="L466" s="25"/>
      <c r="M466" s="25"/>
      <c r="N466" s="25"/>
      <c r="O466" s="25"/>
    </row>
    <row r="467" spans="1:15" x14ac:dyDescent="0.25">
      <c r="A467" s="25"/>
      <c r="B467" s="25"/>
      <c r="C467" s="25"/>
      <c r="D467" s="25"/>
      <c r="E467" s="25"/>
      <c r="F467" s="25"/>
      <c r="G467" s="16"/>
      <c r="H467" s="25"/>
      <c r="I467" s="16"/>
      <c r="J467" s="25"/>
      <c r="K467" s="25"/>
      <c r="L467" s="25"/>
      <c r="M467" s="25"/>
      <c r="N467" s="25"/>
      <c r="O467" s="25"/>
    </row>
    <row r="468" spans="1:15" x14ac:dyDescent="0.25">
      <c r="A468" s="25"/>
      <c r="B468" s="25"/>
      <c r="C468" s="25"/>
      <c r="D468" s="25"/>
      <c r="E468" s="25"/>
      <c r="F468" s="25"/>
      <c r="G468" s="16"/>
      <c r="H468" s="25"/>
      <c r="I468" s="16"/>
      <c r="J468" s="25"/>
      <c r="K468" s="25"/>
      <c r="L468" s="25"/>
      <c r="M468" s="25"/>
      <c r="N468" s="25"/>
      <c r="O468" s="25"/>
    </row>
    <row r="469" spans="1:15" x14ac:dyDescent="0.25">
      <c r="A469" s="25"/>
      <c r="B469" s="25"/>
      <c r="C469" s="25"/>
      <c r="D469" s="25"/>
      <c r="E469" s="25"/>
      <c r="F469" s="25"/>
      <c r="G469" s="16"/>
      <c r="H469" s="25"/>
      <c r="I469" s="16"/>
      <c r="J469" s="25"/>
      <c r="K469" s="25"/>
      <c r="L469" s="25"/>
      <c r="M469" s="25"/>
      <c r="N469" s="25"/>
      <c r="O469" s="25"/>
    </row>
    <row r="470" spans="1:15" x14ac:dyDescent="0.25">
      <c r="A470" s="25"/>
      <c r="B470" s="25"/>
      <c r="C470" s="25"/>
      <c r="D470" s="25"/>
      <c r="E470" s="25"/>
      <c r="F470" s="25"/>
      <c r="G470" s="16"/>
      <c r="H470" s="25"/>
      <c r="I470" s="16"/>
      <c r="J470" s="25"/>
      <c r="K470" s="25"/>
      <c r="L470" s="25"/>
      <c r="M470" s="25"/>
      <c r="N470" s="25"/>
      <c r="O470" s="25"/>
    </row>
    <row r="471" spans="1:15" x14ac:dyDescent="0.25">
      <c r="A471" s="25"/>
      <c r="B471" s="25"/>
      <c r="C471" s="25"/>
      <c r="D471" s="25"/>
      <c r="E471" s="25"/>
      <c r="F471" s="25"/>
      <c r="G471" s="16"/>
      <c r="H471" s="25"/>
      <c r="I471" s="16"/>
      <c r="J471" s="25"/>
      <c r="K471" s="25"/>
      <c r="L471" s="25"/>
      <c r="M471" s="25"/>
      <c r="N471" s="25"/>
      <c r="O471" s="25"/>
    </row>
    <row r="472" spans="1:15" x14ac:dyDescent="0.25">
      <c r="A472" s="25"/>
      <c r="B472" s="25"/>
      <c r="C472" s="25"/>
      <c r="D472" s="25"/>
      <c r="E472" s="25"/>
      <c r="F472" s="25"/>
      <c r="G472" s="16"/>
      <c r="H472" s="25"/>
      <c r="I472" s="16"/>
      <c r="J472" s="25"/>
      <c r="K472" s="25"/>
      <c r="L472" s="25"/>
      <c r="M472" s="25"/>
      <c r="N472" s="25"/>
      <c r="O472" s="25"/>
    </row>
    <row r="473" spans="1:15" x14ac:dyDescent="0.25">
      <c r="A473" s="25"/>
      <c r="B473" s="25"/>
      <c r="C473" s="25"/>
      <c r="D473" s="25"/>
      <c r="E473" s="25"/>
      <c r="F473" s="25"/>
      <c r="G473" s="16"/>
      <c r="H473" s="25"/>
      <c r="I473" s="16"/>
      <c r="J473" s="25"/>
      <c r="K473" s="25"/>
      <c r="L473" s="25"/>
      <c r="M473" s="25"/>
      <c r="N473" s="25"/>
      <c r="O473" s="25"/>
    </row>
    <row r="474" spans="1:15" x14ac:dyDescent="0.25">
      <c r="A474" s="25"/>
      <c r="B474" s="25"/>
      <c r="C474" s="25"/>
      <c r="D474" s="25"/>
      <c r="E474" s="25"/>
      <c r="F474" s="25"/>
      <c r="G474" s="16"/>
      <c r="H474" s="25"/>
      <c r="I474" s="16"/>
      <c r="J474" s="25"/>
      <c r="K474" s="25"/>
      <c r="L474" s="25"/>
      <c r="M474" s="25"/>
      <c r="N474" s="25"/>
      <c r="O474" s="25"/>
    </row>
    <row r="475" spans="1:15" x14ac:dyDescent="0.25">
      <c r="A475" s="25"/>
      <c r="B475" s="25"/>
      <c r="C475" s="25"/>
      <c r="D475" s="25"/>
      <c r="E475" s="25"/>
      <c r="F475" s="25"/>
      <c r="G475" s="16"/>
      <c r="H475" s="25"/>
      <c r="I475" s="16"/>
      <c r="J475" s="25"/>
      <c r="K475" s="25"/>
      <c r="L475" s="25"/>
      <c r="M475" s="25"/>
      <c r="N475" s="25"/>
      <c r="O475" s="25"/>
    </row>
    <row r="476" spans="1:15" x14ac:dyDescent="0.25">
      <c r="A476" s="25"/>
      <c r="B476" s="25"/>
      <c r="C476" s="25"/>
      <c r="D476" s="25"/>
      <c r="E476" s="25"/>
      <c r="F476" s="25"/>
      <c r="G476" s="16"/>
      <c r="H476" s="25"/>
      <c r="I476" s="16"/>
      <c r="J476" s="25"/>
      <c r="K476" s="25"/>
      <c r="L476" s="25"/>
      <c r="M476" s="25"/>
      <c r="N476" s="25"/>
      <c r="O476" s="25"/>
    </row>
    <row r="477" spans="1:15" x14ac:dyDescent="0.25">
      <c r="A477" s="25"/>
      <c r="B477" s="25"/>
      <c r="C477" s="25"/>
      <c r="D477" s="25"/>
      <c r="E477" s="25"/>
      <c r="F477" s="25"/>
      <c r="G477" s="16"/>
      <c r="H477" s="25"/>
      <c r="I477" s="16"/>
      <c r="J477" s="25"/>
      <c r="K477" s="25"/>
      <c r="L477" s="25"/>
      <c r="M477" s="25"/>
      <c r="N477" s="25"/>
      <c r="O477" s="25"/>
    </row>
    <row r="478" spans="1:15" x14ac:dyDescent="0.25">
      <c r="A478" s="25"/>
      <c r="B478" s="25"/>
      <c r="C478" s="25"/>
      <c r="D478" s="25"/>
      <c r="E478" s="25"/>
      <c r="F478" s="25"/>
      <c r="G478" s="16"/>
      <c r="H478" s="25"/>
      <c r="I478" s="16"/>
      <c r="J478" s="25"/>
      <c r="K478" s="25"/>
      <c r="L478" s="25"/>
      <c r="M478" s="25"/>
      <c r="N478" s="25"/>
      <c r="O478" s="25"/>
    </row>
    <row r="479" spans="1:15" x14ac:dyDescent="0.25">
      <c r="A479" s="25"/>
      <c r="B479" s="25"/>
      <c r="C479" s="25"/>
      <c r="D479" s="25"/>
      <c r="E479" s="25"/>
      <c r="F479" s="25"/>
      <c r="G479" s="16"/>
      <c r="H479" s="25"/>
      <c r="I479" s="16"/>
      <c r="J479" s="25"/>
      <c r="K479" s="25"/>
      <c r="L479" s="25"/>
      <c r="M479" s="25"/>
      <c r="N479" s="25"/>
      <c r="O479" s="25"/>
    </row>
    <row r="480" spans="1:15" x14ac:dyDescent="0.25">
      <c r="A480" s="25"/>
      <c r="B480" s="25"/>
      <c r="C480" s="25"/>
      <c r="D480" s="25"/>
      <c r="E480" s="25"/>
      <c r="F480" s="25"/>
      <c r="G480" s="16"/>
      <c r="H480" s="25"/>
      <c r="I480" s="16"/>
      <c r="J480" s="25"/>
      <c r="K480" s="25"/>
      <c r="L480" s="25"/>
      <c r="M480" s="25"/>
      <c r="N480" s="25"/>
      <c r="O480" s="25"/>
    </row>
    <row r="481" spans="1:15" x14ac:dyDescent="0.25">
      <c r="A481" s="25"/>
      <c r="B481" s="25"/>
      <c r="C481" s="25"/>
      <c r="D481" s="25"/>
      <c r="E481" s="25"/>
      <c r="F481" s="25"/>
      <c r="G481" s="16"/>
      <c r="H481" s="25"/>
      <c r="I481" s="16"/>
      <c r="J481" s="25"/>
      <c r="K481" s="25"/>
      <c r="L481" s="25"/>
      <c r="M481" s="25"/>
      <c r="N481" s="25"/>
      <c r="O481" s="25"/>
    </row>
    <row r="482" spans="1:15" x14ac:dyDescent="0.25">
      <c r="A482" s="25"/>
      <c r="B482" s="25"/>
      <c r="C482" s="25"/>
      <c r="D482" s="25"/>
      <c r="E482" s="25"/>
      <c r="F482" s="25"/>
      <c r="G482" s="16"/>
      <c r="H482" s="25"/>
      <c r="I482" s="16"/>
      <c r="J482" s="25"/>
      <c r="K482" s="25"/>
      <c r="L482" s="25"/>
      <c r="M482" s="25"/>
      <c r="N482" s="25"/>
      <c r="O482" s="25"/>
    </row>
    <row r="483" spans="1:15" x14ac:dyDescent="0.25">
      <c r="A483" s="25"/>
      <c r="B483" s="25"/>
      <c r="C483" s="25"/>
      <c r="D483" s="25"/>
      <c r="E483" s="25"/>
      <c r="F483" s="25"/>
      <c r="G483" s="16"/>
      <c r="H483" s="25"/>
      <c r="I483" s="16"/>
      <c r="J483" s="25"/>
      <c r="K483" s="25"/>
      <c r="L483" s="25"/>
      <c r="M483" s="25"/>
      <c r="N483" s="25"/>
      <c r="O483" s="25"/>
    </row>
    <row r="484" spans="1:15" x14ac:dyDescent="0.25">
      <c r="A484" s="25"/>
      <c r="B484" s="25"/>
      <c r="C484" s="25"/>
      <c r="D484" s="25"/>
      <c r="E484" s="25"/>
      <c r="F484" s="25"/>
      <c r="G484" s="16"/>
      <c r="H484" s="25"/>
      <c r="I484" s="16"/>
      <c r="J484" s="25"/>
      <c r="K484" s="25"/>
      <c r="L484" s="25"/>
      <c r="M484" s="25"/>
      <c r="N484" s="25"/>
      <c r="O484" s="25"/>
    </row>
    <row r="485" spans="1:15" x14ac:dyDescent="0.25">
      <c r="A485" s="25"/>
      <c r="B485" s="25"/>
      <c r="C485" s="25"/>
      <c r="D485" s="25"/>
      <c r="E485" s="25"/>
      <c r="F485" s="25"/>
      <c r="G485" s="16"/>
      <c r="H485" s="25"/>
      <c r="I485" s="16"/>
      <c r="J485" s="25"/>
      <c r="K485" s="25"/>
      <c r="L485" s="25"/>
      <c r="M485" s="25"/>
      <c r="N485" s="25"/>
      <c r="O485" s="25"/>
    </row>
    <row r="486" spans="1:15" x14ac:dyDescent="0.25">
      <c r="A486" s="25"/>
      <c r="B486" s="25"/>
      <c r="C486" s="25"/>
      <c r="D486" s="25"/>
      <c r="E486" s="25"/>
      <c r="F486" s="25"/>
      <c r="G486" s="16"/>
      <c r="H486" s="25"/>
      <c r="I486" s="16"/>
      <c r="J486" s="25"/>
      <c r="K486" s="25"/>
      <c r="L486" s="25"/>
      <c r="M486" s="25"/>
      <c r="N486" s="25"/>
      <c r="O486" s="25"/>
    </row>
    <row r="487" spans="1:15" x14ac:dyDescent="0.25">
      <c r="A487" s="25"/>
      <c r="B487" s="25"/>
      <c r="C487" s="25"/>
      <c r="D487" s="25"/>
      <c r="E487" s="25"/>
      <c r="F487" s="25"/>
      <c r="G487" s="16"/>
      <c r="H487" s="25"/>
      <c r="I487" s="16"/>
      <c r="J487" s="25"/>
      <c r="K487" s="25"/>
      <c r="L487" s="25"/>
      <c r="M487" s="25"/>
      <c r="N487" s="25"/>
      <c r="O487" s="25"/>
    </row>
    <row r="488" spans="1:15" x14ac:dyDescent="0.25">
      <c r="A488" s="25"/>
      <c r="B488" s="25"/>
      <c r="C488" s="25"/>
      <c r="D488" s="25"/>
      <c r="E488" s="25"/>
      <c r="F488" s="25"/>
      <c r="G488" s="16"/>
      <c r="H488" s="25"/>
      <c r="I488" s="16"/>
      <c r="J488" s="25"/>
      <c r="K488" s="25"/>
      <c r="L488" s="25"/>
      <c r="M488" s="25"/>
      <c r="N488" s="25"/>
      <c r="O488" s="25"/>
    </row>
    <row r="489" spans="1:15" x14ac:dyDescent="0.25">
      <c r="A489" s="25"/>
      <c r="B489" s="25"/>
      <c r="C489" s="25"/>
      <c r="D489" s="25"/>
      <c r="E489" s="25"/>
      <c r="F489" s="25"/>
      <c r="G489" s="16"/>
      <c r="H489" s="25"/>
      <c r="I489" s="16"/>
      <c r="J489" s="25"/>
      <c r="K489" s="25"/>
      <c r="L489" s="25"/>
      <c r="M489" s="25"/>
      <c r="N489" s="25"/>
      <c r="O489" s="25"/>
    </row>
    <row r="490" spans="1:15" x14ac:dyDescent="0.25">
      <c r="A490" s="25"/>
      <c r="B490" s="25"/>
      <c r="C490" s="25"/>
      <c r="D490" s="25"/>
      <c r="E490" s="25"/>
      <c r="F490" s="25"/>
      <c r="G490" s="16"/>
      <c r="H490" s="25"/>
      <c r="I490" s="16"/>
      <c r="J490" s="25"/>
      <c r="K490" s="25"/>
      <c r="L490" s="25"/>
      <c r="M490" s="25"/>
      <c r="N490" s="25"/>
      <c r="O490" s="25"/>
    </row>
    <row r="491" spans="1:15" x14ac:dyDescent="0.25">
      <c r="A491" s="25"/>
      <c r="B491" s="25"/>
      <c r="C491" s="25"/>
      <c r="D491" s="25"/>
      <c r="E491" s="25"/>
      <c r="F491" s="25"/>
      <c r="G491" s="16"/>
      <c r="H491" s="25"/>
      <c r="I491" s="16"/>
      <c r="J491" s="25"/>
      <c r="K491" s="25"/>
      <c r="L491" s="25"/>
      <c r="M491" s="25"/>
      <c r="N491" s="25"/>
      <c r="O491" s="25"/>
    </row>
    <row r="492" spans="1:15" x14ac:dyDescent="0.25">
      <c r="A492" s="25"/>
      <c r="B492" s="25"/>
      <c r="C492" s="25"/>
      <c r="D492" s="25"/>
      <c r="E492" s="25"/>
      <c r="F492" s="25"/>
      <c r="G492" s="16"/>
      <c r="H492" s="25"/>
      <c r="I492" s="16"/>
      <c r="J492" s="25"/>
      <c r="K492" s="25"/>
      <c r="L492" s="25"/>
      <c r="M492" s="25"/>
      <c r="N492" s="25"/>
      <c r="O492" s="25"/>
    </row>
    <row r="493" spans="1:15" x14ac:dyDescent="0.25">
      <c r="A493" s="25"/>
      <c r="B493" s="25"/>
      <c r="C493" s="25"/>
      <c r="D493" s="25"/>
      <c r="E493" s="25"/>
      <c r="F493" s="25"/>
      <c r="G493" s="16"/>
      <c r="H493" s="25"/>
      <c r="I493" s="16"/>
      <c r="J493" s="25"/>
      <c r="K493" s="25"/>
      <c r="L493" s="25"/>
      <c r="M493" s="25"/>
      <c r="N493" s="25"/>
      <c r="O493" s="25"/>
    </row>
    <row r="494" spans="1:15" x14ac:dyDescent="0.25">
      <c r="A494" s="25"/>
      <c r="B494" s="25"/>
      <c r="C494" s="25"/>
      <c r="D494" s="25"/>
      <c r="E494" s="25"/>
      <c r="F494" s="25"/>
      <c r="G494" s="16"/>
      <c r="H494" s="25"/>
      <c r="I494" s="16"/>
      <c r="J494" s="25"/>
      <c r="K494" s="25"/>
      <c r="L494" s="25"/>
      <c r="M494" s="25"/>
      <c r="N494" s="25"/>
      <c r="O494" s="25"/>
    </row>
    <row r="495" spans="1:15" x14ac:dyDescent="0.25">
      <c r="A495" s="25"/>
      <c r="B495" s="25"/>
      <c r="C495" s="25"/>
      <c r="D495" s="25"/>
      <c r="E495" s="25"/>
      <c r="F495" s="25"/>
      <c r="G495" s="16"/>
      <c r="H495" s="25"/>
      <c r="I495" s="16"/>
      <c r="J495" s="25"/>
      <c r="K495" s="25"/>
      <c r="L495" s="25"/>
      <c r="M495" s="25"/>
      <c r="N495" s="25"/>
      <c r="O495" s="25"/>
    </row>
    <row r="496" spans="1:15" x14ac:dyDescent="0.25">
      <c r="A496" s="25"/>
      <c r="B496" s="25"/>
      <c r="C496" s="25"/>
      <c r="D496" s="25"/>
      <c r="E496" s="25"/>
      <c r="F496" s="25"/>
      <c r="G496" s="16"/>
      <c r="H496" s="25"/>
      <c r="I496" s="16"/>
      <c r="J496" s="25"/>
      <c r="K496" s="25"/>
      <c r="L496" s="25"/>
      <c r="M496" s="25"/>
      <c r="N496" s="25"/>
      <c r="O496" s="25"/>
    </row>
    <row r="497" spans="1:15" x14ac:dyDescent="0.25">
      <c r="A497" s="25"/>
      <c r="B497" s="25"/>
      <c r="C497" s="25"/>
      <c r="D497" s="25"/>
      <c r="E497" s="25"/>
      <c r="F497" s="25"/>
      <c r="G497" s="16"/>
      <c r="H497" s="25"/>
      <c r="I497" s="16"/>
      <c r="J497" s="25"/>
      <c r="K497" s="25"/>
      <c r="L497" s="25"/>
      <c r="M497" s="25"/>
      <c r="N497" s="25"/>
      <c r="O497" s="25"/>
    </row>
    <row r="498" spans="1:15" x14ac:dyDescent="0.25">
      <c r="A498" s="25"/>
      <c r="B498" s="25"/>
      <c r="C498" s="25"/>
      <c r="D498" s="25"/>
      <c r="E498" s="25"/>
      <c r="F498" s="25"/>
      <c r="G498" s="16"/>
      <c r="H498" s="25"/>
      <c r="I498" s="16"/>
      <c r="J498" s="25"/>
      <c r="K498" s="25"/>
      <c r="L498" s="25"/>
      <c r="M498" s="25"/>
      <c r="N498" s="25"/>
      <c r="O498" s="25"/>
    </row>
    <row r="499" spans="1:15" x14ac:dyDescent="0.25">
      <c r="A499" s="25"/>
      <c r="B499" s="25"/>
      <c r="C499" s="25"/>
      <c r="D499" s="25"/>
      <c r="E499" s="25"/>
      <c r="F499" s="25"/>
      <c r="G499" s="16"/>
      <c r="H499" s="25"/>
      <c r="I499" s="16"/>
      <c r="J499" s="25"/>
      <c r="K499" s="25"/>
      <c r="L499" s="25"/>
      <c r="M499" s="25"/>
      <c r="N499" s="25"/>
      <c r="O499" s="25"/>
    </row>
    <row r="500" spans="1:15" x14ac:dyDescent="0.25">
      <c r="A500" s="25"/>
      <c r="B500" s="25"/>
      <c r="C500" s="25"/>
      <c r="D500" s="25"/>
      <c r="E500" s="25"/>
      <c r="F500" s="25"/>
      <c r="G500" s="16"/>
      <c r="H500" s="25"/>
      <c r="I500" s="16"/>
      <c r="J500" s="25"/>
      <c r="K500" s="25"/>
      <c r="L500" s="25"/>
      <c r="M500" s="25"/>
      <c r="N500" s="25"/>
      <c r="O500" s="25"/>
    </row>
    <row r="501" spans="1:15" x14ac:dyDescent="0.25">
      <c r="A501" s="25"/>
      <c r="B501" s="25"/>
      <c r="C501" s="25"/>
      <c r="D501" s="25"/>
      <c r="E501" s="25"/>
      <c r="F501" s="25"/>
      <c r="G501" s="16"/>
      <c r="H501" s="25"/>
      <c r="I501" s="16"/>
      <c r="J501" s="25"/>
      <c r="K501" s="25"/>
      <c r="L501" s="25"/>
      <c r="M501" s="25"/>
      <c r="N501" s="25"/>
      <c r="O501" s="25"/>
    </row>
    <row r="502" spans="1:15" x14ac:dyDescent="0.25">
      <c r="A502" s="25"/>
      <c r="B502" s="25"/>
      <c r="C502" s="25"/>
      <c r="D502" s="25"/>
      <c r="E502" s="25"/>
      <c r="F502" s="25"/>
      <c r="G502" s="16"/>
      <c r="H502" s="25"/>
      <c r="I502" s="16"/>
      <c r="J502" s="25"/>
      <c r="K502" s="25"/>
      <c r="L502" s="25"/>
      <c r="M502" s="25"/>
      <c r="N502" s="25"/>
      <c r="O502" s="25"/>
    </row>
    <row r="503" spans="1:15" x14ac:dyDescent="0.25">
      <c r="A503" s="25"/>
      <c r="B503" s="25"/>
      <c r="C503" s="25"/>
      <c r="D503" s="25"/>
      <c r="E503" s="25"/>
      <c r="F503" s="25"/>
      <c r="G503" s="16"/>
      <c r="H503" s="25"/>
      <c r="I503" s="16"/>
      <c r="J503" s="25"/>
      <c r="K503" s="25"/>
      <c r="L503" s="25"/>
      <c r="M503" s="25"/>
      <c r="N503" s="25"/>
      <c r="O503" s="25"/>
    </row>
    <row r="504" spans="1:15" x14ac:dyDescent="0.25">
      <c r="A504" s="25"/>
      <c r="B504" s="25"/>
      <c r="C504" s="25"/>
      <c r="D504" s="25"/>
      <c r="E504" s="25"/>
      <c r="F504" s="25"/>
      <c r="G504" s="16"/>
      <c r="H504" s="25"/>
      <c r="I504" s="16"/>
      <c r="J504" s="25"/>
      <c r="K504" s="25"/>
      <c r="L504" s="25"/>
      <c r="M504" s="25"/>
      <c r="N504" s="25"/>
      <c r="O504" s="25"/>
    </row>
    <row r="505" spans="1:15" x14ac:dyDescent="0.25">
      <c r="A505" s="25"/>
      <c r="B505" s="25"/>
      <c r="C505" s="25"/>
      <c r="D505" s="25"/>
      <c r="E505" s="25"/>
      <c r="F505" s="25"/>
      <c r="G505" s="16"/>
      <c r="H505" s="25"/>
      <c r="I505" s="16"/>
      <c r="J505" s="25"/>
      <c r="K505" s="25"/>
      <c r="L505" s="25"/>
      <c r="M505" s="25"/>
      <c r="N505" s="25"/>
      <c r="O505" s="25"/>
    </row>
    <row r="506" spans="1:15" x14ac:dyDescent="0.25">
      <c r="A506" s="25"/>
      <c r="B506" s="25"/>
      <c r="C506" s="25"/>
      <c r="D506" s="25"/>
      <c r="E506" s="25"/>
      <c r="F506" s="25"/>
      <c r="G506" s="16"/>
      <c r="H506" s="25"/>
      <c r="I506" s="16"/>
      <c r="J506" s="25"/>
      <c r="K506" s="25"/>
      <c r="L506" s="25"/>
      <c r="M506" s="25"/>
      <c r="N506" s="25"/>
      <c r="O506" s="25"/>
    </row>
    <row r="507" spans="1:15" x14ac:dyDescent="0.25">
      <c r="A507" s="25"/>
      <c r="B507" s="25"/>
      <c r="C507" s="25"/>
      <c r="D507" s="25"/>
      <c r="E507" s="25"/>
      <c r="F507" s="25"/>
      <c r="G507" s="16"/>
      <c r="H507" s="25"/>
      <c r="I507" s="16"/>
      <c r="J507" s="25"/>
      <c r="K507" s="25"/>
      <c r="L507" s="25"/>
      <c r="M507" s="25"/>
      <c r="N507" s="25"/>
      <c r="O507" s="25"/>
    </row>
    <row r="508" spans="1:15" x14ac:dyDescent="0.25">
      <c r="A508" s="25"/>
      <c r="B508" s="25"/>
      <c r="C508" s="25"/>
      <c r="D508" s="25"/>
      <c r="E508" s="25"/>
      <c r="F508" s="25"/>
      <c r="G508" s="16"/>
      <c r="H508" s="25"/>
      <c r="I508" s="16"/>
      <c r="J508" s="25"/>
      <c r="K508" s="25"/>
      <c r="L508" s="25"/>
      <c r="M508" s="25"/>
      <c r="N508" s="25"/>
      <c r="O508" s="25"/>
    </row>
    <row r="509" spans="1:15" x14ac:dyDescent="0.25">
      <c r="A509" s="25"/>
      <c r="B509" s="25"/>
      <c r="C509" s="25"/>
      <c r="D509" s="25"/>
      <c r="E509" s="25"/>
      <c r="F509" s="25"/>
      <c r="G509" s="16"/>
      <c r="H509" s="25"/>
      <c r="I509" s="16"/>
      <c r="J509" s="25"/>
      <c r="K509" s="25"/>
      <c r="L509" s="25"/>
      <c r="M509" s="25"/>
      <c r="N509" s="25"/>
      <c r="O509" s="25"/>
    </row>
    <row r="510" spans="1:15" x14ac:dyDescent="0.25">
      <c r="A510" s="25"/>
      <c r="B510" s="25"/>
      <c r="C510" s="25"/>
      <c r="D510" s="25"/>
      <c r="E510" s="25"/>
      <c r="F510" s="25"/>
      <c r="G510" s="16"/>
      <c r="H510" s="25"/>
      <c r="I510" s="16"/>
      <c r="J510" s="25"/>
      <c r="K510" s="25"/>
      <c r="L510" s="25"/>
      <c r="M510" s="25"/>
      <c r="N510" s="25"/>
      <c r="O510" s="25"/>
    </row>
    <row r="511" spans="1:15" x14ac:dyDescent="0.25">
      <c r="A511" s="25"/>
      <c r="B511" s="25"/>
      <c r="C511" s="25"/>
      <c r="D511" s="25"/>
      <c r="E511" s="25"/>
      <c r="F511" s="25"/>
      <c r="G511" s="16"/>
      <c r="H511" s="25"/>
      <c r="I511" s="16"/>
      <c r="J511" s="25"/>
      <c r="K511" s="25"/>
      <c r="L511" s="25"/>
      <c r="M511" s="25"/>
      <c r="N511" s="25"/>
      <c r="O511" s="25"/>
    </row>
    <row r="512" spans="1:15" x14ac:dyDescent="0.25">
      <c r="A512" s="25"/>
      <c r="B512" s="25"/>
      <c r="C512" s="25"/>
      <c r="D512" s="25"/>
      <c r="E512" s="25"/>
      <c r="F512" s="25"/>
      <c r="G512" s="16"/>
      <c r="H512" s="25"/>
      <c r="I512" s="16"/>
      <c r="J512" s="25"/>
      <c r="K512" s="25"/>
      <c r="L512" s="25"/>
      <c r="M512" s="25"/>
      <c r="N512" s="25"/>
      <c r="O512" s="25"/>
    </row>
    <row r="513" spans="1:15" x14ac:dyDescent="0.25">
      <c r="A513" s="25"/>
      <c r="B513" s="25"/>
      <c r="C513" s="25"/>
      <c r="D513" s="25"/>
      <c r="E513" s="25"/>
      <c r="F513" s="25"/>
      <c r="G513" s="16"/>
      <c r="H513" s="25"/>
      <c r="I513" s="16"/>
      <c r="J513" s="25"/>
      <c r="K513" s="25"/>
      <c r="L513" s="25"/>
      <c r="M513" s="25"/>
      <c r="N513" s="25"/>
      <c r="O513" s="25"/>
    </row>
    <row r="514" spans="1:15" x14ac:dyDescent="0.25">
      <c r="A514" s="25"/>
      <c r="B514" s="25"/>
      <c r="C514" s="25"/>
      <c r="D514" s="25"/>
      <c r="E514" s="25"/>
      <c r="F514" s="25"/>
      <c r="G514" s="16"/>
      <c r="H514" s="25"/>
      <c r="I514" s="16"/>
      <c r="J514" s="25"/>
      <c r="K514" s="25"/>
      <c r="L514" s="25"/>
      <c r="M514" s="25"/>
      <c r="N514" s="25"/>
      <c r="O514" s="25"/>
    </row>
    <row r="515" spans="1:15" x14ac:dyDescent="0.25">
      <c r="A515" s="25"/>
      <c r="B515" s="25"/>
      <c r="C515" s="25"/>
      <c r="D515" s="25"/>
      <c r="E515" s="25"/>
      <c r="F515" s="25"/>
      <c r="G515" s="16"/>
      <c r="H515" s="25"/>
      <c r="I515" s="16"/>
      <c r="J515" s="25"/>
      <c r="K515" s="25"/>
      <c r="L515" s="25"/>
      <c r="M515" s="25"/>
      <c r="N515" s="25"/>
      <c r="O515" s="25"/>
    </row>
    <row r="516" spans="1:15" x14ac:dyDescent="0.25">
      <c r="A516" s="25"/>
      <c r="B516" s="25"/>
      <c r="C516" s="25"/>
      <c r="D516" s="25"/>
      <c r="E516" s="25"/>
      <c r="F516" s="25"/>
      <c r="G516" s="16"/>
      <c r="H516" s="25"/>
      <c r="I516" s="16"/>
      <c r="J516" s="25"/>
      <c r="K516" s="25"/>
      <c r="L516" s="25"/>
      <c r="M516" s="25"/>
      <c r="N516" s="25"/>
      <c r="O516" s="25"/>
    </row>
    <row r="517" spans="1:15" x14ac:dyDescent="0.25">
      <c r="A517" s="25"/>
      <c r="B517" s="25"/>
      <c r="C517" s="25"/>
      <c r="D517" s="25"/>
      <c r="E517" s="25"/>
      <c r="F517" s="25"/>
      <c r="G517" s="16"/>
      <c r="H517" s="25"/>
      <c r="I517" s="16"/>
      <c r="J517" s="25"/>
      <c r="K517" s="25"/>
      <c r="L517" s="25"/>
      <c r="M517" s="25"/>
      <c r="N517" s="25"/>
      <c r="O517" s="25"/>
    </row>
    <row r="518" spans="1:15" x14ac:dyDescent="0.25">
      <c r="A518" s="25"/>
      <c r="B518" s="25"/>
      <c r="C518" s="25"/>
      <c r="D518" s="25"/>
      <c r="E518" s="25"/>
      <c r="F518" s="25"/>
      <c r="G518" s="16"/>
      <c r="H518" s="25"/>
      <c r="I518" s="16"/>
      <c r="J518" s="25"/>
      <c r="K518" s="25"/>
      <c r="L518" s="25"/>
      <c r="M518" s="25"/>
      <c r="N518" s="25"/>
      <c r="O518" s="25"/>
    </row>
    <row r="519" spans="1:15" x14ac:dyDescent="0.25">
      <c r="A519" s="25"/>
      <c r="B519" s="25"/>
      <c r="C519" s="25"/>
      <c r="D519" s="25"/>
      <c r="E519" s="25"/>
      <c r="F519" s="25"/>
      <c r="G519" s="16"/>
      <c r="H519" s="25"/>
      <c r="I519" s="16"/>
      <c r="J519" s="25"/>
      <c r="K519" s="25"/>
      <c r="L519" s="25"/>
      <c r="M519" s="25"/>
      <c r="N519" s="25"/>
      <c r="O519" s="25"/>
    </row>
    <row r="520" spans="1:15" x14ac:dyDescent="0.25">
      <c r="A520" s="25"/>
      <c r="B520" s="25"/>
      <c r="C520" s="25"/>
      <c r="D520" s="25"/>
      <c r="E520" s="25"/>
      <c r="F520" s="25"/>
      <c r="G520" s="16"/>
      <c r="H520" s="25"/>
      <c r="I520" s="16"/>
      <c r="J520" s="25"/>
      <c r="K520" s="25"/>
      <c r="L520" s="25"/>
      <c r="M520" s="25"/>
      <c r="N520" s="25"/>
      <c r="O520" s="25"/>
    </row>
    <row r="521" spans="1:15" x14ac:dyDescent="0.25">
      <c r="A521" s="25"/>
      <c r="B521" s="25"/>
      <c r="C521" s="25"/>
      <c r="D521" s="25"/>
      <c r="E521" s="25"/>
      <c r="F521" s="25"/>
      <c r="G521" s="16"/>
      <c r="H521" s="25"/>
      <c r="I521" s="16"/>
      <c r="J521" s="25"/>
      <c r="K521" s="25"/>
      <c r="L521" s="25"/>
      <c r="M521" s="25"/>
      <c r="N521" s="25"/>
      <c r="O521" s="25"/>
    </row>
    <row r="522" spans="1:15" x14ac:dyDescent="0.25">
      <c r="A522" s="25"/>
      <c r="B522" s="25"/>
      <c r="C522" s="25"/>
      <c r="D522" s="25"/>
      <c r="E522" s="25"/>
      <c r="F522" s="25"/>
      <c r="G522" s="16"/>
      <c r="H522" s="25"/>
      <c r="I522" s="16"/>
      <c r="J522" s="25"/>
      <c r="K522" s="25"/>
      <c r="L522" s="25"/>
      <c r="M522" s="25"/>
      <c r="N522" s="25"/>
      <c r="O522" s="25"/>
    </row>
    <row r="523" spans="1:15" x14ac:dyDescent="0.25">
      <c r="A523" s="25"/>
      <c r="B523" s="25"/>
      <c r="C523" s="25"/>
      <c r="D523" s="25"/>
      <c r="E523" s="25"/>
      <c r="F523" s="25"/>
      <c r="G523" s="16"/>
      <c r="H523" s="25"/>
      <c r="I523" s="16"/>
      <c r="J523" s="25"/>
      <c r="K523" s="25"/>
      <c r="L523" s="25"/>
      <c r="M523" s="25"/>
      <c r="N523" s="25"/>
      <c r="O523" s="25"/>
    </row>
    <row r="524" spans="1:15" x14ac:dyDescent="0.25">
      <c r="A524" s="25"/>
      <c r="B524" s="25"/>
      <c r="C524" s="25"/>
      <c r="D524" s="25"/>
      <c r="E524" s="25"/>
      <c r="F524" s="25"/>
      <c r="G524" s="16"/>
      <c r="H524" s="25"/>
      <c r="I524" s="16"/>
      <c r="J524" s="25"/>
      <c r="K524" s="25"/>
      <c r="L524" s="25"/>
      <c r="M524" s="25"/>
      <c r="N524" s="25"/>
      <c r="O524" s="25"/>
    </row>
    <row r="525" spans="1:15" x14ac:dyDescent="0.25">
      <c r="A525" s="25"/>
      <c r="B525" s="25"/>
      <c r="C525" s="25"/>
      <c r="D525" s="25"/>
      <c r="E525" s="25"/>
      <c r="F525" s="25"/>
      <c r="G525" s="16"/>
      <c r="H525" s="25"/>
      <c r="I525" s="16"/>
      <c r="J525" s="25"/>
      <c r="K525" s="25"/>
      <c r="L525" s="25"/>
      <c r="M525" s="25"/>
      <c r="N525" s="25"/>
      <c r="O525" s="25"/>
    </row>
    <row r="526" spans="1:15" x14ac:dyDescent="0.25">
      <c r="A526" s="25"/>
      <c r="B526" s="25"/>
      <c r="C526" s="25"/>
      <c r="D526" s="25"/>
      <c r="E526" s="25"/>
      <c r="F526" s="25"/>
      <c r="G526" s="16"/>
      <c r="H526" s="25"/>
      <c r="I526" s="16"/>
      <c r="J526" s="25"/>
      <c r="K526" s="25"/>
      <c r="L526" s="25"/>
      <c r="M526" s="25"/>
      <c r="N526" s="25"/>
      <c r="O526" s="25"/>
    </row>
    <row r="527" spans="1:15" x14ac:dyDescent="0.25">
      <c r="A527" s="25"/>
      <c r="B527" s="25"/>
      <c r="C527" s="25"/>
      <c r="D527" s="25"/>
      <c r="E527" s="25"/>
      <c r="F527" s="25"/>
      <c r="G527" s="16"/>
      <c r="H527" s="25"/>
      <c r="I527" s="16"/>
      <c r="J527" s="25"/>
      <c r="K527" s="25"/>
      <c r="L527" s="25"/>
      <c r="M527" s="25"/>
      <c r="N527" s="25"/>
      <c r="O527" s="25"/>
    </row>
    <row r="528" spans="1:15" x14ac:dyDescent="0.25">
      <c r="A528" s="25"/>
      <c r="B528" s="25"/>
      <c r="C528" s="25"/>
      <c r="D528" s="25"/>
      <c r="E528" s="25"/>
      <c r="F528" s="25"/>
      <c r="G528" s="16"/>
      <c r="H528" s="25"/>
      <c r="I528" s="16"/>
      <c r="J528" s="25"/>
      <c r="K528" s="25"/>
      <c r="L528" s="25"/>
      <c r="M528" s="25"/>
      <c r="N528" s="25"/>
      <c r="O528" s="25"/>
    </row>
    <row r="529" spans="1:15" x14ac:dyDescent="0.25">
      <c r="A529" s="25"/>
      <c r="B529" s="25"/>
      <c r="C529" s="25"/>
      <c r="D529" s="25"/>
      <c r="E529" s="25"/>
      <c r="F529" s="25"/>
      <c r="G529" s="16"/>
      <c r="H529" s="25"/>
      <c r="I529" s="16"/>
      <c r="J529" s="25"/>
      <c r="K529" s="25"/>
      <c r="L529" s="25"/>
      <c r="M529" s="25"/>
      <c r="N529" s="25"/>
      <c r="O529" s="25"/>
    </row>
    <row r="530" spans="1:15" x14ac:dyDescent="0.25">
      <c r="A530" s="25"/>
      <c r="B530" s="25"/>
      <c r="C530" s="25"/>
      <c r="D530" s="25"/>
      <c r="E530" s="25"/>
      <c r="F530" s="25"/>
      <c r="G530" s="16"/>
      <c r="H530" s="25"/>
      <c r="I530" s="16"/>
      <c r="J530" s="25"/>
      <c r="K530" s="25"/>
      <c r="L530" s="25"/>
      <c r="M530" s="25"/>
      <c r="N530" s="25"/>
      <c r="O530" s="25"/>
    </row>
    <row r="531" spans="1:15" x14ac:dyDescent="0.25">
      <c r="A531" s="25"/>
      <c r="B531" s="25"/>
      <c r="C531" s="25"/>
      <c r="D531" s="25"/>
      <c r="E531" s="25"/>
      <c r="F531" s="25"/>
      <c r="G531" s="16"/>
      <c r="H531" s="25"/>
      <c r="I531" s="16"/>
      <c r="J531" s="25"/>
      <c r="K531" s="25"/>
      <c r="L531" s="25"/>
      <c r="M531" s="25"/>
      <c r="N531" s="25"/>
      <c r="O531" s="25"/>
    </row>
    <row r="532" spans="1:15" x14ac:dyDescent="0.25">
      <c r="A532" s="25"/>
      <c r="B532" s="25"/>
      <c r="C532" s="25"/>
      <c r="D532" s="25"/>
      <c r="E532" s="25"/>
      <c r="F532" s="25"/>
      <c r="G532" s="16"/>
      <c r="H532" s="25"/>
      <c r="I532" s="16"/>
      <c r="J532" s="25"/>
      <c r="K532" s="25"/>
      <c r="L532" s="25"/>
      <c r="M532" s="25"/>
      <c r="N532" s="25"/>
      <c r="O532" s="25"/>
    </row>
    <row r="533" spans="1:15" x14ac:dyDescent="0.25">
      <c r="A533" s="25"/>
      <c r="B533" s="25"/>
      <c r="C533" s="25"/>
      <c r="D533" s="25"/>
      <c r="E533" s="25"/>
      <c r="F533" s="25"/>
      <c r="G533" s="16"/>
      <c r="H533" s="25"/>
      <c r="I533" s="16"/>
      <c r="J533" s="25"/>
      <c r="K533" s="25"/>
      <c r="L533" s="25"/>
      <c r="M533" s="25"/>
      <c r="N533" s="25"/>
      <c r="O533" s="25"/>
    </row>
    <row r="534" spans="1:15" x14ac:dyDescent="0.25">
      <c r="A534" s="25"/>
      <c r="B534" s="25"/>
      <c r="C534" s="25"/>
      <c r="D534" s="25"/>
      <c r="E534" s="25"/>
      <c r="F534" s="25"/>
      <c r="G534" s="16"/>
      <c r="H534" s="25"/>
      <c r="I534" s="16"/>
      <c r="J534" s="25"/>
      <c r="K534" s="25"/>
      <c r="L534" s="25"/>
      <c r="M534" s="25"/>
      <c r="N534" s="25"/>
      <c r="O534" s="25"/>
    </row>
    <row r="535" spans="1:15" x14ac:dyDescent="0.25">
      <c r="A535" s="25"/>
      <c r="B535" s="25"/>
      <c r="C535" s="25"/>
      <c r="D535" s="25"/>
      <c r="E535" s="25"/>
      <c r="F535" s="25"/>
      <c r="G535" s="16"/>
      <c r="H535" s="25"/>
      <c r="I535" s="16"/>
      <c r="J535" s="25"/>
      <c r="K535" s="25"/>
      <c r="L535" s="25"/>
      <c r="M535" s="25"/>
      <c r="N535" s="25"/>
      <c r="O535" s="25"/>
    </row>
    <row r="536" spans="1:15" x14ac:dyDescent="0.25">
      <c r="A536" s="25"/>
      <c r="B536" s="25"/>
      <c r="C536" s="25"/>
      <c r="D536" s="25"/>
      <c r="E536" s="25"/>
      <c r="F536" s="25"/>
      <c r="G536" s="16"/>
      <c r="H536" s="25"/>
      <c r="I536" s="16"/>
      <c r="J536" s="25"/>
      <c r="K536" s="25"/>
      <c r="L536" s="25"/>
      <c r="M536" s="25"/>
      <c r="N536" s="25"/>
      <c r="O536" s="25"/>
    </row>
    <row r="537" spans="1:15" x14ac:dyDescent="0.25">
      <c r="A537" s="25"/>
      <c r="B537" s="25"/>
      <c r="C537" s="25"/>
      <c r="D537" s="25"/>
      <c r="E537" s="25"/>
      <c r="F537" s="25"/>
      <c r="G537" s="16"/>
      <c r="H537" s="25"/>
      <c r="I537" s="16"/>
      <c r="J537" s="25"/>
      <c r="K537" s="25"/>
      <c r="L537" s="25"/>
      <c r="M537" s="25"/>
      <c r="N537" s="25"/>
      <c r="O537" s="25"/>
    </row>
    <row r="538" spans="1:15" x14ac:dyDescent="0.25">
      <c r="A538" s="25"/>
      <c r="B538" s="25"/>
      <c r="C538" s="25"/>
      <c r="D538" s="25"/>
      <c r="E538" s="25"/>
      <c r="F538" s="25"/>
      <c r="G538" s="16"/>
      <c r="H538" s="25"/>
      <c r="I538" s="16"/>
      <c r="J538" s="25"/>
      <c r="K538" s="25"/>
      <c r="L538" s="25"/>
      <c r="M538" s="25"/>
      <c r="N538" s="25"/>
      <c r="O538" s="25"/>
    </row>
    <row r="539" spans="1:15" x14ac:dyDescent="0.25">
      <c r="A539" s="25"/>
      <c r="B539" s="25"/>
      <c r="C539" s="25"/>
      <c r="D539" s="25"/>
      <c r="E539" s="25"/>
      <c r="F539" s="25"/>
      <c r="G539" s="16"/>
      <c r="H539" s="25"/>
      <c r="I539" s="16"/>
      <c r="J539" s="25"/>
      <c r="K539" s="25"/>
      <c r="L539" s="25"/>
      <c r="M539" s="25"/>
      <c r="N539" s="25"/>
      <c r="O539" s="25"/>
    </row>
    <row r="540" spans="1:15" x14ac:dyDescent="0.25">
      <c r="A540" s="25"/>
      <c r="B540" s="25"/>
      <c r="C540" s="25"/>
      <c r="D540" s="25"/>
      <c r="E540" s="25"/>
      <c r="F540" s="25"/>
      <c r="G540" s="16"/>
      <c r="H540" s="25"/>
      <c r="I540" s="16"/>
      <c r="J540" s="25"/>
      <c r="K540" s="25"/>
      <c r="L540" s="25"/>
      <c r="M540" s="25"/>
      <c r="N540" s="25"/>
      <c r="O540" s="25"/>
    </row>
    <row r="541" spans="1:15" x14ac:dyDescent="0.25">
      <c r="A541" s="25"/>
      <c r="B541" s="25"/>
      <c r="C541" s="25"/>
      <c r="D541" s="25"/>
      <c r="E541" s="25"/>
      <c r="F541" s="25"/>
      <c r="G541" s="16"/>
      <c r="H541" s="25"/>
      <c r="I541" s="16"/>
      <c r="J541" s="25"/>
      <c r="K541" s="25"/>
      <c r="L541" s="25"/>
      <c r="M541" s="25"/>
      <c r="N541" s="25"/>
      <c r="O541" s="25"/>
    </row>
    <row r="542" spans="1:15" x14ac:dyDescent="0.25">
      <c r="A542" s="25"/>
      <c r="B542" s="25"/>
      <c r="C542" s="25"/>
      <c r="D542" s="25"/>
      <c r="E542" s="25"/>
      <c r="F542" s="25"/>
      <c r="G542" s="16"/>
      <c r="H542" s="25"/>
      <c r="I542" s="16"/>
      <c r="J542" s="25"/>
      <c r="K542" s="25"/>
      <c r="L542" s="25"/>
      <c r="M542" s="25"/>
      <c r="N542" s="25"/>
      <c r="O542" s="25"/>
    </row>
    <row r="543" spans="1:15" x14ac:dyDescent="0.25">
      <c r="A543" s="25"/>
      <c r="B543" s="25"/>
      <c r="C543" s="25"/>
      <c r="D543" s="25"/>
      <c r="E543" s="25"/>
      <c r="F543" s="25"/>
      <c r="G543" s="16"/>
      <c r="H543" s="25"/>
      <c r="I543" s="16"/>
      <c r="J543" s="25"/>
      <c r="K543" s="25"/>
      <c r="L543" s="25"/>
      <c r="M543" s="25"/>
      <c r="N543" s="25"/>
      <c r="O543" s="25"/>
    </row>
    <row r="544" spans="1:15" x14ac:dyDescent="0.25">
      <c r="A544" s="25"/>
      <c r="B544" s="25"/>
      <c r="C544" s="25"/>
      <c r="D544" s="25"/>
      <c r="E544" s="25"/>
      <c r="F544" s="25"/>
      <c r="G544" s="16"/>
      <c r="H544" s="25"/>
      <c r="I544" s="16"/>
      <c r="J544" s="25"/>
      <c r="K544" s="25"/>
      <c r="L544" s="25"/>
      <c r="M544" s="25"/>
      <c r="N544" s="25"/>
      <c r="O544" s="25"/>
    </row>
    <row r="545" spans="1:15" x14ac:dyDescent="0.25">
      <c r="A545" s="25"/>
      <c r="B545" s="25"/>
      <c r="C545" s="25"/>
      <c r="D545" s="25"/>
      <c r="E545" s="25"/>
      <c r="F545" s="25"/>
      <c r="G545" s="16"/>
      <c r="H545" s="25"/>
      <c r="I545" s="16"/>
      <c r="J545" s="25"/>
      <c r="K545" s="25"/>
      <c r="L545" s="25"/>
      <c r="M545" s="25"/>
      <c r="N545" s="25"/>
      <c r="O545" s="25"/>
    </row>
    <row r="546" spans="1:15" x14ac:dyDescent="0.25">
      <c r="A546" s="25"/>
      <c r="B546" s="25"/>
      <c r="C546" s="25"/>
      <c r="D546" s="25"/>
      <c r="E546" s="25"/>
      <c r="F546" s="25"/>
      <c r="G546" s="16"/>
      <c r="H546" s="25"/>
      <c r="I546" s="16"/>
      <c r="J546" s="25"/>
      <c r="K546" s="25"/>
      <c r="L546" s="25"/>
      <c r="M546" s="25"/>
      <c r="N546" s="25"/>
      <c r="O546" s="25"/>
    </row>
    <row r="547" spans="1:15" x14ac:dyDescent="0.25">
      <c r="A547" s="25"/>
      <c r="B547" s="25"/>
      <c r="C547" s="25"/>
      <c r="D547" s="25"/>
      <c r="E547" s="25"/>
      <c r="F547" s="25"/>
      <c r="G547" s="16"/>
      <c r="H547" s="25"/>
      <c r="I547" s="16"/>
      <c r="J547" s="25"/>
      <c r="K547" s="25"/>
      <c r="L547" s="25"/>
      <c r="M547" s="25"/>
      <c r="N547" s="25"/>
      <c r="O547" s="25"/>
    </row>
    <row r="548" spans="1:15" x14ac:dyDescent="0.25">
      <c r="A548" s="25"/>
      <c r="B548" s="25"/>
      <c r="C548" s="25"/>
      <c r="D548" s="25"/>
      <c r="E548" s="25"/>
      <c r="F548" s="25"/>
      <c r="G548" s="16"/>
      <c r="H548" s="25"/>
      <c r="I548" s="16"/>
      <c r="J548" s="25"/>
      <c r="K548" s="25"/>
      <c r="L548" s="25"/>
      <c r="M548" s="25"/>
      <c r="N548" s="25"/>
      <c r="O548" s="25"/>
    </row>
    <row r="549" spans="1:15" x14ac:dyDescent="0.25">
      <c r="A549" s="25"/>
      <c r="B549" s="25"/>
      <c r="C549" s="25"/>
      <c r="D549" s="25"/>
      <c r="E549" s="25"/>
      <c r="F549" s="25"/>
      <c r="G549" s="16"/>
      <c r="H549" s="25"/>
      <c r="I549" s="16"/>
      <c r="J549" s="25"/>
      <c r="K549" s="25"/>
      <c r="L549" s="25"/>
      <c r="M549" s="25"/>
      <c r="N549" s="25"/>
      <c r="O549" s="25"/>
    </row>
    <row r="550" spans="1:15" x14ac:dyDescent="0.25">
      <c r="A550" s="25"/>
      <c r="B550" s="25"/>
      <c r="C550" s="25"/>
      <c r="D550" s="25"/>
      <c r="E550" s="25"/>
      <c r="F550" s="25"/>
      <c r="G550" s="16"/>
      <c r="H550" s="25"/>
      <c r="I550" s="16"/>
      <c r="J550" s="25"/>
      <c r="K550" s="25"/>
      <c r="L550" s="25"/>
      <c r="M550" s="25"/>
      <c r="N550" s="25"/>
      <c r="O550" s="25"/>
    </row>
    <row r="551" spans="1:15" x14ac:dyDescent="0.25">
      <c r="A551" s="25"/>
      <c r="B551" s="25"/>
      <c r="C551" s="25"/>
      <c r="D551" s="25"/>
      <c r="E551" s="25"/>
      <c r="F551" s="25"/>
      <c r="G551" s="16"/>
      <c r="H551" s="25"/>
      <c r="I551" s="16"/>
      <c r="J551" s="25"/>
      <c r="K551" s="25"/>
      <c r="L551" s="25"/>
      <c r="M551" s="25"/>
      <c r="N551" s="25"/>
      <c r="O551" s="25"/>
    </row>
    <row r="552" spans="1:15" x14ac:dyDescent="0.25">
      <c r="A552" s="25"/>
      <c r="B552" s="25"/>
      <c r="C552" s="25"/>
      <c r="D552" s="25"/>
      <c r="E552" s="25"/>
      <c r="F552" s="25"/>
      <c r="G552" s="16"/>
      <c r="H552" s="25"/>
      <c r="I552" s="16"/>
      <c r="J552" s="25"/>
      <c r="K552" s="25"/>
      <c r="L552" s="25"/>
      <c r="M552" s="25"/>
      <c r="N552" s="25"/>
      <c r="O552" s="25"/>
    </row>
    <row r="553" spans="1:15" x14ac:dyDescent="0.25">
      <c r="A553" s="25"/>
      <c r="B553" s="25"/>
      <c r="C553" s="25"/>
      <c r="D553" s="25"/>
      <c r="E553" s="25"/>
      <c r="F553" s="25"/>
      <c r="G553" s="16"/>
      <c r="H553" s="25"/>
      <c r="I553" s="16"/>
      <c r="J553" s="25"/>
      <c r="K553" s="25"/>
      <c r="L553" s="25"/>
      <c r="M553" s="25"/>
      <c r="N553" s="25"/>
      <c r="O553" s="25"/>
    </row>
    <row r="554" spans="1:15" x14ac:dyDescent="0.25">
      <c r="A554" s="25"/>
      <c r="B554" s="25"/>
      <c r="C554" s="25"/>
      <c r="D554" s="25"/>
      <c r="E554" s="25"/>
      <c r="F554" s="25"/>
      <c r="G554" s="16"/>
      <c r="H554" s="25"/>
      <c r="I554" s="16"/>
      <c r="J554" s="25"/>
      <c r="K554" s="25"/>
      <c r="L554" s="25"/>
      <c r="M554" s="25"/>
      <c r="N554" s="25"/>
      <c r="O554" s="25"/>
    </row>
    <row r="555" spans="1:15" x14ac:dyDescent="0.25">
      <c r="A555" s="25"/>
      <c r="B555" s="25"/>
      <c r="C555" s="25"/>
      <c r="D555" s="25"/>
      <c r="E555" s="25"/>
      <c r="F555" s="25"/>
      <c r="G555" s="16"/>
      <c r="H555" s="25"/>
      <c r="I555" s="16"/>
      <c r="J555" s="25"/>
      <c r="K555" s="25"/>
      <c r="L555" s="25"/>
      <c r="M555" s="25"/>
      <c r="N555" s="25"/>
      <c r="O555" s="25"/>
    </row>
    <row r="556" spans="1:15" x14ac:dyDescent="0.25">
      <c r="A556" s="25"/>
      <c r="B556" s="25"/>
      <c r="C556" s="25"/>
      <c r="D556" s="25"/>
      <c r="E556" s="25"/>
      <c r="F556" s="25"/>
      <c r="G556" s="16"/>
      <c r="H556" s="25"/>
      <c r="I556" s="16"/>
      <c r="J556" s="25"/>
      <c r="K556" s="25"/>
      <c r="L556" s="25"/>
      <c r="M556" s="25"/>
      <c r="N556" s="25"/>
      <c r="O556" s="25"/>
    </row>
    <row r="557" spans="1:15" x14ac:dyDescent="0.25">
      <c r="A557" s="25"/>
      <c r="B557" s="25"/>
      <c r="C557" s="25"/>
      <c r="D557" s="25"/>
      <c r="E557" s="25"/>
      <c r="F557" s="25"/>
      <c r="G557" s="16"/>
      <c r="H557" s="25"/>
      <c r="I557" s="16"/>
      <c r="J557" s="25"/>
      <c r="K557" s="25"/>
      <c r="L557" s="25"/>
      <c r="M557" s="25"/>
      <c r="N557" s="25"/>
      <c r="O557" s="25"/>
    </row>
    <row r="558" spans="1:15" x14ac:dyDescent="0.25">
      <c r="A558" s="25"/>
      <c r="B558" s="25"/>
      <c r="C558" s="25"/>
      <c r="D558" s="25"/>
      <c r="E558" s="25"/>
      <c r="F558" s="25"/>
      <c r="G558" s="16"/>
      <c r="H558" s="25"/>
      <c r="I558" s="16"/>
      <c r="J558" s="25"/>
      <c r="K558" s="25"/>
      <c r="L558" s="25"/>
      <c r="M558" s="25"/>
      <c r="N558" s="25"/>
      <c r="O558" s="25"/>
    </row>
    <row r="559" spans="1:15" x14ac:dyDescent="0.25">
      <c r="A559" s="25"/>
      <c r="B559" s="25"/>
      <c r="C559" s="25"/>
      <c r="D559" s="25"/>
      <c r="E559" s="25"/>
      <c r="F559" s="25"/>
      <c r="G559" s="16"/>
      <c r="H559" s="25"/>
      <c r="I559" s="16"/>
      <c r="J559" s="25"/>
      <c r="K559" s="25"/>
      <c r="L559" s="25"/>
      <c r="M559" s="25"/>
      <c r="N559" s="25"/>
      <c r="O559" s="25"/>
    </row>
    <row r="560" spans="1:15" x14ac:dyDescent="0.25">
      <c r="A560" s="25"/>
      <c r="B560" s="25"/>
      <c r="C560" s="25"/>
      <c r="D560" s="25"/>
      <c r="E560" s="25"/>
      <c r="F560" s="25"/>
      <c r="G560" s="16"/>
      <c r="H560" s="25"/>
      <c r="I560" s="16"/>
      <c r="J560" s="25"/>
      <c r="K560" s="25"/>
      <c r="L560" s="25"/>
      <c r="M560" s="25"/>
      <c r="N560" s="25"/>
      <c r="O560" s="25"/>
    </row>
    <row r="561" spans="1:15" x14ac:dyDescent="0.25">
      <c r="A561" s="25"/>
      <c r="B561" s="25"/>
      <c r="C561" s="25"/>
      <c r="D561" s="25"/>
      <c r="E561" s="25"/>
      <c r="F561" s="25"/>
      <c r="G561" s="16"/>
      <c r="H561" s="25"/>
      <c r="I561" s="16"/>
      <c r="J561" s="25"/>
      <c r="K561" s="25"/>
      <c r="L561" s="25"/>
      <c r="M561" s="25"/>
      <c r="N561" s="25"/>
      <c r="O561" s="25"/>
    </row>
    <row r="562" spans="1:15" x14ac:dyDescent="0.25">
      <c r="A562" s="25"/>
      <c r="B562" s="25"/>
      <c r="C562" s="25"/>
      <c r="D562" s="25"/>
      <c r="E562" s="25"/>
      <c r="F562" s="25"/>
      <c r="G562" s="16"/>
      <c r="H562" s="25"/>
      <c r="I562" s="16"/>
      <c r="J562" s="25"/>
      <c r="K562" s="25"/>
      <c r="L562" s="25"/>
      <c r="M562" s="25"/>
      <c r="N562" s="25"/>
      <c r="O562" s="25"/>
    </row>
    <row r="563" spans="1:15" x14ac:dyDescent="0.25">
      <c r="A563" s="25"/>
      <c r="B563" s="25"/>
      <c r="C563" s="25"/>
      <c r="D563" s="25"/>
      <c r="E563" s="25"/>
      <c r="F563" s="25"/>
      <c r="G563" s="16"/>
      <c r="H563" s="25"/>
      <c r="I563" s="16"/>
      <c r="J563" s="25"/>
      <c r="K563" s="25"/>
      <c r="L563" s="25"/>
      <c r="M563" s="25"/>
      <c r="N563" s="25"/>
      <c r="O563" s="25"/>
    </row>
    <row r="564" spans="1:15" x14ac:dyDescent="0.25">
      <c r="A564" s="25"/>
      <c r="B564" s="25"/>
      <c r="C564" s="25"/>
      <c r="D564" s="25"/>
      <c r="E564" s="25"/>
      <c r="F564" s="25"/>
      <c r="G564" s="16"/>
      <c r="H564" s="25"/>
      <c r="I564" s="16"/>
      <c r="J564" s="25"/>
      <c r="K564" s="25"/>
      <c r="L564" s="25"/>
      <c r="M564" s="25"/>
      <c r="N564" s="25"/>
      <c r="O564" s="25"/>
    </row>
    <row r="565" spans="1:15" x14ac:dyDescent="0.25">
      <c r="A565" s="25"/>
      <c r="B565" s="25"/>
      <c r="C565" s="25"/>
      <c r="D565" s="25"/>
      <c r="E565" s="25"/>
      <c r="F565" s="25"/>
      <c r="G565" s="16"/>
      <c r="H565" s="25"/>
      <c r="I565" s="16"/>
      <c r="J565" s="25"/>
      <c r="K565" s="25"/>
      <c r="L565" s="25"/>
      <c r="M565" s="25"/>
      <c r="N565" s="25"/>
      <c r="O565" s="25"/>
    </row>
    <row r="566" spans="1:15" x14ac:dyDescent="0.25">
      <c r="A566" s="25"/>
      <c r="B566" s="25"/>
      <c r="C566" s="25"/>
      <c r="D566" s="25"/>
      <c r="E566" s="25"/>
      <c r="F566" s="25"/>
      <c r="G566" s="16"/>
      <c r="H566" s="25"/>
      <c r="I566" s="16"/>
      <c r="J566" s="25"/>
      <c r="K566" s="25"/>
      <c r="L566" s="25"/>
      <c r="M566" s="25"/>
      <c r="N566" s="25"/>
      <c r="O566" s="25"/>
    </row>
    <row r="567" spans="1:15" x14ac:dyDescent="0.25">
      <c r="A567" s="25"/>
      <c r="B567" s="25"/>
      <c r="C567" s="25"/>
      <c r="D567" s="25"/>
      <c r="E567" s="25"/>
      <c r="F567" s="25"/>
      <c r="G567" s="16"/>
      <c r="H567" s="25"/>
      <c r="I567" s="16"/>
      <c r="J567" s="25"/>
      <c r="K567" s="25"/>
      <c r="L567" s="25"/>
      <c r="M567" s="25"/>
      <c r="N567" s="25"/>
      <c r="O567" s="25"/>
    </row>
    <row r="568" spans="1:15" x14ac:dyDescent="0.25">
      <c r="A568" s="25"/>
      <c r="B568" s="25"/>
      <c r="C568" s="25"/>
      <c r="D568" s="25"/>
      <c r="E568" s="25"/>
      <c r="F568" s="25"/>
      <c r="G568" s="16"/>
      <c r="H568" s="25"/>
      <c r="I568" s="16"/>
      <c r="J568" s="25"/>
      <c r="K568" s="25"/>
      <c r="L568" s="25"/>
      <c r="M568" s="25"/>
      <c r="N568" s="25"/>
      <c r="O568" s="25"/>
    </row>
    <row r="569" spans="1:15" x14ac:dyDescent="0.25">
      <c r="A569" s="25"/>
      <c r="B569" s="25"/>
      <c r="C569" s="25"/>
      <c r="D569" s="25"/>
      <c r="E569" s="25"/>
      <c r="F569" s="25"/>
      <c r="G569" s="16"/>
      <c r="H569" s="25"/>
      <c r="I569" s="16"/>
      <c r="J569" s="25"/>
      <c r="K569" s="25"/>
      <c r="L569" s="25"/>
      <c r="M569" s="25"/>
      <c r="N569" s="25"/>
      <c r="O569" s="25"/>
    </row>
    <row r="570" spans="1:15" x14ac:dyDescent="0.25">
      <c r="A570" s="25"/>
      <c r="B570" s="25"/>
      <c r="C570" s="25"/>
      <c r="D570" s="25"/>
      <c r="E570" s="25"/>
      <c r="F570" s="25"/>
      <c r="G570" s="16"/>
      <c r="H570" s="25"/>
      <c r="I570" s="16"/>
      <c r="J570" s="25"/>
      <c r="K570" s="25"/>
      <c r="L570" s="25"/>
      <c r="M570" s="25"/>
      <c r="N570" s="25"/>
      <c r="O570" s="25"/>
    </row>
    <row r="571" spans="1:15" x14ac:dyDescent="0.25">
      <c r="A571" s="25"/>
      <c r="B571" s="25"/>
      <c r="C571" s="25"/>
      <c r="D571" s="25"/>
      <c r="E571" s="25"/>
      <c r="F571" s="25"/>
      <c r="G571" s="16"/>
      <c r="H571" s="25"/>
      <c r="I571" s="16"/>
      <c r="J571" s="25"/>
      <c r="K571" s="25"/>
      <c r="L571" s="25"/>
      <c r="M571" s="25"/>
      <c r="N571" s="25"/>
      <c r="O571" s="25"/>
    </row>
    <row r="572" spans="1:15" x14ac:dyDescent="0.25">
      <c r="A572" s="25"/>
      <c r="B572" s="25"/>
      <c r="C572" s="25"/>
      <c r="D572" s="25"/>
      <c r="E572" s="25"/>
      <c r="F572" s="25"/>
      <c r="G572" s="16"/>
      <c r="H572" s="25"/>
      <c r="I572" s="16"/>
      <c r="J572" s="25"/>
      <c r="K572" s="25"/>
      <c r="L572" s="25"/>
      <c r="M572" s="25"/>
      <c r="N572" s="25"/>
      <c r="O572" s="25"/>
    </row>
    <row r="573" spans="1:15" x14ac:dyDescent="0.25">
      <c r="A573" s="25"/>
      <c r="B573" s="25"/>
      <c r="C573" s="25"/>
      <c r="D573" s="25"/>
      <c r="E573" s="25"/>
      <c r="F573" s="25"/>
      <c r="G573" s="16"/>
      <c r="H573" s="25"/>
      <c r="I573" s="16"/>
      <c r="J573" s="25"/>
      <c r="K573" s="25"/>
      <c r="L573" s="25"/>
      <c r="M573" s="25"/>
      <c r="N573" s="25"/>
      <c r="O573" s="25"/>
    </row>
    <row r="574" spans="1:15" x14ac:dyDescent="0.25">
      <c r="A574" s="25"/>
      <c r="B574" s="25"/>
      <c r="C574" s="25"/>
      <c r="D574" s="25"/>
      <c r="E574" s="25"/>
      <c r="F574" s="25"/>
      <c r="G574" s="16"/>
      <c r="H574" s="25"/>
      <c r="I574" s="16"/>
      <c r="J574" s="25"/>
      <c r="K574" s="25"/>
      <c r="L574" s="25"/>
      <c r="M574" s="25"/>
      <c r="N574" s="25"/>
      <c r="O574" s="25"/>
    </row>
    <row r="575" spans="1:15" x14ac:dyDescent="0.25">
      <c r="A575" s="25"/>
      <c r="B575" s="25"/>
      <c r="C575" s="25"/>
      <c r="D575" s="25"/>
      <c r="E575" s="25"/>
      <c r="F575" s="25"/>
      <c r="G575" s="16"/>
      <c r="H575" s="25"/>
      <c r="I575" s="16"/>
      <c r="J575" s="25"/>
      <c r="K575" s="25"/>
      <c r="L575" s="25"/>
      <c r="M575" s="25"/>
      <c r="N575" s="25"/>
      <c r="O575" s="25"/>
    </row>
    <row r="576" spans="1:15" x14ac:dyDescent="0.25">
      <c r="A576" s="25"/>
      <c r="B576" s="25"/>
      <c r="C576" s="25"/>
      <c r="D576" s="25"/>
      <c r="E576" s="25"/>
      <c r="F576" s="25"/>
      <c r="G576" s="16"/>
      <c r="H576" s="25"/>
      <c r="I576" s="16"/>
      <c r="J576" s="25"/>
      <c r="K576" s="25"/>
      <c r="L576" s="25"/>
      <c r="M576" s="25"/>
      <c r="N576" s="25"/>
      <c r="O576" s="25"/>
    </row>
    <row r="577" spans="1:15" x14ac:dyDescent="0.25">
      <c r="A577" s="25"/>
      <c r="B577" s="25"/>
      <c r="C577" s="25"/>
      <c r="D577" s="25"/>
      <c r="E577" s="25"/>
      <c r="F577" s="25"/>
      <c r="G577" s="16"/>
      <c r="H577" s="25"/>
      <c r="I577" s="16"/>
      <c r="J577" s="25"/>
      <c r="K577" s="25"/>
      <c r="L577" s="25"/>
      <c r="M577" s="25"/>
      <c r="N577" s="25"/>
      <c r="O577" s="25"/>
    </row>
    <row r="578" spans="1:15" x14ac:dyDescent="0.25">
      <c r="A578" s="25"/>
      <c r="B578" s="25"/>
      <c r="C578" s="25"/>
      <c r="D578" s="25"/>
      <c r="E578" s="25"/>
      <c r="F578" s="25"/>
      <c r="G578" s="16"/>
      <c r="H578" s="25"/>
      <c r="I578" s="16"/>
      <c r="J578" s="25"/>
      <c r="K578" s="25"/>
      <c r="L578" s="25"/>
      <c r="M578" s="25"/>
      <c r="N578" s="25"/>
      <c r="O578" s="25"/>
    </row>
    <row r="579" spans="1:15" x14ac:dyDescent="0.25">
      <c r="A579" s="25"/>
      <c r="B579" s="25"/>
      <c r="C579" s="25"/>
      <c r="D579" s="25"/>
      <c r="E579" s="25"/>
      <c r="F579" s="25"/>
      <c r="G579" s="16"/>
      <c r="H579" s="25"/>
      <c r="I579" s="16"/>
      <c r="J579" s="25"/>
      <c r="K579" s="25"/>
      <c r="L579" s="25"/>
      <c r="M579" s="25"/>
      <c r="N579" s="25"/>
      <c r="O579" s="25"/>
    </row>
    <row r="580" spans="1:15" x14ac:dyDescent="0.25">
      <c r="A580" s="25"/>
      <c r="B580" s="25"/>
      <c r="C580" s="25"/>
      <c r="D580" s="25"/>
      <c r="E580" s="25"/>
      <c r="F580" s="25"/>
      <c r="G580" s="16"/>
      <c r="H580" s="25"/>
      <c r="I580" s="16"/>
      <c r="J580" s="25"/>
      <c r="K580" s="25"/>
      <c r="L580" s="25"/>
      <c r="M580" s="25"/>
      <c r="N580" s="25"/>
      <c r="O580" s="25"/>
    </row>
    <row r="581" spans="1:15" x14ac:dyDescent="0.25">
      <c r="A581" s="25"/>
      <c r="B581" s="25"/>
      <c r="C581" s="25"/>
      <c r="D581" s="25"/>
      <c r="E581" s="25"/>
      <c r="F581" s="25"/>
      <c r="G581" s="16"/>
      <c r="H581" s="25"/>
      <c r="I581" s="16"/>
      <c r="J581" s="25"/>
      <c r="K581" s="25"/>
      <c r="L581" s="25"/>
      <c r="M581" s="25"/>
      <c r="N581" s="25"/>
      <c r="O581" s="25"/>
    </row>
    <row r="582" spans="1:15" x14ac:dyDescent="0.25">
      <c r="A582" s="25"/>
      <c r="B582" s="25"/>
      <c r="C582" s="25"/>
      <c r="D582" s="25"/>
      <c r="E582" s="25"/>
      <c r="F582" s="25"/>
      <c r="G582" s="16"/>
      <c r="H582" s="25"/>
      <c r="I582" s="16"/>
      <c r="J582" s="25"/>
      <c r="K582" s="25"/>
      <c r="L582" s="25"/>
      <c r="M582" s="25"/>
      <c r="N582" s="25"/>
      <c r="O582" s="25"/>
    </row>
    <row r="583" spans="1:15" x14ac:dyDescent="0.25">
      <c r="A583" s="25"/>
      <c r="B583" s="25"/>
      <c r="C583" s="25"/>
      <c r="D583" s="25"/>
      <c r="E583" s="25"/>
      <c r="F583" s="25"/>
      <c r="G583" s="16"/>
      <c r="H583" s="25"/>
      <c r="I583" s="16"/>
      <c r="J583" s="25"/>
      <c r="K583" s="25"/>
      <c r="L583" s="25"/>
      <c r="M583" s="25"/>
      <c r="N583" s="25"/>
      <c r="O583" s="25"/>
    </row>
    <row r="584" spans="1:15" x14ac:dyDescent="0.25">
      <c r="A584" s="25"/>
      <c r="B584" s="25"/>
      <c r="C584" s="25"/>
      <c r="D584" s="25"/>
      <c r="E584" s="25"/>
      <c r="F584" s="25"/>
      <c r="G584" s="16"/>
      <c r="H584" s="25"/>
      <c r="I584" s="16"/>
      <c r="J584" s="25"/>
      <c r="K584" s="25"/>
      <c r="L584" s="25"/>
      <c r="M584" s="25"/>
      <c r="N584" s="25"/>
      <c r="O584" s="25"/>
    </row>
    <row r="585" spans="1:15" x14ac:dyDescent="0.25">
      <c r="A585" s="25"/>
      <c r="B585" s="25"/>
      <c r="C585" s="25"/>
      <c r="D585" s="25"/>
      <c r="E585" s="25"/>
      <c r="F585" s="25"/>
      <c r="G585" s="16"/>
      <c r="H585" s="25"/>
      <c r="I585" s="16"/>
      <c r="J585" s="25"/>
      <c r="K585" s="25"/>
      <c r="L585" s="25"/>
      <c r="M585" s="25"/>
      <c r="N585" s="25"/>
      <c r="O585" s="25"/>
    </row>
    <row r="586" spans="1:15" x14ac:dyDescent="0.25">
      <c r="A586" s="25"/>
      <c r="B586" s="25"/>
      <c r="C586" s="25"/>
      <c r="D586" s="25"/>
      <c r="E586" s="25"/>
      <c r="F586" s="25"/>
      <c r="G586" s="16"/>
      <c r="H586" s="25"/>
      <c r="I586" s="16"/>
      <c r="J586" s="25"/>
      <c r="K586" s="25"/>
      <c r="L586" s="25"/>
      <c r="M586" s="25"/>
      <c r="N586" s="25"/>
      <c r="O586" s="25"/>
    </row>
    <row r="587" spans="1:15" x14ac:dyDescent="0.25">
      <c r="A587" s="25"/>
      <c r="B587" s="25"/>
      <c r="C587" s="25"/>
      <c r="D587" s="25"/>
      <c r="E587" s="25"/>
      <c r="F587" s="25"/>
      <c r="G587" s="16"/>
      <c r="H587" s="25"/>
      <c r="I587" s="16"/>
      <c r="J587" s="25"/>
      <c r="K587" s="25"/>
      <c r="L587" s="25"/>
      <c r="M587" s="25"/>
      <c r="N587" s="25"/>
      <c r="O587" s="25"/>
    </row>
    <row r="588" spans="1:15" x14ac:dyDescent="0.25">
      <c r="A588" s="25"/>
      <c r="B588" s="25"/>
      <c r="C588" s="25"/>
      <c r="D588" s="25"/>
      <c r="E588" s="25"/>
      <c r="F588" s="25"/>
      <c r="G588" s="16"/>
      <c r="H588" s="25"/>
      <c r="I588" s="16"/>
      <c r="J588" s="25"/>
      <c r="K588" s="25"/>
      <c r="L588" s="25"/>
      <c r="M588" s="25"/>
      <c r="N588" s="25"/>
      <c r="O588" s="25"/>
    </row>
    <row r="589" spans="1:15" x14ac:dyDescent="0.25">
      <c r="A589" s="25"/>
      <c r="B589" s="25"/>
      <c r="C589" s="25"/>
      <c r="D589" s="25"/>
      <c r="E589" s="25"/>
      <c r="F589" s="25"/>
      <c r="G589" s="16"/>
      <c r="H589" s="25"/>
      <c r="I589" s="16"/>
      <c r="J589" s="25"/>
      <c r="K589" s="25"/>
      <c r="L589" s="25"/>
      <c r="M589" s="25"/>
      <c r="N589" s="25"/>
      <c r="O589" s="25"/>
    </row>
    <row r="590" spans="1:15" x14ac:dyDescent="0.25">
      <c r="A590" s="25"/>
      <c r="B590" s="25"/>
      <c r="C590" s="25"/>
      <c r="D590" s="25"/>
      <c r="E590" s="25"/>
      <c r="F590" s="25"/>
      <c r="G590" s="16"/>
      <c r="H590" s="25"/>
      <c r="I590" s="16"/>
      <c r="J590" s="25"/>
      <c r="K590" s="25"/>
      <c r="L590" s="25"/>
      <c r="M590" s="25"/>
      <c r="N590" s="25"/>
      <c r="O590" s="25"/>
    </row>
    <row r="591" spans="1:15" x14ac:dyDescent="0.25">
      <c r="A591" s="25"/>
      <c r="B591" s="25"/>
      <c r="C591" s="25"/>
      <c r="D591" s="25"/>
      <c r="E591" s="25"/>
      <c r="F591" s="25"/>
      <c r="G591" s="16"/>
      <c r="H591" s="25"/>
      <c r="I591" s="16"/>
      <c r="J591" s="25"/>
      <c r="K591" s="25"/>
      <c r="L591" s="25"/>
      <c r="M591" s="25"/>
      <c r="N591" s="25"/>
      <c r="O591" s="25"/>
    </row>
    <row r="592" spans="1:15" x14ac:dyDescent="0.25">
      <c r="A592" s="25"/>
      <c r="B592" s="25"/>
      <c r="C592" s="25"/>
      <c r="D592" s="25"/>
      <c r="E592" s="25"/>
      <c r="F592" s="25"/>
      <c r="G592" s="16"/>
      <c r="H592" s="25"/>
      <c r="I592" s="16"/>
      <c r="J592" s="25"/>
      <c r="K592" s="25"/>
      <c r="L592" s="25"/>
      <c r="M592" s="25"/>
      <c r="N592" s="25"/>
      <c r="O592" s="25"/>
    </row>
    <row r="593" spans="1:15" x14ac:dyDescent="0.25">
      <c r="A593" s="25"/>
      <c r="B593" s="25"/>
      <c r="C593" s="25"/>
      <c r="D593" s="25"/>
      <c r="E593" s="25"/>
      <c r="F593" s="25"/>
      <c r="G593" s="16"/>
      <c r="H593" s="25"/>
      <c r="I593" s="16"/>
      <c r="J593" s="25"/>
      <c r="K593" s="25"/>
      <c r="L593" s="25"/>
      <c r="M593" s="25"/>
      <c r="N593" s="25"/>
      <c r="O593" s="25"/>
    </row>
    <row r="594" spans="1:15" x14ac:dyDescent="0.25">
      <c r="A594" s="25"/>
      <c r="B594" s="25"/>
      <c r="C594" s="25"/>
      <c r="D594" s="25"/>
      <c r="E594" s="25"/>
      <c r="F594" s="25"/>
      <c r="G594" s="16"/>
      <c r="H594" s="25"/>
      <c r="I594" s="16"/>
      <c r="J594" s="25"/>
      <c r="K594" s="25"/>
      <c r="L594" s="25"/>
      <c r="M594" s="25"/>
      <c r="N594" s="25"/>
      <c r="O594" s="25"/>
    </row>
    <row r="595" spans="1:15" x14ac:dyDescent="0.25">
      <c r="A595" s="25"/>
      <c r="B595" s="25"/>
      <c r="C595" s="25"/>
      <c r="D595" s="25"/>
      <c r="E595" s="25"/>
      <c r="F595" s="25"/>
      <c r="G595" s="16"/>
      <c r="H595" s="25"/>
      <c r="I595" s="16"/>
      <c r="J595" s="25"/>
      <c r="K595" s="25"/>
      <c r="L595" s="25"/>
      <c r="M595" s="25"/>
      <c r="N595" s="25"/>
      <c r="O595" s="25"/>
    </row>
    <row r="596" spans="1:15" x14ac:dyDescent="0.25">
      <c r="A596" s="25"/>
      <c r="B596" s="25"/>
      <c r="C596" s="25"/>
      <c r="D596" s="25"/>
      <c r="E596" s="25"/>
      <c r="F596" s="25"/>
      <c r="G596" s="16"/>
      <c r="H596" s="25"/>
      <c r="I596" s="16"/>
      <c r="J596" s="25"/>
      <c r="K596" s="25"/>
      <c r="L596" s="25"/>
      <c r="M596" s="25"/>
      <c r="N596" s="25"/>
      <c r="O596" s="25"/>
    </row>
    <row r="597" spans="1:15" x14ac:dyDescent="0.25">
      <c r="A597" s="25"/>
      <c r="B597" s="25"/>
      <c r="C597" s="25"/>
      <c r="D597" s="25"/>
      <c r="E597" s="25"/>
      <c r="F597" s="25"/>
      <c r="G597" s="16"/>
      <c r="H597" s="25"/>
      <c r="I597" s="16"/>
      <c r="J597" s="25"/>
      <c r="K597" s="25"/>
      <c r="L597" s="25"/>
      <c r="M597" s="25"/>
      <c r="N597" s="25"/>
      <c r="O597" s="25"/>
    </row>
    <row r="598" spans="1:15" x14ac:dyDescent="0.25">
      <c r="A598" s="25"/>
      <c r="B598" s="25"/>
      <c r="C598" s="25"/>
      <c r="D598" s="25"/>
      <c r="E598" s="25"/>
      <c r="F598" s="25"/>
      <c r="G598" s="16"/>
      <c r="H598" s="25"/>
      <c r="I598" s="16"/>
      <c r="J598" s="25"/>
      <c r="K598" s="25"/>
      <c r="L598" s="25"/>
      <c r="M598" s="25"/>
      <c r="N598" s="25"/>
      <c r="O598" s="25"/>
    </row>
    <row r="599" spans="1:15" x14ac:dyDescent="0.25">
      <c r="A599" s="25"/>
      <c r="B599" s="25"/>
      <c r="C599" s="25"/>
      <c r="D599" s="25"/>
      <c r="E599" s="25"/>
      <c r="F599" s="25"/>
      <c r="G599" s="16"/>
      <c r="H599" s="25"/>
      <c r="I599" s="16"/>
      <c r="J599" s="25"/>
      <c r="K599" s="25"/>
      <c r="L599" s="25"/>
      <c r="M599" s="25"/>
      <c r="N599" s="25"/>
      <c r="O599" s="25"/>
    </row>
    <row r="600" spans="1:15" x14ac:dyDescent="0.25">
      <c r="A600" s="25"/>
      <c r="B600" s="25"/>
      <c r="C600" s="25"/>
      <c r="D600" s="25"/>
      <c r="E600" s="25"/>
      <c r="F600" s="25"/>
      <c r="G600" s="16"/>
      <c r="H600" s="25"/>
      <c r="I600" s="16"/>
      <c r="J600" s="25"/>
      <c r="K600" s="25"/>
      <c r="L600" s="25"/>
      <c r="M600" s="25"/>
      <c r="N600" s="25"/>
      <c r="O600" s="25"/>
    </row>
    <row r="601" spans="1:15" x14ac:dyDescent="0.25">
      <c r="A601" s="25"/>
      <c r="B601" s="25"/>
      <c r="C601" s="25"/>
      <c r="D601" s="25"/>
      <c r="E601" s="25"/>
      <c r="F601" s="25"/>
      <c r="G601" s="16"/>
      <c r="H601" s="25"/>
      <c r="I601" s="16"/>
      <c r="J601" s="25"/>
      <c r="K601" s="25"/>
      <c r="L601" s="25"/>
      <c r="M601" s="25"/>
      <c r="N601" s="25"/>
      <c r="O601" s="25"/>
    </row>
    <row r="602" spans="1:15" x14ac:dyDescent="0.25">
      <c r="A602" s="25"/>
      <c r="B602" s="25"/>
      <c r="C602" s="25"/>
      <c r="D602" s="25"/>
      <c r="E602" s="25"/>
      <c r="F602" s="25"/>
      <c r="G602" s="16"/>
      <c r="H602" s="25"/>
      <c r="I602" s="16"/>
      <c r="J602" s="25"/>
      <c r="K602" s="25"/>
      <c r="L602" s="25"/>
      <c r="M602" s="25"/>
      <c r="N602" s="25"/>
      <c r="O602" s="25"/>
    </row>
    <row r="603" spans="1:15" x14ac:dyDescent="0.25">
      <c r="A603" s="25"/>
      <c r="B603" s="25"/>
      <c r="C603" s="25"/>
      <c r="D603" s="25"/>
      <c r="E603" s="25"/>
      <c r="F603" s="25"/>
      <c r="G603" s="16"/>
      <c r="H603" s="25"/>
      <c r="I603" s="16"/>
      <c r="J603" s="25"/>
      <c r="K603" s="25"/>
      <c r="L603" s="25"/>
      <c r="M603" s="25"/>
      <c r="N603" s="25"/>
      <c r="O603" s="25"/>
    </row>
    <row r="604" spans="1:15" x14ac:dyDescent="0.25">
      <c r="A604" s="25"/>
      <c r="B604" s="25"/>
      <c r="C604" s="25"/>
      <c r="D604" s="25"/>
      <c r="E604" s="25"/>
      <c r="F604" s="25"/>
      <c r="G604" s="16"/>
      <c r="H604" s="25"/>
      <c r="I604" s="16"/>
      <c r="J604" s="25"/>
      <c r="K604" s="25"/>
      <c r="L604" s="25"/>
      <c r="M604" s="25"/>
      <c r="N604" s="25"/>
      <c r="O604" s="25"/>
    </row>
    <row r="605" spans="1:15" x14ac:dyDescent="0.25">
      <c r="A605" s="25"/>
      <c r="B605" s="25"/>
      <c r="C605" s="25"/>
      <c r="D605" s="25"/>
      <c r="E605" s="25"/>
      <c r="F605" s="25"/>
      <c r="G605" s="16"/>
      <c r="H605" s="25"/>
      <c r="I605" s="16"/>
      <c r="J605" s="25"/>
      <c r="K605" s="25"/>
      <c r="L605" s="25"/>
      <c r="M605" s="25"/>
      <c r="N605" s="25"/>
      <c r="O605" s="25"/>
    </row>
    <row r="606" spans="1:15" x14ac:dyDescent="0.25">
      <c r="A606" s="25"/>
      <c r="B606" s="25"/>
      <c r="C606" s="25"/>
      <c r="D606" s="25"/>
      <c r="E606" s="25"/>
      <c r="F606" s="25"/>
      <c r="G606" s="16"/>
      <c r="H606" s="25"/>
      <c r="I606" s="16"/>
      <c r="J606" s="25"/>
      <c r="K606" s="25"/>
      <c r="L606" s="25"/>
      <c r="M606" s="25"/>
      <c r="N606" s="25"/>
      <c r="O606" s="25"/>
    </row>
    <row r="607" spans="1:15" x14ac:dyDescent="0.25">
      <c r="A607" s="25"/>
      <c r="B607" s="25"/>
      <c r="C607" s="25"/>
      <c r="D607" s="25"/>
      <c r="E607" s="25"/>
      <c r="F607" s="25"/>
      <c r="G607" s="16"/>
      <c r="H607" s="25"/>
      <c r="I607" s="16"/>
      <c r="J607" s="25"/>
      <c r="K607" s="25"/>
      <c r="L607" s="25"/>
      <c r="M607" s="25"/>
      <c r="N607" s="25"/>
      <c r="O607" s="25"/>
    </row>
    <row r="608" spans="1:15" x14ac:dyDescent="0.25">
      <c r="A608" s="25"/>
      <c r="B608" s="25"/>
      <c r="C608" s="25"/>
      <c r="D608" s="25"/>
      <c r="E608" s="25"/>
      <c r="F608" s="25"/>
      <c r="G608" s="16"/>
      <c r="H608" s="25"/>
      <c r="I608" s="16"/>
      <c r="J608" s="25"/>
      <c r="K608" s="25"/>
      <c r="L608" s="25"/>
      <c r="M608" s="25"/>
      <c r="N608" s="25"/>
      <c r="O608" s="25"/>
    </row>
    <row r="609" spans="1:15" x14ac:dyDescent="0.25">
      <c r="A609" s="25"/>
      <c r="B609" s="25"/>
      <c r="C609" s="25"/>
      <c r="D609" s="25"/>
      <c r="E609" s="25"/>
      <c r="F609" s="25"/>
      <c r="G609" s="16"/>
      <c r="H609" s="25"/>
      <c r="I609" s="16"/>
      <c r="J609" s="25"/>
      <c r="K609" s="25"/>
      <c r="L609" s="25"/>
      <c r="M609" s="25"/>
      <c r="N609" s="25"/>
      <c r="O609" s="25"/>
    </row>
    <row r="610" spans="1:15" x14ac:dyDescent="0.25">
      <c r="A610" s="25"/>
      <c r="B610" s="25"/>
      <c r="C610" s="25"/>
      <c r="D610" s="25"/>
      <c r="E610" s="25"/>
      <c r="F610" s="25"/>
      <c r="G610" s="16"/>
      <c r="H610" s="25"/>
      <c r="I610" s="16"/>
      <c r="J610" s="25"/>
      <c r="K610" s="25"/>
      <c r="L610" s="25"/>
      <c r="M610" s="25"/>
      <c r="N610" s="25"/>
      <c r="O610" s="25"/>
    </row>
    <row r="611" spans="1:15" x14ac:dyDescent="0.25">
      <c r="A611" s="25"/>
      <c r="B611" s="25"/>
      <c r="C611" s="25"/>
      <c r="D611" s="25"/>
      <c r="E611" s="25"/>
      <c r="F611" s="25"/>
      <c r="G611" s="16"/>
      <c r="H611" s="25"/>
      <c r="I611" s="16"/>
      <c r="J611" s="25"/>
      <c r="K611" s="25"/>
      <c r="L611" s="25"/>
      <c r="M611" s="25"/>
      <c r="N611" s="25"/>
      <c r="O611" s="25"/>
    </row>
    <row r="612" spans="1:15" x14ac:dyDescent="0.25">
      <c r="A612" s="25"/>
      <c r="B612" s="25"/>
      <c r="C612" s="25"/>
      <c r="D612" s="25"/>
      <c r="E612" s="25"/>
      <c r="F612" s="25"/>
      <c r="G612" s="16"/>
      <c r="H612" s="25"/>
      <c r="I612" s="16"/>
      <c r="J612" s="25"/>
      <c r="K612" s="25"/>
      <c r="L612" s="25"/>
      <c r="M612" s="25"/>
      <c r="N612" s="25"/>
      <c r="O612" s="25"/>
    </row>
    <row r="613" spans="1:15" x14ac:dyDescent="0.25">
      <c r="A613" s="25"/>
      <c r="B613" s="25"/>
      <c r="C613" s="25"/>
      <c r="D613" s="25"/>
      <c r="E613" s="25"/>
      <c r="F613" s="25"/>
      <c r="G613" s="16"/>
      <c r="H613" s="25"/>
      <c r="I613" s="16"/>
      <c r="J613" s="25"/>
      <c r="K613" s="25"/>
      <c r="L613" s="25"/>
      <c r="M613" s="25"/>
      <c r="N613" s="25"/>
      <c r="O613" s="25"/>
    </row>
    <row r="614" spans="1:15" x14ac:dyDescent="0.25">
      <c r="A614" s="25"/>
      <c r="B614" s="25"/>
      <c r="C614" s="25"/>
      <c r="D614" s="25"/>
      <c r="E614" s="25"/>
      <c r="F614" s="25"/>
      <c r="G614" s="16"/>
      <c r="H614" s="25"/>
      <c r="I614" s="16"/>
      <c r="J614" s="25"/>
      <c r="K614" s="25"/>
      <c r="L614" s="25"/>
      <c r="M614" s="25"/>
      <c r="N614" s="25"/>
      <c r="O614" s="25"/>
    </row>
    <row r="615" spans="1:15" x14ac:dyDescent="0.25">
      <c r="A615" s="25"/>
      <c r="B615" s="25"/>
      <c r="C615" s="25"/>
      <c r="D615" s="25"/>
      <c r="E615" s="25"/>
      <c r="F615" s="25"/>
      <c r="G615" s="16"/>
      <c r="H615" s="25"/>
      <c r="I615" s="16"/>
      <c r="J615" s="25"/>
      <c r="K615" s="25"/>
      <c r="L615" s="25"/>
      <c r="M615" s="25"/>
      <c r="N615" s="25"/>
      <c r="O615" s="25"/>
    </row>
    <row r="616" spans="1:15" x14ac:dyDescent="0.25">
      <c r="A616" s="25"/>
      <c r="B616" s="25"/>
      <c r="C616" s="25"/>
      <c r="D616" s="25"/>
      <c r="E616" s="25"/>
      <c r="F616" s="25"/>
      <c r="G616" s="16"/>
      <c r="H616" s="25"/>
      <c r="I616" s="16"/>
      <c r="J616" s="25"/>
      <c r="K616" s="25"/>
      <c r="L616" s="25"/>
      <c r="M616" s="25"/>
      <c r="N616" s="25"/>
      <c r="O616" s="25"/>
    </row>
    <row r="617" spans="1:15" x14ac:dyDescent="0.25">
      <c r="A617" s="25"/>
      <c r="B617" s="25"/>
      <c r="C617" s="25"/>
      <c r="D617" s="25"/>
      <c r="E617" s="25"/>
      <c r="F617" s="25"/>
      <c r="G617" s="16"/>
      <c r="H617" s="25"/>
      <c r="I617" s="16"/>
      <c r="J617" s="25"/>
      <c r="K617" s="25"/>
      <c r="L617" s="25"/>
      <c r="M617" s="25"/>
      <c r="N617" s="25"/>
      <c r="O617" s="25"/>
    </row>
    <row r="618" spans="1:15" x14ac:dyDescent="0.25">
      <c r="A618" s="25"/>
      <c r="B618" s="25"/>
      <c r="C618" s="25"/>
      <c r="D618" s="25"/>
      <c r="E618" s="25"/>
      <c r="F618" s="25"/>
      <c r="G618" s="16"/>
      <c r="H618" s="25"/>
      <c r="I618" s="16"/>
      <c r="J618" s="25"/>
      <c r="K618" s="25"/>
      <c r="L618" s="25"/>
      <c r="M618" s="25"/>
      <c r="N618" s="25"/>
      <c r="O618" s="25"/>
    </row>
    <row r="619" spans="1:15" x14ac:dyDescent="0.25">
      <c r="A619" s="25"/>
      <c r="B619" s="25"/>
      <c r="C619" s="25"/>
      <c r="D619" s="25"/>
      <c r="E619" s="25"/>
      <c r="F619" s="25"/>
      <c r="G619" s="16"/>
      <c r="H619" s="25"/>
      <c r="I619" s="16"/>
      <c r="J619" s="25"/>
      <c r="K619" s="25"/>
      <c r="L619" s="25"/>
      <c r="M619" s="25"/>
      <c r="N619" s="25"/>
      <c r="O619" s="25"/>
    </row>
    <row r="620" spans="1:15" x14ac:dyDescent="0.25">
      <c r="A620" s="25"/>
      <c r="B620" s="25"/>
      <c r="C620" s="25"/>
      <c r="D620" s="25"/>
      <c r="E620" s="25"/>
      <c r="F620" s="25"/>
      <c r="G620" s="16"/>
      <c r="H620" s="25"/>
      <c r="I620" s="16"/>
      <c r="J620" s="25"/>
      <c r="K620" s="25"/>
      <c r="L620" s="25"/>
      <c r="M620" s="25"/>
      <c r="N620" s="25"/>
      <c r="O620" s="25"/>
    </row>
    <row r="621" spans="1:15" x14ac:dyDescent="0.25">
      <c r="A621" s="25"/>
      <c r="B621" s="25"/>
      <c r="C621" s="25"/>
      <c r="D621" s="25"/>
      <c r="E621" s="25"/>
      <c r="F621" s="25"/>
      <c r="G621" s="16"/>
      <c r="H621" s="25"/>
      <c r="I621" s="16"/>
      <c r="J621" s="25"/>
      <c r="K621" s="25"/>
      <c r="L621" s="25"/>
      <c r="M621" s="25"/>
      <c r="N621" s="25"/>
      <c r="O621" s="25"/>
    </row>
    <row r="622" spans="1:15" x14ac:dyDescent="0.25">
      <c r="A622" s="25"/>
      <c r="B622" s="25"/>
      <c r="C622" s="25"/>
      <c r="D622" s="25"/>
      <c r="E622" s="25"/>
      <c r="F622" s="25"/>
      <c r="G622" s="16"/>
      <c r="H622" s="25"/>
      <c r="I622" s="16"/>
      <c r="J622" s="25"/>
      <c r="K622" s="25"/>
      <c r="L622" s="25"/>
      <c r="M622" s="25"/>
      <c r="N622" s="25"/>
      <c r="O622" s="25"/>
    </row>
    <row r="623" spans="1:15" x14ac:dyDescent="0.25">
      <c r="A623" s="25"/>
      <c r="B623" s="25"/>
      <c r="C623" s="25"/>
      <c r="D623" s="25"/>
      <c r="E623" s="25"/>
      <c r="F623" s="25"/>
      <c r="G623" s="16"/>
      <c r="H623" s="25"/>
      <c r="I623" s="16"/>
      <c r="J623" s="25"/>
      <c r="K623" s="25"/>
      <c r="L623" s="25"/>
      <c r="M623" s="25"/>
      <c r="N623" s="25"/>
      <c r="O623" s="25"/>
    </row>
    <row r="624" spans="1:15" x14ac:dyDescent="0.25">
      <c r="A624" s="25"/>
      <c r="B624" s="25"/>
      <c r="C624" s="25"/>
      <c r="D624" s="25"/>
      <c r="E624" s="25"/>
      <c r="F624" s="25"/>
      <c r="G624" s="16"/>
      <c r="H624" s="25"/>
      <c r="I624" s="16"/>
      <c r="J624" s="25"/>
      <c r="K624" s="25"/>
      <c r="L624" s="25"/>
      <c r="M624" s="25"/>
      <c r="N624" s="25"/>
      <c r="O624" s="25"/>
    </row>
    <row r="625" spans="1:15" x14ac:dyDescent="0.25">
      <c r="A625" s="25"/>
      <c r="B625" s="25"/>
      <c r="C625" s="25"/>
      <c r="D625" s="25"/>
      <c r="E625" s="25"/>
      <c r="F625" s="25"/>
      <c r="G625" s="16"/>
      <c r="H625" s="25"/>
      <c r="I625" s="16"/>
      <c r="J625" s="25"/>
      <c r="K625" s="25"/>
      <c r="L625" s="25"/>
      <c r="M625" s="25"/>
      <c r="N625" s="25"/>
      <c r="O625" s="25"/>
    </row>
    <row r="626" spans="1:15" x14ac:dyDescent="0.25">
      <c r="A626" s="25"/>
      <c r="B626" s="25"/>
      <c r="C626" s="25"/>
      <c r="D626" s="25"/>
      <c r="E626" s="25"/>
      <c r="F626" s="25"/>
      <c r="G626" s="16"/>
      <c r="H626" s="25"/>
      <c r="I626" s="16"/>
      <c r="J626" s="25"/>
      <c r="K626" s="25"/>
      <c r="L626" s="25"/>
      <c r="M626" s="25"/>
      <c r="N626" s="25"/>
      <c r="O626" s="25"/>
    </row>
    <row r="627" spans="1:15" x14ac:dyDescent="0.25">
      <c r="A627" s="25"/>
      <c r="B627" s="25"/>
      <c r="C627" s="25"/>
      <c r="D627" s="25"/>
      <c r="E627" s="25"/>
      <c r="F627" s="25"/>
      <c r="G627" s="16"/>
      <c r="H627" s="25"/>
      <c r="I627" s="16"/>
      <c r="J627" s="25"/>
      <c r="K627" s="25"/>
      <c r="L627" s="25"/>
      <c r="M627" s="25"/>
      <c r="N627" s="25"/>
      <c r="O627" s="25"/>
    </row>
    <row r="628" spans="1:15" x14ac:dyDescent="0.25">
      <c r="A628" s="25"/>
      <c r="B628" s="25"/>
      <c r="C628" s="25"/>
      <c r="D628" s="25"/>
      <c r="E628" s="25"/>
      <c r="F628" s="25"/>
      <c r="G628" s="16"/>
      <c r="H628" s="25"/>
      <c r="I628" s="16"/>
      <c r="J628" s="25"/>
      <c r="K628" s="25"/>
      <c r="L628" s="25"/>
      <c r="M628" s="25"/>
      <c r="N628" s="25"/>
      <c r="O628" s="25"/>
    </row>
    <row r="629" spans="1:15" x14ac:dyDescent="0.25">
      <c r="A629" s="25"/>
      <c r="B629" s="25"/>
      <c r="C629" s="25"/>
      <c r="D629" s="25"/>
      <c r="E629" s="25"/>
      <c r="F629" s="25"/>
      <c r="G629" s="16"/>
      <c r="H629" s="25"/>
      <c r="I629" s="16"/>
      <c r="J629" s="25"/>
      <c r="K629" s="25"/>
      <c r="L629" s="25"/>
      <c r="M629" s="25"/>
      <c r="N629" s="25"/>
      <c r="O629" s="25"/>
    </row>
    <row r="630" spans="1:15" x14ac:dyDescent="0.25">
      <c r="A630" s="25"/>
      <c r="B630" s="25"/>
      <c r="C630" s="25"/>
      <c r="D630" s="25"/>
      <c r="E630" s="25"/>
      <c r="F630" s="25"/>
      <c r="G630" s="16"/>
      <c r="H630" s="25"/>
      <c r="I630" s="16"/>
      <c r="J630" s="25"/>
      <c r="K630" s="25"/>
      <c r="L630" s="25"/>
      <c r="M630" s="25"/>
      <c r="N630" s="25"/>
      <c r="O630" s="25"/>
    </row>
    <row r="631" spans="1:15" x14ac:dyDescent="0.25">
      <c r="A631" s="25"/>
      <c r="B631" s="25"/>
      <c r="C631" s="25"/>
      <c r="D631" s="25"/>
      <c r="E631" s="25"/>
      <c r="F631" s="25"/>
      <c r="G631" s="16"/>
      <c r="H631" s="25"/>
      <c r="I631" s="16"/>
      <c r="J631" s="25"/>
      <c r="K631" s="25"/>
      <c r="L631" s="25"/>
      <c r="M631" s="25"/>
      <c r="N631" s="25"/>
      <c r="O631" s="25"/>
    </row>
    <row r="632" spans="1:15" x14ac:dyDescent="0.25">
      <c r="A632" s="25"/>
      <c r="B632" s="25"/>
      <c r="C632" s="25"/>
      <c r="D632" s="25"/>
      <c r="E632" s="25"/>
      <c r="F632" s="25"/>
      <c r="G632" s="16"/>
      <c r="H632" s="25"/>
      <c r="I632" s="16"/>
      <c r="J632" s="25"/>
      <c r="K632" s="25"/>
      <c r="L632" s="25"/>
      <c r="M632" s="25"/>
      <c r="N632" s="25"/>
      <c r="O632" s="25"/>
    </row>
    <row r="633" spans="1:15" x14ac:dyDescent="0.25">
      <c r="A633" s="25"/>
      <c r="B633" s="25"/>
      <c r="C633" s="25"/>
      <c r="D633" s="25"/>
      <c r="E633" s="25"/>
      <c r="F633" s="25"/>
      <c r="G633" s="16"/>
      <c r="H633" s="25"/>
      <c r="I633" s="16"/>
      <c r="J633" s="25"/>
      <c r="K633" s="25"/>
      <c r="L633" s="25"/>
      <c r="M633" s="25"/>
      <c r="N633" s="25"/>
      <c r="O633" s="25"/>
    </row>
    <row r="634" spans="1:15" x14ac:dyDescent="0.25">
      <c r="A634" s="25"/>
      <c r="B634" s="25"/>
      <c r="C634" s="25"/>
      <c r="D634" s="25"/>
      <c r="E634" s="25"/>
      <c r="F634" s="25"/>
      <c r="G634" s="16"/>
      <c r="H634" s="25"/>
      <c r="I634" s="16"/>
      <c r="J634" s="25"/>
      <c r="K634" s="25"/>
      <c r="L634" s="25"/>
      <c r="M634" s="25"/>
      <c r="N634" s="25"/>
      <c r="O634" s="25"/>
    </row>
    <row r="635" spans="1:15" x14ac:dyDescent="0.25">
      <c r="A635" s="25"/>
      <c r="B635" s="25"/>
      <c r="C635" s="25"/>
      <c r="D635" s="25"/>
      <c r="E635" s="25"/>
      <c r="F635" s="25"/>
      <c r="G635" s="16"/>
      <c r="H635" s="25"/>
      <c r="I635" s="16"/>
      <c r="J635" s="25"/>
      <c r="K635" s="25"/>
      <c r="L635" s="25"/>
      <c r="M635" s="25"/>
      <c r="N635" s="25"/>
      <c r="O635" s="25"/>
    </row>
    <row r="636" spans="1:15" x14ac:dyDescent="0.25">
      <c r="A636" s="25"/>
      <c r="B636" s="25"/>
      <c r="C636" s="25"/>
      <c r="D636" s="25"/>
      <c r="E636" s="25"/>
      <c r="F636" s="25"/>
      <c r="G636" s="16"/>
      <c r="H636" s="25"/>
      <c r="I636" s="16"/>
      <c r="J636" s="25"/>
      <c r="K636" s="25"/>
      <c r="L636" s="25"/>
      <c r="M636" s="25"/>
      <c r="N636" s="25"/>
      <c r="O636" s="25"/>
    </row>
    <row r="637" spans="1:15" x14ac:dyDescent="0.25">
      <c r="A637" s="25"/>
      <c r="B637" s="25"/>
      <c r="C637" s="25"/>
      <c r="D637" s="25"/>
      <c r="E637" s="25"/>
      <c r="F637" s="25"/>
      <c r="G637" s="16"/>
      <c r="H637" s="25"/>
      <c r="I637" s="16"/>
      <c r="J637" s="25"/>
      <c r="K637" s="25"/>
      <c r="L637" s="25"/>
      <c r="M637" s="25"/>
      <c r="N637" s="25"/>
      <c r="O637" s="25"/>
    </row>
    <row r="638" spans="1:15" x14ac:dyDescent="0.25">
      <c r="A638" s="25"/>
      <c r="B638" s="25"/>
      <c r="C638" s="25"/>
      <c r="D638" s="25"/>
      <c r="E638" s="25"/>
      <c r="F638" s="25"/>
      <c r="G638" s="16"/>
      <c r="H638" s="25"/>
      <c r="I638" s="16"/>
      <c r="J638" s="25"/>
      <c r="K638" s="25"/>
      <c r="L638" s="25"/>
      <c r="M638" s="25"/>
      <c r="N638" s="25"/>
      <c r="O638" s="25"/>
    </row>
    <row r="639" spans="1:15" x14ac:dyDescent="0.25">
      <c r="A639" s="25"/>
      <c r="B639" s="25"/>
      <c r="C639" s="25"/>
      <c r="D639" s="25"/>
      <c r="E639" s="25"/>
      <c r="F639" s="25"/>
      <c r="G639" s="16"/>
      <c r="H639" s="25"/>
      <c r="I639" s="16"/>
      <c r="J639" s="25"/>
      <c r="K639" s="25"/>
      <c r="L639" s="25"/>
      <c r="M639" s="25"/>
      <c r="N639" s="25"/>
      <c r="O639" s="25"/>
    </row>
    <row r="640" spans="1:15" x14ac:dyDescent="0.25">
      <c r="A640" s="25"/>
      <c r="B640" s="25"/>
      <c r="C640" s="25"/>
      <c r="D640" s="25"/>
      <c r="E640" s="25"/>
      <c r="F640" s="25"/>
      <c r="G640" s="16"/>
      <c r="H640" s="25"/>
      <c r="I640" s="16"/>
      <c r="J640" s="25"/>
      <c r="K640" s="25"/>
      <c r="L640" s="25"/>
      <c r="M640" s="25"/>
      <c r="N640" s="25"/>
      <c r="O640" s="25"/>
    </row>
    <row r="641" spans="1:15" x14ac:dyDescent="0.25">
      <c r="A641" s="25"/>
      <c r="B641" s="25"/>
      <c r="C641" s="25"/>
      <c r="D641" s="25"/>
      <c r="E641" s="25"/>
      <c r="F641" s="25"/>
      <c r="G641" s="16"/>
      <c r="H641" s="25"/>
      <c r="I641" s="16"/>
      <c r="J641" s="25"/>
      <c r="K641" s="25"/>
      <c r="L641" s="25"/>
      <c r="M641" s="25"/>
      <c r="N641" s="25"/>
      <c r="O641" s="25"/>
    </row>
    <row r="642" spans="1:15" x14ac:dyDescent="0.25">
      <c r="A642" s="25"/>
      <c r="B642" s="25"/>
      <c r="C642" s="25"/>
      <c r="D642" s="25"/>
      <c r="E642" s="25"/>
      <c r="F642" s="25"/>
      <c r="G642" s="16"/>
      <c r="H642" s="25"/>
      <c r="I642" s="16"/>
      <c r="J642" s="25"/>
      <c r="K642" s="25"/>
      <c r="L642" s="25"/>
      <c r="M642" s="25"/>
      <c r="N642" s="25"/>
      <c r="O642" s="25"/>
    </row>
    <row r="643" spans="1:15" x14ac:dyDescent="0.25">
      <c r="A643" s="25"/>
      <c r="B643" s="25"/>
      <c r="C643" s="25"/>
      <c r="D643" s="25"/>
      <c r="E643" s="25"/>
      <c r="F643" s="25"/>
      <c r="G643" s="16"/>
      <c r="H643" s="25"/>
      <c r="I643" s="16"/>
      <c r="J643" s="25"/>
      <c r="K643" s="25"/>
      <c r="L643" s="25"/>
      <c r="M643" s="25"/>
      <c r="N643" s="25"/>
      <c r="O643" s="25"/>
    </row>
    <row r="644" spans="1:15" x14ac:dyDescent="0.25">
      <c r="A644" s="25"/>
      <c r="B644" s="25"/>
      <c r="C644" s="25"/>
      <c r="D644" s="25"/>
      <c r="E644" s="25"/>
      <c r="F644" s="25"/>
      <c r="G644" s="16"/>
      <c r="H644" s="25"/>
      <c r="I644" s="16"/>
      <c r="J644" s="25"/>
      <c r="K644" s="25"/>
      <c r="L644" s="25"/>
      <c r="M644" s="25"/>
      <c r="N644" s="25"/>
      <c r="O644" s="25"/>
    </row>
    <row r="645" spans="1:15" x14ac:dyDescent="0.25">
      <c r="A645" s="25"/>
      <c r="B645" s="25"/>
      <c r="C645" s="25"/>
      <c r="D645" s="25"/>
      <c r="E645" s="25"/>
      <c r="F645" s="25"/>
      <c r="G645" s="16"/>
      <c r="H645" s="25"/>
      <c r="I645" s="16"/>
      <c r="J645" s="25"/>
      <c r="K645" s="25"/>
      <c r="L645" s="25"/>
      <c r="M645" s="25"/>
      <c r="N645" s="25"/>
      <c r="O645" s="25"/>
    </row>
    <row r="646" spans="1:15" x14ac:dyDescent="0.25">
      <c r="A646" s="25"/>
      <c r="B646" s="25"/>
      <c r="C646" s="25"/>
      <c r="D646" s="25"/>
      <c r="E646" s="25"/>
      <c r="F646" s="25"/>
      <c r="G646" s="16"/>
      <c r="H646" s="25"/>
      <c r="I646" s="16"/>
      <c r="J646" s="25"/>
      <c r="K646" s="25"/>
      <c r="L646" s="25"/>
      <c r="M646" s="25"/>
      <c r="N646" s="25"/>
      <c r="O646" s="25"/>
    </row>
    <row r="647" spans="1:15" x14ac:dyDescent="0.25">
      <c r="A647" s="25"/>
      <c r="B647" s="25"/>
      <c r="C647" s="25"/>
      <c r="D647" s="25"/>
      <c r="E647" s="25"/>
      <c r="F647" s="25"/>
      <c r="G647" s="16"/>
      <c r="H647" s="25"/>
      <c r="I647" s="16"/>
      <c r="J647" s="25"/>
      <c r="K647" s="25"/>
      <c r="L647" s="25"/>
      <c r="M647" s="25"/>
      <c r="N647" s="25"/>
      <c r="O647" s="25"/>
    </row>
    <row r="648" spans="1:15" x14ac:dyDescent="0.25">
      <c r="A648" s="25"/>
      <c r="B648" s="25"/>
      <c r="C648" s="25"/>
      <c r="D648" s="25"/>
      <c r="E648" s="25"/>
      <c r="F648" s="25"/>
      <c r="G648" s="16"/>
      <c r="H648" s="25"/>
      <c r="I648" s="16"/>
      <c r="J648" s="25"/>
      <c r="K648" s="25"/>
      <c r="L648" s="25"/>
      <c r="M648" s="25"/>
      <c r="N648" s="25"/>
      <c r="O648" s="25"/>
    </row>
    <row r="649" spans="1:15" x14ac:dyDescent="0.25">
      <c r="A649" s="25"/>
      <c r="B649" s="25"/>
      <c r="C649" s="25"/>
      <c r="D649" s="25"/>
      <c r="E649" s="25"/>
      <c r="F649" s="25"/>
      <c r="G649" s="16"/>
      <c r="H649" s="25"/>
      <c r="I649" s="16"/>
      <c r="J649" s="25"/>
      <c r="K649" s="25"/>
      <c r="L649" s="25"/>
      <c r="M649" s="25"/>
      <c r="N649" s="25"/>
      <c r="O649" s="25"/>
    </row>
    <row r="650" spans="1:15" x14ac:dyDescent="0.25">
      <c r="A650" s="25"/>
      <c r="B650" s="25"/>
      <c r="C650" s="25"/>
      <c r="D650" s="25"/>
      <c r="E650" s="25"/>
      <c r="F650" s="25"/>
      <c r="G650" s="16"/>
      <c r="H650" s="25"/>
      <c r="I650" s="16"/>
      <c r="J650" s="25"/>
      <c r="K650" s="25"/>
      <c r="L650" s="25"/>
      <c r="M650" s="25"/>
      <c r="N650" s="25"/>
      <c r="O650" s="25"/>
    </row>
    <row r="651" spans="1:15" x14ac:dyDescent="0.25">
      <c r="A651" s="25"/>
      <c r="B651" s="25"/>
      <c r="C651" s="25"/>
      <c r="D651" s="25"/>
      <c r="E651" s="25"/>
      <c r="F651" s="25"/>
      <c r="G651" s="16"/>
      <c r="H651" s="25"/>
      <c r="I651" s="16"/>
      <c r="J651" s="25"/>
      <c r="K651" s="25"/>
      <c r="L651" s="25"/>
      <c r="M651" s="25"/>
      <c r="N651" s="25"/>
      <c r="O651" s="25"/>
    </row>
    <row r="652" spans="1:15" x14ac:dyDescent="0.25">
      <c r="A652" s="25"/>
      <c r="B652" s="25"/>
      <c r="C652" s="25"/>
      <c r="D652" s="25"/>
      <c r="E652" s="25"/>
      <c r="F652" s="25"/>
      <c r="G652" s="16"/>
      <c r="H652" s="25"/>
      <c r="I652" s="16"/>
      <c r="J652" s="25"/>
      <c r="K652" s="25"/>
      <c r="L652" s="25"/>
      <c r="M652" s="25"/>
      <c r="N652" s="25"/>
      <c r="O652" s="25"/>
    </row>
    <row r="653" spans="1:15" x14ac:dyDescent="0.25">
      <c r="A653" s="25"/>
      <c r="B653" s="25"/>
      <c r="C653" s="25"/>
      <c r="D653" s="25"/>
      <c r="E653" s="25"/>
      <c r="F653" s="25"/>
      <c r="G653" s="16"/>
      <c r="H653" s="25"/>
      <c r="I653" s="16"/>
      <c r="J653" s="25"/>
      <c r="K653" s="25"/>
      <c r="L653" s="25"/>
      <c r="M653" s="25"/>
      <c r="N653" s="25"/>
      <c r="O653" s="25"/>
    </row>
    <row r="654" spans="1:15" x14ac:dyDescent="0.25">
      <c r="A654" s="25"/>
      <c r="B654" s="25"/>
      <c r="C654" s="25"/>
      <c r="D654" s="25"/>
      <c r="E654" s="25"/>
      <c r="F654" s="25"/>
      <c r="G654" s="16"/>
      <c r="H654" s="25"/>
      <c r="I654" s="16"/>
      <c r="J654" s="25"/>
      <c r="K654" s="25"/>
      <c r="L654" s="25"/>
      <c r="M654" s="25"/>
      <c r="N654" s="25"/>
      <c r="O654" s="25"/>
    </row>
    <row r="655" spans="1:15" x14ac:dyDescent="0.25">
      <c r="A655" s="25"/>
      <c r="B655" s="25"/>
      <c r="C655" s="25"/>
      <c r="D655" s="25"/>
      <c r="E655" s="25"/>
      <c r="F655" s="25"/>
      <c r="G655" s="16"/>
      <c r="H655" s="25"/>
      <c r="I655" s="16"/>
      <c r="J655" s="25"/>
      <c r="K655" s="25"/>
      <c r="L655" s="25"/>
      <c r="M655" s="25"/>
      <c r="N655" s="25"/>
      <c r="O655" s="25"/>
    </row>
    <row r="656" spans="1:15" x14ac:dyDescent="0.25">
      <c r="A656" s="25"/>
      <c r="B656" s="25"/>
      <c r="C656" s="25"/>
      <c r="D656" s="25"/>
      <c r="E656" s="25"/>
      <c r="F656" s="25"/>
      <c r="G656" s="16"/>
      <c r="H656" s="25"/>
      <c r="I656" s="16"/>
      <c r="J656" s="25"/>
      <c r="K656" s="25"/>
      <c r="L656" s="25"/>
      <c r="M656" s="25"/>
      <c r="N656" s="25"/>
      <c r="O656" s="25"/>
    </row>
    <row r="657" spans="1:15" x14ac:dyDescent="0.25">
      <c r="A657" s="25"/>
      <c r="B657" s="25"/>
      <c r="C657" s="25"/>
      <c r="D657" s="25"/>
      <c r="E657" s="25"/>
      <c r="F657" s="25"/>
      <c r="G657" s="16"/>
      <c r="H657" s="25"/>
      <c r="I657" s="16"/>
      <c r="J657" s="25"/>
      <c r="K657" s="25"/>
      <c r="L657" s="25"/>
      <c r="M657" s="25"/>
      <c r="N657" s="25"/>
      <c r="O657" s="25"/>
    </row>
    <row r="658" spans="1:15" x14ac:dyDescent="0.25">
      <c r="A658" s="25"/>
      <c r="B658" s="25"/>
      <c r="C658" s="25"/>
      <c r="D658" s="25"/>
      <c r="E658" s="25"/>
      <c r="F658" s="25"/>
      <c r="G658" s="16"/>
      <c r="H658" s="25"/>
      <c r="I658" s="16"/>
      <c r="J658" s="25"/>
      <c r="K658" s="25"/>
      <c r="L658" s="25"/>
      <c r="M658" s="25"/>
      <c r="N658" s="25"/>
      <c r="O658" s="25"/>
    </row>
    <row r="659" spans="1:15" x14ac:dyDescent="0.25">
      <c r="A659" s="25"/>
      <c r="B659" s="25"/>
      <c r="C659" s="25"/>
      <c r="D659" s="25"/>
      <c r="E659" s="25"/>
      <c r="F659" s="25"/>
      <c r="G659" s="16"/>
      <c r="H659" s="25"/>
      <c r="I659" s="16"/>
      <c r="J659" s="25"/>
      <c r="K659" s="25"/>
      <c r="L659" s="25"/>
      <c r="M659" s="25"/>
      <c r="N659" s="25"/>
      <c r="O659" s="25"/>
    </row>
    <row r="660" spans="1:15" x14ac:dyDescent="0.25">
      <c r="A660" s="25"/>
      <c r="B660" s="25"/>
      <c r="C660" s="25"/>
      <c r="D660" s="25"/>
      <c r="E660" s="25"/>
      <c r="F660" s="25"/>
      <c r="G660" s="16"/>
      <c r="H660" s="25"/>
      <c r="I660" s="16"/>
      <c r="J660" s="25"/>
      <c r="K660" s="25"/>
      <c r="L660" s="25"/>
      <c r="M660" s="25"/>
      <c r="N660" s="25"/>
      <c r="O660" s="25"/>
    </row>
    <row r="661" spans="1:15" x14ac:dyDescent="0.25">
      <c r="A661" s="25"/>
      <c r="B661" s="25"/>
      <c r="C661" s="25"/>
      <c r="D661" s="25"/>
      <c r="E661" s="25"/>
      <c r="F661" s="25"/>
      <c r="G661" s="16"/>
      <c r="H661" s="25"/>
      <c r="I661" s="16"/>
      <c r="J661" s="25"/>
      <c r="K661" s="25"/>
      <c r="L661" s="25"/>
      <c r="M661" s="25"/>
      <c r="N661" s="25"/>
      <c r="O661" s="25"/>
    </row>
    <row r="662" spans="1:15" x14ac:dyDescent="0.25">
      <c r="A662" s="25"/>
      <c r="B662" s="25"/>
      <c r="C662" s="25"/>
      <c r="D662" s="25"/>
      <c r="E662" s="25"/>
      <c r="F662" s="25"/>
      <c r="G662" s="16"/>
      <c r="H662" s="25"/>
      <c r="I662" s="16"/>
      <c r="J662" s="25"/>
      <c r="K662" s="25"/>
      <c r="L662" s="25"/>
      <c r="M662" s="25"/>
      <c r="N662" s="25"/>
      <c r="O662" s="25"/>
    </row>
    <row r="663" spans="1:15" x14ac:dyDescent="0.25">
      <c r="A663" s="25"/>
      <c r="B663" s="25"/>
      <c r="C663" s="25"/>
      <c r="D663" s="25"/>
      <c r="E663" s="25"/>
      <c r="F663" s="25"/>
      <c r="G663" s="16"/>
      <c r="H663" s="25"/>
      <c r="I663" s="16"/>
      <c r="J663" s="25"/>
      <c r="K663" s="25"/>
      <c r="L663" s="25"/>
      <c r="M663" s="25"/>
      <c r="N663" s="25"/>
      <c r="O663" s="25"/>
    </row>
    <row r="664" spans="1:15" x14ac:dyDescent="0.25">
      <c r="A664" s="25"/>
      <c r="B664" s="25"/>
      <c r="C664" s="25"/>
      <c r="D664" s="25"/>
      <c r="E664" s="25"/>
      <c r="F664" s="25"/>
      <c r="G664" s="16"/>
      <c r="H664" s="25"/>
      <c r="I664" s="16"/>
      <c r="J664" s="25"/>
      <c r="K664" s="25"/>
      <c r="L664" s="25"/>
      <c r="M664" s="25"/>
      <c r="N664" s="25"/>
      <c r="O664" s="25"/>
    </row>
    <row r="665" spans="1:15" x14ac:dyDescent="0.25">
      <c r="A665" s="25"/>
      <c r="B665" s="25"/>
      <c r="C665" s="25"/>
      <c r="D665" s="25"/>
      <c r="E665" s="25"/>
      <c r="F665" s="25"/>
      <c r="G665" s="16"/>
      <c r="H665" s="25"/>
      <c r="I665" s="16"/>
      <c r="J665" s="25"/>
      <c r="K665" s="25"/>
      <c r="L665" s="25"/>
      <c r="M665" s="25"/>
      <c r="N665" s="25"/>
      <c r="O665" s="25"/>
    </row>
    <row r="666" spans="1:15" x14ac:dyDescent="0.25">
      <c r="A666" s="25"/>
      <c r="B666" s="25"/>
      <c r="C666" s="25"/>
      <c r="D666" s="25"/>
      <c r="E666" s="25"/>
      <c r="F666" s="25"/>
      <c r="G666" s="16"/>
      <c r="H666" s="25"/>
      <c r="I666" s="16"/>
      <c r="J666" s="25"/>
      <c r="K666" s="25"/>
      <c r="L666" s="25"/>
      <c r="M666" s="25"/>
      <c r="N666" s="25"/>
      <c r="O666" s="25"/>
    </row>
    <row r="667" spans="1:15" x14ac:dyDescent="0.25">
      <c r="A667" s="25"/>
      <c r="B667" s="25"/>
      <c r="C667" s="25"/>
      <c r="D667" s="25"/>
      <c r="E667" s="25"/>
      <c r="F667" s="25"/>
      <c r="G667" s="16"/>
      <c r="H667" s="25"/>
      <c r="I667" s="16"/>
      <c r="J667" s="25"/>
      <c r="K667" s="25"/>
      <c r="L667" s="25"/>
      <c r="M667" s="25"/>
      <c r="N667" s="25"/>
      <c r="O667" s="25"/>
    </row>
    <row r="668" spans="1:15" x14ac:dyDescent="0.25">
      <c r="A668" s="25"/>
      <c r="B668" s="25"/>
      <c r="C668" s="25"/>
      <c r="D668" s="25"/>
      <c r="E668" s="25"/>
      <c r="F668" s="25"/>
      <c r="G668" s="16"/>
      <c r="H668" s="25"/>
      <c r="I668" s="16"/>
      <c r="J668" s="25"/>
      <c r="K668" s="25"/>
      <c r="L668" s="25"/>
      <c r="M668" s="25"/>
      <c r="N668" s="25"/>
      <c r="O668" s="25"/>
    </row>
    <row r="669" spans="1:15" x14ac:dyDescent="0.25">
      <c r="A669" s="25"/>
      <c r="B669" s="25"/>
      <c r="C669" s="25"/>
      <c r="D669" s="25"/>
      <c r="E669" s="25"/>
      <c r="F669" s="25"/>
      <c r="G669" s="16"/>
      <c r="H669" s="25"/>
      <c r="I669" s="16"/>
      <c r="J669" s="25"/>
      <c r="K669" s="25"/>
      <c r="L669" s="25"/>
      <c r="M669" s="25"/>
      <c r="N669" s="25"/>
      <c r="O669" s="25"/>
    </row>
    <row r="670" spans="1:15" x14ac:dyDescent="0.25">
      <c r="A670" s="25"/>
      <c r="B670" s="25"/>
      <c r="C670" s="25"/>
      <c r="D670" s="25"/>
      <c r="E670" s="25"/>
      <c r="F670" s="25"/>
      <c r="G670" s="16"/>
      <c r="H670" s="25"/>
      <c r="I670" s="16"/>
      <c r="J670" s="25"/>
      <c r="K670" s="25"/>
      <c r="L670" s="25"/>
      <c r="M670" s="25"/>
      <c r="N670" s="25"/>
      <c r="O670" s="25"/>
    </row>
    <row r="671" spans="1:15" x14ac:dyDescent="0.25">
      <c r="A671" s="25"/>
      <c r="B671" s="25"/>
      <c r="C671" s="25"/>
      <c r="D671" s="25"/>
      <c r="E671" s="25"/>
      <c r="F671" s="25"/>
      <c r="G671" s="16"/>
      <c r="H671" s="25"/>
      <c r="I671" s="16"/>
      <c r="J671" s="25"/>
      <c r="K671" s="25"/>
      <c r="L671" s="25"/>
      <c r="M671" s="25"/>
      <c r="N671" s="25"/>
      <c r="O671" s="25"/>
    </row>
    <row r="672" spans="1:15" x14ac:dyDescent="0.25">
      <c r="A672" s="25"/>
      <c r="B672" s="25"/>
      <c r="C672" s="25"/>
      <c r="D672" s="25"/>
      <c r="E672" s="25"/>
      <c r="F672" s="25"/>
      <c r="G672" s="16"/>
      <c r="H672" s="25"/>
      <c r="I672" s="16"/>
      <c r="J672" s="25"/>
      <c r="K672" s="25"/>
      <c r="L672" s="25"/>
      <c r="M672" s="25"/>
      <c r="N672" s="25"/>
      <c r="O672" s="25"/>
    </row>
    <row r="673" spans="1:15" x14ac:dyDescent="0.25">
      <c r="A673" s="25"/>
      <c r="B673" s="25"/>
      <c r="C673" s="25"/>
      <c r="D673" s="25"/>
      <c r="E673" s="25"/>
      <c r="F673" s="25"/>
      <c r="G673" s="16"/>
      <c r="H673" s="25"/>
      <c r="I673" s="16"/>
      <c r="J673" s="25"/>
      <c r="K673" s="25"/>
      <c r="L673" s="25"/>
      <c r="M673" s="25"/>
      <c r="N673" s="25"/>
      <c r="O673" s="25"/>
    </row>
    <row r="674" spans="1:15" x14ac:dyDescent="0.25">
      <c r="A674" s="25"/>
      <c r="B674" s="25"/>
      <c r="C674" s="25"/>
      <c r="D674" s="25"/>
      <c r="E674" s="25"/>
      <c r="F674" s="25"/>
      <c r="G674" s="16"/>
      <c r="H674" s="25"/>
      <c r="I674" s="16"/>
      <c r="J674" s="25"/>
      <c r="K674" s="25"/>
      <c r="L674" s="25"/>
      <c r="M674" s="25"/>
      <c r="N674" s="25"/>
      <c r="O674" s="25"/>
    </row>
    <row r="675" spans="1:15" x14ac:dyDescent="0.25">
      <c r="A675" s="25"/>
      <c r="B675" s="25"/>
      <c r="C675" s="25"/>
      <c r="D675" s="25"/>
      <c r="E675" s="25"/>
      <c r="F675" s="25"/>
      <c r="G675" s="16"/>
      <c r="H675" s="25"/>
      <c r="I675" s="16"/>
      <c r="J675" s="25"/>
      <c r="K675" s="25"/>
      <c r="L675" s="25"/>
      <c r="M675" s="25"/>
      <c r="N675" s="25"/>
      <c r="O675" s="25"/>
    </row>
    <row r="676" spans="1:15" x14ac:dyDescent="0.25">
      <c r="A676" s="25"/>
      <c r="B676" s="25"/>
      <c r="C676" s="25"/>
      <c r="D676" s="25"/>
      <c r="E676" s="25"/>
      <c r="F676" s="25"/>
      <c r="G676" s="16"/>
      <c r="H676" s="25"/>
      <c r="I676" s="16"/>
      <c r="J676" s="25"/>
      <c r="K676" s="25"/>
      <c r="L676" s="25"/>
      <c r="M676" s="25"/>
      <c r="N676" s="25"/>
      <c r="O676" s="25"/>
    </row>
    <row r="677" spans="1:15" x14ac:dyDescent="0.25">
      <c r="A677" s="25"/>
      <c r="B677" s="25"/>
      <c r="C677" s="25"/>
      <c r="D677" s="25"/>
      <c r="E677" s="25"/>
      <c r="F677" s="25"/>
      <c r="G677" s="16"/>
      <c r="H677" s="25"/>
      <c r="I677" s="16"/>
      <c r="J677" s="25"/>
      <c r="K677" s="25"/>
      <c r="L677" s="25"/>
      <c r="M677" s="25"/>
      <c r="N677" s="25"/>
      <c r="O677" s="25"/>
    </row>
    <row r="678" spans="1:15" x14ac:dyDescent="0.25">
      <c r="A678" s="25"/>
      <c r="B678" s="25"/>
      <c r="C678" s="25"/>
      <c r="D678" s="25"/>
      <c r="E678" s="25"/>
      <c r="F678" s="25"/>
      <c r="G678" s="16"/>
      <c r="H678" s="25"/>
      <c r="I678" s="16"/>
      <c r="J678" s="25"/>
      <c r="K678" s="25"/>
      <c r="L678" s="25"/>
      <c r="M678" s="25"/>
      <c r="N678" s="25"/>
      <c r="O678" s="25"/>
    </row>
    <row r="679" spans="1:15" x14ac:dyDescent="0.25">
      <c r="A679" s="25"/>
      <c r="B679" s="25"/>
      <c r="C679" s="25"/>
      <c r="D679" s="25"/>
      <c r="E679" s="25"/>
      <c r="F679" s="25"/>
      <c r="G679" s="16"/>
      <c r="H679" s="25"/>
      <c r="I679" s="16"/>
      <c r="J679" s="25"/>
      <c r="K679" s="25"/>
      <c r="L679" s="25"/>
      <c r="M679" s="25"/>
      <c r="N679" s="25"/>
      <c r="O679" s="25"/>
    </row>
    <row r="680" spans="1:15" x14ac:dyDescent="0.25">
      <c r="A680" s="25"/>
      <c r="B680" s="25"/>
      <c r="C680" s="25"/>
      <c r="D680" s="25"/>
      <c r="E680" s="25"/>
      <c r="F680" s="25"/>
      <c r="G680" s="16"/>
      <c r="H680" s="25"/>
      <c r="I680" s="16"/>
      <c r="J680" s="25"/>
      <c r="K680" s="25"/>
      <c r="L680" s="25"/>
      <c r="M680" s="25"/>
      <c r="N680" s="25"/>
      <c r="O680" s="25"/>
    </row>
    <row r="681" spans="1:15" x14ac:dyDescent="0.25">
      <c r="A681" s="25"/>
      <c r="B681" s="25"/>
      <c r="C681" s="25"/>
      <c r="D681" s="25"/>
      <c r="E681" s="25"/>
      <c r="F681" s="25"/>
      <c r="G681" s="16"/>
      <c r="H681" s="25"/>
      <c r="I681" s="16"/>
      <c r="J681" s="25"/>
      <c r="K681" s="25"/>
      <c r="L681" s="25"/>
      <c r="M681" s="25"/>
      <c r="N681" s="25"/>
      <c r="O681" s="25"/>
    </row>
    <row r="682" spans="1:15" x14ac:dyDescent="0.25">
      <c r="A682" s="25"/>
      <c r="B682" s="25"/>
      <c r="C682" s="25"/>
      <c r="D682" s="25"/>
      <c r="E682" s="25"/>
      <c r="F682" s="25"/>
      <c r="G682" s="16"/>
      <c r="H682" s="25"/>
      <c r="I682" s="16"/>
      <c r="J682" s="25"/>
      <c r="K682" s="25"/>
      <c r="L682" s="25"/>
      <c r="M682" s="25"/>
      <c r="N682" s="25"/>
      <c r="O682" s="25"/>
    </row>
    <row r="683" spans="1:15" x14ac:dyDescent="0.25">
      <c r="A683" s="25"/>
      <c r="B683" s="25"/>
      <c r="C683" s="25"/>
      <c r="D683" s="25"/>
      <c r="E683" s="25"/>
      <c r="F683" s="25"/>
      <c r="G683" s="16"/>
      <c r="H683" s="25"/>
      <c r="I683" s="16"/>
      <c r="J683" s="25"/>
      <c r="K683" s="25"/>
      <c r="L683" s="25"/>
      <c r="M683" s="25"/>
      <c r="N683" s="25"/>
      <c r="O683" s="25"/>
    </row>
    <row r="684" spans="1:15" x14ac:dyDescent="0.25">
      <c r="A684" s="25"/>
      <c r="B684" s="25"/>
      <c r="C684" s="25"/>
      <c r="D684" s="25"/>
      <c r="E684" s="25"/>
      <c r="F684" s="25"/>
      <c r="G684" s="16"/>
      <c r="H684" s="25"/>
      <c r="I684" s="16"/>
      <c r="J684" s="25"/>
      <c r="K684" s="25"/>
      <c r="L684" s="25"/>
      <c r="M684" s="25"/>
      <c r="N684" s="25"/>
      <c r="O684" s="25"/>
    </row>
    <row r="685" spans="1:15" x14ac:dyDescent="0.25">
      <c r="A685" s="25"/>
      <c r="B685" s="25"/>
      <c r="C685" s="25"/>
      <c r="D685" s="25"/>
      <c r="E685" s="25"/>
      <c r="F685" s="25"/>
      <c r="G685" s="16"/>
      <c r="H685" s="25"/>
      <c r="I685" s="16"/>
      <c r="J685" s="25"/>
      <c r="K685" s="25"/>
      <c r="L685" s="25"/>
      <c r="M685" s="25"/>
      <c r="N685" s="25"/>
      <c r="O685" s="25"/>
    </row>
    <row r="686" spans="1:15" x14ac:dyDescent="0.25">
      <c r="A686" s="25"/>
      <c r="B686" s="25"/>
      <c r="C686" s="25"/>
      <c r="D686" s="25"/>
      <c r="E686" s="25"/>
      <c r="F686" s="25"/>
      <c r="G686" s="16"/>
      <c r="H686" s="25"/>
      <c r="I686" s="16"/>
      <c r="J686" s="25"/>
      <c r="K686" s="25"/>
      <c r="L686" s="25"/>
      <c r="M686" s="25"/>
      <c r="N686" s="25"/>
      <c r="O686" s="25"/>
    </row>
    <row r="687" spans="1:15" x14ac:dyDescent="0.25">
      <c r="A687" s="25"/>
      <c r="B687" s="25"/>
      <c r="C687" s="25"/>
      <c r="D687" s="25"/>
      <c r="E687" s="25"/>
      <c r="F687" s="25"/>
      <c r="G687" s="16"/>
      <c r="H687" s="25"/>
      <c r="I687" s="16"/>
      <c r="J687" s="25"/>
      <c r="K687" s="25"/>
      <c r="L687" s="25"/>
      <c r="M687" s="25"/>
      <c r="N687" s="25"/>
      <c r="O687" s="25"/>
    </row>
    <row r="688" spans="1:15" x14ac:dyDescent="0.25">
      <c r="A688" s="25"/>
      <c r="B688" s="25"/>
      <c r="C688" s="25"/>
      <c r="D688" s="25"/>
      <c r="E688" s="25"/>
      <c r="F688" s="25"/>
      <c r="G688" s="16"/>
      <c r="H688" s="25"/>
      <c r="I688" s="16"/>
      <c r="J688" s="25"/>
      <c r="K688" s="25"/>
      <c r="L688" s="25"/>
      <c r="M688" s="25"/>
      <c r="N688" s="25"/>
      <c r="O688" s="25"/>
    </row>
  </sheetData>
  <autoFilter ref="A2:O688">
    <sortState ref="A4:O688">
      <sortCondition ref="A2:A688"/>
    </sortState>
  </autoFilter>
  <mergeCells count="11">
    <mergeCell ref="L1:N1"/>
    <mergeCell ref="O1:O2"/>
    <mergeCell ref="E1:E2"/>
    <mergeCell ref="K1:K2"/>
    <mergeCell ref="G1:H1"/>
    <mergeCell ref="I1:J1"/>
    <mergeCell ref="A1:A2"/>
    <mergeCell ref="B1:B2"/>
    <mergeCell ref="C1:C2"/>
    <mergeCell ref="D1:D2"/>
    <mergeCell ref="F1:F2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/>
  <dimension ref="A1:T690"/>
  <sheetViews>
    <sheetView zoomScale="70" zoomScaleNormal="70" workbookViewId="0">
      <selection activeCell="N3" sqref="N3"/>
    </sheetView>
  </sheetViews>
  <sheetFormatPr defaultRowHeight="15" x14ac:dyDescent="0.25"/>
  <cols>
    <col min="1" max="1" width="6" style="17" customWidth="1"/>
    <col min="2" max="2" width="10.85546875" style="17" customWidth="1"/>
    <col min="3" max="3" width="5.7109375" style="17" bestFit="1" customWidth="1"/>
    <col min="4" max="4" width="47.85546875" style="17" customWidth="1"/>
    <col min="5" max="5" width="9.140625" style="17"/>
    <col min="6" max="6" width="8.5703125" style="17" customWidth="1"/>
    <col min="7" max="7" width="6.7109375" style="17" customWidth="1"/>
    <col min="8" max="8" width="12.42578125" style="17" bestFit="1" customWidth="1"/>
    <col min="9" max="10" width="9.140625" style="17"/>
    <col min="11" max="11" width="13.5703125" style="17" bestFit="1" customWidth="1"/>
    <col min="12" max="18" width="6.7109375" style="26" customWidth="1"/>
    <col min="19" max="19" width="9.140625" style="26"/>
    <col min="20" max="16384" width="9.140625" style="17"/>
  </cols>
  <sheetData>
    <row r="1" spans="1:20" x14ac:dyDescent="0.25">
      <c r="L1" s="40" t="s">
        <v>1066</v>
      </c>
      <c r="M1" s="40"/>
      <c r="N1" s="40"/>
      <c r="O1" s="40"/>
      <c r="P1" s="40" t="s">
        <v>1065</v>
      </c>
      <c r="Q1" s="40"/>
      <c r="R1" s="40"/>
      <c r="S1" s="40"/>
    </row>
    <row r="2" spans="1:20" x14ac:dyDescent="0.25">
      <c r="A2" s="40" t="s">
        <v>17</v>
      </c>
      <c r="B2" s="40" t="s">
        <v>473</v>
      </c>
      <c r="C2" s="41" t="s">
        <v>451</v>
      </c>
      <c r="D2" s="40" t="s">
        <v>454</v>
      </c>
      <c r="E2" s="44" t="s">
        <v>880</v>
      </c>
      <c r="F2" s="42" t="s">
        <v>879</v>
      </c>
      <c r="G2" s="46" t="s">
        <v>1066</v>
      </c>
      <c r="H2" s="47"/>
      <c r="I2" s="46" t="s">
        <v>1065</v>
      </c>
      <c r="J2" s="47"/>
      <c r="K2" s="46" t="s">
        <v>960</v>
      </c>
      <c r="L2" s="40" t="s">
        <v>470</v>
      </c>
      <c r="M2" s="40"/>
      <c r="N2" s="40"/>
      <c r="O2" s="40" t="s">
        <v>472</v>
      </c>
      <c r="P2" s="48" t="s">
        <v>470</v>
      </c>
      <c r="Q2" s="49"/>
      <c r="R2" s="50"/>
      <c r="S2" s="42" t="s">
        <v>472</v>
      </c>
    </row>
    <row r="3" spans="1:20" x14ac:dyDescent="0.25">
      <c r="A3" s="40"/>
      <c r="B3" s="40"/>
      <c r="C3" s="41"/>
      <c r="D3" s="40"/>
      <c r="E3" s="45"/>
      <c r="F3" s="43"/>
      <c r="G3" s="15" t="s">
        <v>460</v>
      </c>
      <c r="H3" s="24" t="s">
        <v>459</v>
      </c>
      <c r="I3" s="15" t="s">
        <v>460</v>
      </c>
      <c r="J3" s="24" t="s">
        <v>459</v>
      </c>
      <c r="K3" s="46"/>
      <c r="L3" s="25" t="s">
        <v>466</v>
      </c>
      <c r="M3" s="25" t="s">
        <v>467</v>
      </c>
      <c r="N3" s="25" t="s">
        <v>468</v>
      </c>
      <c r="O3" s="40"/>
      <c r="P3" s="25" t="s">
        <v>466</v>
      </c>
      <c r="Q3" s="25" t="s">
        <v>467</v>
      </c>
      <c r="R3" s="25" t="s">
        <v>468</v>
      </c>
      <c r="S3" s="43"/>
    </row>
    <row r="4" spans="1:20" x14ac:dyDescent="0.25">
      <c r="A4" s="25">
        <f>Текущий!A3</f>
        <v>1</v>
      </c>
      <c r="B4" s="25">
        <f>Текущий!B3</f>
        <v>13808</v>
      </c>
      <c r="C4" s="25" t="str">
        <f>Текущий!C3</f>
        <v>ч-т</v>
      </c>
      <c r="D4" s="25" t="str">
        <f>Текущий!D3</f>
        <v>ст. Архара</v>
      </c>
      <c r="E4" s="25">
        <f>ROUND(Текущий!J3,0)</f>
        <v>0</v>
      </c>
      <c r="F4" s="25">
        <f>Текущий!E3</f>
        <v>0</v>
      </c>
      <c r="G4" s="16" t="str">
        <f>IF(Текущий!K3="-",Текущий!K3,ROUND(Текущий!K3,0))</f>
        <v>-</v>
      </c>
      <c r="H4" s="25" t="str">
        <f>IF(ROUND(Текущий!I3,0)=0,"-",ROUND(Текущий!I3,0))</f>
        <v>-</v>
      </c>
      <c r="I4" s="16" t="str">
        <f>IF(Предыд!K3="-",Предыд!K3,ROUND(Предыд!K3,0))</f>
        <v>-</v>
      </c>
      <c r="J4" s="25" t="str">
        <f>IF(ROUND(Предыд!I3,0)=0,"-",ROUND(Предыд!I3,0))</f>
        <v>-</v>
      </c>
      <c r="K4" s="27" t="str">
        <f>Текущий!L3</f>
        <v>Рихтовка</v>
      </c>
      <c r="L4" s="25">
        <f>Текущий!AL3</f>
        <v>0</v>
      </c>
      <c r="M4" s="25">
        <f>Текущий!AM3</f>
        <v>0</v>
      </c>
      <c r="N4" s="25">
        <f>Текущий!AN3</f>
        <v>0</v>
      </c>
      <c r="O4" s="25">
        <f>Текущий!AP3</f>
        <v>0</v>
      </c>
      <c r="P4" s="25">
        <f>Предыд!AL3</f>
        <v>0</v>
      </c>
      <c r="Q4" s="25">
        <f>Предыд!AM3</f>
        <v>0</v>
      </c>
      <c r="R4" s="25">
        <f>Предыд!AN3</f>
        <v>0</v>
      </c>
      <c r="S4" s="25">
        <f>Предыд!AO3</f>
        <v>0</v>
      </c>
      <c r="T4" s="17" t="str">
        <f>IF(G4&gt;I4,"+","-")</f>
        <v>-</v>
      </c>
    </row>
    <row r="5" spans="1:20" x14ac:dyDescent="0.25">
      <c r="A5" s="29">
        <f>Текущий!A4</f>
        <v>1</v>
      </c>
      <c r="B5" s="29">
        <f>Текущий!B4</f>
        <v>13808</v>
      </c>
      <c r="C5" s="29">
        <f>Текущий!C4</f>
        <v>1</v>
      </c>
      <c r="D5" s="29" t="str">
        <f>Текущий!D4</f>
        <v>Архара - Татакан</v>
      </c>
      <c r="E5" s="29">
        <f>ROUND(Текущий!J4,0)</f>
        <v>0</v>
      </c>
      <c r="F5" s="29">
        <f>Текущий!E4</f>
        <v>0</v>
      </c>
      <c r="G5" s="16" t="str">
        <f>IF(Текущий!K4="-",Текущий!K4,ROUND(Текущий!K4,0))</f>
        <v>-</v>
      </c>
      <c r="H5" s="29" t="str">
        <f>IF(ROUND(Текущий!I4,0)=0,"-",ROUND(Текущий!I4,0))</f>
        <v>-</v>
      </c>
      <c r="I5" s="16" t="str">
        <f>IF(Предыд!K4="-",Предыд!K4,ROUND(Предыд!K4,0))</f>
        <v>-</v>
      </c>
      <c r="J5" s="29" t="str">
        <f>IF(ROUND(Предыд!I4,0)=0,"-",ROUND(Предыд!I4,0))</f>
        <v>-</v>
      </c>
      <c r="K5" s="30" t="str">
        <f>Текущий!L4</f>
        <v>Рихтовка</v>
      </c>
      <c r="L5" s="29">
        <f>Текущий!AL4</f>
        <v>0</v>
      </c>
      <c r="M5" s="29">
        <f>Текущий!AM4</f>
        <v>0</v>
      </c>
      <c r="N5" s="29">
        <f>Текущий!AN4</f>
        <v>0</v>
      </c>
      <c r="O5" s="29">
        <f>Текущий!AP4</f>
        <v>0</v>
      </c>
      <c r="P5" s="29">
        <f>Предыд!AL4</f>
        <v>0</v>
      </c>
      <c r="Q5" s="29">
        <f>Предыд!AM4</f>
        <v>0</v>
      </c>
      <c r="R5" s="29">
        <f>Предыд!AN4</f>
        <v>0</v>
      </c>
      <c r="S5" s="29">
        <f>Предыд!AO4</f>
        <v>0</v>
      </c>
      <c r="T5" s="17" t="str">
        <f t="shared" ref="T5:T68" si="0">IF(G5&gt;I5,"+","-")</f>
        <v>-</v>
      </c>
    </row>
    <row r="6" spans="1:20" x14ac:dyDescent="0.25">
      <c r="A6" s="29">
        <f>Текущий!A5</f>
        <v>1</v>
      </c>
      <c r="B6" s="29">
        <f>Текущий!B5</f>
        <v>13808</v>
      </c>
      <c r="C6" s="29">
        <f>Текущий!C5</f>
        <v>1</v>
      </c>
      <c r="D6" s="29" t="str">
        <f>Текущий!D5</f>
        <v>Татакан - Богучан</v>
      </c>
      <c r="E6" s="29">
        <f>ROUND(Текущий!J5,0)</f>
        <v>0</v>
      </c>
      <c r="F6" s="29">
        <f>Текущий!E5</f>
        <v>0</v>
      </c>
      <c r="G6" s="16" t="str">
        <f>IF(Текущий!K5="-",Текущий!K5,ROUND(Текущий!K5,0))</f>
        <v>-</v>
      </c>
      <c r="H6" s="29" t="str">
        <f>IF(ROUND(Текущий!I5,0)=0,"-",ROUND(Текущий!I5,0))</f>
        <v>-</v>
      </c>
      <c r="I6" s="16" t="str">
        <f>IF(Предыд!K5="-",Предыд!K5,ROUND(Предыд!K5,0))</f>
        <v>-</v>
      </c>
      <c r="J6" s="29" t="str">
        <f>IF(ROUND(Предыд!I5,0)=0,"-",ROUND(Предыд!I5,0))</f>
        <v>-</v>
      </c>
      <c r="K6" s="30" t="str">
        <f>Текущий!L5</f>
        <v>Рихтовка</v>
      </c>
      <c r="L6" s="29">
        <f>Текущий!AL5</f>
        <v>0</v>
      </c>
      <c r="M6" s="29">
        <f>Текущий!AM5</f>
        <v>0</v>
      </c>
      <c r="N6" s="29">
        <f>Текущий!AN5</f>
        <v>0</v>
      </c>
      <c r="O6" s="29">
        <f>Текущий!AP5</f>
        <v>0</v>
      </c>
      <c r="P6" s="29">
        <f>Предыд!AL5</f>
        <v>0</v>
      </c>
      <c r="Q6" s="29">
        <f>Предыд!AM5</f>
        <v>0</v>
      </c>
      <c r="R6" s="29">
        <f>Предыд!AN5</f>
        <v>0</v>
      </c>
      <c r="S6" s="29">
        <f>Предыд!AO5</f>
        <v>0</v>
      </c>
      <c r="T6" s="17" t="str">
        <f t="shared" si="0"/>
        <v>-</v>
      </c>
    </row>
    <row r="7" spans="1:20" x14ac:dyDescent="0.25">
      <c r="A7" s="29">
        <f>Текущий!A6</f>
        <v>1</v>
      </c>
      <c r="B7" s="29">
        <f>Текущий!B6</f>
        <v>13808</v>
      </c>
      <c r="C7" s="29">
        <f>Текущий!C6</f>
        <v>1</v>
      </c>
      <c r="D7" s="29" t="str">
        <f>Текущий!D6</f>
        <v>Богучан - Рачи</v>
      </c>
      <c r="E7" s="29">
        <f>ROUND(Текущий!J6,0)</f>
        <v>0</v>
      </c>
      <c r="F7" s="29">
        <f>Текущий!E6</f>
        <v>0</v>
      </c>
      <c r="G7" s="16" t="str">
        <f>IF(Текущий!K6="-",Текущий!K6,ROUND(Текущий!K6,0))</f>
        <v>-</v>
      </c>
      <c r="H7" s="29" t="str">
        <f>IF(ROUND(Текущий!I6,0)=0,"-",ROUND(Текущий!I6,0))</f>
        <v>-</v>
      </c>
      <c r="I7" s="16" t="str">
        <f>IF(Предыд!K6="-",Предыд!K6,ROUND(Предыд!K6,0))</f>
        <v>-</v>
      </c>
      <c r="J7" s="29" t="str">
        <f>IF(ROUND(Предыд!I6,0)=0,"-",ROUND(Предыд!I6,0))</f>
        <v>-</v>
      </c>
      <c r="K7" s="30" t="str">
        <f>Текущий!L6</f>
        <v>Рихтовка</v>
      </c>
      <c r="L7" s="29">
        <f>Текущий!AL6</f>
        <v>0</v>
      </c>
      <c r="M7" s="29">
        <f>Текущий!AM6</f>
        <v>0</v>
      </c>
      <c r="N7" s="29">
        <f>Текущий!AN6</f>
        <v>0</v>
      </c>
      <c r="O7" s="29">
        <f>Текущий!AP6</f>
        <v>0</v>
      </c>
      <c r="P7" s="29">
        <f>Предыд!AL6</f>
        <v>0</v>
      </c>
      <c r="Q7" s="29">
        <f>Предыд!AM6</f>
        <v>0</v>
      </c>
      <c r="R7" s="29">
        <f>Предыд!AN6</f>
        <v>0</v>
      </c>
      <c r="S7" s="29">
        <f>Предыд!AO6</f>
        <v>0</v>
      </c>
      <c r="T7" s="17" t="str">
        <f t="shared" si="0"/>
        <v>-</v>
      </c>
    </row>
    <row r="8" spans="1:20" x14ac:dyDescent="0.25">
      <c r="A8" s="29">
        <f>Текущий!A7</f>
        <v>1</v>
      </c>
      <c r="B8" s="29">
        <f>Текущий!B7</f>
        <v>13808</v>
      </c>
      <c r="C8" s="29">
        <f>Текущий!C7</f>
        <v>1</v>
      </c>
      <c r="D8" s="29" t="str">
        <f>Текущий!D7</f>
        <v>Рачи - Урил</v>
      </c>
      <c r="E8" s="29">
        <f>ROUND(Текущий!J7,0)</f>
        <v>0</v>
      </c>
      <c r="F8" s="29">
        <f>Текущий!E7</f>
        <v>0</v>
      </c>
      <c r="G8" s="16" t="str">
        <f>IF(Текущий!K7="-",Текущий!K7,ROUND(Текущий!K7,0))</f>
        <v>-</v>
      </c>
      <c r="H8" s="29" t="str">
        <f>IF(ROUND(Текущий!I7,0)=0,"-",ROUND(Текущий!I7,0))</f>
        <v>-</v>
      </c>
      <c r="I8" s="16" t="str">
        <f>IF(Предыд!K7="-",Предыд!K7,ROUND(Предыд!K7,0))</f>
        <v>-</v>
      </c>
      <c r="J8" s="29" t="str">
        <f>IF(ROUND(Предыд!I7,0)=0,"-",ROUND(Предыд!I7,0))</f>
        <v>-</v>
      </c>
      <c r="K8" s="30" t="str">
        <f>Текущий!L7</f>
        <v>Рихтовка</v>
      </c>
      <c r="L8" s="29">
        <f>Текущий!AL7</f>
        <v>0</v>
      </c>
      <c r="M8" s="29">
        <f>Текущий!AM7</f>
        <v>0</v>
      </c>
      <c r="N8" s="29">
        <f>Текущий!AN7</f>
        <v>0</v>
      </c>
      <c r="O8" s="29">
        <f>Текущий!AP7</f>
        <v>0</v>
      </c>
      <c r="P8" s="29">
        <f>Предыд!AL7</f>
        <v>0</v>
      </c>
      <c r="Q8" s="29">
        <f>Предыд!AM7</f>
        <v>0</v>
      </c>
      <c r="R8" s="29">
        <f>Предыд!AN7</f>
        <v>0</v>
      </c>
      <c r="S8" s="29">
        <f>Предыд!AO7</f>
        <v>0</v>
      </c>
      <c r="T8" s="17" t="str">
        <f t="shared" si="0"/>
        <v>-</v>
      </c>
    </row>
    <row r="9" spans="1:20" x14ac:dyDescent="0.25">
      <c r="A9" s="29">
        <f>Текущий!A8</f>
        <v>1</v>
      </c>
      <c r="B9" s="29">
        <f>Текущий!B8</f>
        <v>13808</v>
      </c>
      <c r="C9" s="29">
        <f>Текущий!C8</f>
        <v>1</v>
      </c>
      <c r="D9" s="29" t="str">
        <f>Текущий!D8</f>
        <v>Урил - Тарманчукан</v>
      </c>
      <c r="E9" s="29">
        <f>ROUND(Текущий!J8,0)</f>
        <v>0</v>
      </c>
      <c r="F9" s="29">
        <f>Текущий!E8</f>
        <v>0</v>
      </c>
      <c r="G9" s="16" t="str">
        <f>IF(Текущий!K8="-",Текущий!K8,ROUND(Текущий!K8,0))</f>
        <v>-</v>
      </c>
      <c r="H9" s="29" t="str">
        <f>IF(ROUND(Текущий!I8,0)=0,"-",ROUND(Текущий!I8,0))</f>
        <v>-</v>
      </c>
      <c r="I9" s="16" t="str">
        <f>IF(Предыд!K8="-",Предыд!K8,ROUND(Предыд!K8,0))</f>
        <v>-</v>
      </c>
      <c r="J9" s="29" t="str">
        <f>IF(ROUND(Предыд!I8,0)=0,"-",ROUND(Предыд!I8,0))</f>
        <v>-</v>
      </c>
      <c r="K9" s="30" t="str">
        <f>Текущий!L8</f>
        <v>Рихтовка</v>
      </c>
      <c r="L9" s="29">
        <f>Текущий!AL8</f>
        <v>0</v>
      </c>
      <c r="M9" s="29">
        <f>Текущий!AM8</f>
        <v>0</v>
      </c>
      <c r="N9" s="29">
        <f>Текущий!AN8</f>
        <v>0</v>
      </c>
      <c r="O9" s="29">
        <f>Текущий!AP8</f>
        <v>0</v>
      </c>
      <c r="P9" s="29">
        <f>Предыд!AL8</f>
        <v>0</v>
      </c>
      <c r="Q9" s="29">
        <f>Предыд!AM8</f>
        <v>0</v>
      </c>
      <c r="R9" s="29">
        <f>Предыд!AN8</f>
        <v>0</v>
      </c>
      <c r="S9" s="29">
        <f>Предыд!AO8</f>
        <v>0</v>
      </c>
      <c r="T9" s="17" t="str">
        <f t="shared" si="0"/>
        <v>-</v>
      </c>
    </row>
    <row r="10" spans="1:20" x14ac:dyDescent="0.25">
      <c r="A10" s="29">
        <f>Текущий!A9</f>
        <v>1</v>
      </c>
      <c r="B10" s="29">
        <f>Текущий!B9</f>
        <v>13808</v>
      </c>
      <c r="C10" s="29">
        <f>Текущий!C9</f>
        <v>1</v>
      </c>
      <c r="D10" s="29" t="str">
        <f>Текущий!D9</f>
        <v>Тарманчукан - Тоннельный</v>
      </c>
      <c r="E10" s="29">
        <f>ROUND(Текущий!J9,0)</f>
        <v>0</v>
      </c>
      <c r="F10" s="29">
        <f>Текущий!E9</f>
        <v>0</v>
      </c>
      <c r="G10" s="16" t="str">
        <f>IF(Текущий!K9="-",Текущий!K9,ROUND(Текущий!K9,0))</f>
        <v>-</v>
      </c>
      <c r="H10" s="29" t="str">
        <f>IF(ROUND(Текущий!I9,0)=0,"-",ROUND(Текущий!I9,0))</f>
        <v>-</v>
      </c>
      <c r="I10" s="16" t="str">
        <f>IF(Предыд!K9="-",Предыд!K9,ROUND(Предыд!K9,0))</f>
        <v>-</v>
      </c>
      <c r="J10" s="29" t="str">
        <f>IF(ROUND(Предыд!I9,0)=0,"-",ROUND(Предыд!I9,0))</f>
        <v>-</v>
      </c>
      <c r="K10" s="30" t="str">
        <f>Текущий!L9</f>
        <v>Рихтовка</v>
      </c>
      <c r="L10" s="29">
        <f>Текущий!AL9</f>
        <v>0</v>
      </c>
      <c r="M10" s="29">
        <f>Текущий!AM9</f>
        <v>0</v>
      </c>
      <c r="N10" s="29">
        <f>Текущий!AN9</f>
        <v>0</v>
      </c>
      <c r="O10" s="29">
        <f>Текущий!AP9</f>
        <v>0</v>
      </c>
      <c r="P10" s="29">
        <f>Предыд!AL9</f>
        <v>0</v>
      </c>
      <c r="Q10" s="29">
        <f>Предыд!AM9</f>
        <v>0</v>
      </c>
      <c r="R10" s="29">
        <f>Предыд!AN9</f>
        <v>0</v>
      </c>
      <c r="S10" s="29">
        <f>Предыд!AO9</f>
        <v>0</v>
      </c>
      <c r="T10" s="17" t="str">
        <f t="shared" si="0"/>
        <v>-</v>
      </c>
    </row>
    <row r="11" spans="1:20" x14ac:dyDescent="0.25">
      <c r="A11" s="29">
        <f>Текущий!A10</f>
        <v>1</v>
      </c>
      <c r="B11" s="29">
        <f>Текущий!B10</f>
        <v>13808</v>
      </c>
      <c r="C11" s="29">
        <f>Текущий!C10</f>
        <v>1</v>
      </c>
      <c r="D11" s="29" t="str">
        <f>Текущий!D10</f>
        <v>Тоннельный - Кундур-Хабаровский</v>
      </c>
      <c r="E11" s="29">
        <f>ROUND(Текущий!J10,0)</f>
        <v>0</v>
      </c>
      <c r="F11" s="29">
        <f>Текущий!E10</f>
        <v>0</v>
      </c>
      <c r="G11" s="16" t="str">
        <f>IF(Текущий!K10="-",Текущий!K10,ROUND(Текущий!K10,0))</f>
        <v>-</v>
      </c>
      <c r="H11" s="29" t="str">
        <f>IF(ROUND(Текущий!I10,0)=0,"-",ROUND(Текущий!I10,0))</f>
        <v>-</v>
      </c>
      <c r="I11" s="16" t="str">
        <f>IF(Предыд!K10="-",Предыд!K10,ROUND(Предыд!K10,0))</f>
        <v>-</v>
      </c>
      <c r="J11" s="29" t="str">
        <f>IF(ROUND(Предыд!I10,0)=0,"-",ROUND(Предыд!I10,0))</f>
        <v>-</v>
      </c>
      <c r="K11" s="30" t="str">
        <f>Текущий!L10</f>
        <v>Рихтовка</v>
      </c>
      <c r="L11" s="29">
        <f>Текущий!AL10</f>
        <v>0</v>
      </c>
      <c r="M11" s="29">
        <f>Текущий!AM10</f>
        <v>0</v>
      </c>
      <c r="N11" s="29">
        <f>Текущий!AN10</f>
        <v>0</v>
      </c>
      <c r="O11" s="29">
        <f>Текущий!AP10</f>
        <v>0</v>
      </c>
      <c r="P11" s="29">
        <f>Предыд!AL10</f>
        <v>0</v>
      </c>
      <c r="Q11" s="29">
        <f>Предыд!AM10</f>
        <v>0</v>
      </c>
      <c r="R11" s="29">
        <f>Предыд!AN10</f>
        <v>0</v>
      </c>
      <c r="S11" s="29">
        <f>Предыд!AO10</f>
        <v>0</v>
      </c>
      <c r="T11" s="17" t="str">
        <f t="shared" si="0"/>
        <v>-</v>
      </c>
    </row>
    <row r="12" spans="1:20" x14ac:dyDescent="0.25">
      <c r="A12" s="29">
        <f>Текущий!A11</f>
        <v>1</v>
      </c>
      <c r="B12" s="29">
        <f>Текущий!B11</f>
        <v>13808</v>
      </c>
      <c r="C12" s="29">
        <f>Текущий!C11</f>
        <v>1</v>
      </c>
      <c r="D12" s="29" t="str">
        <f>Текущий!D11</f>
        <v>Кундур-Хабаровский - Казачий</v>
      </c>
      <c r="E12" s="29">
        <f>ROUND(Текущий!J11,0)</f>
        <v>0</v>
      </c>
      <c r="F12" s="29">
        <f>Текущий!E11</f>
        <v>0</v>
      </c>
      <c r="G12" s="16" t="str">
        <f>IF(Текущий!K11="-",Текущий!K11,ROUND(Текущий!K11,0))</f>
        <v>-</v>
      </c>
      <c r="H12" s="29" t="str">
        <f>IF(ROUND(Текущий!I11,0)=0,"-",ROUND(Текущий!I11,0))</f>
        <v>-</v>
      </c>
      <c r="I12" s="16" t="str">
        <f>IF(Предыд!K11="-",Предыд!K11,ROUND(Предыд!K11,0))</f>
        <v>-</v>
      </c>
      <c r="J12" s="29" t="str">
        <f>IF(ROUND(Предыд!I11,0)=0,"-",ROUND(Предыд!I11,0))</f>
        <v>-</v>
      </c>
      <c r="K12" s="30" t="str">
        <f>Текущий!L11</f>
        <v>Рихтовка</v>
      </c>
      <c r="L12" s="29">
        <f>Текущий!AL11</f>
        <v>0</v>
      </c>
      <c r="M12" s="29">
        <f>Текущий!AM11</f>
        <v>0</v>
      </c>
      <c r="N12" s="29">
        <f>Текущий!AN11</f>
        <v>0</v>
      </c>
      <c r="O12" s="29">
        <f>Текущий!AP11</f>
        <v>0</v>
      </c>
      <c r="P12" s="29">
        <f>Предыд!AL11</f>
        <v>0</v>
      </c>
      <c r="Q12" s="29">
        <f>Предыд!AM11</f>
        <v>0</v>
      </c>
      <c r="R12" s="29">
        <f>Предыд!AN11</f>
        <v>0</v>
      </c>
      <c r="S12" s="29">
        <f>Предыд!AO11</f>
        <v>0</v>
      </c>
      <c r="T12" s="17" t="str">
        <f t="shared" si="0"/>
        <v>-</v>
      </c>
    </row>
    <row r="13" spans="1:20" x14ac:dyDescent="0.25">
      <c r="A13" s="29">
        <f>Текущий!A12</f>
        <v>1</v>
      </c>
      <c r="B13" s="29">
        <f>Текущий!B12</f>
        <v>13808</v>
      </c>
      <c r="C13" s="29">
        <f>Текущий!C12</f>
        <v>1</v>
      </c>
      <c r="D13" s="29" t="str">
        <f>Текущий!D12</f>
        <v>Казачий - Ядрин</v>
      </c>
      <c r="E13" s="29">
        <f>ROUND(Текущий!J12,0)</f>
        <v>0</v>
      </c>
      <c r="F13" s="29">
        <f>Текущий!E12</f>
        <v>0</v>
      </c>
      <c r="G13" s="16" t="str">
        <f>IF(Текущий!K12="-",Текущий!K12,ROUND(Текущий!K12,0))</f>
        <v>-</v>
      </c>
      <c r="H13" s="29" t="str">
        <f>IF(ROUND(Текущий!I12,0)=0,"-",ROUND(Текущий!I12,0))</f>
        <v>-</v>
      </c>
      <c r="I13" s="16" t="str">
        <f>IF(Предыд!K12="-",Предыд!K12,ROUND(Предыд!K12,0))</f>
        <v>-</v>
      </c>
      <c r="J13" s="29" t="str">
        <f>IF(ROUND(Предыд!I12,0)=0,"-",ROUND(Предыд!I12,0))</f>
        <v>-</v>
      </c>
      <c r="K13" s="30" t="str">
        <f>Текущий!L12</f>
        <v>Рихтовка</v>
      </c>
      <c r="L13" s="29">
        <f>Текущий!AL12</f>
        <v>0</v>
      </c>
      <c r="M13" s="29">
        <f>Текущий!AM12</f>
        <v>0</v>
      </c>
      <c r="N13" s="29">
        <f>Текущий!AN12</f>
        <v>0</v>
      </c>
      <c r="O13" s="29">
        <f>Текущий!AP12</f>
        <v>0</v>
      </c>
      <c r="P13" s="29">
        <f>Предыд!AL12</f>
        <v>0</v>
      </c>
      <c r="Q13" s="29">
        <f>Предыд!AM12</f>
        <v>0</v>
      </c>
      <c r="R13" s="29">
        <f>Предыд!AN12</f>
        <v>0</v>
      </c>
      <c r="S13" s="29">
        <f>Предыд!AO12</f>
        <v>0</v>
      </c>
      <c r="T13" s="17" t="str">
        <f t="shared" si="0"/>
        <v>-</v>
      </c>
    </row>
    <row r="14" spans="1:20" x14ac:dyDescent="0.25">
      <c r="A14" s="29">
        <f>Текущий!A13</f>
        <v>1</v>
      </c>
      <c r="B14" s="29">
        <f>Текущий!B13</f>
        <v>13808</v>
      </c>
      <c r="C14" s="29">
        <f>Текущий!C13</f>
        <v>1</v>
      </c>
      <c r="D14" s="29" t="str">
        <f>Текущий!D13</f>
        <v>Ядрин - Облучье</v>
      </c>
      <c r="E14" s="29">
        <f>ROUND(Текущий!J13,0)</f>
        <v>0</v>
      </c>
      <c r="F14" s="29">
        <f>Текущий!E13</f>
        <v>0</v>
      </c>
      <c r="G14" s="16" t="str">
        <f>IF(Текущий!K13="-",Текущий!K13,ROUND(Текущий!K13,0))</f>
        <v>-</v>
      </c>
      <c r="H14" s="29" t="str">
        <f>IF(ROUND(Текущий!I13,0)=0,"-",ROUND(Текущий!I13,0))</f>
        <v>-</v>
      </c>
      <c r="I14" s="16" t="str">
        <f>IF(Предыд!K13="-",Предыд!K13,ROUND(Предыд!K13,0))</f>
        <v>-</v>
      </c>
      <c r="J14" s="29" t="str">
        <f>IF(ROUND(Предыд!I13,0)=0,"-",ROUND(Предыд!I13,0))</f>
        <v>-</v>
      </c>
      <c r="K14" s="30" t="str">
        <f>Текущий!L13</f>
        <v>Рихтовка</v>
      </c>
      <c r="L14" s="29">
        <f>Текущий!AL13</f>
        <v>0</v>
      </c>
      <c r="M14" s="29">
        <f>Текущий!AM13</f>
        <v>0</v>
      </c>
      <c r="N14" s="29">
        <f>Текущий!AN13</f>
        <v>0</v>
      </c>
      <c r="O14" s="29">
        <f>Текущий!AP13</f>
        <v>0</v>
      </c>
      <c r="P14" s="29">
        <f>Предыд!AL13</f>
        <v>0</v>
      </c>
      <c r="Q14" s="29">
        <f>Предыд!AM13</f>
        <v>0</v>
      </c>
      <c r="R14" s="29">
        <f>Предыд!AN13</f>
        <v>0</v>
      </c>
      <c r="S14" s="29">
        <f>Предыд!AO13</f>
        <v>0</v>
      </c>
      <c r="T14" s="17" t="str">
        <f t="shared" si="0"/>
        <v>-</v>
      </c>
    </row>
    <row r="15" spans="1:20" x14ac:dyDescent="0.25">
      <c r="A15" s="29">
        <f>Текущий!A14</f>
        <v>1</v>
      </c>
      <c r="B15" s="29">
        <f>Текущий!B14</f>
        <v>13810</v>
      </c>
      <c r="C15" s="29">
        <f>Текущий!C14</f>
        <v>1</v>
      </c>
      <c r="D15" s="29" t="str">
        <f>Текущий!D14</f>
        <v>ст. Облучье</v>
      </c>
      <c r="E15" s="29">
        <f>ROUND(Текущий!J14,0)</f>
        <v>0</v>
      </c>
      <c r="F15" s="29">
        <f>Текущий!E14</f>
        <v>0</v>
      </c>
      <c r="G15" s="16" t="str">
        <f>IF(Текущий!K14="-",Текущий!K14,ROUND(Текущий!K14,0))</f>
        <v>-</v>
      </c>
      <c r="H15" s="29" t="str">
        <f>IF(ROUND(Текущий!I14,0)=0,"-",ROUND(Текущий!I14,0))</f>
        <v>-</v>
      </c>
      <c r="I15" s="16" t="str">
        <f>IF(Предыд!K14="-",Предыд!K14,ROUND(Предыд!K14,0))</f>
        <v>-</v>
      </c>
      <c r="J15" s="29" t="str">
        <f>IF(ROUND(Предыд!I14,0)=0,"-",ROUND(Предыд!I14,0))</f>
        <v>-</v>
      </c>
      <c r="K15" s="30" t="str">
        <f>Текущий!L14</f>
        <v>Рихтовка</v>
      </c>
      <c r="L15" s="29">
        <f>Текущий!AL14</f>
        <v>0</v>
      </c>
      <c r="M15" s="29">
        <f>Текущий!AM14</f>
        <v>0</v>
      </c>
      <c r="N15" s="29">
        <f>Текущий!AN14</f>
        <v>0</v>
      </c>
      <c r="O15" s="29">
        <f>Текущий!AP14</f>
        <v>0</v>
      </c>
      <c r="P15" s="29">
        <f>Предыд!AL14</f>
        <v>0</v>
      </c>
      <c r="Q15" s="29">
        <f>Предыд!AM14</f>
        <v>0</v>
      </c>
      <c r="R15" s="29">
        <f>Предыд!AN14</f>
        <v>0</v>
      </c>
      <c r="S15" s="29">
        <f>Предыд!AO14</f>
        <v>0</v>
      </c>
      <c r="T15" s="17" t="str">
        <f t="shared" si="0"/>
        <v>-</v>
      </c>
    </row>
    <row r="16" spans="1:20" x14ac:dyDescent="0.25">
      <c r="A16" s="29">
        <f>Текущий!A15</f>
        <v>1</v>
      </c>
      <c r="B16" s="29">
        <f>Текущий!B15</f>
        <v>13808</v>
      </c>
      <c r="C16" s="29">
        <f>Текущий!C15</f>
        <v>1</v>
      </c>
      <c r="D16" s="29" t="str">
        <f>Текущий!D15</f>
        <v>Облучье - Ударный</v>
      </c>
      <c r="E16" s="29">
        <f>ROUND(Текущий!J15,0)</f>
        <v>0</v>
      </c>
      <c r="F16" s="29">
        <f>Текущий!E15</f>
        <v>0</v>
      </c>
      <c r="G16" s="16" t="str">
        <f>IF(Текущий!K15="-",Текущий!K15,ROUND(Текущий!K15,0))</f>
        <v>-</v>
      </c>
      <c r="H16" s="29" t="str">
        <f>IF(ROUND(Текущий!I15,0)=0,"-",ROUND(Текущий!I15,0))</f>
        <v>-</v>
      </c>
      <c r="I16" s="16" t="str">
        <f>IF(Предыд!K15="-",Предыд!K15,ROUND(Предыд!K15,0))</f>
        <v>-</v>
      </c>
      <c r="J16" s="29" t="str">
        <f>IF(ROUND(Предыд!I15,0)=0,"-",ROUND(Предыд!I15,0))</f>
        <v>-</v>
      </c>
      <c r="K16" s="30" t="str">
        <f>Текущий!L15</f>
        <v>Рихтовка</v>
      </c>
      <c r="L16" s="29">
        <f>Текущий!AL15</f>
        <v>0</v>
      </c>
      <c r="M16" s="29">
        <f>Текущий!AM15</f>
        <v>0</v>
      </c>
      <c r="N16" s="29">
        <f>Текущий!AN15</f>
        <v>0</v>
      </c>
      <c r="O16" s="29">
        <f>Текущий!AP15</f>
        <v>0</v>
      </c>
      <c r="P16" s="29">
        <f>Предыд!AL15</f>
        <v>0</v>
      </c>
      <c r="Q16" s="29">
        <f>Предыд!AM15</f>
        <v>0</v>
      </c>
      <c r="R16" s="29">
        <f>Предыд!AN15</f>
        <v>0</v>
      </c>
      <c r="S16" s="29">
        <f>Предыд!AO15</f>
        <v>0</v>
      </c>
      <c r="T16" s="17" t="str">
        <f t="shared" si="0"/>
        <v>-</v>
      </c>
    </row>
    <row r="17" spans="1:20" x14ac:dyDescent="0.25">
      <c r="A17" s="29">
        <f>Текущий!A16</f>
        <v>1</v>
      </c>
      <c r="B17" s="29">
        <f>Текущий!B16</f>
        <v>13808</v>
      </c>
      <c r="C17" s="29">
        <f>Текущий!C16</f>
        <v>1</v>
      </c>
      <c r="D17" s="29" t="str">
        <f>Текущий!D16</f>
        <v>Ударный - Лагар-Аул</v>
      </c>
      <c r="E17" s="29">
        <f>ROUND(Текущий!J16,0)</f>
        <v>0</v>
      </c>
      <c r="F17" s="29">
        <f>Текущий!E16</f>
        <v>0</v>
      </c>
      <c r="G17" s="16" t="str">
        <f>IF(Текущий!K16="-",Текущий!K16,ROUND(Текущий!K16,0))</f>
        <v>-</v>
      </c>
      <c r="H17" s="29" t="str">
        <f>IF(ROUND(Текущий!I16,0)=0,"-",ROUND(Текущий!I16,0))</f>
        <v>-</v>
      </c>
      <c r="I17" s="16" t="str">
        <f>IF(Предыд!K16="-",Предыд!K16,ROUND(Предыд!K16,0))</f>
        <v>-</v>
      </c>
      <c r="J17" s="29" t="str">
        <f>IF(ROUND(Предыд!I16,0)=0,"-",ROUND(Предыд!I16,0))</f>
        <v>-</v>
      </c>
      <c r="K17" s="30" t="str">
        <f>Текущий!L16</f>
        <v>Рихтовка</v>
      </c>
      <c r="L17" s="29">
        <f>Текущий!AL16</f>
        <v>0</v>
      </c>
      <c r="M17" s="29">
        <f>Текущий!AM16</f>
        <v>0</v>
      </c>
      <c r="N17" s="29">
        <f>Текущий!AN16</f>
        <v>0</v>
      </c>
      <c r="O17" s="29">
        <f>Текущий!AP16</f>
        <v>0</v>
      </c>
      <c r="P17" s="29">
        <f>Предыд!AL16</f>
        <v>0</v>
      </c>
      <c r="Q17" s="29">
        <f>Предыд!AM16</f>
        <v>0</v>
      </c>
      <c r="R17" s="29">
        <f>Предыд!AN16</f>
        <v>0</v>
      </c>
      <c r="S17" s="29">
        <f>Предыд!AO16</f>
        <v>0</v>
      </c>
      <c r="T17" s="17" t="str">
        <f t="shared" si="0"/>
        <v>-</v>
      </c>
    </row>
    <row r="18" spans="1:20" x14ac:dyDescent="0.25">
      <c r="A18" s="29">
        <f>Текущий!A17</f>
        <v>1</v>
      </c>
      <c r="B18" s="29">
        <f>Текущий!B17</f>
        <v>13808</v>
      </c>
      <c r="C18" s="29">
        <f>Текущий!C17</f>
        <v>1</v>
      </c>
      <c r="D18" s="29" t="str">
        <f>Текущий!D17</f>
        <v>Лагар-Аул - Кимкан</v>
      </c>
      <c r="E18" s="29">
        <f>ROUND(Текущий!J17,0)</f>
        <v>0</v>
      </c>
      <c r="F18" s="29">
        <f>Текущий!E17</f>
        <v>0</v>
      </c>
      <c r="G18" s="16" t="str">
        <f>IF(Текущий!K17="-",Текущий!K17,ROUND(Текущий!K17,0))</f>
        <v>-</v>
      </c>
      <c r="H18" s="29" t="str">
        <f>IF(ROUND(Текущий!I17,0)=0,"-",ROUND(Текущий!I17,0))</f>
        <v>-</v>
      </c>
      <c r="I18" s="16" t="str">
        <f>IF(Предыд!K17="-",Предыд!K17,ROUND(Предыд!K17,0))</f>
        <v>-</v>
      </c>
      <c r="J18" s="29" t="str">
        <f>IF(ROUND(Предыд!I17,0)=0,"-",ROUND(Предыд!I17,0))</f>
        <v>-</v>
      </c>
      <c r="K18" s="30" t="str">
        <f>Текущий!L17</f>
        <v>Рихтовка</v>
      </c>
      <c r="L18" s="29">
        <f>Текущий!AL17</f>
        <v>0</v>
      </c>
      <c r="M18" s="29">
        <f>Текущий!AM17</f>
        <v>0</v>
      </c>
      <c r="N18" s="29">
        <f>Текущий!AN17</f>
        <v>0</v>
      </c>
      <c r="O18" s="29">
        <f>Текущий!AP17</f>
        <v>0</v>
      </c>
      <c r="P18" s="29">
        <f>Предыд!AL17</f>
        <v>0</v>
      </c>
      <c r="Q18" s="29">
        <f>Предыд!AM17</f>
        <v>0</v>
      </c>
      <c r="R18" s="29">
        <f>Предыд!AN17</f>
        <v>0</v>
      </c>
      <c r="S18" s="29">
        <f>Предыд!AO17</f>
        <v>0</v>
      </c>
      <c r="T18" s="17" t="str">
        <f t="shared" si="0"/>
        <v>-</v>
      </c>
    </row>
    <row r="19" spans="1:20" x14ac:dyDescent="0.25">
      <c r="A19" s="29">
        <f>Текущий!A18</f>
        <v>1</v>
      </c>
      <c r="B19" s="29">
        <f>Текущий!B18</f>
        <v>13808</v>
      </c>
      <c r="C19" s="29">
        <f>Текущий!C18</f>
        <v>1</v>
      </c>
      <c r="D19" s="29" t="str">
        <f>Текущий!D18</f>
        <v>Кимкан - Известковая</v>
      </c>
      <c r="E19" s="29">
        <f>ROUND(Текущий!J18,0)</f>
        <v>0</v>
      </c>
      <c r="F19" s="29">
        <f>Текущий!E18</f>
        <v>0</v>
      </c>
      <c r="G19" s="16" t="str">
        <f>IF(Текущий!K18="-",Текущий!K18,ROUND(Текущий!K18,0))</f>
        <v>-</v>
      </c>
      <c r="H19" s="29" t="str">
        <f>IF(ROUND(Текущий!I18,0)=0,"-",ROUND(Текущий!I18,0))</f>
        <v>-</v>
      </c>
      <c r="I19" s="16" t="str">
        <f>IF(Предыд!K18="-",Предыд!K18,ROUND(Предыд!K18,0))</f>
        <v>-</v>
      </c>
      <c r="J19" s="29" t="str">
        <f>IF(ROUND(Предыд!I18,0)=0,"-",ROUND(Предыд!I18,0))</f>
        <v>-</v>
      </c>
      <c r="K19" s="30" t="str">
        <f>Текущий!L18</f>
        <v>Рихтовка</v>
      </c>
      <c r="L19" s="29">
        <f>Текущий!AL18</f>
        <v>0</v>
      </c>
      <c r="M19" s="29">
        <f>Текущий!AM18</f>
        <v>0</v>
      </c>
      <c r="N19" s="29">
        <f>Текущий!AN18</f>
        <v>0</v>
      </c>
      <c r="O19" s="29">
        <f>Текущий!AP18</f>
        <v>0</v>
      </c>
      <c r="P19" s="29">
        <f>Предыд!AL18</f>
        <v>0</v>
      </c>
      <c r="Q19" s="29">
        <f>Предыд!AM18</f>
        <v>0</v>
      </c>
      <c r="R19" s="29">
        <f>Предыд!AN18</f>
        <v>0</v>
      </c>
      <c r="S19" s="29">
        <f>Предыд!AO18</f>
        <v>0</v>
      </c>
      <c r="T19" s="17" t="str">
        <f t="shared" si="0"/>
        <v>-</v>
      </c>
    </row>
    <row r="20" spans="1:20" x14ac:dyDescent="0.25">
      <c r="A20" s="29">
        <f>Текущий!A19</f>
        <v>1</v>
      </c>
      <c r="B20" s="29">
        <f>Текущий!B19</f>
        <v>13808</v>
      </c>
      <c r="C20" s="29">
        <f>Текущий!C19</f>
        <v>2</v>
      </c>
      <c r="D20" s="29" t="str">
        <f>Текущий!D19</f>
        <v>Архара - Татакан</v>
      </c>
      <c r="E20" s="29">
        <f>ROUND(Текущий!J19,0)</f>
        <v>0</v>
      </c>
      <c r="F20" s="29">
        <f>Текущий!E19</f>
        <v>0</v>
      </c>
      <c r="G20" s="16" t="str">
        <f>IF(Текущий!K19="-",Текущий!K19,ROUND(Текущий!K19,0))</f>
        <v>-</v>
      </c>
      <c r="H20" s="29" t="str">
        <f>IF(ROUND(Текущий!I19,0)=0,"-",ROUND(Текущий!I19,0))</f>
        <v>-</v>
      </c>
      <c r="I20" s="16" t="str">
        <f>IF(Предыд!K19="-",Предыд!K19,ROUND(Предыд!K19,0))</f>
        <v>-</v>
      </c>
      <c r="J20" s="29" t="str">
        <f>IF(ROUND(Предыд!I19,0)=0,"-",ROUND(Предыд!I19,0))</f>
        <v>-</v>
      </c>
      <c r="K20" s="30" t="str">
        <f>Текущий!L19</f>
        <v>Рихтовка</v>
      </c>
      <c r="L20" s="29">
        <f>Текущий!AL19</f>
        <v>0</v>
      </c>
      <c r="M20" s="29">
        <f>Текущий!AM19</f>
        <v>0</v>
      </c>
      <c r="N20" s="29">
        <f>Текущий!AN19</f>
        <v>0</v>
      </c>
      <c r="O20" s="29">
        <f>Текущий!AP19</f>
        <v>0</v>
      </c>
      <c r="P20" s="29">
        <f>Предыд!AL19</f>
        <v>0</v>
      </c>
      <c r="Q20" s="29">
        <f>Предыд!AM19</f>
        <v>0</v>
      </c>
      <c r="R20" s="29">
        <f>Предыд!AN19</f>
        <v>0</v>
      </c>
      <c r="S20" s="29">
        <f>Предыд!AO19</f>
        <v>0</v>
      </c>
      <c r="T20" s="17" t="str">
        <f t="shared" si="0"/>
        <v>-</v>
      </c>
    </row>
    <row r="21" spans="1:20" x14ac:dyDescent="0.25">
      <c r="A21" s="29">
        <f>Текущий!A20</f>
        <v>1</v>
      </c>
      <c r="B21" s="29">
        <f>Текущий!B20</f>
        <v>13808</v>
      </c>
      <c r="C21" s="29">
        <f>Текущий!C20</f>
        <v>2</v>
      </c>
      <c r="D21" s="29" t="str">
        <f>Текущий!D20</f>
        <v>Татакан - Богучан</v>
      </c>
      <c r="E21" s="29">
        <f>ROUND(Текущий!J20,0)</f>
        <v>0</v>
      </c>
      <c r="F21" s="29">
        <f>Текущий!E20</f>
        <v>0</v>
      </c>
      <c r="G21" s="16" t="str">
        <f>IF(Текущий!K20="-",Текущий!K20,ROUND(Текущий!K20,0))</f>
        <v>-</v>
      </c>
      <c r="H21" s="29" t="str">
        <f>IF(ROUND(Текущий!I20,0)=0,"-",ROUND(Текущий!I20,0))</f>
        <v>-</v>
      </c>
      <c r="I21" s="16" t="str">
        <f>IF(Предыд!K20="-",Предыд!K20,ROUND(Предыд!K20,0))</f>
        <v>-</v>
      </c>
      <c r="J21" s="29" t="str">
        <f>IF(ROUND(Предыд!I20,0)=0,"-",ROUND(Предыд!I20,0))</f>
        <v>-</v>
      </c>
      <c r="K21" s="30" t="str">
        <f>Текущий!L20</f>
        <v>Рихтовка</v>
      </c>
      <c r="L21" s="29">
        <f>Текущий!AL20</f>
        <v>0</v>
      </c>
      <c r="M21" s="29">
        <f>Текущий!AM20</f>
        <v>0</v>
      </c>
      <c r="N21" s="29">
        <f>Текущий!AN20</f>
        <v>0</v>
      </c>
      <c r="O21" s="29">
        <f>Текущий!AP20</f>
        <v>0</v>
      </c>
      <c r="P21" s="29">
        <f>Предыд!AL20</f>
        <v>0</v>
      </c>
      <c r="Q21" s="29">
        <f>Предыд!AM20</f>
        <v>0</v>
      </c>
      <c r="R21" s="29">
        <f>Предыд!AN20</f>
        <v>0</v>
      </c>
      <c r="S21" s="29">
        <f>Предыд!AO20</f>
        <v>0</v>
      </c>
      <c r="T21" s="17" t="str">
        <f t="shared" si="0"/>
        <v>-</v>
      </c>
    </row>
    <row r="22" spans="1:20" x14ac:dyDescent="0.25">
      <c r="A22" s="29">
        <f>Текущий!A21</f>
        <v>1</v>
      </c>
      <c r="B22" s="29">
        <f>Текущий!B21</f>
        <v>13808</v>
      </c>
      <c r="C22" s="29">
        <f>Текущий!C21</f>
        <v>2</v>
      </c>
      <c r="D22" s="29" t="str">
        <f>Текущий!D21</f>
        <v>Богучан - Рачи</v>
      </c>
      <c r="E22" s="29">
        <f>ROUND(Текущий!J21,0)</f>
        <v>0</v>
      </c>
      <c r="F22" s="29">
        <f>Текущий!E21</f>
        <v>0</v>
      </c>
      <c r="G22" s="16" t="str">
        <f>IF(Текущий!K21="-",Текущий!K21,ROUND(Текущий!K21,0))</f>
        <v>-</v>
      </c>
      <c r="H22" s="29" t="str">
        <f>IF(ROUND(Текущий!I21,0)=0,"-",ROUND(Текущий!I21,0))</f>
        <v>-</v>
      </c>
      <c r="I22" s="16" t="str">
        <f>IF(Предыд!K21="-",Предыд!K21,ROUND(Предыд!K21,0))</f>
        <v>-</v>
      </c>
      <c r="J22" s="29" t="str">
        <f>IF(ROUND(Предыд!I21,0)=0,"-",ROUND(Предыд!I21,0))</f>
        <v>-</v>
      </c>
      <c r="K22" s="30" t="str">
        <f>Текущий!L21</f>
        <v>Рихтовка</v>
      </c>
      <c r="L22" s="29">
        <f>Текущий!AL21</f>
        <v>0</v>
      </c>
      <c r="M22" s="29">
        <f>Текущий!AM21</f>
        <v>0</v>
      </c>
      <c r="N22" s="29">
        <f>Текущий!AN21</f>
        <v>0</v>
      </c>
      <c r="O22" s="29">
        <f>Текущий!AP21</f>
        <v>0</v>
      </c>
      <c r="P22" s="29">
        <f>Предыд!AL21</f>
        <v>0</v>
      </c>
      <c r="Q22" s="29">
        <f>Предыд!AM21</f>
        <v>0</v>
      </c>
      <c r="R22" s="29">
        <f>Предыд!AN21</f>
        <v>0</v>
      </c>
      <c r="S22" s="29">
        <f>Предыд!AO21</f>
        <v>0</v>
      </c>
      <c r="T22" s="17" t="str">
        <f t="shared" si="0"/>
        <v>-</v>
      </c>
    </row>
    <row r="23" spans="1:20" x14ac:dyDescent="0.25">
      <c r="A23" s="29">
        <f>Текущий!A22</f>
        <v>1</v>
      </c>
      <c r="B23" s="29">
        <f>Текущий!B22</f>
        <v>13808</v>
      </c>
      <c r="C23" s="29">
        <f>Текущий!C22</f>
        <v>2</v>
      </c>
      <c r="D23" s="29" t="str">
        <f>Текущий!D22</f>
        <v>Рачи - Урил</v>
      </c>
      <c r="E23" s="29">
        <f>ROUND(Текущий!J22,0)</f>
        <v>0</v>
      </c>
      <c r="F23" s="29">
        <f>Текущий!E22</f>
        <v>0</v>
      </c>
      <c r="G23" s="16" t="str">
        <f>IF(Текущий!K22="-",Текущий!K22,ROUND(Текущий!K22,0))</f>
        <v>-</v>
      </c>
      <c r="H23" s="29" t="str">
        <f>IF(ROUND(Текущий!I22,0)=0,"-",ROUND(Текущий!I22,0))</f>
        <v>-</v>
      </c>
      <c r="I23" s="16" t="str">
        <f>IF(Предыд!K22="-",Предыд!K22,ROUND(Предыд!K22,0))</f>
        <v>-</v>
      </c>
      <c r="J23" s="29" t="str">
        <f>IF(ROUND(Предыд!I22,0)=0,"-",ROUND(Предыд!I22,0))</f>
        <v>-</v>
      </c>
      <c r="K23" s="30" t="str">
        <f>Текущий!L22</f>
        <v>Рихтовка</v>
      </c>
      <c r="L23" s="29">
        <f>Текущий!AL22</f>
        <v>0</v>
      </c>
      <c r="M23" s="29">
        <f>Текущий!AM22</f>
        <v>0</v>
      </c>
      <c r="N23" s="29">
        <f>Текущий!AN22</f>
        <v>0</v>
      </c>
      <c r="O23" s="29">
        <f>Текущий!AP22</f>
        <v>0</v>
      </c>
      <c r="P23" s="29">
        <f>Предыд!AL22</f>
        <v>0</v>
      </c>
      <c r="Q23" s="29">
        <f>Предыд!AM22</f>
        <v>0</v>
      </c>
      <c r="R23" s="29">
        <f>Предыд!AN22</f>
        <v>0</v>
      </c>
      <c r="S23" s="29">
        <f>Предыд!AO22</f>
        <v>0</v>
      </c>
      <c r="T23" s="17" t="str">
        <f t="shared" si="0"/>
        <v>-</v>
      </c>
    </row>
    <row r="24" spans="1:20" x14ac:dyDescent="0.25">
      <c r="A24" s="29">
        <f>Текущий!A23</f>
        <v>1</v>
      </c>
      <c r="B24" s="29">
        <f>Текущий!B23</f>
        <v>13808</v>
      </c>
      <c r="C24" s="29">
        <f>Текущий!C23</f>
        <v>2</v>
      </c>
      <c r="D24" s="29" t="str">
        <f>Текущий!D23</f>
        <v>Урил - Тарманчукан</v>
      </c>
      <c r="E24" s="29">
        <f>ROUND(Текущий!J23,0)</f>
        <v>0</v>
      </c>
      <c r="F24" s="29">
        <f>Текущий!E23</f>
        <v>0</v>
      </c>
      <c r="G24" s="16" t="str">
        <f>IF(Текущий!K23="-",Текущий!K23,ROUND(Текущий!K23,0))</f>
        <v>-</v>
      </c>
      <c r="H24" s="29" t="str">
        <f>IF(ROUND(Текущий!I23,0)=0,"-",ROUND(Текущий!I23,0))</f>
        <v>-</v>
      </c>
      <c r="I24" s="16" t="str">
        <f>IF(Предыд!K23="-",Предыд!K23,ROUND(Предыд!K23,0))</f>
        <v>-</v>
      </c>
      <c r="J24" s="29" t="str">
        <f>IF(ROUND(Предыд!I23,0)=0,"-",ROUND(Предыд!I23,0))</f>
        <v>-</v>
      </c>
      <c r="K24" s="30" t="str">
        <f>Текущий!L23</f>
        <v>Рихтовка</v>
      </c>
      <c r="L24" s="29">
        <f>Текущий!AL23</f>
        <v>0</v>
      </c>
      <c r="M24" s="29">
        <f>Текущий!AM23</f>
        <v>0</v>
      </c>
      <c r="N24" s="29">
        <f>Текущий!AN23</f>
        <v>0</v>
      </c>
      <c r="O24" s="29">
        <f>Текущий!AP23</f>
        <v>0</v>
      </c>
      <c r="P24" s="29">
        <f>Предыд!AL23</f>
        <v>0</v>
      </c>
      <c r="Q24" s="29">
        <f>Предыд!AM23</f>
        <v>0</v>
      </c>
      <c r="R24" s="29">
        <f>Предыд!AN23</f>
        <v>0</v>
      </c>
      <c r="S24" s="29">
        <f>Предыд!AO23</f>
        <v>0</v>
      </c>
      <c r="T24" s="17" t="str">
        <f t="shared" si="0"/>
        <v>-</v>
      </c>
    </row>
    <row r="25" spans="1:20" x14ac:dyDescent="0.25">
      <c r="A25" s="29">
        <f>Текущий!A24</f>
        <v>1</v>
      </c>
      <c r="B25" s="29">
        <f>Текущий!B24</f>
        <v>13808</v>
      </c>
      <c r="C25" s="29">
        <f>Текущий!C24</f>
        <v>2</v>
      </c>
      <c r="D25" s="29" t="str">
        <f>Текущий!D24</f>
        <v>Тарманчукан - Тоннельный</v>
      </c>
      <c r="E25" s="29">
        <f>ROUND(Текущий!J24,0)</f>
        <v>0</v>
      </c>
      <c r="F25" s="29">
        <f>Текущий!E24</f>
        <v>0</v>
      </c>
      <c r="G25" s="16" t="str">
        <f>IF(Текущий!K24="-",Текущий!K24,ROUND(Текущий!K24,0))</f>
        <v>-</v>
      </c>
      <c r="H25" s="29" t="str">
        <f>IF(ROUND(Текущий!I24,0)=0,"-",ROUND(Текущий!I24,0))</f>
        <v>-</v>
      </c>
      <c r="I25" s="16" t="str">
        <f>IF(Предыд!K24="-",Предыд!K24,ROUND(Предыд!K24,0))</f>
        <v>-</v>
      </c>
      <c r="J25" s="29" t="str">
        <f>IF(ROUND(Предыд!I24,0)=0,"-",ROUND(Предыд!I24,0))</f>
        <v>-</v>
      </c>
      <c r="K25" s="30" t="str">
        <f>Текущий!L24</f>
        <v>Рихтовка</v>
      </c>
      <c r="L25" s="29">
        <f>Текущий!AL24</f>
        <v>0</v>
      </c>
      <c r="M25" s="29">
        <f>Текущий!AM24</f>
        <v>0</v>
      </c>
      <c r="N25" s="29">
        <f>Текущий!AN24</f>
        <v>0</v>
      </c>
      <c r="O25" s="29">
        <f>Текущий!AP24</f>
        <v>0</v>
      </c>
      <c r="P25" s="29">
        <f>Предыд!AL24</f>
        <v>0</v>
      </c>
      <c r="Q25" s="29">
        <f>Предыд!AM24</f>
        <v>0</v>
      </c>
      <c r="R25" s="29">
        <f>Предыд!AN24</f>
        <v>0</v>
      </c>
      <c r="S25" s="29">
        <f>Предыд!AO24</f>
        <v>0</v>
      </c>
      <c r="T25" s="17" t="str">
        <f t="shared" si="0"/>
        <v>-</v>
      </c>
    </row>
    <row r="26" spans="1:20" x14ac:dyDescent="0.25">
      <c r="A26" s="29">
        <f>Текущий!A25</f>
        <v>1</v>
      </c>
      <c r="B26" s="29">
        <f>Текущий!B25</f>
        <v>13808</v>
      </c>
      <c r="C26" s="29">
        <f>Текущий!C25</f>
        <v>2</v>
      </c>
      <c r="D26" s="29" t="str">
        <f>Текущий!D25</f>
        <v>Тоннельный - Кундур-Хабаровский</v>
      </c>
      <c r="E26" s="29">
        <f>ROUND(Текущий!J25,0)</f>
        <v>0</v>
      </c>
      <c r="F26" s="29">
        <f>Текущий!E25</f>
        <v>0</v>
      </c>
      <c r="G26" s="16" t="str">
        <f>IF(Текущий!K25="-",Текущий!K25,ROUND(Текущий!K25,0))</f>
        <v>-</v>
      </c>
      <c r="H26" s="29" t="str">
        <f>IF(ROUND(Текущий!I25,0)=0,"-",ROUND(Текущий!I25,0))</f>
        <v>-</v>
      </c>
      <c r="I26" s="16" t="str">
        <f>IF(Предыд!K25="-",Предыд!K25,ROUND(Предыд!K25,0))</f>
        <v>-</v>
      </c>
      <c r="J26" s="29" t="str">
        <f>IF(ROUND(Предыд!I25,0)=0,"-",ROUND(Предыд!I25,0))</f>
        <v>-</v>
      </c>
      <c r="K26" s="30" t="str">
        <f>Текущий!L25</f>
        <v>Рихтовка</v>
      </c>
      <c r="L26" s="29">
        <f>Текущий!AL25</f>
        <v>0</v>
      </c>
      <c r="M26" s="29">
        <f>Текущий!AM25</f>
        <v>0</v>
      </c>
      <c r="N26" s="29">
        <f>Текущий!AN25</f>
        <v>0</v>
      </c>
      <c r="O26" s="29">
        <f>Текущий!AP25</f>
        <v>0</v>
      </c>
      <c r="P26" s="29">
        <f>Предыд!AL25</f>
        <v>0</v>
      </c>
      <c r="Q26" s="29">
        <f>Предыд!AM25</f>
        <v>0</v>
      </c>
      <c r="R26" s="29">
        <f>Предыд!AN25</f>
        <v>0</v>
      </c>
      <c r="S26" s="29">
        <f>Предыд!AO25</f>
        <v>0</v>
      </c>
      <c r="T26" s="17" t="str">
        <f t="shared" si="0"/>
        <v>-</v>
      </c>
    </row>
    <row r="27" spans="1:20" x14ac:dyDescent="0.25">
      <c r="A27" s="29">
        <f>Текущий!A26</f>
        <v>1</v>
      </c>
      <c r="B27" s="29">
        <f>Текущий!B26</f>
        <v>13808</v>
      </c>
      <c r="C27" s="29">
        <f>Текущий!C26</f>
        <v>2</v>
      </c>
      <c r="D27" s="29" t="str">
        <f>Текущий!D26</f>
        <v>Кундур-Хабаровский - Казачий</v>
      </c>
      <c r="E27" s="29">
        <f>ROUND(Текущий!J26,0)</f>
        <v>0</v>
      </c>
      <c r="F27" s="29">
        <f>Текущий!E26</f>
        <v>0</v>
      </c>
      <c r="G27" s="16" t="str">
        <f>IF(Текущий!K26="-",Текущий!K26,ROUND(Текущий!K26,0))</f>
        <v>-</v>
      </c>
      <c r="H27" s="29" t="str">
        <f>IF(ROUND(Текущий!I26,0)=0,"-",ROUND(Текущий!I26,0))</f>
        <v>-</v>
      </c>
      <c r="I27" s="16" t="str">
        <f>IF(Предыд!K26="-",Предыд!K26,ROUND(Предыд!K26,0))</f>
        <v>-</v>
      </c>
      <c r="J27" s="29" t="str">
        <f>IF(ROUND(Предыд!I26,0)=0,"-",ROUND(Предыд!I26,0))</f>
        <v>-</v>
      </c>
      <c r="K27" s="30" t="str">
        <f>Текущий!L26</f>
        <v>Рихтовка</v>
      </c>
      <c r="L27" s="29">
        <f>Текущий!AL26</f>
        <v>0</v>
      </c>
      <c r="M27" s="29">
        <f>Текущий!AM26</f>
        <v>0</v>
      </c>
      <c r="N27" s="29">
        <f>Текущий!AN26</f>
        <v>0</v>
      </c>
      <c r="O27" s="29">
        <f>Текущий!AP26</f>
        <v>0</v>
      </c>
      <c r="P27" s="29">
        <f>Предыд!AL26</f>
        <v>0</v>
      </c>
      <c r="Q27" s="29">
        <f>Предыд!AM26</f>
        <v>0</v>
      </c>
      <c r="R27" s="29">
        <f>Предыд!AN26</f>
        <v>0</v>
      </c>
      <c r="S27" s="29">
        <f>Предыд!AO26</f>
        <v>0</v>
      </c>
      <c r="T27" s="17" t="str">
        <f t="shared" si="0"/>
        <v>-</v>
      </c>
    </row>
    <row r="28" spans="1:20" x14ac:dyDescent="0.25">
      <c r="A28" s="29">
        <f>Текущий!A27</f>
        <v>1</v>
      </c>
      <c r="B28" s="29">
        <f>Текущий!B27</f>
        <v>13808</v>
      </c>
      <c r="C28" s="29">
        <f>Текущий!C27</f>
        <v>2</v>
      </c>
      <c r="D28" s="29" t="str">
        <f>Текущий!D27</f>
        <v>Казачий - Ядрин</v>
      </c>
      <c r="E28" s="29">
        <f>ROUND(Текущий!J27,0)</f>
        <v>0</v>
      </c>
      <c r="F28" s="29">
        <f>Текущий!E27</f>
        <v>0</v>
      </c>
      <c r="G28" s="16" t="str">
        <f>IF(Текущий!K27="-",Текущий!K27,ROUND(Текущий!K27,0))</f>
        <v>-</v>
      </c>
      <c r="H28" s="29" t="str">
        <f>IF(ROUND(Текущий!I27,0)=0,"-",ROUND(Текущий!I27,0))</f>
        <v>-</v>
      </c>
      <c r="I28" s="16" t="str">
        <f>IF(Предыд!K27="-",Предыд!K27,ROUND(Предыд!K27,0))</f>
        <v>-</v>
      </c>
      <c r="J28" s="29" t="str">
        <f>IF(ROUND(Предыд!I27,0)=0,"-",ROUND(Предыд!I27,0))</f>
        <v>-</v>
      </c>
      <c r="K28" s="30" t="str">
        <f>Текущий!L27</f>
        <v>Рихтовка</v>
      </c>
      <c r="L28" s="29">
        <f>Текущий!AL27</f>
        <v>0</v>
      </c>
      <c r="M28" s="29">
        <f>Текущий!AM27</f>
        <v>0</v>
      </c>
      <c r="N28" s="29">
        <f>Текущий!AN27</f>
        <v>0</v>
      </c>
      <c r="O28" s="29">
        <f>Текущий!AP27</f>
        <v>0</v>
      </c>
      <c r="P28" s="29">
        <f>Предыд!AL27</f>
        <v>0</v>
      </c>
      <c r="Q28" s="29">
        <f>Предыд!AM27</f>
        <v>0</v>
      </c>
      <c r="R28" s="29">
        <f>Предыд!AN27</f>
        <v>0</v>
      </c>
      <c r="S28" s="29">
        <f>Предыд!AO27</f>
        <v>0</v>
      </c>
      <c r="T28" s="17" t="str">
        <f t="shared" si="0"/>
        <v>-</v>
      </c>
    </row>
    <row r="29" spans="1:20" x14ac:dyDescent="0.25">
      <c r="A29" s="29">
        <f>Текущий!A28</f>
        <v>1</v>
      </c>
      <c r="B29" s="29">
        <f>Текущий!B28</f>
        <v>13808</v>
      </c>
      <c r="C29" s="29">
        <f>Текущий!C28</f>
        <v>2</v>
      </c>
      <c r="D29" s="29" t="str">
        <f>Текущий!D28</f>
        <v>Ядрин - Облучье</v>
      </c>
      <c r="E29" s="29">
        <f>ROUND(Текущий!J28,0)</f>
        <v>0</v>
      </c>
      <c r="F29" s="29">
        <f>Текущий!E28</f>
        <v>0</v>
      </c>
      <c r="G29" s="16" t="str">
        <f>IF(Текущий!K28="-",Текущий!K28,ROUND(Текущий!K28,0))</f>
        <v>-</v>
      </c>
      <c r="H29" s="29" t="str">
        <f>IF(ROUND(Текущий!I28,0)=0,"-",ROUND(Текущий!I28,0))</f>
        <v>-</v>
      </c>
      <c r="I29" s="16" t="str">
        <f>IF(Предыд!K28="-",Предыд!K28,ROUND(Предыд!K28,0))</f>
        <v>-</v>
      </c>
      <c r="J29" s="29" t="str">
        <f>IF(ROUND(Предыд!I28,0)=0,"-",ROUND(Предыд!I28,0))</f>
        <v>-</v>
      </c>
      <c r="K29" s="30" t="str">
        <f>Текущий!L28</f>
        <v>Рихтовка</v>
      </c>
      <c r="L29" s="29">
        <f>Текущий!AL28</f>
        <v>0</v>
      </c>
      <c r="M29" s="29">
        <f>Текущий!AM28</f>
        <v>0</v>
      </c>
      <c r="N29" s="29">
        <f>Текущий!AN28</f>
        <v>0</v>
      </c>
      <c r="O29" s="29">
        <f>Текущий!AP28</f>
        <v>0</v>
      </c>
      <c r="P29" s="29">
        <f>Предыд!AL28</f>
        <v>0</v>
      </c>
      <c r="Q29" s="29">
        <f>Предыд!AM28</f>
        <v>0</v>
      </c>
      <c r="R29" s="29">
        <f>Предыд!AN28</f>
        <v>0</v>
      </c>
      <c r="S29" s="29">
        <f>Предыд!AO28</f>
        <v>0</v>
      </c>
      <c r="T29" s="17" t="str">
        <f t="shared" si="0"/>
        <v>-</v>
      </c>
    </row>
    <row r="30" spans="1:20" x14ac:dyDescent="0.25">
      <c r="A30" s="29">
        <f>Текущий!A29</f>
        <v>1</v>
      </c>
      <c r="B30" s="29">
        <f>Текущий!B29</f>
        <v>13808</v>
      </c>
      <c r="C30" s="29">
        <f>Текущий!C29</f>
        <v>2</v>
      </c>
      <c r="D30" s="29" t="str">
        <f>Текущий!D29</f>
        <v>Облучье - Ударный</v>
      </c>
      <c r="E30" s="29">
        <f>ROUND(Текущий!J29,0)</f>
        <v>0</v>
      </c>
      <c r="F30" s="29">
        <f>Текущий!E29</f>
        <v>0</v>
      </c>
      <c r="G30" s="16" t="str">
        <f>IF(Текущий!K29="-",Текущий!K29,ROUND(Текущий!K29,0))</f>
        <v>-</v>
      </c>
      <c r="H30" s="29" t="str">
        <f>IF(ROUND(Текущий!I29,0)=0,"-",ROUND(Текущий!I29,0))</f>
        <v>-</v>
      </c>
      <c r="I30" s="16" t="str">
        <f>IF(Предыд!K29="-",Предыд!K29,ROUND(Предыд!K29,0))</f>
        <v>-</v>
      </c>
      <c r="J30" s="29" t="str">
        <f>IF(ROUND(Предыд!I29,0)=0,"-",ROUND(Предыд!I29,0))</f>
        <v>-</v>
      </c>
      <c r="K30" s="30" t="str">
        <f>Текущий!L29</f>
        <v>Рихтовка</v>
      </c>
      <c r="L30" s="29">
        <f>Текущий!AL29</f>
        <v>0</v>
      </c>
      <c r="M30" s="29">
        <f>Текущий!AM29</f>
        <v>0</v>
      </c>
      <c r="N30" s="29">
        <f>Текущий!AN29</f>
        <v>0</v>
      </c>
      <c r="O30" s="29">
        <f>Текущий!AP29</f>
        <v>0</v>
      </c>
      <c r="P30" s="29">
        <f>Предыд!AL29</f>
        <v>0</v>
      </c>
      <c r="Q30" s="29">
        <f>Предыд!AM29</f>
        <v>0</v>
      </c>
      <c r="R30" s="29">
        <f>Предыд!AN29</f>
        <v>0</v>
      </c>
      <c r="S30" s="29">
        <f>Предыд!AO29</f>
        <v>0</v>
      </c>
      <c r="T30" s="17" t="str">
        <f t="shared" si="0"/>
        <v>-</v>
      </c>
    </row>
    <row r="31" spans="1:20" x14ac:dyDescent="0.25">
      <c r="A31" s="29">
        <f>Текущий!A30</f>
        <v>1</v>
      </c>
      <c r="B31" s="29">
        <f>Текущий!B30</f>
        <v>13808</v>
      </c>
      <c r="C31" s="29">
        <f>Текущий!C30</f>
        <v>2</v>
      </c>
      <c r="D31" s="29" t="str">
        <f>Текущий!D30</f>
        <v>Ударный - Лагар-Аул</v>
      </c>
      <c r="E31" s="29">
        <f>ROUND(Текущий!J30,0)</f>
        <v>0</v>
      </c>
      <c r="F31" s="29">
        <f>Текущий!E30</f>
        <v>0</v>
      </c>
      <c r="G31" s="16" t="str">
        <f>IF(Текущий!K30="-",Текущий!K30,ROUND(Текущий!K30,0))</f>
        <v>-</v>
      </c>
      <c r="H31" s="29" t="str">
        <f>IF(ROUND(Текущий!I30,0)=0,"-",ROUND(Текущий!I30,0))</f>
        <v>-</v>
      </c>
      <c r="I31" s="16" t="str">
        <f>IF(Предыд!K30="-",Предыд!K30,ROUND(Предыд!K30,0))</f>
        <v>-</v>
      </c>
      <c r="J31" s="29" t="str">
        <f>IF(ROUND(Предыд!I30,0)=0,"-",ROUND(Предыд!I30,0))</f>
        <v>-</v>
      </c>
      <c r="K31" s="30" t="str">
        <f>Текущий!L30</f>
        <v>Рихтовка</v>
      </c>
      <c r="L31" s="29">
        <f>Текущий!AL30</f>
        <v>0</v>
      </c>
      <c r="M31" s="29">
        <f>Текущий!AM30</f>
        <v>0</v>
      </c>
      <c r="N31" s="29">
        <f>Текущий!AN30</f>
        <v>0</v>
      </c>
      <c r="O31" s="29">
        <f>Текущий!AP30</f>
        <v>0</v>
      </c>
      <c r="P31" s="29">
        <f>Предыд!AL30</f>
        <v>0</v>
      </c>
      <c r="Q31" s="29">
        <f>Предыд!AM30</f>
        <v>0</v>
      </c>
      <c r="R31" s="29">
        <f>Предыд!AN30</f>
        <v>0</v>
      </c>
      <c r="S31" s="29">
        <f>Предыд!AO30</f>
        <v>0</v>
      </c>
      <c r="T31" s="17" t="str">
        <f t="shared" si="0"/>
        <v>-</v>
      </c>
    </row>
    <row r="32" spans="1:20" x14ac:dyDescent="0.25">
      <c r="A32" s="29">
        <f>Текущий!A31</f>
        <v>1</v>
      </c>
      <c r="B32" s="29">
        <f>Текущий!B31</f>
        <v>13808</v>
      </c>
      <c r="C32" s="29">
        <f>Текущий!C31</f>
        <v>2</v>
      </c>
      <c r="D32" s="29" t="str">
        <f>Текущий!D31</f>
        <v>Лагар-Аул - Кимкан</v>
      </c>
      <c r="E32" s="29">
        <f>ROUND(Текущий!J31,0)</f>
        <v>0</v>
      </c>
      <c r="F32" s="29">
        <f>Текущий!E31</f>
        <v>0</v>
      </c>
      <c r="G32" s="16" t="str">
        <f>IF(Текущий!K31="-",Текущий!K31,ROUND(Текущий!K31,0))</f>
        <v>-</v>
      </c>
      <c r="H32" s="29" t="str">
        <f>IF(ROUND(Текущий!I31,0)=0,"-",ROUND(Текущий!I31,0))</f>
        <v>-</v>
      </c>
      <c r="I32" s="16" t="str">
        <f>IF(Предыд!K31="-",Предыд!K31,ROUND(Предыд!K31,0))</f>
        <v>-</v>
      </c>
      <c r="J32" s="29" t="str">
        <f>IF(ROUND(Предыд!I31,0)=0,"-",ROUND(Предыд!I31,0))</f>
        <v>-</v>
      </c>
      <c r="K32" s="30" t="str">
        <f>Текущий!L31</f>
        <v>Рихтовка</v>
      </c>
      <c r="L32" s="29">
        <f>Текущий!AL31</f>
        <v>0</v>
      </c>
      <c r="M32" s="29">
        <f>Текущий!AM31</f>
        <v>0</v>
      </c>
      <c r="N32" s="29">
        <f>Текущий!AN31</f>
        <v>0</v>
      </c>
      <c r="O32" s="29">
        <f>Текущий!AP31</f>
        <v>0</v>
      </c>
      <c r="P32" s="29">
        <f>Предыд!AL31</f>
        <v>0</v>
      </c>
      <c r="Q32" s="29">
        <f>Предыд!AM31</f>
        <v>0</v>
      </c>
      <c r="R32" s="29">
        <f>Предыд!AN31</f>
        <v>0</v>
      </c>
      <c r="S32" s="29">
        <f>Предыд!AO31</f>
        <v>0</v>
      </c>
      <c r="T32" s="17" t="str">
        <f t="shared" si="0"/>
        <v>-</v>
      </c>
    </row>
    <row r="33" spans="1:20" x14ac:dyDescent="0.25">
      <c r="A33" s="29">
        <f>Текущий!A32</f>
        <v>1</v>
      </c>
      <c r="B33" s="29">
        <f>Текущий!B32</f>
        <v>13808</v>
      </c>
      <c r="C33" s="29">
        <f>Текущий!C32</f>
        <v>2</v>
      </c>
      <c r="D33" s="29" t="str">
        <f>Текущий!D32</f>
        <v>Кимкан - Известковая</v>
      </c>
      <c r="E33" s="29">
        <f>ROUND(Текущий!J32,0)</f>
        <v>0</v>
      </c>
      <c r="F33" s="29">
        <f>Текущий!E32</f>
        <v>0</v>
      </c>
      <c r="G33" s="16" t="str">
        <f>IF(Текущий!K32="-",Текущий!K32,ROUND(Текущий!K32,0))</f>
        <v>-</v>
      </c>
      <c r="H33" s="29" t="str">
        <f>IF(ROUND(Текущий!I32,0)=0,"-",ROUND(Текущий!I32,0))</f>
        <v>-</v>
      </c>
      <c r="I33" s="16" t="str">
        <f>IF(Предыд!K32="-",Предыд!K32,ROUND(Предыд!K32,0))</f>
        <v>-</v>
      </c>
      <c r="J33" s="29" t="str">
        <f>IF(ROUND(Предыд!I32,0)=0,"-",ROUND(Предыд!I32,0))</f>
        <v>-</v>
      </c>
      <c r="K33" s="30" t="str">
        <f>Текущий!L32</f>
        <v>Рихтовка</v>
      </c>
      <c r="L33" s="29">
        <f>Текущий!AL32</f>
        <v>0</v>
      </c>
      <c r="M33" s="29">
        <f>Текущий!AM32</f>
        <v>0</v>
      </c>
      <c r="N33" s="29">
        <f>Текущий!AN32</f>
        <v>0</v>
      </c>
      <c r="O33" s="29">
        <f>Текущий!AP32</f>
        <v>0</v>
      </c>
      <c r="P33" s="29">
        <f>Предыд!AL32</f>
        <v>0</v>
      </c>
      <c r="Q33" s="29">
        <f>Предыд!AM32</f>
        <v>0</v>
      </c>
      <c r="R33" s="29">
        <f>Предыд!AN32</f>
        <v>0</v>
      </c>
      <c r="S33" s="29">
        <f>Предыд!AO32</f>
        <v>0</v>
      </c>
      <c r="T33" s="17" t="str">
        <f t="shared" si="0"/>
        <v>-</v>
      </c>
    </row>
    <row r="34" spans="1:20" x14ac:dyDescent="0.25">
      <c r="A34" s="29">
        <f>Текущий!A33</f>
        <v>2</v>
      </c>
      <c r="B34" s="29">
        <f>Текущий!B33</f>
        <v>13808</v>
      </c>
      <c r="C34" s="29">
        <f>Текущий!C33</f>
        <v>1</v>
      </c>
      <c r="D34" s="29" t="str">
        <f>Текущий!D33</f>
        <v>Кимкан - Известковая</v>
      </c>
      <c r="E34" s="29">
        <f>ROUND(Текущий!J33,0)</f>
        <v>0</v>
      </c>
      <c r="F34" s="29">
        <f>Текущий!E33</f>
        <v>0</v>
      </c>
      <c r="G34" s="16" t="str">
        <f>IF(Текущий!K33="-",Текущий!K33,ROUND(Текущий!K33,0))</f>
        <v>-</v>
      </c>
      <c r="H34" s="29" t="str">
        <f>IF(ROUND(Текущий!I33,0)=0,"-",ROUND(Текущий!I33,0))</f>
        <v>-</v>
      </c>
      <c r="I34" s="16" t="str">
        <f>IF(Предыд!K33="-",Предыд!K33,ROUND(Предыд!K33,0))</f>
        <v>-</v>
      </c>
      <c r="J34" s="29" t="str">
        <f>IF(ROUND(Предыд!I33,0)=0,"-",ROUND(Предыд!I33,0))</f>
        <v>-</v>
      </c>
      <c r="K34" s="30" t="str">
        <f>Текущий!L33</f>
        <v>Рихтовка</v>
      </c>
      <c r="L34" s="29">
        <f>Текущий!AL33</f>
        <v>0</v>
      </c>
      <c r="M34" s="29">
        <f>Текущий!AM33</f>
        <v>0</v>
      </c>
      <c r="N34" s="29">
        <f>Текущий!AN33</f>
        <v>0</v>
      </c>
      <c r="O34" s="29">
        <f>Текущий!AP33</f>
        <v>0</v>
      </c>
      <c r="P34" s="29">
        <f>Предыд!AL33</f>
        <v>0</v>
      </c>
      <c r="Q34" s="29">
        <f>Предыд!AM33</f>
        <v>0</v>
      </c>
      <c r="R34" s="29">
        <f>Предыд!AN33</f>
        <v>0</v>
      </c>
      <c r="S34" s="29">
        <f>Предыд!AO33</f>
        <v>0</v>
      </c>
      <c r="T34" s="17" t="str">
        <f t="shared" si="0"/>
        <v>-</v>
      </c>
    </row>
    <row r="35" spans="1:20" x14ac:dyDescent="0.25">
      <c r="A35" s="29">
        <f>Текущий!A34</f>
        <v>2</v>
      </c>
      <c r="B35" s="29">
        <f>Текущий!B34</f>
        <v>13808</v>
      </c>
      <c r="C35" s="29">
        <f>Текущий!C34</f>
        <v>1</v>
      </c>
      <c r="D35" s="29" t="str">
        <f>Текущий!D34</f>
        <v>Известковая - Биракан</v>
      </c>
      <c r="E35" s="29">
        <f>ROUND(Текущий!J34,0)</f>
        <v>0</v>
      </c>
      <c r="F35" s="29">
        <f>Текущий!E34</f>
        <v>0</v>
      </c>
      <c r="G35" s="16" t="str">
        <f>IF(Текущий!K34="-",Текущий!K34,ROUND(Текущий!K34,0))</f>
        <v>-</v>
      </c>
      <c r="H35" s="29" t="str">
        <f>IF(ROUND(Текущий!I34,0)=0,"-",ROUND(Текущий!I34,0))</f>
        <v>-</v>
      </c>
      <c r="I35" s="16" t="str">
        <f>IF(Предыд!K34="-",Предыд!K34,ROUND(Предыд!K34,0))</f>
        <v>-</v>
      </c>
      <c r="J35" s="29" t="str">
        <f>IF(ROUND(Предыд!I34,0)=0,"-",ROUND(Предыд!I34,0))</f>
        <v>-</v>
      </c>
      <c r="K35" s="30" t="str">
        <f>Текущий!L34</f>
        <v>Рихтовка</v>
      </c>
      <c r="L35" s="29">
        <f>Текущий!AL34</f>
        <v>0</v>
      </c>
      <c r="M35" s="29">
        <f>Текущий!AM34</f>
        <v>0</v>
      </c>
      <c r="N35" s="29">
        <f>Текущий!AN34</f>
        <v>0</v>
      </c>
      <c r="O35" s="29">
        <f>Текущий!AP34</f>
        <v>0</v>
      </c>
      <c r="P35" s="29">
        <f>Предыд!AL34</f>
        <v>0</v>
      </c>
      <c r="Q35" s="29">
        <f>Предыд!AM34</f>
        <v>0</v>
      </c>
      <c r="R35" s="29">
        <f>Предыд!AN34</f>
        <v>0</v>
      </c>
      <c r="S35" s="29">
        <f>Предыд!AO34</f>
        <v>0</v>
      </c>
      <c r="T35" s="17" t="str">
        <f t="shared" si="0"/>
        <v>-</v>
      </c>
    </row>
    <row r="36" spans="1:20" x14ac:dyDescent="0.25">
      <c r="A36" s="29">
        <f>Текущий!A35</f>
        <v>2</v>
      </c>
      <c r="B36" s="29">
        <f>Текущий!B35</f>
        <v>13808</v>
      </c>
      <c r="C36" s="29">
        <f>Текущий!C35</f>
        <v>1</v>
      </c>
      <c r="D36" s="29" t="str">
        <f>Текущий!D35</f>
        <v>Биракан - Теплое озеро</v>
      </c>
      <c r="E36" s="29">
        <f>ROUND(Текущий!J35,0)</f>
        <v>0</v>
      </c>
      <c r="F36" s="29">
        <f>Текущий!E35</f>
        <v>0</v>
      </c>
      <c r="G36" s="16" t="str">
        <f>IF(Текущий!K35="-",Текущий!K35,ROUND(Текущий!K35,0))</f>
        <v>-</v>
      </c>
      <c r="H36" s="29" t="str">
        <f>IF(ROUND(Текущий!I35,0)=0,"-",ROUND(Текущий!I35,0))</f>
        <v>-</v>
      </c>
      <c r="I36" s="16" t="str">
        <f>IF(Предыд!K35="-",Предыд!K35,ROUND(Предыд!K35,0))</f>
        <v>-</v>
      </c>
      <c r="J36" s="29" t="str">
        <f>IF(ROUND(Предыд!I35,0)=0,"-",ROUND(Предыд!I35,0))</f>
        <v>-</v>
      </c>
      <c r="K36" s="30" t="str">
        <f>Текущий!L35</f>
        <v>Рихтовка</v>
      </c>
      <c r="L36" s="29">
        <f>Текущий!AL35</f>
        <v>0</v>
      </c>
      <c r="M36" s="29">
        <f>Текущий!AM35</f>
        <v>0</v>
      </c>
      <c r="N36" s="29">
        <f>Текущий!AN35</f>
        <v>0</v>
      </c>
      <c r="O36" s="29">
        <f>Текущий!AP35</f>
        <v>0</v>
      </c>
      <c r="P36" s="29">
        <f>Предыд!AL35</f>
        <v>0</v>
      </c>
      <c r="Q36" s="29">
        <f>Предыд!AM35</f>
        <v>0</v>
      </c>
      <c r="R36" s="29">
        <f>Предыд!AN35</f>
        <v>0</v>
      </c>
      <c r="S36" s="29">
        <f>Предыд!AO35</f>
        <v>0</v>
      </c>
      <c r="T36" s="17" t="str">
        <f t="shared" si="0"/>
        <v>-</v>
      </c>
    </row>
    <row r="37" spans="1:20" x14ac:dyDescent="0.25">
      <c r="A37" s="29">
        <f>Текущий!A36</f>
        <v>2</v>
      </c>
      <c r="B37" s="29">
        <f>Текущий!B36</f>
        <v>13808</v>
      </c>
      <c r="C37" s="29">
        <f>Текущий!C36</f>
        <v>1</v>
      </c>
      <c r="D37" s="29" t="str">
        <f>Текущий!D36</f>
        <v>Теплое озеро - Известковый завод</v>
      </c>
      <c r="E37" s="29">
        <f>ROUND(Текущий!J36,0)</f>
        <v>0</v>
      </c>
      <c r="F37" s="29">
        <f>Текущий!E36</f>
        <v>0</v>
      </c>
      <c r="G37" s="16" t="str">
        <f>IF(Текущий!K36="-",Текущий!K36,ROUND(Текущий!K36,0))</f>
        <v>-</v>
      </c>
      <c r="H37" s="29" t="str">
        <f>IF(ROUND(Текущий!I36,0)=0,"-",ROUND(Текущий!I36,0))</f>
        <v>-</v>
      </c>
      <c r="I37" s="16" t="str">
        <f>IF(Предыд!K36="-",Предыд!K36,ROUND(Предыд!K36,0))</f>
        <v>-</v>
      </c>
      <c r="J37" s="29" t="str">
        <f>IF(ROUND(Предыд!I36,0)=0,"-",ROUND(Предыд!I36,0))</f>
        <v>-</v>
      </c>
      <c r="K37" s="30" t="str">
        <f>Текущий!L36</f>
        <v>Рихтовка</v>
      </c>
      <c r="L37" s="29">
        <f>Текущий!AL36</f>
        <v>0</v>
      </c>
      <c r="M37" s="29">
        <f>Текущий!AM36</f>
        <v>0</v>
      </c>
      <c r="N37" s="29">
        <f>Текущий!AN36</f>
        <v>0</v>
      </c>
      <c r="O37" s="29">
        <f>Текущий!AP36</f>
        <v>0</v>
      </c>
      <c r="P37" s="29">
        <f>Предыд!AL36</f>
        <v>0</v>
      </c>
      <c r="Q37" s="29">
        <f>Предыд!AM36</f>
        <v>0</v>
      </c>
      <c r="R37" s="29">
        <f>Предыд!AN36</f>
        <v>0</v>
      </c>
      <c r="S37" s="29">
        <f>Предыд!AO36</f>
        <v>0</v>
      </c>
      <c r="T37" s="17" t="str">
        <f t="shared" si="0"/>
        <v>-</v>
      </c>
    </row>
    <row r="38" spans="1:20" x14ac:dyDescent="0.25">
      <c r="A38" s="29">
        <f>Текущий!A37</f>
        <v>2</v>
      </c>
      <c r="B38" s="29">
        <f>Текущий!B37</f>
        <v>13808</v>
      </c>
      <c r="C38" s="29">
        <f>Текущий!C37</f>
        <v>1</v>
      </c>
      <c r="D38" s="29" t="str">
        <f>Текущий!D37</f>
        <v>Известковый завод - Лондоко</v>
      </c>
      <c r="E38" s="29">
        <f>ROUND(Текущий!J37,0)</f>
        <v>0</v>
      </c>
      <c r="F38" s="29">
        <f>Текущий!E37</f>
        <v>0</v>
      </c>
      <c r="G38" s="16" t="str">
        <f>IF(Текущий!K37="-",Текущий!K37,ROUND(Текущий!K37,0))</f>
        <v>-</v>
      </c>
      <c r="H38" s="29" t="str">
        <f>IF(ROUND(Текущий!I37,0)=0,"-",ROUND(Текущий!I37,0))</f>
        <v>-</v>
      </c>
      <c r="I38" s="16" t="str">
        <f>IF(Предыд!K37="-",Предыд!K37,ROUND(Предыд!K37,0))</f>
        <v>-</v>
      </c>
      <c r="J38" s="29" t="str">
        <f>IF(ROUND(Предыд!I37,0)=0,"-",ROUND(Предыд!I37,0))</f>
        <v>-</v>
      </c>
      <c r="K38" s="30" t="str">
        <f>Текущий!L37</f>
        <v>Рихтовка</v>
      </c>
      <c r="L38" s="29">
        <f>Текущий!AL37</f>
        <v>0</v>
      </c>
      <c r="M38" s="29">
        <f>Текущий!AM37</f>
        <v>0</v>
      </c>
      <c r="N38" s="29">
        <f>Текущий!AN37</f>
        <v>0</v>
      </c>
      <c r="O38" s="29">
        <f>Текущий!AP37</f>
        <v>0</v>
      </c>
      <c r="P38" s="29">
        <f>Предыд!AL37</f>
        <v>0</v>
      </c>
      <c r="Q38" s="29">
        <f>Предыд!AM37</f>
        <v>0</v>
      </c>
      <c r="R38" s="29">
        <f>Предыд!AN37</f>
        <v>0</v>
      </c>
      <c r="S38" s="29">
        <f>Предыд!AO37</f>
        <v>0</v>
      </c>
      <c r="T38" s="17" t="str">
        <f t="shared" si="0"/>
        <v>-</v>
      </c>
    </row>
    <row r="39" spans="1:20" x14ac:dyDescent="0.25">
      <c r="A39" s="29">
        <f>Текущий!A38</f>
        <v>2</v>
      </c>
      <c r="B39" s="29">
        <f>Текущий!B38</f>
        <v>13808</v>
      </c>
      <c r="C39" s="29">
        <f>Текущий!C38</f>
        <v>1</v>
      </c>
      <c r="D39" s="29" t="str">
        <f>Текущий!D38</f>
        <v>Лондоко - Будукан</v>
      </c>
      <c r="E39" s="29">
        <f>ROUND(Текущий!J38,0)</f>
        <v>0</v>
      </c>
      <c r="F39" s="29">
        <f>Текущий!E38</f>
        <v>0</v>
      </c>
      <c r="G39" s="16" t="str">
        <f>IF(Текущий!K38="-",Текущий!K38,ROUND(Текущий!K38,0))</f>
        <v>-</v>
      </c>
      <c r="H39" s="29" t="str">
        <f>IF(ROUND(Текущий!I38,0)=0,"-",ROUND(Текущий!I38,0))</f>
        <v>-</v>
      </c>
      <c r="I39" s="16" t="str">
        <f>IF(Предыд!K38="-",Предыд!K38,ROUND(Предыд!K38,0))</f>
        <v>-</v>
      </c>
      <c r="J39" s="29" t="str">
        <f>IF(ROUND(Предыд!I38,0)=0,"-",ROUND(Предыд!I38,0))</f>
        <v>-</v>
      </c>
      <c r="K39" s="30" t="str">
        <f>Текущий!L38</f>
        <v>Рихтовка</v>
      </c>
      <c r="L39" s="29">
        <f>Текущий!AL38</f>
        <v>0</v>
      </c>
      <c r="M39" s="29">
        <f>Текущий!AM38</f>
        <v>0</v>
      </c>
      <c r="N39" s="29">
        <f>Текущий!AN38</f>
        <v>0</v>
      </c>
      <c r="O39" s="29">
        <f>Текущий!AP38</f>
        <v>0</v>
      </c>
      <c r="P39" s="29">
        <f>Предыд!AL38</f>
        <v>0</v>
      </c>
      <c r="Q39" s="29">
        <f>Предыд!AM38</f>
        <v>0</v>
      </c>
      <c r="R39" s="29">
        <f>Предыд!AN38</f>
        <v>0</v>
      </c>
      <c r="S39" s="29">
        <f>Предыд!AO38</f>
        <v>0</v>
      </c>
      <c r="T39" s="17" t="str">
        <f t="shared" si="0"/>
        <v>-</v>
      </c>
    </row>
    <row r="40" spans="1:20" x14ac:dyDescent="0.25">
      <c r="A40" s="29">
        <f>Текущий!A39</f>
        <v>2</v>
      </c>
      <c r="B40" s="29">
        <f>Текущий!B39</f>
        <v>13808</v>
      </c>
      <c r="C40" s="29">
        <f>Текущий!C39</f>
        <v>1</v>
      </c>
      <c r="D40" s="29" t="str">
        <f>Текущий!D39</f>
        <v>Будукан - Бира</v>
      </c>
      <c r="E40" s="29">
        <f>ROUND(Текущий!J39,0)</f>
        <v>0</v>
      </c>
      <c r="F40" s="29">
        <f>Текущий!E39</f>
        <v>0</v>
      </c>
      <c r="G40" s="16" t="str">
        <f>IF(Текущий!K39="-",Текущий!K39,ROUND(Текущий!K39,0))</f>
        <v>-</v>
      </c>
      <c r="H40" s="29" t="str">
        <f>IF(ROUND(Текущий!I39,0)=0,"-",ROUND(Текущий!I39,0))</f>
        <v>-</v>
      </c>
      <c r="I40" s="16" t="str">
        <f>IF(Предыд!K39="-",Предыд!K39,ROUND(Предыд!K39,0))</f>
        <v>-</v>
      </c>
      <c r="J40" s="29" t="str">
        <f>IF(ROUND(Предыд!I39,0)=0,"-",ROUND(Предыд!I39,0))</f>
        <v>-</v>
      </c>
      <c r="K40" s="30" t="str">
        <f>Текущий!L39</f>
        <v>Рихтовка</v>
      </c>
      <c r="L40" s="29">
        <f>Текущий!AL39</f>
        <v>0</v>
      </c>
      <c r="M40" s="29">
        <f>Текущий!AM39</f>
        <v>0</v>
      </c>
      <c r="N40" s="29">
        <f>Текущий!AN39</f>
        <v>0</v>
      </c>
      <c r="O40" s="29">
        <f>Текущий!AP39</f>
        <v>0</v>
      </c>
      <c r="P40" s="29">
        <f>Предыд!AL39</f>
        <v>0</v>
      </c>
      <c r="Q40" s="29">
        <f>Предыд!AM39</f>
        <v>0</v>
      </c>
      <c r="R40" s="29">
        <f>Предыд!AN39</f>
        <v>0</v>
      </c>
      <c r="S40" s="29">
        <f>Предыд!AO39</f>
        <v>0</v>
      </c>
      <c r="T40" s="17" t="str">
        <f t="shared" si="0"/>
        <v>-</v>
      </c>
    </row>
    <row r="41" spans="1:20" x14ac:dyDescent="0.25">
      <c r="A41" s="29">
        <f>Текущий!A40</f>
        <v>2</v>
      </c>
      <c r="B41" s="29">
        <f>Текущий!B40</f>
        <v>13808</v>
      </c>
      <c r="C41" s="29" t="str">
        <f>Текущий!C40</f>
        <v>обв</v>
      </c>
      <c r="D41" s="29" t="str">
        <f>Текущий!D40</f>
        <v>ст. Бира</v>
      </c>
      <c r="E41" s="29">
        <f>ROUND(Текущий!J40,0)</f>
        <v>0</v>
      </c>
      <c r="F41" s="29">
        <f>Текущий!E40</f>
        <v>0</v>
      </c>
      <c r="G41" s="16" t="str">
        <f>IF(Текущий!K40="-",Текущий!K40,ROUND(Текущий!K40,0))</f>
        <v>-</v>
      </c>
      <c r="H41" s="29" t="str">
        <f>IF(ROUND(Текущий!I40,0)=0,"-",ROUND(Текущий!I40,0))</f>
        <v>-</v>
      </c>
      <c r="I41" s="16" t="str">
        <f>IF(Предыд!K40="-",Предыд!K40,ROUND(Предыд!K40,0))</f>
        <v>-</v>
      </c>
      <c r="J41" s="29" t="str">
        <f>IF(ROUND(Предыд!I40,0)=0,"-",ROUND(Предыд!I40,0))</f>
        <v>-</v>
      </c>
      <c r="K41" s="30" t="str">
        <f>Текущий!L40</f>
        <v>Рихтовка</v>
      </c>
      <c r="L41" s="29">
        <f>Текущий!AL40</f>
        <v>0</v>
      </c>
      <c r="M41" s="29">
        <f>Текущий!AM40</f>
        <v>0</v>
      </c>
      <c r="N41" s="29">
        <f>Текущий!AN40</f>
        <v>0</v>
      </c>
      <c r="O41" s="29">
        <f>Текущий!AP40</f>
        <v>0</v>
      </c>
      <c r="P41" s="29">
        <f>Предыд!AL40</f>
        <v>0</v>
      </c>
      <c r="Q41" s="29">
        <f>Предыд!AM40</f>
        <v>0</v>
      </c>
      <c r="R41" s="29">
        <f>Предыд!AN40</f>
        <v>0</v>
      </c>
      <c r="S41" s="29">
        <f>Предыд!AO40</f>
        <v>0</v>
      </c>
      <c r="T41" s="17" t="str">
        <f t="shared" si="0"/>
        <v>-</v>
      </c>
    </row>
    <row r="42" spans="1:20" x14ac:dyDescent="0.25">
      <c r="A42" s="29">
        <f>Текущий!A41</f>
        <v>2</v>
      </c>
      <c r="B42" s="29">
        <f>Текущий!B41</f>
        <v>13808</v>
      </c>
      <c r="C42" s="29">
        <f>Текущий!C41</f>
        <v>1</v>
      </c>
      <c r="D42" s="29" t="str">
        <f>Текущий!D41</f>
        <v>Бира - Семисточный</v>
      </c>
      <c r="E42" s="29">
        <f>ROUND(Текущий!J41,0)</f>
        <v>0</v>
      </c>
      <c r="F42" s="29">
        <f>Текущий!E41</f>
        <v>0</v>
      </c>
      <c r="G42" s="16" t="str">
        <f>IF(Текущий!K41="-",Текущий!K41,ROUND(Текущий!K41,0))</f>
        <v>-</v>
      </c>
      <c r="H42" s="29" t="str">
        <f>IF(ROUND(Текущий!I41,0)=0,"-",ROUND(Текущий!I41,0))</f>
        <v>-</v>
      </c>
      <c r="I42" s="16" t="str">
        <f>IF(Предыд!K41="-",Предыд!K41,ROUND(Предыд!K41,0))</f>
        <v>-</v>
      </c>
      <c r="J42" s="29" t="str">
        <f>IF(ROUND(Предыд!I41,0)=0,"-",ROUND(Предыд!I41,0))</f>
        <v>-</v>
      </c>
      <c r="K42" s="30" t="str">
        <f>Текущий!L41</f>
        <v>Рихтовка</v>
      </c>
      <c r="L42" s="29">
        <f>Текущий!AL41</f>
        <v>0</v>
      </c>
      <c r="M42" s="29">
        <f>Текущий!AM41</f>
        <v>0</v>
      </c>
      <c r="N42" s="29">
        <f>Текущий!AN41</f>
        <v>0</v>
      </c>
      <c r="O42" s="29">
        <f>Текущий!AP41</f>
        <v>0</v>
      </c>
      <c r="P42" s="29">
        <f>Предыд!AL41</f>
        <v>0</v>
      </c>
      <c r="Q42" s="29">
        <f>Предыд!AM41</f>
        <v>0</v>
      </c>
      <c r="R42" s="29">
        <f>Предыд!AN41</f>
        <v>0</v>
      </c>
      <c r="S42" s="29">
        <f>Предыд!AO41</f>
        <v>0</v>
      </c>
      <c r="T42" s="17" t="str">
        <f t="shared" si="0"/>
        <v>-</v>
      </c>
    </row>
    <row r="43" spans="1:20" x14ac:dyDescent="0.25">
      <c r="A43" s="29">
        <f>Текущий!A42</f>
        <v>2</v>
      </c>
      <c r="B43" s="29">
        <f>Текущий!B42</f>
        <v>13808</v>
      </c>
      <c r="C43" s="29">
        <f>Текущий!C42</f>
        <v>1</v>
      </c>
      <c r="D43" s="29" t="str">
        <f>Текущий!D42</f>
        <v>Семисточный - Кирга</v>
      </c>
      <c r="E43" s="29">
        <f>ROUND(Текущий!J42,0)</f>
        <v>0</v>
      </c>
      <c r="F43" s="29">
        <f>Текущий!E42</f>
        <v>0</v>
      </c>
      <c r="G43" s="16" t="str">
        <f>IF(Текущий!K42="-",Текущий!K42,ROUND(Текущий!K42,0))</f>
        <v>-</v>
      </c>
      <c r="H43" s="29" t="str">
        <f>IF(ROUND(Текущий!I42,0)=0,"-",ROUND(Текущий!I42,0))</f>
        <v>-</v>
      </c>
      <c r="I43" s="16" t="str">
        <f>IF(Предыд!K42="-",Предыд!K42,ROUND(Предыд!K42,0))</f>
        <v>-</v>
      </c>
      <c r="J43" s="29" t="str">
        <f>IF(ROUND(Предыд!I42,0)=0,"-",ROUND(Предыд!I42,0))</f>
        <v>-</v>
      </c>
      <c r="K43" s="30" t="str">
        <f>Текущий!L42</f>
        <v>Рихтовка</v>
      </c>
      <c r="L43" s="29">
        <f>Текущий!AL42</f>
        <v>0</v>
      </c>
      <c r="M43" s="29">
        <f>Текущий!AM42</f>
        <v>0</v>
      </c>
      <c r="N43" s="29">
        <f>Текущий!AN42</f>
        <v>0</v>
      </c>
      <c r="O43" s="29">
        <f>Текущий!AP42</f>
        <v>0</v>
      </c>
      <c r="P43" s="29">
        <f>Предыд!AL42</f>
        <v>0</v>
      </c>
      <c r="Q43" s="29">
        <f>Предыд!AM42</f>
        <v>0</v>
      </c>
      <c r="R43" s="29">
        <f>Предыд!AN42</f>
        <v>0</v>
      </c>
      <c r="S43" s="29">
        <f>Предыд!AO42</f>
        <v>0</v>
      </c>
      <c r="T43" s="17" t="str">
        <f t="shared" si="0"/>
        <v>-</v>
      </c>
    </row>
    <row r="44" spans="1:20" x14ac:dyDescent="0.25">
      <c r="A44" s="29">
        <f>Текущий!A43</f>
        <v>2</v>
      </c>
      <c r="B44" s="29">
        <f>Текущий!B43</f>
        <v>13808</v>
      </c>
      <c r="C44" s="29">
        <f>Текущий!C43</f>
        <v>1</v>
      </c>
      <c r="D44" s="29" t="str">
        <f>Текущий!D43</f>
        <v>Кирга - Биробиджан I</v>
      </c>
      <c r="E44" s="29">
        <f>ROUND(Текущий!J43,0)</f>
        <v>0</v>
      </c>
      <c r="F44" s="29">
        <f>Текущий!E43</f>
        <v>0</v>
      </c>
      <c r="G44" s="16" t="str">
        <f>IF(Текущий!K43="-",Текущий!K43,ROUND(Текущий!K43,0))</f>
        <v>-</v>
      </c>
      <c r="H44" s="29" t="str">
        <f>IF(ROUND(Текущий!I43,0)=0,"-",ROUND(Текущий!I43,0))</f>
        <v>-</v>
      </c>
      <c r="I44" s="16" t="str">
        <f>IF(Предыд!K43="-",Предыд!K43,ROUND(Предыд!K43,0))</f>
        <v>-</v>
      </c>
      <c r="J44" s="29" t="str">
        <f>IF(ROUND(Предыд!I43,0)=0,"-",ROUND(Предыд!I43,0))</f>
        <v>-</v>
      </c>
      <c r="K44" s="30" t="str">
        <f>Текущий!L43</f>
        <v>Рихтовка</v>
      </c>
      <c r="L44" s="29">
        <f>Текущий!AL43</f>
        <v>0</v>
      </c>
      <c r="M44" s="29">
        <f>Текущий!AM43</f>
        <v>0</v>
      </c>
      <c r="N44" s="29">
        <f>Текущий!AN43</f>
        <v>0</v>
      </c>
      <c r="O44" s="29">
        <f>Текущий!AP43</f>
        <v>0</v>
      </c>
      <c r="P44" s="29">
        <f>Предыд!AL43</f>
        <v>0</v>
      </c>
      <c r="Q44" s="29">
        <f>Предыд!AM43</f>
        <v>0</v>
      </c>
      <c r="R44" s="29">
        <f>Предыд!AN43</f>
        <v>0</v>
      </c>
      <c r="S44" s="29">
        <f>Предыд!AO43</f>
        <v>0</v>
      </c>
      <c r="T44" s="17" t="str">
        <f t="shared" si="0"/>
        <v>-</v>
      </c>
    </row>
    <row r="45" spans="1:20" x14ac:dyDescent="0.25">
      <c r="A45" s="29">
        <f>Текущий!A44</f>
        <v>2</v>
      </c>
      <c r="B45" s="29">
        <f>Текущий!B44</f>
        <v>13808</v>
      </c>
      <c r="C45" s="29">
        <f>Текущий!C44</f>
        <v>2</v>
      </c>
      <c r="D45" s="29" t="str">
        <f>Текущий!D44</f>
        <v>Кимкан - Известковая</v>
      </c>
      <c r="E45" s="29">
        <f>ROUND(Текущий!J44,0)</f>
        <v>0</v>
      </c>
      <c r="F45" s="29">
        <f>Текущий!E44</f>
        <v>0</v>
      </c>
      <c r="G45" s="16" t="str">
        <f>IF(Текущий!K44="-",Текущий!K44,ROUND(Текущий!K44,0))</f>
        <v>-</v>
      </c>
      <c r="H45" s="29" t="str">
        <f>IF(ROUND(Текущий!I44,0)=0,"-",ROUND(Текущий!I44,0))</f>
        <v>-</v>
      </c>
      <c r="I45" s="16" t="str">
        <f>IF(Предыд!K44="-",Предыд!K44,ROUND(Предыд!K44,0))</f>
        <v>-</v>
      </c>
      <c r="J45" s="29" t="str">
        <f>IF(ROUND(Предыд!I44,0)=0,"-",ROUND(Предыд!I44,0))</f>
        <v>-</v>
      </c>
      <c r="K45" s="30" t="str">
        <f>Текущий!L44</f>
        <v>Рихтовка</v>
      </c>
      <c r="L45" s="29">
        <f>Текущий!AL44</f>
        <v>0</v>
      </c>
      <c r="M45" s="29">
        <f>Текущий!AM44</f>
        <v>0</v>
      </c>
      <c r="N45" s="29">
        <f>Текущий!AN44</f>
        <v>0</v>
      </c>
      <c r="O45" s="29">
        <f>Текущий!AP44</f>
        <v>0</v>
      </c>
      <c r="P45" s="29">
        <f>Предыд!AL44</f>
        <v>0</v>
      </c>
      <c r="Q45" s="29">
        <f>Предыд!AM44</f>
        <v>0</v>
      </c>
      <c r="R45" s="29">
        <f>Предыд!AN44</f>
        <v>0</v>
      </c>
      <c r="S45" s="29">
        <f>Предыд!AO44</f>
        <v>0</v>
      </c>
      <c r="T45" s="17" t="str">
        <f t="shared" si="0"/>
        <v>-</v>
      </c>
    </row>
    <row r="46" spans="1:20" x14ac:dyDescent="0.25">
      <c r="A46" s="29">
        <f>Текущий!A45</f>
        <v>2</v>
      </c>
      <c r="B46" s="29">
        <f>Текущий!B45</f>
        <v>13808</v>
      </c>
      <c r="C46" s="29">
        <f>Текущий!C45</f>
        <v>2</v>
      </c>
      <c r="D46" s="29" t="str">
        <f>Текущий!D45</f>
        <v>Известковая - Биракан</v>
      </c>
      <c r="E46" s="29">
        <f>ROUND(Текущий!J45,0)</f>
        <v>0</v>
      </c>
      <c r="F46" s="29">
        <f>Текущий!E45</f>
        <v>0</v>
      </c>
      <c r="G46" s="16" t="str">
        <f>IF(Текущий!K45="-",Текущий!K45,ROUND(Текущий!K45,0))</f>
        <v>-</v>
      </c>
      <c r="H46" s="29" t="str">
        <f>IF(ROUND(Текущий!I45,0)=0,"-",ROUND(Текущий!I45,0))</f>
        <v>-</v>
      </c>
      <c r="I46" s="16" t="str">
        <f>IF(Предыд!K45="-",Предыд!K45,ROUND(Предыд!K45,0))</f>
        <v>-</v>
      </c>
      <c r="J46" s="29" t="str">
        <f>IF(ROUND(Предыд!I45,0)=0,"-",ROUND(Предыд!I45,0))</f>
        <v>-</v>
      </c>
      <c r="K46" s="30" t="str">
        <f>Текущий!L45</f>
        <v>Рихтовка</v>
      </c>
      <c r="L46" s="29">
        <f>Текущий!AL45</f>
        <v>0</v>
      </c>
      <c r="M46" s="29">
        <f>Текущий!AM45</f>
        <v>0</v>
      </c>
      <c r="N46" s="29">
        <f>Текущий!AN45</f>
        <v>0</v>
      </c>
      <c r="O46" s="29">
        <f>Текущий!AP45</f>
        <v>0</v>
      </c>
      <c r="P46" s="29">
        <f>Предыд!AL45</f>
        <v>0</v>
      </c>
      <c r="Q46" s="29">
        <f>Предыд!AM45</f>
        <v>0</v>
      </c>
      <c r="R46" s="29">
        <f>Предыд!AN45</f>
        <v>0</v>
      </c>
      <c r="S46" s="29">
        <f>Предыд!AO45</f>
        <v>0</v>
      </c>
      <c r="T46" s="17" t="str">
        <f t="shared" si="0"/>
        <v>-</v>
      </c>
    </row>
    <row r="47" spans="1:20" x14ac:dyDescent="0.25">
      <c r="A47" s="29">
        <f>Текущий!A46</f>
        <v>2</v>
      </c>
      <c r="B47" s="29">
        <f>Текущий!B46</f>
        <v>13808</v>
      </c>
      <c r="C47" s="29">
        <f>Текущий!C46</f>
        <v>2</v>
      </c>
      <c r="D47" s="29" t="str">
        <f>Текущий!D46</f>
        <v>Биракан - Теплое озеро</v>
      </c>
      <c r="E47" s="29">
        <f>ROUND(Текущий!J46,0)</f>
        <v>0</v>
      </c>
      <c r="F47" s="29">
        <f>Текущий!E46</f>
        <v>0</v>
      </c>
      <c r="G47" s="16" t="str">
        <f>IF(Текущий!K46="-",Текущий!K46,ROUND(Текущий!K46,0))</f>
        <v>-</v>
      </c>
      <c r="H47" s="29" t="str">
        <f>IF(ROUND(Текущий!I46,0)=0,"-",ROUND(Текущий!I46,0))</f>
        <v>-</v>
      </c>
      <c r="I47" s="16" t="str">
        <f>IF(Предыд!K46="-",Предыд!K46,ROUND(Предыд!K46,0))</f>
        <v>-</v>
      </c>
      <c r="J47" s="29" t="str">
        <f>IF(ROUND(Предыд!I46,0)=0,"-",ROUND(Предыд!I46,0))</f>
        <v>-</v>
      </c>
      <c r="K47" s="30" t="str">
        <f>Текущий!L46</f>
        <v>Рихтовка</v>
      </c>
      <c r="L47" s="29">
        <f>Текущий!AL46</f>
        <v>0</v>
      </c>
      <c r="M47" s="29">
        <f>Текущий!AM46</f>
        <v>0</v>
      </c>
      <c r="N47" s="29">
        <f>Текущий!AN46</f>
        <v>0</v>
      </c>
      <c r="O47" s="29">
        <f>Текущий!AP46</f>
        <v>0</v>
      </c>
      <c r="P47" s="29">
        <f>Предыд!AL46</f>
        <v>0</v>
      </c>
      <c r="Q47" s="29">
        <f>Предыд!AM46</f>
        <v>0</v>
      </c>
      <c r="R47" s="29">
        <f>Предыд!AN46</f>
        <v>0</v>
      </c>
      <c r="S47" s="29">
        <f>Предыд!AO46</f>
        <v>0</v>
      </c>
      <c r="T47" s="17" t="str">
        <f t="shared" si="0"/>
        <v>-</v>
      </c>
    </row>
    <row r="48" spans="1:20" x14ac:dyDescent="0.25">
      <c r="A48" s="29">
        <f>Текущий!A47</f>
        <v>2</v>
      </c>
      <c r="B48" s="29">
        <f>Текущий!B47</f>
        <v>13808</v>
      </c>
      <c r="C48" s="29">
        <f>Текущий!C47</f>
        <v>2</v>
      </c>
      <c r="D48" s="29" t="str">
        <f>Текущий!D47</f>
        <v>Теплое озеро - Известковый завод</v>
      </c>
      <c r="E48" s="29">
        <f>ROUND(Текущий!J47,0)</f>
        <v>0</v>
      </c>
      <c r="F48" s="29">
        <f>Текущий!E47</f>
        <v>0</v>
      </c>
      <c r="G48" s="16" t="str">
        <f>IF(Текущий!K47="-",Текущий!K47,ROUND(Текущий!K47,0))</f>
        <v>-</v>
      </c>
      <c r="H48" s="29" t="str">
        <f>IF(ROUND(Текущий!I47,0)=0,"-",ROUND(Текущий!I47,0))</f>
        <v>-</v>
      </c>
      <c r="I48" s="16" t="str">
        <f>IF(Предыд!K47="-",Предыд!K47,ROUND(Предыд!K47,0))</f>
        <v>-</v>
      </c>
      <c r="J48" s="29" t="str">
        <f>IF(ROUND(Предыд!I47,0)=0,"-",ROUND(Предыд!I47,0))</f>
        <v>-</v>
      </c>
      <c r="K48" s="30" t="str">
        <f>Текущий!L47</f>
        <v>Рихтовка</v>
      </c>
      <c r="L48" s="29">
        <f>Текущий!AL47</f>
        <v>0</v>
      </c>
      <c r="M48" s="29">
        <f>Текущий!AM47</f>
        <v>0</v>
      </c>
      <c r="N48" s="29">
        <f>Текущий!AN47</f>
        <v>0</v>
      </c>
      <c r="O48" s="29">
        <f>Текущий!AP47</f>
        <v>0</v>
      </c>
      <c r="P48" s="29">
        <f>Предыд!AL47</f>
        <v>0</v>
      </c>
      <c r="Q48" s="29">
        <f>Предыд!AM47</f>
        <v>0</v>
      </c>
      <c r="R48" s="29">
        <f>Предыд!AN47</f>
        <v>0</v>
      </c>
      <c r="S48" s="29">
        <f>Предыд!AO47</f>
        <v>0</v>
      </c>
      <c r="T48" s="17" t="str">
        <f t="shared" si="0"/>
        <v>-</v>
      </c>
    </row>
    <row r="49" spans="1:20" x14ac:dyDescent="0.25">
      <c r="A49" s="29">
        <f>Текущий!A48</f>
        <v>2</v>
      </c>
      <c r="B49" s="29">
        <f>Текущий!B48</f>
        <v>13808</v>
      </c>
      <c r="C49" s="29">
        <f>Текущий!C48</f>
        <v>2</v>
      </c>
      <c r="D49" s="29" t="str">
        <f>Текущий!D48</f>
        <v>Известковый завод - Лондоко</v>
      </c>
      <c r="E49" s="29">
        <f>ROUND(Текущий!J48,0)</f>
        <v>0</v>
      </c>
      <c r="F49" s="29">
        <f>Текущий!E48</f>
        <v>0</v>
      </c>
      <c r="G49" s="16" t="str">
        <f>IF(Текущий!K48="-",Текущий!K48,ROUND(Текущий!K48,0))</f>
        <v>-</v>
      </c>
      <c r="H49" s="29" t="str">
        <f>IF(ROUND(Текущий!I48,0)=0,"-",ROUND(Текущий!I48,0))</f>
        <v>-</v>
      </c>
      <c r="I49" s="16" t="str">
        <f>IF(Предыд!K48="-",Предыд!K48,ROUND(Предыд!K48,0))</f>
        <v>-</v>
      </c>
      <c r="J49" s="29" t="str">
        <f>IF(ROUND(Предыд!I48,0)=0,"-",ROUND(Предыд!I48,0))</f>
        <v>-</v>
      </c>
      <c r="K49" s="30" t="str">
        <f>Текущий!L48</f>
        <v>Рихтовка</v>
      </c>
      <c r="L49" s="29">
        <f>Текущий!AL48</f>
        <v>0</v>
      </c>
      <c r="M49" s="29">
        <f>Текущий!AM48</f>
        <v>0</v>
      </c>
      <c r="N49" s="29">
        <f>Текущий!AN48</f>
        <v>0</v>
      </c>
      <c r="O49" s="29">
        <f>Текущий!AP48</f>
        <v>0</v>
      </c>
      <c r="P49" s="29">
        <f>Предыд!AL48</f>
        <v>0</v>
      </c>
      <c r="Q49" s="29">
        <f>Предыд!AM48</f>
        <v>0</v>
      </c>
      <c r="R49" s="29">
        <f>Предыд!AN48</f>
        <v>0</v>
      </c>
      <c r="S49" s="29">
        <f>Предыд!AO48</f>
        <v>0</v>
      </c>
      <c r="T49" s="17" t="str">
        <f t="shared" si="0"/>
        <v>-</v>
      </c>
    </row>
    <row r="50" spans="1:20" x14ac:dyDescent="0.25">
      <c r="A50" s="29">
        <f>Текущий!A49</f>
        <v>2</v>
      </c>
      <c r="B50" s="29">
        <f>Текущий!B49</f>
        <v>13808</v>
      </c>
      <c r="C50" s="29">
        <f>Текущий!C49</f>
        <v>2</v>
      </c>
      <c r="D50" s="29" t="str">
        <f>Текущий!D49</f>
        <v>Лондоко - Будукан</v>
      </c>
      <c r="E50" s="29">
        <f>ROUND(Текущий!J49,0)</f>
        <v>0</v>
      </c>
      <c r="F50" s="29">
        <f>Текущий!E49</f>
        <v>0</v>
      </c>
      <c r="G50" s="16" t="str">
        <f>IF(Текущий!K49="-",Текущий!K49,ROUND(Текущий!K49,0))</f>
        <v>-</v>
      </c>
      <c r="H50" s="29" t="str">
        <f>IF(ROUND(Текущий!I49,0)=0,"-",ROUND(Текущий!I49,0))</f>
        <v>-</v>
      </c>
      <c r="I50" s="16" t="str">
        <f>IF(Предыд!K49="-",Предыд!K49,ROUND(Предыд!K49,0))</f>
        <v>-</v>
      </c>
      <c r="J50" s="29" t="str">
        <f>IF(ROUND(Предыд!I49,0)=0,"-",ROUND(Предыд!I49,0))</f>
        <v>-</v>
      </c>
      <c r="K50" s="30" t="str">
        <f>Текущий!L49</f>
        <v>Рихтовка</v>
      </c>
      <c r="L50" s="29">
        <f>Текущий!AL49</f>
        <v>0</v>
      </c>
      <c r="M50" s="29">
        <f>Текущий!AM49</f>
        <v>0</v>
      </c>
      <c r="N50" s="29">
        <f>Текущий!AN49</f>
        <v>0</v>
      </c>
      <c r="O50" s="29">
        <f>Текущий!AP49</f>
        <v>0</v>
      </c>
      <c r="P50" s="29">
        <f>Предыд!AL49</f>
        <v>0</v>
      </c>
      <c r="Q50" s="29">
        <f>Предыд!AM49</f>
        <v>0</v>
      </c>
      <c r="R50" s="29">
        <f>Предыд!AN49</f>
        <v>0</v>
      </c>
      <c r="S50" s="29">
        <f>Предыд!AO49</f>
        <v>0</v>
      </c>
      <c r="T50" s="17" t="str">
        <f t="shared" si="0"/>
        <v>-</v>
      </c>
    </row>
    <row r="51" spans="1:20" x14ac:dyDescent="0.25">
      <c r="A51" s="29">
        <f>Текущий!A50</f>
        <v>2</v>
      </c>
      <c r="B51" s="29">
        <f>Текущий!B50</f>
        <v>13808</v>
      </c>
      <c r="C51" s="29">
        <f>Текущий!C50</f>
        <v>2</v>
      </c>
      <c r="D51" s="29" t="str">
        <f>Текущий!D50</f>
        <v>Будукан - Бира</v>
      </c>
      <c r="E51" s="29">
        <f>ROUND(Текущий!J50,0)</f>
        <v>0</v>
      </c>
      <c r="F51" s="29">
        <f>Текущий!E50</f>
        <v>0</v>
      </c>
      <c r="G51" s="16" t="str">
        <f>IF(Текущий!K50="-",Текущий!K50,ROUND(Текущий!K50,0))</f>
        <v>-</v>
      </c>
      <c r="H51" s="29" t="str">
        <f>IF(ROUND(Текущий!I50,0)=0,"-",ROUND(Текущий!I50,0))</f>
        <v>-</v>
      </c>
      <c r="I51" s="16" t="str">
        <f>IF(Предыд!K50="-",Предыд!K50,ROUND(Предыд!K50,0))</f>
        <v>-</v>
      </c>
      <c r="J51" s="29" t="str">
        <f>IF(ROUND(Предыд!I50,0)=0,"-",ROUND(Предыд!I50,0))</f>
        <v>-</v>
      </c>
      <c r="K51" s="30" t="str">
        <f>Текущий!L50</f>
        <v>Рихтовка</v>
      </c>
      <c r="L51" s="29">
        <f>Текущий!AL50</f>
        <v>0</v>
      </c>
      <c r="M51" s="29">
        <f>Текущий!AM50</f>
        <v>0</v>
      </c>
      <c r="N51" s="29">
        <f>Текущий!AN50</f>
        <v>0</v>
      </c>
      <c r="O51" s="29">
        <f>Текущий!AP50</f>
        <v>0</v>
      </c>
      <c r="P51" s="29">
        <f>Предыд!AL50</f>
        <v>0</v>
      </c>
      <c r="Q51" s="29">
        <f>Предыд!AM50</f>
        <v>0</v>
      </c>
      <c r="R51" s="29">
        <f>Предыд!AN50</f>
        <v>0</v>
      </c>
      <c r="S51" s="29">
        <f>Предыд!AO50</f>
        <v>0</v>
      </c>
      <c r="T51" s="17" t="str">
        <f t="shared" si="0"/>
        <v>-</v>
      </c>
    </row>
    <row r="52" spans="1:20" x14ac:dyDescent="0.25">
      <c r="A52" s="29">
        <f>Текущий!A51</f>
        <v>2</v>
      </c>
      <c r="B52" s="29">
        <f>Текущий!B51</f>
        <v>13808</v>
      </c>
      <c r="C52" s="29">
        <f>Текущий!C51</f>
        <v>2</v>
      </c>
      <c r="D52" s="29" t="str">
        <f>Текущий!D51</f>
        <v>Бира - Семисточный</v>
      </c>
      <c r="E52" s="29">
        <f>ROUND(Текущий!J51,0)</f>
        <v>0</v>
      </c>
      <c r="F52" s="29">
        <f>Текущий!E51</f>
        <v>0</v>
      </c>
      <c r="G52" s="16" t="str">
        <f>IF(Текущий!K51="-",Текущий!K51,ROUND(Текущий!K51,0))</f>
        <v>-</v>
      </c>
      <c r="H52" s="29" t="str">
        <f>IF(ROUND(Текущий!I51,0)=0,"-",ROUND(Текущий!I51,0))</f>
        <v>-</v>
      </c>
      <c r="I52" s="16" t="str">
        <f>IF(Предыд!K51="-",Предыд!K51,ROUND(Предыд!K51,0))</f>
        <v>-</v>
      </c>
      <c r="J52" s="29" t="str">
        <f>IF(ROUND(Предыд!I51,0)=0,"-",ROUND(Предыд!I51,0))</f>
        <v>-</v>
      </c>
      <c r="K52" s="30" t="str">
        <f>Текущий!L51</f>
        <v>Рихтовка</v>
      </c>
      <c r="L52" s="29">
        <f>Текущий!AL51</f>
        <v>0</v>
      </c>
      <c r="M52" s="29">
        <f>Текущий!AM51</f>
        <v>0</v>
      </c>
      <c r="N52" s="29">
        <f>Текущий!AN51</f>
        <v>0</v>
      </c>
      <c r="O52" s="29">
        <f>Текущий!AP51</f>
        <v>0</v>
      </c>
      <c r="P52" s="29">
        <f>Предыд!AL51</f>
        <v>0</v>
      </c>
      <c r="Q52" s="29">
        <f>Предыд!AM51</f>
        <v>0</v>
      </c>
      <c r="R52" s="29">
        <f>Предыд!AN51</f>
        <v>0</v>
      </c>
      <c r="S52" s="29">
        <f>Предыд!AO51</f>
        <v>0</v>
      </c>
      <c r="T52" s="17" t="str">
        <f t="shared" si="0"/>
        <v>-</v>
      </c>
    </row>
    <row r="53" spans="1:20" x14ac:dyDescent="0.25">
      <c r="A53" s="29">
        <f>Текущий!A52</f>
        <v>2</v>
      </c>
      <c r="B53" s="29">
        <f>Текущий!B52</f>
        <v>13808</v>
      </c>
      <c r="C53" s="29">
        <f>Текущий!C52</f>
        <v>2</v>
      </c>
      <c r="D53" s="29" t="str">
        <f>Текущий!D52</f>
        <v>Семисточный - Кирга</v>
      </c>
      <c r="E53" s="29">
        <f>ROUND(Текущий!J52,0)</f>
        <v>0</v>
      </c>
      <c r="F53" s="29">
        <f>Текущий!E52</f>
        <v>0</v>
      </c>
      <c r="G53" s="16" t="str">
        <f>IF(Текущий!K52="-",Текущий!K52,ROUND(Текущий!K52,0))</f>
        <v>-</v>
      </c>
      <c r="H53" s="29" t="str">
        <f>IF(ROUND(Текущий!I52,0)=0,"-",ROUND(Текущий!I52,0))</f>
        <v>-</v>
      </c>
      <c r="I53" s="16" t="str">
        <f>IF(Предыд!K52="-",Предыд!K52,ROUND(Предыд!K52,0))</f>
        <v>-</v>
      </c>
      <c r="J53" s="29" t="str">
        <f>IF(ROUND(Предыд!I52,0)=0,"-",ROUND(Предыд!I52,0))</f>
        <v>-</v>
      </c>
      <c r="K53" s="30" t="str">
        <f>Текущий!L52</f>
        <v>Рихтовка</v>
      </c>
      <c r="L53" s="29">
        <f>Текущий!AL52</f>
        <v>0</v>
      </c>
      <c r="M53" s="29">
        <f>Текущий!AM52</f>
        <v>0</v>
      </c>
      <c r="N53" s="29">
        <f>Текущий!AN52</f>
        <v>0</v>
      </c>
      <c r="O53" s="29">
        <f>Текущий!AP52</f>
        <v>0</v>
      </c>
      <c r="P53" s="29">
        <f>Предыд!AL52</f>
        <v>0</v>
      </c>
      <c r="Q53" s="29">
        <f>Предыд!AM52</f>
        <v>0</v>
      </c>
      <c r="R53" s="29">
        <f>Предыд!AN52</f>
        <v>0</v>
      </c>
      <c r="S53" s="29">
        <f>Предыд!AO52</f>
        <v>0</v>
      </c>
      <c r="T53" s="17" t="str">
        <f t="shared" si="0"/>
        <v>-</v>
      </c>
    </row>
    <row r="54" spans="1:20" x14ac:dyDescent="0.25">
      <c r="A54" s="29">
        <f>Текущий!A53</f>
        <v>2</v>
      </c>
      <c r="B54" s="29">
        <f>Текущий!B53</f>
        <v>13808</v>
      </c>
      <c r="C54" s="29">
        <f>Текущий!C53</f>
        <v>2</v>
      </c>
      <c r="D54" s="29" t="str">
        <f>Текущий!D53</f>
        <v>Кирга - Биробиджан I</v>
      </c>
      <c r="E54" s="29">
        <f>ROUND(Текущий!J53,0)</f>
        <v>0</v>
      </c>
      <c r="F54" s="29">
        <f>Текущий!E53</f>
        <v>0</v>
      </c>
      <c r="G54" s="16" t="str">
        <f>IF(Текущий!K53="-",Текущий!K53,ROUND(Текущий!K53,0))</f>
        <v>-</v>
      </c>
      <c r="H54" s="29" t="str">
        <f>IF(ROUND(Текущий!I53,0)=0,"-",ROUND(Текущий!I53,0))</f>
        <v>-</v>
      </c>
      <c r="I54" s="16" t="str">
        <f>IF(Предыд!K53="-",Предыд!K53,ROUND(Предыд!K53,0))</f>
        <v>-</v>
      </c>
      <c r="J54" s="29" t="str">
        <f>IF(ROUND(Предыд!I53,0)=0,"-",ROUND(Предыд!I53,0))</f>
        <v>-</v>
      </c>
      <c r="K54" s="30" t="str">
        <f>Текущий!L53</f>
        <v>Рихтовка</v>
      </c>
      <c r="L54" s="29">
        <f>Текущий!AL53</f>
        <v>0</v>
      </c>
      <c r="M54" s="29">
        <f>Текущий!AM53</f>
        <v>0</v>
      </c>
      <c r="N54" s="29">
        <f>Текущий!AN53</f>
        <v>0</v>
      </c>
      <c r="O54" s="29">
        <f>Текущий!AP53</f>
        <v>0</v>
      </c>
      <c r="P54" s="29">
        <f>Предыд!AL53</f>
        <v>0</v>
      </c>
      <c r="Q54" s="29">
        <f>Предыд!AM53</f>
        <v>0</v>
      </c>
      <c r="R54" s="29">
        <f>Предыд!AN53</f>
        <v>0</v>
      </c>
      <c r="S54" s="29">
        <f>Предыд!AO53</f>
        <v>0</v>
      </c>
      <c r="T54" s="17" t="str">
        <f t="shared" si="0"/>
        <v>-</v>
      </c>
    </row>
    <row r="55" spans="1:20" x14ac:dyDescent="0.25">
      <c r="A55" s="29">
        <f>Текущий!A54</f>
        <v>2</v>
      </c>
      <c r="B55" s="29">
        <f>Текущий!B54</f>
        <v>13873</v>
      </c>
      <c r="C55" s="29" t="str">
        <f>Текущий!C54</f>
        <v>Лен</v>
      </c>
      <c r="D55" s="29" t="str">
        <f>Текущий!D54</f>
        <v>Биробиджан I - Биробиджан II</v>
      </c>
      <c r="E55" s="29">
        <f>ROUND(Текущий!J54,0)</f>
        <v>0</v>
      </c>
      <c r="F55" s="29">
        <f>Текущий!E54</f>
        <v>0</v>
      </c>
      <c r="G55" s="16" t="str">
        <f>IF(Текущий!K54="-",Текущий!K54,ROUND(Текущий!K54,0))</f>
        <v>-</v>
      </c>
      <c r="H55" s="29" t="str">
        <f>IF(ROUND(Текущий!I54,0)=0,"-",ROUND(Текущий!I54,0))</f>
        <v>-</v>
      </c>
      <c r="I55" s="16" t="str">
        <f>IF(Предыд!K54="-",Предыд!K54,ROUND(Предыд!K54,0))</f>
        <v>-</v>
      </c>
      <c r="J55" s="29" t="str">
        <f>IF(ROUND(Предыд!I54,0)=0,"-",ROUND(Предыд!I54,0))</f>
        <v>-</v>
      </c>
      <c r="K55" s="30" t="str">
        <f>Текущий!L54</f>
        <v>Рихтовка</v>
      </c>
      <c r="L55" s="29">
        <f>Текущий!AL54</f>
        <v>0</v>
      </c>
      <c r="M55" s="29">
        <f>Текущий!AM54</f>
        <v>0</v>
      </c>
      <c r="N55" s="29">
        <f>Текущий!AN54</f>
        <v>0</v>
      </c>
      <c r="O55" s="29">
        <f>Текущий!AP54</f>
        <v>0</v>
      </c>
      <c r="P55" s="29">
        <f>Предыд!AL54</f>
        <v>0</v>
      </c>
      <c r="Q55" s="29">
        <f>Предыд!AM54</f>
        <v>0</v>
      </c>
      <c r="R55" s="29">
        <f>Предыд!AN54</f>
        <v>0</v>
      </c>
      <c r="S55" s="29">
        <f>Предыд!AO54</f>
        <v>0</v>
      </c>
      <c r="T55" s="17" t="str">
        <f t="shared" si="0"/>
        <v>-</v>
      </c>
    </row>
    <row r="56" spans="1:20" x14ac:dyDescent="0.25">
      <c r="A56" s="29">
        <f>Текущий!A55</f>
        <v>2</v>
      </c>
      <c r="B56" s="29">
        <f>Текущий!B55</f>
        <v>13873</v>
      </c>
      <c r="C56" s="29" t="str">
        <f>Текущий!C55</f>
        <v>Лен</v>
      </c>
      <c r="D56" s="29" t="str">
        <f>Текущий!D55</f>
        <v>Биробиджан II - Бирофельд</v>
      </c>
      <c r="E56" s="29">
        <f>ROUND(Текущий!J55,0)</f>
        <v>0</v>
      </c>
      <c r="F56" s="29">
        <f>Текущий!E55</f>
        <v>0</v>
      </c>
      <c r="G56" s="16" t="str">
        <f>IF(Текущий!K55="-",Текущий!K55,ROUND(Текущий!K55,0))</f>
        <v>-</v>
      </c>
      <c r="H56" s="29" t="str">
        <f>IF(ROUND(Текущий!I55,0)=0,"-",ROUND(Текущий!I55,0))</f>
        <v>-</v>
      </c>
      <c r="I56" s="16" t="str">
        <f>IF(Предыд!K55="-",Предыд!K55,ROUND(Предыд!K55,0))</f>
        <v>-</v>
      </c>
      <c r="J56" s="29" t="str">
        <f>IF(ROUND(Предыд!I55,0)=0,"-",ROUND(Предыд!I55,0))</f>
        <v>-</v>
      </c>
      <c r="K56" s="30" t="str">
        <f>Текущий!L55</f>
        <v>Рихтовка</v>
      </c>
      <c r="L56" s="29">
        <f>Текущий!AL55</f>
        <v>0</v>
      </c>
      <c r="M56" s="29">
        <f>Текущий!AM55</f>
        <v>0</v>
      </c>
      <c r="N56" s="29">
        <f>Текущий!AN55</f>
        <v>0</v>
      </c>
      <c r="O56" s="29">
        <f>Текущий!AP55</f>
        <v>0</v>
      </c>
      <c r="P56" s="29">
        <f>Предыд!AL55</f>
        <v>0</v>
      </c>
      <c r="Q56" s="29">
        <f>Предыд!AM55</f>
        <v>0</v>
      </c>
      <c r="R56" s="29">
        <f>Предыд!AN55</f>
        <v>0</v>
      </c>
      <c r="S56" s="29">
        <f>Предыд!AO55</f>
        <v>0</v>
      </c>
      <c r="T56" s="17" t="str">
        <f t="shared" si="0"/>
        <v>-</v>
      </c>
    </row>
    <row r="57" spans="1:20" x14ac:dyDescent="0.25">
      <c r="A57" s="29">
        <f>Текущий!A56</f>
        <v>2</v>
      </c>
      <c r="B57" s="29">
        <f>Текущий!B56</f>
        <v>13873</v>
      </c>
      <c r="C57" s="29" t="str">
        <f>Текущий!C56</f>
        <v>Лен</v>
      </c>
      <c r="D57" s="29" t="str">
        <f>Текущий!D56</f>
        <v>Бирофельд - Унгун</v>
      </c>
      <c r="E57" s="29">
        <f>ROUND(Текущий!J56,0)</f>
        <v>0</v>
      </c>
      <c r="F57" s="29">
        <f>Текущий!E56</f>
        <v>0</v>
      </c>
      <c r="G57" s="16" t="str">
        <f>IF(Текущий!K56="-",Текущий!K56,ROUND(Текущий!K56,0))</f>
        <v>-</v>
      </c>
      <c r="H57" s="29" t="str">
        <f>IF(ROUND(Текущий!I56,0)=0,"-",ROUND(Текущий!I56,0))</f>
        <v>-</v>
      </c>
      <c r="I57" s="16" t="str">
        <f>IF(Предыд!K56="-",Предыд!K56,ROUND(Предыд!K56,0))</f>
        <v>-</v>
      </c>
      <c r="J57" s="29" t="str">
        <f>IF(ROUND(Предыд!I56,0)=0,"-",ROUND(Предыд!I56,0))</f>
        <v>-</v>
      </c>
      <c r="K57" s="30" t="str">
        <f>Текущий!L56</f>
        <v>Рихтовка</v>
      </c>
      <c r="L57" s="29">
        <f>Текущий!AL56</f>
        <v>0</v>
      </c>
      <c r="M57" s="29">
        <f>Текущий!AM56</f>
        <v>0</v>
      </c>
      <c r="N57" s="29">
        <f>Текущий!AN56</f>
        <v>0</v>
      </c>
      <c r="O57" s="29">
        <f>Текущий!AP56</f>
        <v>0</v>
      </c>
      <c r="P57" s="29">
        <f>Предыд!AL56</f>
        <v>0</v>
      </c>
      <c r="Q57" s="29">
        <f>Предыд!AM56</f>
        <v>0</v>
      </c>
      <c r="R57" s="29">
        <f>Предыд!AN56</f>
        <v>0</v>
      </c>
      <c r="S57" s="29">
        <f>Предыд!AO56</f>
        <v>0</v>
      </c>
      <c r="T57" s="17" t="str">
        <f t="shared" si="0"/>
        <v>-</v>
      </c>
    </row>
    <row r="58" spans="1:20" x14ac:dyDescent="0.25">
      <c r="A58" s="29">
        <f>Текущий!A57</f>
        <v>2</v>
      </c>
      <c r="B58" s="29">
        <f>Текущий!B57</f>
        <v>13873</v>
      </c>
      <c r="C58" s="29" t="str">
        <f>Текущий!C57</f>
        <v>Лен</v>
      </c>
      <c r="D58" s="29" t="str">
        <f>Текущий!D57</f>
        <v>Унгун - Ленинск</v>
      </c>
      <c r="E58" s="29">
        <f>ROUND(Текущий!J57,0)</f>
        <v>0</v>
      </c>
      <c r="F58" s="29">
        <f>Текущий!E57</f>
        <v>0</v>
      </c>
      <c r="G58" s="16" t="str">
        <f>IF(Текущий!K57="-",Текущий!K57,ROUND(Текущий!K57,0))</f>
        <v>-</v>
      </c>
      <c r="H58" s="29" t="str">
        <f>IF(ROUND(Текущий!I57,0)=0,"-",ROUND(Текущий!I57,0))</f>
        <v>-</v>
      </c>
      <c r="I58" s="16" t="str">
        <f>IF(Предыд!K57="-",Предыд!K57,ROUND(Предыд!K57,0))</f>
        <v>-</v>
      </c>
      <c r="J58" s="29" t="str">
        <f>IF(ROUND(Предыд!I57,0)=0,"-",ROUND(Предыд!I57,0))</f>
        <v>-</v>
      </c>
      <c r="K58" s="30" t="str">
        <f>Текущий!L57</f>
        <v>Рихтовка</v>
      </c>
      <c r="L58" s="29">
        <f>Текущий!AL57</f>
        <v>0</v>
      </c>
      <c r="M58" s="29">
        <f>Текущий!AM57</f>
        <v>0</v>
      </c>
      <c r="N58" s="29">
        <f>Текущий!AN57</f>
        <v>0</v>
      </c>
      <c r="O58" s="29">
        <f>Текущий!AP57</f>
        <v>0</v>
      </c>
      <c r="P58" s="29">
        <f>Предыд!AL57</f>
        <v>0</v>
      </c>
      <c r="Q58" s="29">
        <f>Предыд!AM57</f>
        <v>0</v>
      </c>
      <c r="R58" s="29">
        <f>Предыд!AN57</f>
        <v>0</v>
      </c>
      <c r="S58" s="29">
        <f>Предыд!AO57</f>
        <v>0</v>
      </c>
      <c r="T58" s="17" t="str">
        <f t="shared" si="0"/>
        <v>-</v>
      </c>
    </row>
    <row r="59" spans="1:20" x14ac:dyDescent="0.25">
      <c r="A59" s="29">
        <f>Текущий!A58</f>
        <v>2</v>
      </c>
      <c r="B59" s="29">
        <f>Текущий!B58</f>
        <v>24901</v>
      </c>
      <c r="C59" s="29">
        <f>Текущий!C58</f>
        <v>1</v>
      </c>
      <c r="D59" s="29" t="str">
        <f>Текущий!D58</f>
        <v>Известковая - Брусит</v>
      </c>
      <c r="E59" s="29">
        <f>ROUND(Текущий!J58,0)</f>
        <v>0</v>
      </c>
      <c r="F59" s="29">
        <f>Текущий!E58</f>
        <v>0</v>
      </c>
      <c r="G59" s="16" t="str">
        <f>IF(Текущий!K58="-",Текущий!K58,ROUND(Текущий!K58,0))</f>
        <v>-</v>
      </c>
      <c r="H59" s="29" t="str">
        <f>IF(ROUND(Текущий!I58,0)=0,"-",ROUND(Текущий!I58,0))</f>
        <v>-</v>
      </c>
      <c r="I59" s="16" t="str">
        <f>IF(Предыд!K58="-",Предыд!K58,ROUND(Предыд!K58,0))</f>
        <v>-</v>
      </c>
      <c r="J59" s="29" t="str">
        <f>IF(ROUND(Предыд!I58,0)=0,"-",ROUND(Предыд!I58,0))</f>
        <v>-</v>
      </c>
      <c r="K59" s="30" t="str">
        <f>Текущий!L58</f>
        <v>Рихтовка</v>
      </c>
      <c r="L59" s="29">
        <f>Текущий!AL58</f>
        <v>0</v>
      </c>
      <c r="M59" s="29">
        <f>Текущий!AM58</f>
        <v>0</v>
      </c>
      <c r="N59" s="29">
        <f>Текущий!AN58</f>
        <v>0</v>
      </c>
      <c r="O59" s="29">
        <f>Текущий!AP58</f>
        <v>0</v>
      </c>
      <c r="P59" s="29">
        <f>Предыд!AL58</f>
        <v>0</v>
      </c>
      <c r="Q59" s="29">
        <f>Предыд!AM58</f>
        <v>0</v>
      </c>
      <c r="R59" s="29">
        <f>Предыд!AN58</f>
        <v>0</v>
      </c>
      <c r="S59" s="29">
        <f>Предыд!AO58</f>
        <v>0</v>
      </c>
      <c r="T59" s="17" t="str">
        <f t="shared" si="0"/>
        <v>-</v>
      </c>
    </row>
    <row r="60" spans="1:20" x14ac:dyDescent="0.25">
      <c r="A60" s="29">
        <f>Текущий!A59</f>
        <v>28</v>
      </c>
      <c r="B60" s="29">
        <f>Текущий!B59</f>
        <v>24901</v>
      </c>
      <c r="C60" s="29">
        <f>Текущий!C59</f>
        <v>1</v>
      </c>
      <c r="D60" s="29" t="str">
        <f>Текущий!D59</f>
        <v>Известковая - Брусит</v>
      </c>
      <c r="E60" s="29">
        <f>ROUND(Текущий!J59,0)</f>
        <v>0</v>
      </c>
      <c r="F60" s="29">
        <f>Текущий!E59</f>
        <v>0</v>
      </c>
      <c r="G60" s="16" t="str">
        <f>IF(Текущий!K59="-",Текущий!K59,ROUND(Текущий!K59,0))</f>
        <v>-</v>
      </c>
      <c r="H60" s="29" t="str">
        <f>IF(ROUND(Текущий!I59,0)=0,"-",ROUND(Текущий!I59,0))</f>
        <v>-</v>
      </c>
      <c r="I60" s="16" t="str">
        <f>IF(Предыд!K59="-",Предыд!K59,ROUND(Предыд!K59,0))</f>
        <v>-</v>
      </c>
      <c r="J60" s="29" t="str">
        <f>IF(ROUND(Предыд!I59,0)=0,"-",ROUND(Предыд!I59,0))</f>
        <v>-</v>
      </c>
      <c r="K60" s="30" t="str">
        <f>Текущий!L59</f>
        <v>Рихтовка</v>
      </c>
      <c r="L60" s="29">
        <f>Текущий!AL59</f>
        <v>0</v>
      </c>
      <c r="M60" s="29">
        <f>Текущий!AM59</f>
        <v>0</v>
      </c>
      <c r="N60" s="29">
        <f>Текущий!AN59</f>
        <v>0</v>
      </c>
      <c r="O60" s="29">
        <f>Текущий!AP59</f>
        <v>0</v>
      </c>
      <c r="P60" s="29">
        <f>Предыд!AL59</f>
        <v>0</v>
      </c>
      <c r="Q60" s="29">
        <f>Предыд!AM59</f>
        <v>0</v>
      </c>
      <c r="R60" s="29">
        <f>Предыд!AN59</f>
        <v>0</v>
      </c>
      <c r="S60" s="29">
        <f>Предыд!AO59</f>
        <v>0</v>
      </c>
      <c r="T60" s="17" t="str">
        <f t="shared" si="0"/>
        <v>-</v>
      </c>
    </row>
    <row r="61" spans="1:20" x14ac:dyDescent="0.25">
      <c r="A61" s="29">
        <f>Текущий!A60</f>
        <v>28</v>
      </c>
      <c r="B61" s="29">
        <f>Текущий!B60</f>
        <v>24901</v>
      </c>
      <c r="C61" s="29">
        <f>Текущий!C60</f>
        <v>1</v>
      </c>
      <c r="D61" s="29" t="str">
        <f>Текущий!D60</f>
        <v>Брусит - Кульдур</v>
      </c>
      <c r="E61" s="29">
        <f>ROUND(Текущий!J60,0)</f>
        <v>0</v>
      </c>
      <c r="F61" s="29">
        <f>Текущий!E60</f>
        <v>0</v>
      </c>
      <c r="G61" s="16" t="str">
        <f>IF(Текущий!K60="-",Текущий!K60,ROUND(Текущий!K60,0))</f>
        <v>-</v>
      </c>
      <c r="H61" s="29" t="str">
        <f>IF(ROUND(Текущий!I60,0)=0,"-",ROUND(Текущий!I60,0))</f>
        <v>-</v>
      </c>
      <c r="I61" s="16" t="str">
        <f>IF(Предыд!K60="-",Предыд!K60,ROUND(Предыд!K60,0))</f>
        <v>-</v>
      </c>
      <c r="J61" s="29" t="str">
        <f>IF(ROUND(Предыд!I60,0)=0,"-",ROUND(Предыд!I60,0))</f>
        <v>-</v>
      </c>
      <c r="K61" s="30" t="str">
        <f>Текущий!L60</f>
        <v>Рихтовка</v>
      </c>
      <c r="L61" s="29">
        <f>Текущий!AL60</f>
        <v>0</v>
      </c>
      <c r="M61" s="29">
        <f>Текущий!AM60</f>
        <v>0</v>
      </c>
      <c r="N61" s="29">
        <f>Текущий!AN60</f>
        <v>0</v>
      </c>
      <c r="O61" s="29">
        <f>Текущий!AP60</f>
        <v>0</v>
      </c>
      <c r="P61" s="29">
        <f>Предыд!AL60</f>
        <v>0</v>
      </c>
      <c r="Q61" s="29">
        <f>Предыд!AM60</f>
        <v>0</v>
      </c>
      <c r="R61" s="29">
        <f>Предыд!AN60</f>
        <v>0</v>
      </c>
      <c r="S61" s="29">
        <f>Предыд!AO60</f>
        <v>0</v>
      </c>
      <c r="T61" s="17" t="str">
        <f t="shared" si="0"/>
        <v>-</v>
      </c>
    </row>
    <row r="62" spans="1:20" x14ac:dyDescent="0.25">
      <c r="A62" s="29">
        <f>Текущий!A61</f>
        <v>28</v>
      </c>
      <c r="B62" s="29">
        <f>Текущий!B61</f>
        <v>24901</v>
      </c>
      <c r="C62" s="29">
        <f>Текущий!C61</f>
        <v>1</v>
      </c>
      <c r="D62" s="29" t="str">
        <f>Текущий!D61</f>
        <v>Кульдур - Перевальный</v>
      </c>
      <c r="E62" s="29">
        <f>ROUND(Текущий!J61,0)</f>
        <v>0</v>
      </c>
      <c r="F62" s="29">
        <f>Текущий!E61</f>
        <v>0</v>
      </c>
      <c r="G62" s="16" t="str">
        <f>IF(Текущий!K61="-",Текущий!K61,ROUND(Текущий!K61,0))</f>
        <v>-</v>
      </c>
      <c r="H62" s="29" t="str">
        <f>IF(ROUND(Текущий!I61,0)=0,"-",ROUND(Текущий!I61,0))</f>
        <v>-</v>
      </c>
      <c r="I62" s="16" t="str">
        <f>IF(Предыд!K61="-",Предыд!K61,ROUND(Предыд!K61,0))</f>
        <v>-</v>
      </c>
      <c r="J62" s="29" t="str">
        <f>IF(ROUND(Предыд!I61,0)=0,"-",ROUND(Предыд!I61,0))</f>
        <v>-</v>
      </c>
      <c r="K62" s="30" t="str">
        <f>Текущий!L61</f>
        <v>Рихтовка</v>
      </c>
      <c r="L62" s="29">
        <f>Текущий!AL61</f>
        <v>0</v>
      </c>
      <c r="M62" s="29">
        <f>Текущий!AM61</f>
        <v>0</v>
      </c>
      <c r="N62" s="29">
        <f>Текущий!AN61</f>
        <v>0</v>
      </c>
      <c r="O62" s="29">
        <f>Текущий!AP61</f>
        <v>0</v>
      </c>
      <c r="P62" s="29">
        <f>Предыд!AL61</f>
        <v>0</v>
      </c>
      <c r="Q62" s="29">
        <f>Предыд!AM61</f>
        <v>0</v>
      </c>
      <c r="R62" s="29">
        <f>Предыд!AN61</f>
        <v>0</v>
      </c>
      <c r="S62" s="29">
        <f>Предыд!AO61</f>
        <v>0</v>
      </c>
      <c r="T62" s="17" t="str">
        <f t="shared" si="0"/>
        <v>-</v>
      </c>
    </row>
    <row r="63" spans="1:20" x14ac:dyDescent="0.25">
      <c r="A63" s="29">
        <f>Текущий!A62</f>
        <v>28</v>
      </c>
      <c r="B63" s="29">
        <f>Текущий!B62</f>
        <v>24901</v>
      </c>
      <c r="C63" s="29">
        <f>Текущий!C62</f>
        <v>1</v>
      </c>
      <c r="D63" s="29" t="str">
        <f>Текущий!D62</f>
        <v>Перевальный - Таланжа</v>
      </c>
      <c r="E63" s="29">
        <f>ROUND(Текущий!J62,0)</f>
        <v>0</v>
      </c>
      <c r="F63" s="29">
        <f>Текущий!E62</f>
        <v>0</v>
      </c>
      <c r="G63" s="16" t="str">
        <f>IF(Текущий!K62="-",Текущий!K62,ROUND(Текущий!K62,0))</f>
        <v>-</v>
      </c>
      <c r="H63" s="29" t="str">
        <f>IF(ROUND(Текущий!I62,0)=0,"-",ROUND(Текущий!I62,0))</f>
        <v>-</v>
      </c>
      <c r="I63" s="16" t="str">
        <f>IF(Предыд!K62="-",Предыд!K62,ROUND(Предыд!K62,0))</f>
        <v>-</v>
      </c>
      <c r="J63" s="29" t="str">
        <f>IF(ROUND(Предыд!I62,0)=0,"-",ROUND(Предыд!I62,0))</f>
        <v>-</v>
      </c>
      <c r="K63" s="30" t="str">
        <f>Текущий!L62</f>
        <v>Рихтовка</v>
      </c>
      <c r="L63" s="29">
        <f>Текущий!AL62</f>
        <v>0</v>
      </c>
      <c r="M63" s="29">
        <f>Текущий!AM62</f>
        <v>0</v>
      </c>
      <c r="N63" s="29">
        <f>Текущий!AN62</f>
        <v>0</v>
      </c>
      <c r="O63" s="29">
        <f>Текущий!AP62</f>
        <v>0</v>
      </c>
      <c r="P63" s="29">
        <f>Предыд!AL62</f>
        <v>0</v>
      </c>
      <c r="Q63" s="29">
        <f>Предыд!AM62</f>
        <v>0</v>
      </c>
      <c r="R63" s="29">
        <f>Предыд!AN62</f>
        <v>0</v>
      </c>
      <c r="S63" s="29">
        <f>Предыд!AO62</f>
        <v>0</v>
      </c>
      <c r="T63" s="17" t="str">
        <f t="shared" si="0"/>
        <v>-</v>
      </c>
    </row>
    <row r="64" spans="1:20" x14ac:dyDescent="0.25">
      <c r="A64" s="29">
        <f>Текущий!A63</f>
        <v>28</v>
      </c>
      <c r="B64" s="29">
        <f>Текущий!B63</f>
        <v>24901</v>
      </c>
      <c r="C64" s="29">
        <f>Текущий!C63</f>
        <v>1</v>
      </c>
      <c r="D64" s="29" t="str">
        <f>Текущий!D63</f>
        <v>Таланжа - Зимовье</v>
      </c>
      <c r="E64" s="29">
        <f>ROUND(Текущий!J63,0)</f>
        <v>0</v>
      </c>
      <c r="F64" s="29">
        <f>Текущий!E63</f>
        <v>0</v>
      </c>
      <c r="G64" s="16" t="str">
        <f>IF(Текущий!K63="-",Текущий!K63,ROUND(Текущий!K63,0))</f>
        <v>-</v>
      </c>
      <c r="H64" s="29" t="str">
        <f>IF(ROUND(Текущий!I63,0)=0,"-",ROUND(Текущий!I63,0))</f>
        <v>-</v>
      </c>
      <c r="I64" s="16" t="str">
        <f>IF(Предыд!K63="-",Предыд!K63,ROUND(Предыд!K63,0))</f>
        <v>-</v>
      </c>
      <c r="J64" s="29" t="str">
        <f>IF(ROUND(Предыд!I63,0)=0,"-",ROUND(Предыд!I63,0))</f>
        <v>-</v>
      </c>
      <c r="K64" s="30" t="str">
        <f>Текущий!L63</f>
        <v>Рихтовка</v>
      </c>
      <c r="L64" s="29">
        <f>Текущий!AL63</f>
        <v>0</v>
      </c>
      <c r="M64" s="29">
        <f>Текущий!AM63</f>
        <v>0</v>
      </c>
      <c r="N64" s="29">
        <f>Текущий!AN63</f>
        <v>0</v>
      </c>
      <c r="O64" s="29">
        <f>Текущий!AP63</f>
        <v>0</v>
      </c>
      <c r="P64" s="29">
        <f>Предыд!AL63</f>
        <v>0</v>
      </c>
      <c r="Q64" s="29">
        <f>Предыд!AM63</f>
        <v>0</v>
      </c>
      <c r="R64" s="29">
        <f>Предыд!AN63</f>
        <v>0</v>
      </c>
      <c r="S64" s="29">
        <f>Предыд!AO63</f>
        <v>0</v>
      </c>
      <c r="T64" s="17" t="str">
        <f t="shared" si="0"/>
        <v>-</v>
      </c>
    </row>
    <row r="65" spans="1:20" x14ac:dyDescent="0.25">
      <c r="A65" s="29">
        <f>Текущий!A64</f>
        <v>28</v>
      </c>
      <c r="B65" s="29">
        <f>Текущий!B64</f>
        <v>24901</v>
      </c>
      <c r="C65" s="29">
        <f>Текущий!C64</f>
        <v>1</v>
      </c>
      <c r="D65" s="29" t="str">
        <f>Текущий!D64</f>
        <v>Зимовье - Эхилкан</v>
      </c>
      <c r="E65" s="29">
        <f>ROUND(Текущий!J64,0)</f>
        <v>0</v>
      </c>
      <c r="F65" s="29">
        <f>Текущий!E64</f>
        <v>0</v>
      </c>
      <c r="G65" s="16" t="str">
        <f>IF(Текущий!K64="-",Текущий!K64,ROUND(Текущий!K64,0))</f>
        <v>-</v>
      </c>
      <c r="H65" s="29" t="str">
        <f>IF(ROUND(Текущий!I64,0)=0,"-",ROUND(Текущий!I64,0))</f>
        <v>-</v>
      </c>
      <c r="I65" s="16" t="str">
        <f>IF(Предыд!K64="-",Предыд!K64,ROUND(Предыд!K64,0))</f>
        <v>-</v>
      </c>
      <c r="J65" s="29" t="str">
        <f>IF(ROUND(Предыд!I64,0)=0,"-",ROUND(Предыд!I64,0))</f>
        <v>-</v>
      </c>
      <c r="K65" s="30" t="str">
        <f>Текущий!L64</f>
        <v>Рихтовка</v>
      </c>
      <c r="L65" s="29">
        <f>Текущий!AL64</f>
        <v>0</v>
      </c>
      <c r="M65" s="29">
        <f>Текущий!AM64</f>
        <v>0</v>
      </c>
      <c r="N65" s="29">
        <f>Текущий!AN64</f>
        <v>0</v>
      </c>
      <c r="O65" s="29">
        <f>Текущий!AP64</f>
        <v>0</v>
      </c>
      <c r="P65" s="29">
        <f>Предыд!AL64</f>
        <v>0</v>
      </c>
      <c r="Q65" s="29">
        <f>Предыд!AM64</f>
        <v>0</v>
      </c>
      <c r="R65" s="29">
        <f>Предыд!AN64</f>
        <v>0</v>
      </c>
      <c r="S65" s="29">
        <f>Предыд!AO64</f>
        <v>0</v>
      </c>
      <c r="T65" s="17" t="str">
        <f t="shared" si="0"/>
        <v>-</v>
      </c>
    </row>
    <row r="66" spans="1:20" x14ac:dyDescent="0.25">
      <c r="A66" s="29">
        <f>Текущий!A65</f>
        <v>28</v>
      </c>
      <c r="B66" s="29">
        <f>Текущий!B65</f>
        <v>24901</v>
      </c>
      <c r="C66" s="29">
        <f>Текущий!C65</f>
        <v>1</v>
      </c>
      <c r="D66" s="29" t="str">
        <f>Текущий!D65</f>
        <v>Эхилкан - Таракелок</v>
      </c>
      <c r="E66" s="29">
        <f>ROUND(Текущий!J65,0)</f>
        <v>0</v>
      </c>
      <c r="F66" s="29">
        <f>Текущий!E65</f>
        <v>0</v>
      </c>
      <c r="G66" s="16" t="str">
        <f>IF(Текущий!K65="-",Текущий!K65,ROUND(Текущий!K65,0))</f>
        <v>-</v>
      </c>
      <c r="H66" s="29" t="str">
        <f>IF(ROUND(Текущий!I65,0)=0,"-",ROUND(Текущий!I65,0))</f>
        <v>-</v>
      </c>
      <c r="I66" s="16" t="str">
        <f>IF(Предыд!K65="-",Предыд!K65,ROUND(Предыд!K65,0))</f>
        <v>-</v>
      </c>
      <c r="J66" s="29" t="str">
        <f>IF(ROUND(Предыд!I65,0)=0,"-",ROUND(Предыд!I65,0))</f>
        <v>-</v>
      </c>
      <c r="K66" s="30" t="str">
        <f>Текущий!L65</f>
        <v>Рихтовка</v>
      </c>
      <c r="L66" s="29">
        <f>Текущий!AL65</f>
        <v>0</v>
      </c>
      <c r="M66" s="29">
        <f>Текущий!AM65</f>
        <v>0</v>
      </c>
      <c r="N66" s="29">
        <f>Текущий!AN65</f>
        <v>0</v>
      </c>
      <c r="O66" s="29">
        <f>Текущий!AP65</f>
        <v>0</v>
      </c>
      <c r="P66" s="29">
        <f>Предыд!AL65</f>
        <v>0</v>
      </c>
      <c r="Q66" s="29">
        <f>Предыд!AM65</f>
        <v>0</v>
      </c>
      <c r="R66" s="29">
        <f>Предыд!AN65</f>
        <v>0</v>
      </c>
      <c r="S66" s="29">
        <f>Предыд!AO65</f>
        <v>0</v>
      </c>
      <c r="T66" s="17" t="str">
        <f t="shared" si="0"/>
        <v>-</v>
      </c>
    </row>
    <row r="67" spans="1:20" x14ac:dyDescent="0.25">
      <c r="A67" s="29">
        <f>Текущий!A66</f>
        <v>28</v>
      </c>
      <c r="B67" s="29">
        <f>Текущий!B66</f>
        <v>24901</v>
      </c>
      <c r="C67" s="29">
        <f>Текущий!C66</f>
        <v>1</v>
      </c>
      <c r="D67" s="29" t="str">
        <f>Текущий!D66</f>
        <v>Таракелок - Аланап</v>
      </c>
      <c r="E67" s="29">
        <f>ROUND(Текущий!J66,0)</f>
        <v>0</v>
      </c>
      <c r="F67" s="29">
        <f>Текущий!E66</f>
        <v>0</v>
      </c>
      <c r="G67" s="16" t="str">
        <f>IF(Текущий!K66="-",Текущий!K66,ROUND(Текущий!K66,0))</f>
        <v>-</v>
      </c>
      <c r="H67" s="29" t="str">
        <f>IF(ROUND(Текущий!I66,0)=0,"-",ROUND(Текущий!I66,0))</f>
        <v>-</v>
      </c>
      <c r="I67" s="16" t="str">
        <f>IF(Предыд!K66="-",Предыд!K66,ROUND(Предыд!K66,0))</f>
        <v>-</v>
      </c>
      <c r="J67" s="29" t="str">
        <f>IF(ROUND(Предыд!I66,0)=0,"-",ROUND(Предыд!I66,0))</f>
        <v>-</v>
      </c>
      <c r="K67" s="30" t="str">
        <f>Текущий!L66</f>
        <v>Рихтовка</v>
      </c>
      <c r="L67" s="29">
        <f>Текущий!AL66</f>
        <v>0</v>
      </c>
      <c r="M67" s="29">
        <f>Текущий!AM66</f>
        <v>0</v>
      </c>
      <c r="N67" s="29">
        <f>Текущий!AN66</f>
        <v>0</v>
      </c>
      <c r="O67" s="29">
        <f>Текущий!AP66</f>
        <v>0</v>
      </c>
      <c r="P67" s="29">
        <f>Предыд!AL66</f>
        <v>0</v>
      </c>
      <c r="Q67" s="29">
        <f>Предыд!AM66</f>
        <v>0</v>
      </c>
      <c r="R67" s="29">
        <f>Предыд!AN66</f>
        <v>0</v>
      </c>
      <c r="S67" s="29">
        <f>Предыд!AO66</f>
        <v>0</v>
      </c>
      <c r="T67" s="17" t="str">
        <f t="shared" si="0"/>
        <v>-</v>
      </c>
    </row>
    <row r="68" spans="1:20" x14ac:dyDescent="0.25">
      <c r="A68" s="29">
        <f>Текущий!A67</f>
        <v>28</v>
      </c>
      <c r="B68" s="29">
        <f>Текущий!B67</f>
        <v>24901</v>
      </c>
      <c r="C68" s="29">
        <f>Текущий!C67</f>
        <v>1</v>
      </c>
      <c r="D68" s="29" t="str">
        <f>Текущий!D67</f>
        <v>Аланап - Тырма</v>
      </c>
      <c r="E68" s="29">
        <f>ROUND(Текущий!J67,0)</f>
        <v>0</v>
      </c>
      <c r="F68" s="29">
        <f>Текущий!E67</f>
        <v>0</v>
      </c>
      <c r="G68" s="16" t="str">
        <f>IF(Текущий!K67="-",Текущий!K67,ROUND(Текущий!K67,0))</f>
        <v>-</v>
      </c>
      <c r="H68" s="29" t="str">
        <f>IF(ROUND(Текущий!I67,0)=0,"-",ROUND(Текущий!I67,0))</f>
        <v>-</v>
      </c>
      <c r="I68" s="16" t="str">
        <f>IF(Предыд!K67="-",Предыд!K67,ROUND(Предыд!K67,0))</f>
        <v>-</v>
      </c>
      <c r="J68" s="29" t="str">
        <f>IF(ROUND(Предыд!I67,0)=0,"-",ROUND(Предыд!I67,0))</f>
        <v>-</v>
      </c>
      <c r="K68" s="30" t="str">
        <f>Текущий!L67</f>
        <v>Рихтовка</v>
      </c>
      <c r="L68" s="29">
        <f>Текущий!AL67</f>
        <v>0</v>
      </c>
      <c r="M68" s="29">
        <f>Текущий!AM67</f>
        <v>0</v>
      </c>
      <c r="N68" s="29">
        <f>Текущий!AN67</f>
        <v>0</v>
      </c>
      <c r="O68" s="29">
        <f>Текущий!AP67</f>
        <v>0</v>
      </c>
      <c r="P68" s="29">
        <f>Предыд!AL67</f>
        <v>0</v>
      </c>
      <c r="Q68" s="29">
        <f>Предыд!AM67</f>
        <v>0</v>
      </c>
      <c r="R68" s="29">
        <f>Предыд!AN67</f>
        <v>0</v>
      </c>
      <c r="S68" s="29">
        <f>Предыд!AO67</f>
        <v>0</v>
      </c>
      <c r="T68" s="17" t="str">
        <f t="shared" si="0"/>
        <v>-</v>
      </c>
    </row>
    <row r="69" spans="1:20" x14ac:dyDescent="0.25">
      <c r="A69" s="29">
        <f>Текущий!A68</f>
        <v>28</v>
      </c>
      <c r="B69" s="29">
        <f>Текущий!B68</f>
        <v>24901</v>
      </c>
      <c r="C69" s="29">
        <f>Текущий!C68</f>
        <v>1</v>
      </c>
      <c r="D69" s="29" t="str">
        <f>Текущий!D68</f>
        <v>Тырма - Малинник</v>
      </c>
      <c r="E69" s="29">
        <f>ROUND(Текущий!J68,0)</f>
        <v>0</v>
      </c>
      <c r="F69" s="29">
        <f>Текущий!E68</f>
        <v>0</v>
      </c>
      <c r="G69" s="16" t="str">
        <f>IF(Текущий!K68="-",Текущий!K68,ROUND(Текущий!K68,0))</f>
        <v>-</v>
      </c>
      <c r="H69" s="29" t="str">
        <f>IF(ROUND(Текущий!I68,0)=0,"-",ROUND(Текущий!I68,0))</f>
        <v>-</v>
      </c>
      <c r="I69" s="16" t="str">
        <f>IF(Предыд!K68="-",Предыд!K68,ROUND(Предыд!K68,0))</f>
        <v>-</v>
      </c>
      <c r="J69" s="29" t="str">
        <f>IF(ROUND(Предыд!I68,0)=0,"-",ROUND(Предыд!I68,0))</f>
        <v>-</v>
      </c>
      <c r="K69" s="30" t="str">
        <f>Текущий!L68</f>
        <v>Рихтовка</v>
      </c>
      <c r="L69" s="29">
        <f>Текущий!AL68</f>
        <v>0</v>
      </c>
      <c r="M69" s="29">
        <f>Текущий!AM68</f>
        <v>0</v>
      </c>
      <c r="N69" s="29">
        <f>Текущий!AN68</f>
        <v>0</v>
      </c>
      <c r="O69" s="29">
        <f>Текущий!AP68</f>
        <v>0</v>
      </c>
      <c r="P69" s="29">
        <f>Предыд!AL68</f>
        <v>0</v>
      </c>
      <c r="Q69" s="29">
        <f>Предыд!AM68</f>
        <v>0</v>
      </c>
      <c r="R69" s="29">
        <f>Предыд!AN68</f>
        <v>0</v>
      </c>
      <c r="S69" s="29">
        <f>Предыд!AO68</f>
        <v>0</v>
      </c>
      <c r="T69" s="17" t="str">
        <f t="shared" ref="T69:T132" si="1">IF(G69&gt;I69,"+","-")</f>
        <v>-</v>
      </c>
    </row>
    <row r="70" spans="1:20" x14ac:dyDescent="0.25">
      <c r="A70" s="29">
        <f>Текущий!A69</f>
        <v>28</v>
      </c>
      <c r="B70" s="29">
        <f>Текущий!B69</f>
        <v>24901</v>
      </c>
      <c r="C70" s="29">
        <f>Текущий!C69</f>
        <v>1</v>
      </c>
      <c r="D70" s="29" t="str">
        <f>Текущий!D69</f>
        <v>Малинник - Мошка</v>
      </c>
      <c r="E70" s="29">
        <f>ROUND(Текущий!J69,0)</f>
        <v>0</v>
      </c>
      <c r="F70" s="29">
        <f>Текущий!E69</f>
        <v>0</v>
      </c>
      <c r="G70" s="16" t="str">
        <f>IF(Текущий!K69="-",Текущий!K69,ROUND(Текущий!K69,0))</f>
        <v>-</v>
      </c>
      <c r="H70" s="29" t="str">
        <f>IF(ROUND(Текущий!I69,0)=0,"-",ROUND(Текущий!I69,0))</f>
        <v>-</v>
      </c>
      <c r="I70" s="16" t="str">
        <f>IF(Предыд!K69="-",Предыд!K69,ROUND(Предыд!K69,0))</f>
        <v>-</v>
      </c>
      <c r="J70" s="29" t="str">
        <f>IF(ROUND(Предыд!I69,0)=0,"-",ROUND(Предыд!I69,0))</f>
        <v>-</v>
      </c>
      <c r="K70" s="30" t="str">
        <f>Текущий!L69</f>
        <v>Рихтовка</v>
      </c>
      <c r="L70" s="29">
        <f>Текущий!AL69</f>
        <v>0</v>
      </c>
      <c r="M70" s="29">
        <f>Текущий!AM69</f>
        <v>0</v>
      </c>
      <c r="N70" s="29">
        <f>Текущий!AN69</f>
        <v>0</v>
      </c>
      <c r="O70" s="29">
        <f>Текущий!AP69</f>
        <v>0</v>
      </c>
      <c r="P70" s="29">
        <f>Предыд!AL69</f>
        <v>0</v>
      </c>
      <c r="Q70" s="29">
        <f>Предыд!AM69</f>
        <v>0</v>
      </c>
      <c r="R70" s="29">
        <f>Предыд!AN69</f>
        <v>0</v>
      </c>
      <c r="S70" s="29">
        <f>Предыд!AO69</f>
        <v>0</v>
      </c>
      <c r="T70" s="17" t="str">
        <f t="shared" si="1"/>
        <v>-</v>
      </c>
    </row>
    <row r="71" spans="1:20" x14ac:dyDescent="0.25">
      <c r="A71" s="29">
        <f>Текущий!A70</f>
        <v>28</v>
      </c>
      <c r="B71" s="29">
        <f>Текущий!B70</f>
        <v>24901</v>
      </c>
      <c r="C71" s="29">
        <f>Текущий!C70</f>
        <v>1</v>
      </c>
      <c r="D71" s="29" t="str">
        <f>Текущий!D70</f>
        <v>Мошка - Согда</v>
      </c>
      <c r="E71" s="29">
        <f>ROUND(Текущий!J70,0)</f>
        <v>0</v>
      </c>
      <c r="F71" s="29">
        <f>Текущий!E70</f>
        <v>0</v>
      </c>
      <c r="G71" s="16" t="str">
        <f>IF(Текущий!K70="-",Текущий!K70,ROUND(Текущий!K70,0))</f>
        <v>-</v>
      </c>
      <c r="H71" s="29" t="str">
        <f>IF(ROUND(Текущий!I70,0)=0,"-",ROUND(Текущий!I70,0))</f>
        <v>-</v>
      </c>
      <c r="I71" s="16" t="str">
        <f>IF(Предыд!K70="-",Предыд!K70,ROUND(Предыд!K70,0))</f>
        <v>-</v>
      </c>
      <c r="J71" s="29" t="str">
        <f>IF(ROUND(Предыд!I70,0)=0,"-",ROUND(Предыд!I70,0))</f>
        <v>-</v>
      </c>
      <c r="K71" s="30" t="str">
        <f>Текущий!L70</f>
        <v>Рихтовка</v>
      </c>
      <c r="L71" s="29">
        <f>Текущий!AL70</f>
        <v>0</v>
      </c>
      <c r="M71" s="29">
        <f>Текущий!AM70</f>
        <v>0</v>
      </c>
      <c r="N71" s="29">
        <f>Текущий!AN70</f>
        <v>0</v>
      </c>
      <c r="O71" s="29">
        <f>Текущий!AP70</f>
        <v>0</v>
      </c>
      <c r="P71" s="29">
        <f>Предыд!AL70</f>
        <v>0</v>
      </c>
      <c r="Q71" s="29">
        <f>Предыд!AM70</f>
        <v>0</v>
      </c>
      <c r="R71" s="29">
        <f>Предыд!AN70</f>
        <v>0</v>
      </c>
      <c r="S71" s="29">
        <f>Предыд!AO70</f>
        <v>0</v>
      </c>
      <c r="T71" s="17" t="str">
        <f t="shared" si="1"/>
        <v>-</v>
      </c>
    </row>
    <row r="72" spans="1:20" x14ac:dyDescent="0.25">
      <c r="A72" s="29">
        <f>Текущий!A71</f>
        <v>28</v>
      </c>
      <c r="B72" s="29">
        <f>Текущий!B71</f>
        <v>24901</v>
      </c>
      <c r="C72" s="29">
        <f>Текущий!C71</f>
        <v>1</v>
      </c>
      <c r="D72" s="29" t="str">
        <f>Текущий!D71</f>
        <v>Согда - Ушман</v>
      </c>
      <c r="E72" s="29">
        <f>ROUND(Текущий!J71,0)</f>
        <v>0</v>
      </c>
      <c r="F72" s="29">
        <f>Текущий!E71</f>
        <v>0</v>
      </c>
      <c r="G72" s="16" t="str">
        <f>IF(Текущий!K71="-",Текущий!K71,ROUND(Текущий!K71,0))</f>
        <v>-</v>
      </c>
      <c r="H72" s="29" t="str">
        <f>IF(ROUND(Текущий!I71,0)=0,"-",ROUND(Текущий!I71,0))</f>
        <v>-</v>
      </c>
      <c r="I72" s="16" t="str">
        <f>IF(Предыд!K71="-",Предыд!K71,ROUND(Предыд!K71,0))</f>
        <v>-</v>
      </c>
      <c r="J72" s="29" t="str">
        <f>IF(ROUND(Предыд!I71,0)=0,"-",ROUND(Предыд!I71,0))</f>
        <v>-</v>
      </c>
      <c r="K72" s="30" t="str">
        <f>Текущий!L71</f>
        <v>Рихтовка</v>
      </c>
      <c r="L72" s="29">
        <f>Текущий!AL71</f>
        <v>0</v>
      </c>
      <c r="M72" s="29">
        <f>Текущий!AM71</f>
        <v>0</v>
      </c>
      <c r="N72" s="29">
        <f>Текущий!AN71</f>
        <v>0</v>
      </c>
      <c r="O72" s="29">
        <f>Текущий!AP71</f>
        <v>0</v>
      </c>
      <c r="P72" s="29">
        <f>Предыд!AL71</f>
        <v>0</v>
      </c>
      <c r="Q72" s="29">
        <f>Предыд!AM71</f>
        <v>0</v>
      </c>
      <c r="R72" s="29">
        <f>Предыд!AN71</f>
        <v>0</v>
      </c>
      <c r="S72" s="29">
        <f>Предыд!AO71</f>
        <v>0</v>
      </c>
      <c r="T72" s="17" t="str">
        <f t="shared" si="1"/>
        <v>-</v>
      </c>
    </row>
    <row r="73" spans="1:20" x14ac:dyDescent="0.25">
      <c r="A73" s="29">
        <f>Текущий!A72</f>
        <v>28</v>
      </c>
      <c r="B73" s="29">
        <f>Текущий!B72</f>
        <v>24901</v>
      </c>
      <c r="C73" s="29">
        <f>Текущий!C72</f>
        <v>1</v>
      </c>
      <c r="D73" s="29" t="str">
        <f>Текущий!D72</f>
        <v>Ушман - Корчагин</v>
      </c>
      <c r="E73" s="29">
        <f>ROUND(Текущий!J72,0)</f>
        <v>0</v>
      </c>
      <c r="F73" s="29">
        <f>Текущий!E72</f>
        <v>0</v>
      </c>
      <c r="G73" s="16" t="str">
        <f>IF(Текущий!K72="-",Текущий!K72,ROUND(Текущий!K72,0))</f>
        <v>-</v>
      </c>
      <c r="H73" s="29" t="str">
        <f>IF(ROUND(Текущий!I72,0)=0,"-",ROUND(Текущий!I72,0))</f>
        <v>-</v>
      </c>
      <c r="I73" s="16" t="str">
        <f>IF(Предыд!K72="-",Предыд!K72,ROUND(Предыд!K72,0))</f>
        <v>-</v>
      </c>
      <c r="J73" s="29" t="str">
        <f>IF(ROUND(Предыд!I72,0)=0,"-",ROUND(Предыд!I72,0))</f>
        <v>-</v>
      </c>
      <c r="K73" s="30" t="str">
        <f>Текущий!L72</f>
        <v>Рихтовка</v>
      </c>
      <c r="L73" s="29">
        <f>Текущий!AL72</f>
        <v>0</v>
      </c>
      <c r="M73" s="29">
        <f>Текущий!AM72</f>
        <v>0</v>
      </c>
      <c r="N73" s="29">
        <f>Текущий!AN72</f>
        <v>0</v>
      </c>
      <c r="O73" s="29">
        <f>Текущий!AP72</f>
        <v>0</v>
      </c>
      <c r="P73" s="29">
        <f>Предыд!AL72</f>
        <v>0</v>
      </c>
      <c r="Q73" s="29">
        <f>Предыд!AM72</f>
        <v>0</v>
      </c>
      <c r="R73" s="29">
        <f>Предыд!AN72</f>
        <v>0</v>
      </c>
      <c r="S73" s="29">
        <f>Предыд!AO72</f>
        <v>0</v>
      </c>
      <c r="T73" s="17" t="str">
        <f t="shared" si="1"/>
        <v>-</v>
      </c>
    </row>
    <row r="74" spans="1:20" x14ac:dyDescent="0.25">
      <c r="A74" s="29">
        <f>Текущий!A73</f>
        <v>29</v>
      </c>
      <c r="B74" s="29">
        <f>Текущий!B73</f>
        <v>24901</v>
      </c>
      <c r="C74" s="29">
        <f>Текущий!C73</f>
        <v>1</v>
      </c>
      <c r="D74" s="29" t="str">
        <f>Текущий!D73</f>
        <v>Корчагин - Ягдынья</v>
      </c>
      <c r="E74" s="29">
        <f>ROUND(Текущий!J73,0)</f>
        <v>0</v>
      </c>
      <c r="F74" s="29">
        <f>Текущий!E73</f>
        <v>0</v>
      </c>
      <c r="G74" s="16" t="str">
        <f>IF(Текущий!K73="-",Текущий!K73,ROUND(Текущий!K73,0))</f>
        <v>-</v>
      </c>
      <c r="H74" s="29" t="str">
        <f>IF(ROUND(Текущий!I73,0)=0,"-",ROUND(Текущий!I73,0))</f>
        <v>-</v>
      </c>
      <c r="I74" s="16" t="str">
        <f>IF(Предыд!K73="-",Предыд!K73,ROUND(Предыд!K73,0))</f>
        <v>-</v>
      </c>
      <c r="J74" s="29" t="str">
        <f>IF(ROUND(Предыд!I73,0)=0,"-",ROUND(Предыд!I73,0))</f>
        <v>-</v>
      </c>
      <c r="K74" s="30" t="str">
        <f>Текущий!L73</f>
        <v>Рихтовка</v>
      </c>
      <c r="L74" s="29">
        <f>Текущий!AL73</f>
        <v>0</v>
      </c>
      <c r="M74" s="29">
        <f>Текущий!AM73</f>
        <v>0</v>
      </c>
      <c r="N74" s="29">
        <f>Текущий!AN73</f>
        <v>0</v>
      </c>
      <c r="O74" s="29">
        <f>Текущий!AP73</f>
        <v>0</v>
      </c>
      <c r="P74" s="29">
        <f>Предыд!AL73</f>
        <v>0</v>
      </c>
      <c r="Q74" s="29">
        <f>Предыд!AM73</f>
        <v>0</v>
      </c>
      <c r="R74" s="29">
        <f>Предыд!AN73</f>
        <v>0</v>
      </c>
      <c r="S74" s="29">
        <f>Предыд!AO73</f>
        <v>0</v>
      </c>
      <c r="T74" s="17" t="str">
        <f t="shared" si="1"/>
        <v>-</v>
      </c>
    </row>
    <row r="75" spans="1:20" x14ac:dyDescent="0.25">
      <c r="A75" s="29">
        <f>Текущий!A74</f>
        <v>29</v>
      </c>
      <c r="B75" s="29">
        <f>Текущий!B74</f>
        <v>24901</v>
      </c>
      <c r="C75" s="29">
        <f>Текущий!C74</f>
        <v>1</v>
      </c>
      <c r="D75" s="29" t="str">
        <f>Текущий!D74</f>
        <v>Ягдынья - Долина</v>
      </c>
      <c r="E75" s="29">
        <f>ROUND(Текущий!J74,0)</f>
        <v>0</v>
      </c>
      <c r="F75" s="29">
        <f>Текущий!E74</f>
        <v>0</v>
      </c>
      <c r="G75" s="16" t="str">
        <f>IF(Текущий!K74="-",Текущий!K74,ROUND(Текущий!K74,0))</f>
        <v>-</v>
      </c>
      <c r="H75" s="29" t="str">
        <f>IF(ROUND(Текущий!I74,0)=0,"-",ROUND(Текущий!I74,0))</f>
        <v>-</v>
      </c>
      <c r="I75" s="16" t="str">
        <f>IF(Предыд!K74="-",Предыд!K74,ROUND(Предыд!K74,0))</f>
        <v>-</v>
      </c>
      <c r="J75" s="29" t="str">
        <f>IF(ROUND(Предыд!I74,0)=0,"-",ROUND(Предыд!I74,0))</f>
        <v>-</v>
      </c>
      <c r="K75" s="30" t="str">
        <f>Текущий!L74</f>
        <v>Рихтовка</v>
      </c>
      <c r="L75" s="29">
        <f>Текущий!AL74</f>
        <v>0</v>
      </c>
      <c r="M75" s="29">
        <f>Текущий!AM74</f>
        <v>0</v>
      </c>
      <c r="N75" s="29">
        <f>Текущий!AN74</f>
        <v>0</v>
      </c>
      <c r="O75" s="29">
        <f>Текущий!AP74</f>
        <v>0</v>
      </c>
      <c r="P75" s="29">
        <f>Предыд!AL74</f>
        <v>0</v>
      </c>
      <c r="Q75" s="29">
        <f>Предыд!AM74</f>
        <v>0</v>
      </c>
      <c r="R75" s="29">
        <f>Предыд!AN74</f>
        <v>0</v>
      </c>
      <c r="S75" s="29">
        <f>Предыд!AO74</f>
        <v>0</v>
      </c>
      <c r="T75" s="17" t="str">
        <f t="shared" si="1"/>
        <v>-</v>
      </c>
    </row>
    <row r="76" spans="1:20" x14ac:dyDescent="0.25">
      <c r="A76" s="29">
        <f>Текущий!A75</f>
        <v>29</v>
      </c>
      <c r="B76" s="29">
        <f>Текущий!B75</f>
        <v>24901</v>
      </c>
      <c r="C76" s="29">
        <f>Текущий!C75</f>
        <v>1</v>
      </c>
      <c r="D76" s="29" t="str">
        <f>Текущий!D75</f>
        <v>Долина - Эльга</v>
      </c>
      <c r="E76" s="29">
        <f>ROUND(Текущий!J75,0)</f>
        <v>0</v>
      </c>
      <c r="F76" s="29">
        <f>Текущий!E75</f>
        <v>0</v>
      </c>
      <c r="G76" s="16" t="str">
        <f>IF(Текущий!K75="-",Текущий!K75,ROUND(Текущий!K75,0))</f>
        <v>-</v>
      </c>
      <c r="H76" s="29" t="str">
        <f>IF(ROUND(Текущий!I75,0)=0,"-",ROUND(Текущий!I75,0))</f>
        <v>-</v>
      </c>
      <c r="I76" s="16" t="str">
        <f>IF(Предыд!K75="-",Предыд!K75,ROUND(Предыд!K75,0))</f>
        <v>-</v>
      </c>
      <c r="J76" s="29" t="str">
        <f>IF(ROUND(Предыд!I75,0)=0,"-",ROUND(Предыд!I75,0))</f>
        <v>-</v>
      </c>
      <c r="K76" s="30" t="str">
        <f>Текущий!L75</f>
        <v>Рихтовка</v>
      </c>
      <c r="L76" s="29">
        <f>Текущий!AL75</f>
        <v>0</v>
      </c>
      <c r="M76" s="29">
        <f>Текущий!AM75</f>
        <v>0</v>
      </c>
      <c r="N76" s="29">
        <f>Текущий!AN75</f>
        <v>0</v>
      </c>
      <c r="O76" s="29">
        <f>Текущий!AP75</f>
        <v>0</v>
      </c>
      <c r="P76" s="29">
        <f>Предыд!AL75</f>
        <v>0</v>
      </c>
      <c r="Q76" s="29">
        <f>Предыд!AM75</f>
        <v>0</v>
      </c>
      <c r="R76" s="29">
        <f>Предыд!AN75</f>
        <v>0</v>
      </c>
      <c r="S76" s="29">
        <f>Предыд!AO75</f>
        <v>0</v>
      </c>
      <c r="T76" s="17" t="str">
        <f t="shared" si="1"/>
        <v>-</v>
      </c>
    </row>
    <row r="77" spans="1:20" x14ac:dyDescent="0.25">
      <c r="A77" s="29">
        <f>Текущий!A76</f>
        <v>29</v>
      </c>
      <c r="B77" s="29">
        <f>Текущий!B76</f>
        <v>24901</v>
      </c>
      <c r="C77" s="29">
        <f>Текущий!C76</f>
        <v>1</v>
      </c>
      <c r="D77" s="29" t="str">
        <f>Текущий!D76</f>
        <v>Эльга - Адникан</v>
      </c>
      <c r="E77" s="29">
        <f>ROUND(Текущий!J76,0)</f>
        <v>0</v>
      </c>
      <c r="F77" s="29">
        <f>Текущий!E76</f>
        <v>0</v>
      </c>
      <c r="G77" s="16" t="str">
        <f>IF(Текущий!K76="-",Текущий!K76,ROUND(Текущий!K76,0))</f>
        <v>-</v>
      </c>
      <c r="H77" s="29" t="str">
        <f>IF(ROUND(Текущий!I76,0)=0,"-",ROUND(Текущий!I76,0))</f>
        <v>-</v>
      </c>
      <c r="I77" s="16" t="str">
        <f>IF(Предыд!K76="-",Предыд!K76,ROUND(Предыд!K76,0))</f>
        <v>-</v>
      </c>
      <c r="J77" s="29" t="str">
        <f>IF(ROUND(Предыд!I76,0)=0,"-",ROUND(Предыд!I76,0))</f>
        <v>-</v>
      </c>
      <c r="K77" s="30" t="str">
        <f>Текущий!L76</f>
        <v>Рихтовка</v>
      </c>
      <c r="L77" s="29">
        <f>Текущий!AL76</f>
        <v>0</v>
      </c>
      <c r="M77" s="29">
        <f>Текущий!AM76</f>
        <v>0</v>
      </c>
      <c r="N77" s="29">
        <f>Текущий!AN76</f>
        <v>0</v>
      </c>
      <c r="O77" s="29">
        <f>Текущий!AP76</f>
        <v>0</v>
      </c>
      <c r="P77" s="29">
        <f>Предыд!AL76</f>
        <v>0</v>
      </c>
      <c r="Q77" s="29">
        <f>Предыд!AM76</f>
        <v>0</v>
      </c>
      <c r="R77" s="29">
        <f>Предыд!AN76</f>
        <v>0</v>
      </c>
      <c r="S77" s="29">
        <f>Предыд!AO76</f>
        <v>0</v>
      </c>
      <c r="T77" s="17" t="str">
        <f t="shared" si="1"/>
        <v>-</v>
      </c>
    </row>
    <row r="78" spans="1:20" x14ac:dyDescent="0.25">
      <c r="A78" s="29">
        <f>Текущий!A77</f>
        <v>29</v>
      </c>
      <c r="B78" s="29">
        <f>Текущий!B77</f>
        <v>24901</v>
      </c>
      <c r="C78" s="29">
        <f>Текущий!C77</f>
        <v>1</v>
      </c>
      <c r="D78" s="29" t="str">
        <f>Текущий!D77</f>
        <v>Адникан - Дубликан</v>
      </c>
      <c r="E78" s="29">
        <f>ROUND(Текущий!J77,0)</f>
        <v>0</v>
      </c>
      <c r="F78" s="29">
        <f>Текущий!E77</f>
        <v>0</v>
      </c>
      <c r="G78" s="16" t="str">
        <f>IF(Текущий!K77="-",Текущий!K77,ROUND(Текущий!K77,0))</f>
        <v>-</v>
      </c>
      <c r="H78" s="29" t="str">
        <f>IF(ROUND(Текущий!I77,0)=0,"-",ROUND(Текущий!I77,0))</f>
        <v>-</v>
      </c>
      <c r="I78" s="16" t="str">
        <f>IF(Предыд!K77="-",Предыд!K77,ROUND(Предыд!K77,0))</f>
        <v>-</v>
      </c>
      <c r="J78" s="29" t="str">
        <f>IF(ROUND(Предыд!I77,0)=0,"-",ROUND(Предыд!I77,0))</f>
        <v>-</v>
      </c>
      <c r="K78" s="30" t="str">
        <f>Текущий!L77</f>
        <v>Рихтовка</v>
      </c>
      <c r="L78" s="29">
        <f>Текущий!AL77</f>
        <v>0</v>
      </c>
      <c r="M78" s="29">
        <f>Текущий!AM77</f>
        <v>0</v>
      </c>
      <c r="N78" s="29">
        <f>Текущий!AN77</f>
        <v>0</v>
      </c>
      <c r="O78" s="29">
        <f>Текущий!AP77</f>
        <v>0</v>
      </c>
      <c r="P78" s="29">
        <f>Предыд!AL77</f>
        <v>0</v>
      </c>
      <c r="Q78" s="29">
        <f>Предыд!AM77</f>
        <v>0</v>
      </c>
      <c r="R78" s="29">
        <f>Предыд!AN77</f>
        <v>0</v>
      </c>
      <c r="S78" s="29">
        <f>Предыд!AO77</f>
        <v>0</v>
      </c>
      <c r="T78" s="17" t="str">
        <f t="shared" si="1"/>
        <v>-</v>
      </c>
    </row>
    <row r="79" spans="1:20" x14ac:dyDescent="0.25">
      <c r="A79" s="29">
        <f>Текущий!A78</f>
        <v>29</v>
      </c>
      <c r="B79" s="29">
        <f>Текущий!B78</f>
        <v>24901</v>
      </c>
      <c r="C79" s="29">
        <f>Текущий!C78</f>
        <v>1</v>
      </c>
      <c r="D79" s="29" t="str">
        <f>Текущий!D78</f>
        <v>Дубликан - Новый Ургал (Рзд 3 км)</v>
      </c>
      <c r="E79" s="29">
        <f>ROUND(Текущий!J78,0)</f>
        <v>0</v>
      </c>
      <c r="F79" s="29">
        <f>Текущий!E78</f>
        <v>0</v>
      </c>
      <c r="G79" s="16" t="str">
        <f>IF(Текущий!K78="-",Текущий!K78,ROUND(Текущий!K78,0))</f>
        <v>-</v>
      </c>
      <c r="H79" s="29" t="str">
        <f>IF(ROUND(Текущий!I78,0)=0,"-",ROUND(Текущий!I78,0))</f>
        <v>-</v>
      </c>
      <c r="I79" s="16" t="str">
        <f>IF(Предыд!K78="-",Предыд!K78,ROUND(Предыд!K78,0))</f>
        <v>-</v>
      </c>
      <c r="J79" s="29" t="str">
        <f>IF(ROUND(Предыд!I78,0)=0,"-",ROUND(Предыд!I78,0))</f>
        <v>-</v>
      </c>
      <c r="K79" s="30" t="str">
        <f>Текущий!L78</f>
        <v>Рихтовка</v>
      </c>
      <c r="L79" s="29">
        <f>Текущий!AL78</f>
        <v>0</v>
      </c>
      <c r="M79" s="29">
        <f>Текущий!AM78</f>
        <v>0</v>
      </c>
      <c r="N79" s="29">
        <f>Текущий!AN78</f>
        <v>0</v>
      </c>
      <c r="O79" s="29">
        <f>Текущий!AP78</f>
        <v>0</v>
      </c>
      <c r="P79" s="29">
        <f>Предыд!AL78</f>
        <v>0</v>
      </c>
      <c r="Q79" s="29">
        <f>Предыд!AM78</f>
        <v>0</v>
      </c>
      <c r="R79" s="29">
        <f>Предыд!AN78</f>
        <v>0</v>
      </c>
      <c r="S79" s="29">
        <f>Предыд!AO78</f>
        <v>0</v>
      </c>
      <c r="T79" s="17" t="str">
        <f t="shared" si="1"/>
        <v>-</v>
      </c>
    </row>
    <row r="80" spans="1:20" x14ac:dyDescent="0.25">
      <c r="A80" s="29">
        <f>Текущий!A79</f>
        <v>29</v>
      </c>
      <c r="B80" s="29">
        <f>Текущий!B79</f>
        <v>24901</v>
      </c>
      <c r="C80" s="29">
        <f>Текущий!C79</f>
        <v>1</v>
      </c>
      <c r="D80" s="29" t="str">
        <f>Текущий!D79</f>
        <v>Новый Ургал (Рзд 3 км) - Ургал I</v>
      </c>
      <c r="E80" s="29">
        <f>ROUND(Текущий!J79,0)</f>
        <v>0</v>
      </c>
      <c r="F80" s="29">
        <f>Текущий!E79</f>
        <v>0</v>
      </c>
      <c r="G80" s="16" t="str">
        <f>IF(Текущий!K79="-",Текущий!K79,ROUND(Текущий!K79,0))</f>
        <v>-</v>
      </c>
      <c r="H80" s="29" t="str">
        <f>IF(ROUND(Текущий!I79,0)=0,"-",ROUND(Текущий!I79,0))</f>
        <v>-</v>
      </c>
      <c r="I80" s="16" t="str">
        <f>IF(Предыд!K79="-",Предыд!K79,ROUND(Предыд!K79,0))</f>
        <v>-</v>
      </c>
      <c r="J80" s="29" t="str">
        <f>IF(ROUND(Предыд!I79,0)=0,"-",ROUND(Предыд!I79,0))</f>
        <v>-</v>
      </c>
      <c r="K80" s="30" t="str">
        <f>Текущий!L79</f>
        <v>Рихтовка</v>
      </c>
      <c r="L80" s="29">
        <f>Текущий!AL79</f>
        <v>0</v>
      </c>
      <c r="M80" s="29">
        <f>Текущий!AM79</f>
        <v>0</v>
      </c>
      <c r="N80" s="29">
        <f>Текущий!AN79</f>
        <v>0</v>
      </c>
      <c r="O80" s="29">
        <f>Текущий!AP79</f>
        <v>0</v>
      </c>
      <c r="P80" s="29">
        <f>Предыд!AL79</f>
        <v>0</v>
      </c>
      <c r="Q80" s="29">
        <f>Предыд!AM79</f>
        <v>0</v>
      </c>
      <c r="R80" s="29">
        <f>Предыд!AN79</f>
        <v>0</v>
      </c>
      <c r="S80" s="29">
        <f>Предыд!AO79</f>
        <v>0</v>
      </c>
      <c r="T80" s="17" t="str">
        <f t="shared" si="1"/>
        <v>-</v>
      </c>
    </row>
    <row r="81" spans="1:20" x14ac:dyDescent="0.25">
      <c r="A81" s="29">
        <f>Текущий!A80</f>
        <v>29</v>
      </c>
      <c r="B81" s="29">
        <f>Текущий!B80</f>
        <v>24901</v>
      </c>
      <c r="C81" s="29">
        <f>Текущий!C80</f>
        <v>1</v>
      </c>
      <c r="D81" s="29" t="str">
        <f>Текущий!D80</f>
        <v>Ургал I - Разъезд 349 км</v>
      </c>
      <c r="E81" s="29">
        <f>ROUND(Текущий!J80,0)</f>
        <v>0</v>
      </c>
      <c r="F81" s="29">
        <f>Текущий!E80</f>
        <v>0</v>
      </c>
      <c r="G81" s="16" t="str">
        <f>IF(Текущий!K80="-",Текущий!K80,ROUND(Текущий!K80,0))</f>
        <v>-</v>
      </c>
      <c r="H81" s="29" t="str">
        <f>IF(ROUND(Текущий!I80,0)=0,"-",ROUND(Текущий!I80,0))</f>
        <v>-</v>
      </c>
      <c r="I81" s="16" t="str">
        <f>IF(Предыд!K80="-",Предыд!K80,ROUND(Предыд!K80,0))</f>
        <v>-</v>
      </c>
      <c r="J81" s="29" t="str">
        <f>IF(ROUND(Предыд!I80,0)=0,"-",ROUND(Предыд!I80,0))</f>
        <v>-</v>
      </c>
      <c r="K81" s="30" t="str">
        <f>Текущий!L80</f>
        <v>Рихтовка</v>
      </c>
      <c r="L81" s="29">
        <f>Текущий!AL80</f>
        <v>0</v>
      </c>
      <c r="M81" s="29">
        <f>Текущий!AM80</f>
        <v>0</v>
      </c>
      <c r="N81" s="29">
        <f>Текущий!AN80</f>
        <v>0</v>
      </c>
      <c r="O81" s="29">
        <f>Текущий!AP80</f>
        <v>0</v>
      </c>
      <c r="P81" s="29">
        <f>Предыд!AL80</f>
        <v>0</v>
      </c>
      <c r="Q81" s="29">
        <f>Предыд!AM80</f>
        <v>0</v>
      </c>
      <c r="R81" s="29">
        <f>Предыд!AN80</f>
        <v>0</v>
      </c>
      <c r="S81" s="29">
        <f>Предыд!AO80</f>
        <v>0</v>
      </c>
      <c r="T81" s="17" t="str">
        <f t="shared" si="1"/>
        <v>-</v>
      </c>
    </row>
    <row r="82" spans="1:20" x14ac:dyDescent="0.25">
      <c r="A82" s="29">
        <f>Текущий!A81</f>
        <v>29</v>
      </c>
      <c r="B82" s="29">
        <f>Текущий!B81</f>
        <v>24901</v>
      </c>
      <c r="C82" s="29">
        <f>Текущий!C81</f>
        <v>1</v>
      </c>
      <c r="D82" s="29" t="str">
        <f>Текущий!D81</f>
        <v>Разъезд 349 км - Чегдомын</v>
      </c>
      <c r="E82" s="29">
        <f>ROUND(Текущий!J81,0)</f>
        <v>0</v>
      </c>
      <c r="F82" s="29">
        <f>Текущий!E81</f>
        <v>0</v>
      </c>
      <c r="G82" s="16" t="str">
        <f>IF(Текущий!K81="-",Текущий!K81,ROUND(Текущий!K81,0))</f>
        <v>-</v>
      </c>
      <c r="H82" s="29" t="str">
        <f>IF(ROUND(Текущий!I81,0)=0,"-",ROUND(Текущий!I81,0))</f>
        <v>-</v>
      </c>
      <c r="I82" s="16" t="str">
        <f>IF(Предыд!K81="-",Предыд!K81,ROUND(Предыд!K81,0))</f>
        <v>-</v>
      </c>
      <c r="J82" s="29" t="str">
        <f>IF(ROUND(Предыд!I81,0)=0,"-",ROUND(Предыд!I81,0))</f>
        <v>-</v>
      </c>
      <c r="K82" s="30" t="str">
        <f>Текущий!L81</f>
        <v>Рихтовка</v>
      </c>
      <c r="L82" s="29">
        <f>Текущий!AL81</f>
        <v>0</v>
      </c>
      <c r="M82" s="29">
        <f>Текущий!AM81</f>
        <v>0</v>
      </c>
      <c r="N82" s="29">
        <f>Текущий!AN81</f>
        <v>0</v>
      </c>
      <c r="O82" s="29">
        <f>Текущий!AP81</f>
        <v>0</v>
      </c>
      <c r="P82" s="29">
        <f>Предыд!AL81</f>
        <v>0</v>
      </c>
      <c r="Q82" s="29">
        <f>Предыд!AM81</f>
        <v>0</v>
      </c>
      <c r="R82" s="29">
        <f>Предыд!AN81</f>
        <v>0</v>
      </c>
      <c r="S82" s="29">
        <f>Предыд!AO81</f>
        <v>0</v>
      </c>
      <c r="T82" s="17" t="str">
        <f t="shared" si="1"/>
        <v>-</v>
      </c>
    </row>
    <row r="83" spans="1:20" x14ac:dyDescent="0.25">
      <c r="A83" s="29">
        <f>Текущий!A82</f>
        <v>20</v>
      </c>
      <c r="B83" s="29">
        <f>Текущий!B82</f>
        <v>24602</v>
      </c>
      <c r="C83" s="29">
        <f>Текущий!C82</f>
        <v>1</v>
      </c>
      <c r="D83" s="29" t="str">
        <f>Текущий!D82</f>
        <v>ст. Хани</v>
      </c>
      <c r="E83" s="29">
        <f>ROUND(Текущий!J82,0)</f>
        <v>0</v>
      </c>
      <c r="F83" s="29">
        <f>Текущий!E82</f>
        <v>0</v>
      </c>
      <c r="G83" s="16" t="str">
        <f>IF(Текущий!K82="-",Текущий!K82,ROUND(Текущий!K82,0))</f>
        <v>-</v>
      </c>
      <c r="H83" s="29" t="str">
        <f>IF(ROUND(Текущий!I82,0)=0,"-",ROUND(Текущий!I82,0))</f>
        <v>-</v>
      </c>
      <c r="I83" s="16" t="str">
        <f>IF(Предыд!K82="-",Предыд!K82,ROUND(Предыд!K82,0))</f>
        <v>-</v>
      </c>
      <c r="J83" s="29" t="str">
        <f>IF(ROUND(Предыд!I82,0)=0,"-",ROUND(Предыд!I82,0))</f>
        <v>-</v>
      </c>
      <c r="K83" s="30" t="str">
        <f>Текущий!L82</f>
        <v>Рихтовка</v>
      </c>
      <c r="L83" s="29">
        <f>Текущий!AL82</f>
        <v>0</v>
      </c>
      <c r="M83" s="29">
        <f>Текущий!AM82</f>
        <v>0</v>
      </c>
      <c r="N83" s="29">
        <f>Текущий!AN82</f>
        <v>0</v>
      </c>
      <c r="O83" s="29">
        <f>Текущий!AP82</f>
        <v>0</v>
      </c>
      <c r="P83" s="29">
        <f>Предыд!AL82</f>
        <v>0</v>
      </c>
      <c r="Q83" s="29">
        <f>Предыд!AM82</f>
        <v>0</v>
      </c>
      <c r="R83" s="29">
        <f>Предыд!AN82</f>
        <v>0</v>
      </c>
      <c r="S83" s="29">
        <f>Предыд!AO82</f>
        <v>0</v>
      </c>
      <c r="T83" s="17" t="str">
        <f t="shared" si="1"/>
        <v>-</v>
      </c>
    </row>
    <row r="84" spans="1:20" x14ac:dyDescent="0.25">
      <c r="A84" s="29">
        <f>Текущий!A83</f>
        <v>20</v>
      </c>
      <c r="B84" s="29">
        <f>Текущий!B83</f>
        <v>24602</v>
      </c>
      <c r="C84" s="29">
        <f>Текущий!C83</f>
        <v>2</v>
      </c>
      <c r="D84" s="29" t="str">
        <f>Текущий!D83</f>
        <v>ст. Хани</v>
      </c>
      <c r="E84" s="29">
        <f>ROUND(Текущий!J83,0)</f>
        <v>0</v>
      </c>
      <c r="F84" s="29">
        <f>Текущий!E83</f>
        <v>0</v>
      </c>
      <c r="G84" s="16" t="str">
        <f>IF(Текущий!K83="-",Текущий!K83,ROUND(Текущий!K83,0))</f>
        <v>-</v>
      </c>
      <c r="H84" s="29" t="str">
        <f>IF(ROUND(Текущий!I83,0)=0,"-",ROUND(Текущий!I83,0))</f>
        <v>-</v>
      </c>
      <c r="I84" s="16" t="str">
        <f>IF(Предыд!K83="-",Предыд!K83,ROUND(Предыд!K83,0))</f>
        <v>-</v>
      </c>
      <c r="J84" s="29" t="str">
        <f>IF(ROUND(Предыд!I83,0)=0,"-",ROUND(Предыд!I83,0))</f>
        <v>-</v>
      </c>
      <c r="K84" s="30" t="str">
        <f>Текущий!L83</f>
        <v>Рихтовка</v>
      </c>
      <c r="L84" s="29">
        <f>Текущий!AL83</f>
        <v>0</v>
      </c>
      <c r="M84" s="29">
        <f>Текущий!AM83</f>
        <v>0</v>
      </c>
      <c r="N84" s="29">
        <f>Текущий!AN83</f>
        <v>0</v>
      </c>
      <c r="O84" s="29">
        <f>Текущий!AP83</f>
        <v>0</v>
      </c>
      <c r="P84" s="29">
        <f>Предыд!AL83</f>
        <v>0</v>
      </c>
      <c r="Q84" s="29">
        <f>Предыд!AM83</f>
        <v>0</v>
      </c>
      <c r="R84" s="29">
        <f>Предыд!AN83</f>
        <v>0</v>
      </c>
      <c r="S84" s="29">
        <f>Предыд!AO83</f>
        <v>0</v>
      </c>
      <c r="T84" s="17" t="str">
        <f t="shared" si="1"/>
        <v>-</v>
      </c>
    </row>
    <row r="85" spans="1:20" x14ac:dyDescent="0.25">
      <c r="A85" s="29">
        <f>Текущий!A84</f>
        <v>20</v>
      </c>
      <c r="B85" s="29">
        <f>Текущий!B84</f>
        <v>24602</v>
      </c>
      <c r="C85" s="29">
        <f>Текущий!C84</f>
        <v>1</v>
      </c>
      <c r="D85" s="29" t="str">
        <f>Текущий!D84</f>
        <v>Хани - Усколь</v>
      </c>
      <c r="E85" s="29">
        <f>ROUND(Текущий!J84,0)</f>
        <v>0</v>
      </c>
      <c r="F85" s="29">
        <f>Текущий!E84</f>
        <v>0</v>
      </c>
      <c r="G85" s="16" t="str">
        <f>IF(Текущий!K84="-",Текущий!K84,ROUND(Текущий!K84,0))</f>
        <v>-</v>
      </c>
      <c r="H85" s="29" t="str">
        <f>IF(ROUND(Текущий!I84,0)=0,"-",ROUND(Текущий!I84,0))</f>
        <v>-</v>
      </c>
      <c r="I85" s="16" t="str">
        <f>IF(Предыд!K84="-",Предыд!K84,ROUND(Предыд!K84,0))</f>
        <v>-</v>
      </c>
      <c r="J85" s="29" t="str">
        <f>IF(ROUND(Предыд!I84,0)=0,"-",ROUND(Предыд!I84,0))</f>
        <v>-</v>
      </c>
      <c r="K85" s="30" t="str">
        <f>Текущий!L84</f>
        <v>Рихтовка</v>
      </c>
      <c r="L85" s="29">
        <f>Текущий!AL84</f>
        <v>0</v>
      </c>
      <c r="M85" s="29">
        <f>Текущий!AM84</f>
        <v>0</v>
      </c>
      <c r="N85" s="29">
        <f>Текущий!AN84</f>
        <v>0</v>
      </c>
      <c r="O85" s="29">
        <f>Текущий!AP84</f>
        <v>0</v>
      </c>
      <c r="P85" s="29">
        <f>Предыд!AL84</f>
        <v>0</v>
      </c>
      <c r="Q85" s="29">
        <f>Предыд!AM84</f>
        <v>0</v>
      </c>
      <c r="R85" s="29">
        <f>Предыд!AN84</f>
        <v>0</v>
      </c>
      <c r="S85" s="29">
        <f>Предыд!AO84</f>
        <v>0</v>
      </c>
      <c r="T85" s="17" t="str">
        <f t="shared" si="1"/>
        <v>-</v>
      </c>
    </row>
    <row r="86" spans="1:20" x14ac:dyDescent="0.25">
      <c r="A86" s="29">
        <f>Текущий!A85</f>
        <v>20</v>
      </c>
      <c r="B86" s="29">
        <f>Текущий!B85</f>
        <v>24602</v>
      </c>
      <c r="C86" s="29">
        <f>Текущий!C85</f>
        <v>1</v>
      </c>
      <c r="D86" s="29" t="str">
        <f>Текущий!D85</f>
        <v>Усколь - Вельбеткан</v>
      </c>
      <c r="E86" s="29">
        <f>ROUND(Текущий!J85,0)</f>
        <v>0</v>
      </c>
      <c r="F86" s="29">
        <f>Текущий!E85</f>
        <v>0</v>
      </c>
      <c r="G86" s="16" t="str">
        <f>IF(Текущий!K85="-",Текущий!K85,ROUND(Текущий!K85,0))</f>
        <v>-</v>
      </c>
      <c r="H86" s="29" t="str">
        <f>IF(ROUND(Текущий!I85,0)=0,"-",ROUND(Текущий!I85,0))</f>
        <v>-</v>
      </c>
      <c r="I86" s="16" t="str">
        <f>IF(Предыд!K85="-",Предыд!K85,ROUND(Предыд!K85,0))</f>
        <v>-</v>
      </c>
      <c r="J86" s="29" t="str">
        <f>IF(ROUND(Предыд!I85,0)=0,"-",ROUND(Предыд!I85,0))</f>
        <v>-</v>
      </c>
      <c r="K86" s="30" t="str">
        <f>Текущий!L85</f>
        <v>Рихтовка</v>
      </c>
      <c r="L86" s="29">
        <f>Текущий!AL85</f>
        <v>0</v>
      </c>
      <c r="M86" s="29">
        <f>Текущий!AM85</f>
        <v>0</v>
      </c>
      <c r="N86" s="29">
        <f>Текущий!AN85</f>
        <v>0</v>
      </c>
      <c r="O86" s="29">
        <f>Текущий!AP85</f>
        <v>0</v>
      </c>
      <c r="P86" s="29">
        <f>Предыд!AL85</f>
        <v>0</v>
      </c>
      <c r="Q86" s="29">
        <f>Предыд!AM85</f>
        <v>0</v>
      </c>
      <c r="R86" s="29">
        <f>Предыд!AN85</f>
        <v>0</v>
      </c>
      <c r="S86" s="29">
        <f>Предыд!AO85</f>
        <v>0</v>
      </c>
      <c r="T86" s="17" t="str">
        <f t="shared" si="1"/>
        <v>-</v>
      </c>
    </row>
    <row r="87" spans="1:20" x14ac:dyDescent="0.25">
      <c r="A87" s="29">
        <f>Текущий!A86</f>
        <v>20</v>
      </c>
      <c r="B87" s="29">
        <f>Текущий!B86</f>
        <v>24602</v>
      </c>
      <c r="C87" s="29">
        <f>Текущий!C86</f>
        <v>1</v>
      </c>
      <c r="D87" s="29" t="str">
        <f>Текущий!D86</f>
        <v>Вельбеткан - Олекма</v>
      </c>
      <c r="E87" s="29">
        <f>ROUND(Текущий!J86,0)</f>
        <v>0</v>
      </c>
      <c r="F87" s="29">
        <f>Текущий!E86</f>
        <v>0</v>
      </c>
      <c r="G87" s="16" t="str">
        <f>IF(Текущий!K86="-",Текущий!K86,ROUND(Текущий!K86,0))</f>
        <v>-</v>
      </c>
      <c r="H87" s="29" t="str">
        <f>IF(ROUND(Текущий!I86,0)=0,"-",ROUND(Текущий!I86,0))</f>
        <v>-</v>
      </c>
      <c r="I87" s="16" t="str">
        <f>IF(Предыд!K86="-",Предыд!K86,ROUND(Предыд!K86,0))</f>
        <v>-</v>
      </c>
      <c r="J87" s="29" t="str">
        <f>IF(ROUND(Предыд!I86,0)=0,"-",ROUND(Предыд!I86,0))</f>
        <v>-</v>
      </c>
      <c r="K87" s="30" t="str">
        <f>Текущий!L86</f>
        <v>Рихтовка</v>
      </c>
      <c r="L87" s="29">
        <f>Текущий!AL86</f>
        <v>0</v>
      </c>
      <c r="M87" s="29">
        <f>Текущий!AM86</f>
        <v>0</v>
      </c>
      <c r="N87" s="29">
        <f>Текущий!AN86</f>
        <v>0</v>
      </c>
      <c r="O87" s="29">
        <f>Текущий!AP86</f>
        <v>0</v>
      </c>
      <c r="P87" s="29">
        <f>Предыд!AL86</f>
        <v>0</v>
      </c>
      <c r="Q87" s="29">
        <f>Предыд!AM86</f>
        <v>0</v>
      </c>
      <c r="R87" s="29">
        <f>Предыд!AN86</f>
        <v>0</v>
      </c>
      <c r="S87" s="29">
        <f>Предыд!AO86</f>
        <v>0</v>
      </c>
      <c r="T87" s="17" t="str">
        <f t="shared" si="1"/>
        <v>-</v>
      </c>
    </row>
    <row r="88" spans="1:20" x14ac:dyDescent="0.25">
      <c r="A88" s="29">
        <f>Текущий!A87</f>
        <v>20</v>
      </c>
      <c r="B88" s="29">
        <f>Текущий!B87</f>
        <v>24602</v>
      </c>
      <c r="C88" s="29">
        <f>Текущий!C87</f>
        <v>1</v>
      </c>
      <c r="D88" s="29" t="str">
        <f>Текущий!D87</f>
        <v>Олекма - Разъезд 1945 км</v>
      </c>
      <c r="E88" s="29">
        <f>ROUND(Текущий!J87,0)</f>
        <v>0</v>
      </c>
      <c r="F88" s="29">
        <f>Текущий!E87</f>
        <v>0</v>
      </c>
      <c r="G88" s="16" t="str">
        <f>IF(Текущий!K87="-",Текущий!K87,ROUND(Текущий!K87,0))</f>
        <v>-</v>
      </c>
      <c r="H88" s="29" t="str">
        <f>IF(ROUND(Текущий!I87,0)=0,"-",ROUND(Текущий!I87,0))</f>
        <v>-</v>
      </c>
      <c r="I88" s="16" t="str">
        <f>IF(Предыд!K87="-",Предыд!K87,ROUND(Предыд!K87,0))</f>
        <v>-</v>
      </c>
      <c r="J88" s="29" t="str">
        <f>IF(ROUND(Предыд!I87,0)=0,"-",ROUND(Предыд!I87,0))</f>
        <v>-</v>
      </c>
      <c r="K88" s="30" t="str">
        <f>Текущий!L87</f>
        <v>Рихтовка</v>
      </c>
      <c r="L88" s="29">
        <f>Текущий!AL87</f>
        <v>0</v>
      </c>
      <c r="M88" s="29">
        <f>Текущий!AM87</f>
        <v>0</v>
      </c>
      <c r="N88" s="29">
        <f>Текущий!AN87</f>
        <v>0</v>
      </c>
      <c r="O88" s="29">
        <f>Текущий!AP87</f>
        <v>0</v>
      </c>
      <c r="P88" s="29">
        <f>Предыд!AL87</f>
        <v>0</v>
      </c>
      <c r="Q88" s="29">
        <f>Предыд!AM87</f>
        <v>0</v>
      </c>
      <c r="R88" s="29">
        <f>Предыд!AN87</f>
        <v>0</v>
      </c>
      <c r="S88" s="29">
        <f>Предыд!AO87</f>
        <v>0</v>
      </c>
      <c r="T88" s="17" t="str">
        <f t="shared" si="1"/>
        <v>-</v>
      </c>
    </row>
    <row r="89" spans="1:20" x14ac:dyDescent="0.25">
      <c r="A89" s="29">
        <f>Текущий!A88</f>
        <v>20</v>
      </c>
      <c r="B89" s="29">
        <f>Текущий!B88</f>
        <v>24602</v>
      </c>
      <c r="C89" s="29">
        <f>Текущий!C88</f>
        <v>1</v>
      </c>
      <c r="D89" s="29" t="str">
        <f>Текущий!D88</f>
        <v>Разъезд 1945 км - Имангракан</v>
      </c>
      <c r="E89" s="29">
        <f>ROUND(Текущий!J88,0)</f>
        <v>0</v>
      </c>
      <c r="F89" s="29">
        <f>Текущий!E88</f>
        <v>0</v>
      </c>
      <c r="G89" s="16" t="str">
        <f>IF(Текущий!K88="-",Текущий!K88,ROUND(Текущий!K88,0))</f>
        <v>-</v>
      </c>
      <c r="H89" s="29" t="str">
        <f>IF(ROUND(Текущий!I88,0)=0,"-",ROUND(Текущий!I88,0))</f>
        <v>-</v>
      </c>
      <c r="I89" s="16" t="str">
        <f>IF(Предыд!K88="-",Предыд!K88,ROUND(Предыд!K88,0))</f>
        <v>-</v>
      </c>
      <c r="J89" s="29" t="str">
        <f>IF(ROUND(Предыд!I88,0)=0,"-",ROUND(Предыд!I88,0))</f>
        <v>-</v>
      </c>
      <c r="K89" s="30" t="str">
        <f>Текущий!L88</f>
        <v>Рихтовка</v>
      </c>
      <c r="L89" s="29">
        <f>Текущий!AL88</f>
        <v>0</v>
      </c>
      <c r="M89" s="29">
        <f>Текущий!AM88</f>
        <v>0</v>
      </c>
      <c r="N89" s="29">
        <f>Текущий!AN88</f>
        <v>0</v>
      </c>
      <c r="O89" s="29">
        <f>Текущий!AP88</f>
        <v>0</v>
      </c>
      <c r="P89" s="29">
        <f>Предыд!AL88</f>
        <v>0</v>
      </c>
      <c r="Q89" s="29">
        <f>Предыд!AM88</f>
        <v>0</v>
      </c>
      <c r="R89" s="29">
        <f>Предыд!AN88</f>
        <v>0</v>
      </c>
      <c r="S89" s="29">
        <f>Предыд!AO88</f>
        <v>0</v>
      </c>
      <c r="T89" s="17" t="str">
        <f t="shared" si="1"/>
        <v>-</v>
      </c>
    </row>
    <row r="90" spans="1:20" x14ac:dyDescent="0.25">
      <c r="A90" s="29">
        <f>Текущий!A89</f>
        <v>20</v>
      </c>
      <c r="B90" s="29">
        <f>Текущий!B89</f>
        <v>24602</v>
      </c>
      <c r="C90" s="29">
        <f>Текущий!C89</f>
        <v>1</v>
      </c>
      <c r="D90" s="29" t="str">
        <f>Текущий!D89</f>
        <v>Имангракан - Тас-Юрях</v>
      </c>
      <c r="E90" s="29">
        <f>ROUND(Текущий!J89,0)</f>
        <v>0</v>
      </c>
      <c r="F90" s="29">
        <f>Текущий!E89</f>
        <v>0</v>
      </c>
      <c r="G90" s="16" t="str">
        <f>IF(Текущий!K89="-",Текущий!K89,ROUND(Текущий!K89,0))</f>
        <v>-</v>
      </c>
      <c r="H90" s="29" t="str">
        <f>IF(ROUND(Текущий!I89,0)=0,"-",ROUND(Текущий!I89,0))</f>
        <v>-</v>
      </c>
      <c r="I90" s="16" t="str">
        <f>IF(Предыд!K89="-",Предыд!K89,ROUND(Предыд!K89,0))</f>
        <v>-</v>
      </c>
      <c r="J90" s="29" t="str">
        <f>IF(ROUND(Предыд!I89,0)=0,"-",ROUND(Предыд!I89,0))</f>
        <v>-</v>
      </c>
      <c r="K90" s="30" t="str">
        <f>Текущий!L89</f>
        <v>Рихтовка</v>
      </c>
      <c r="L90" s="29">
        <f>Текущий!AL89</f>
        <v>0</v>
      </c>
      <c r="M90" s="29">
        <f>Текущий!AM89</f>
        <v>0</v>
      </c>
      <c r="N90" s="29">
        <f>Текущий!AN89</f>
        <v>0</v>
      </c>
      <c r="O90" s="29">
        <f>Текущий!AP89</f>
        <v>0</v>
      </c>
      <c r="P90" s="29">
        <f>Предыд!AL89</f>
        <v>0</v>
      </c>
      <c r="Q90" s="29">
        <f>Предыд!AM89</f>
        <v>0</v>
      </c>
      <c r="R90" s="29">
        <f>Предыд!AN89</f>
        <v>0</v>
      </c>
      <c r="S90" s="29">
        <f>Предыд!AO89</f>
        <v>0</v>
      </c>
      <c r="T90" s="17" t="str">
        <f t="shared" si="1"/>
        <v>-</v>
      </c>
    </row>
    <row r="91" spans="1:20" x14ac:dyDescent="0.25">
      <c r="A91" s="29">
        <f>Текущий!A90</f>
        <v>20</v>
      </c>
      <c r="B91" s="29">
        <f>Текущий!B90</f>
        <v>24602</v>
      </c>
      <c r="C91" s="29">
        <f>Текущий!C90</f>
        <v>1</v>
      </c>
      <c r="D91" s="29" t="str">
        <f>Текущий!D90</f>
        <v>Тас-Юрях - Юктали</v>
      </c>
      <c r="E91" s="29">
        <f>ROUND(Текущий!J90,0)</f>
        <v>0</v>
      </c>
      <c r="F91" s="29">
        <f>Текущий!E90</f>
        <v>0</v>
      </c>
      <c r="G91" s="16" t="str">
        <f>IF(Текущий!K90="-",Текущий!K90,ROUND(Текущий!K90,0))</f>
        <v>-</v>
      </c>
      <c r="H91" s="29" t="str">
        <f>IF(ROUND(Текущий!I90,0)=0,"-",ROUND(Текущий!I90,0))</f>
        <v>-</v>
      </c>
      <c r="I91" s="16" t="str">
        <f>IF(Предыд!K90="-",Предыд!K90,ROUND(Предыд!K90,0))</f>
        <v>-</v>
      </c>
      <c r="J91" s="29" t="str">
        <f>IF(ROUND(Предыд!I90,0)=0,"-",ROUND(Предыд!I90,0))</f>
        <v>-</v>
      </c>
      <c r="K91" s="30" t="str">
        <f>Текущий!L90</f>
        <v>Рихтовка</v>
      </c>
      <c r="L91" s="29">
        <f>Текущий!AL90</f>
        <v>0</v>
      </c>
      <c r="M91" s="29">
        <f>Текущий!AM90</f>
        <v>0</v>
      </c>
      <c r="N91" s="29">
        <f>Текущий!AN90</f>
        <v>0</v>
      </c>
      <c r="O91" s="29">
        <f>Текущий!AP90</f>
        <v>0</v>
      </c>
      <c r="P91" s="29">
        <f>Предыд!AL90</f>
        <v>0</v>
      </c>
      <c r="Q91" s="29">
        <f>Предыд!AM90</f>
        <v>0</v>
      </c>
      <c r="R91" s="29">
        <f>Предыд!AN90</f>
        <v>0</v>
      </c>
      <c r="S91" s="29">
        <f>Предыд!AO90</f>
        <v>0</v>
      </c>
      <c r="T91" s="17" t="str">
        <f t="shared" si="1"/>
        <v>-</v>
      </c>
    </row>
    <row r="92" spans="1:20" x14ac:dyDescent="0.25">
      <c r="A92" s="29">
        <f>Текущий!A91</f>
        <v>20</v>
      </c>
      <c r="B92" s="29">
        <f>Текущий!B91</f>
        <v>24602</v>
      </c>
      <c r="C92" s="29">
        <f>Текущий!C91</f>
        <v>1</v>
      </c>
      <c r="D92" s="29" t="str">
        <f>Текущий!D91</f>
        <v>Юктали - Талума</v>
      </c>
      <c r="E92" s="29">
        <f>ROUND(Текущий!J91,0)</f>
        <v>0</v>
      </c>
      <c r="F92" s="29">
        <f>Текущий!E91</f>
        <v>0</v>
      </c>
      <c r="G92" s="16" t="str">
        <f>IF(Текущий!K91="-",Текущий!K91,ROUND(Текущий!K91,0))</f>
        <v>-</v>
      </c>
      <c r="H92" s="29" t="str">
        <f>IF(ROUND(Текущий!I91,0)=0,"-",ROUND(Текущий!I91,0))</f>
        <v>-</v>
      </c>
      <c r="I92" s="16" t="str">
        <f>IF(Предыд!K91="-",Предыд!K91,ROUND(Предыд!K91,0))</f>
        <v>-</v>
      </c>
      <c r="J92" s="29" t="str">
        <f>IF(ROUND(Предыд!I91,0)=0,"-",ROUND(Предыд!I91,0))</f>
        <v>-</v>
      </c>
      <c r="K92" s="30" t="str">
        <f>Текущий!L91</f>
        <v>Рихтовка</v>
      </c>
      <c r="L92" s="29">
        <f>Текущий!AL91</f>
        <v>0</v>
      </c>
      <c r="M92" s="29">
        <f>Текущий!AM91</f>
        <v>0</v>
      </c>
      <c r="N92" s="29">
        <f>Текущий!AN91</f>
        <v>0</v>
      </c>
      <c r="O92" s="29">
        <f>Текущий!AP91</f>
        <v>0</v>
      </c>
      <c r="P92" s="29">
        <f>Предыд!AL91</f>
        <v>0</v>
      </c>
      <c r="Q92" s="29">
        <f>Предыд!AM91</f>
        <v>0</v>
      </c>
      <c r="R92" s="29">
        <f>Предыд!AN91</f>
        <v>0</v>
      </c>
      <c r="S92" s="29">
        <f>Предыд!AO91</f>
        <v>0</v>
      </c>
      <c r="T92" s="17" t="str">
        <f t="shared" si="1"/>
        <v>-</v>
      </c>
    </row>
    <row r="93" spans="1:20" x14ac:dyDescent="0.25">
      <c r="A93" s="29">
        <f>Текущий!A92</f>
        <v>20</v>
      </c>
      <c r="B93" s="29">
        <f>Текущий!B92</f>
        <v>24602</v>
      </c>
      <c r="C93" s="29">
        <f>Текущий!C92</f>
        <v>1</v>
      </c>
      <c r="D93" s="29" t="str">
        <f>Текущий!D92</f>
        <v>Талума - Дюгабуль</v>
      </c>
      <c r="E93" s="29">
        <f>ROUND(Текущий!J92,0)</f>
        <v>0</v>
      </c>
      <c r="F93" s="29">
        <f>Текущий!E92</f>
        <v>0</v>
      </c>
      <c r="G93" s="16" t="str">
        <f>IF(Текущий!K92="-",Текущий!K92,ROUND(Текущий!K92,0))</f>
        <v>-</v>
      </c>
      <c r="H93" s="29" t="str">
        <f>IF(ROUND(Текущий!I92,0)=0,"-",ROUND(Текущий!I92,0))</f>
        <v>-</v>
      </c>
      <c r="I93" s="16" t="str">
        <f>IF(Предыд!K92="-",Предыд!K92,ROUND(Предыд!K92,0))</f>
        <v>-</v>
      </c>
      <c r="J93" s="29" t="str">
        <f>IF(ROUND(Предыд!I92,0)=0,"-",ROUND(Предыд!I92,0))</f>
        <v>-</v>
      </c>
      <c r="K93" s="30" t="str">
        <f>Текущий!L92</f>
        <v>Рихтовка</v>
      </c>
      <c r="L93" s="29">
        <f>Текущий!AL92</f>
        <v>0</v>
      </c>
      <c r="M93" s="29">
        <f>Текущий!AM92</f>
        <v>0</v>
      </c>
      <c r="N93" s="29">
        <f>Текущий!AN92</f>
        <v>0</v>
      </c>
      <c r="O93" s="29">
        <f>Текущий!AP92</f>
        <v>0</v>
      </c>
      <c r="P93" s="29">
        <f>Предыд!AL92</f>
        <v>0</v>
      </c>
      <c r="Q93" s="29">
        <f>Предыд!AM92</f>
        <v>0</v>
      </c>
      <c r="R93" s="29">
        <f>Предыд!AN92</f>
        <v>0</v>
      </c>
      <c r="S93" s="29">
        <f>Предыд!AO92</f>
        <v>0</v>
      </c>
      <c r="T93" s="17" t="str">
        <f t="shared" si="1"/>
        <v>-</v>
      </c>
    </row>
    <row r="94" spans="1:20" x14ac:dyDescent="0.25">
      <c r="A94" s="29">
        <f>Текущий!A93</f>
        <v>20</v>
      </c>
      <c r="B94" s="29">
        <f>Текущий!B93</f>
        <v>24602</v>
      </c>
      <c r="C94" s="29">
        <f>Текущий!C93</f>
        <v>1</v>
      </c>
      <c r="D94" s="29" t="str">
        <f>Текущий!D93</f>
        <v>Дюгабуль - Ункур</v>
      </c>
      <c r="E94" s="29">
        <f>ROUND(Текущий!J93,0)</f>
        <v>0</v>
      </c>
      <c r="F94" s="29">
        <f>Текущий!E93</f>
        <v>0</v>
      </c>
      <c r="G94" s="16" t="str">
        <f>IF(Текущий!K93="-",Текущий!K93,ROUND(Текущий!K93,0))</f>
        <v>-</v>
      </c>
      <c r="H94" s="29" t="str">
        <f>IF(ROUND(Текущий!I93,0)=0,"-",ROUND(Текущий!I93,0))</f>
        <v>-</v>
      </c>
      <c r="I94" s="16" t="str">
        <f>IF(Предыд!K93="-",Предыд!K93,ROUND(Предыд!K93,0))</f>
        <v>-</v>
      </c>
      <c r="J94" s="29" t="str">
        <f>IF(ROUND(Предыд!I93,0)=0,"-",ROUND(Предыд!I93,0))</f>
        <v>-</v>
      </c>
      <c r="K94" s="30" t="str">
        <f>Текущий!L93</f>
        <v>Рихтовка</v>
      </c>
      <c r="L94" s="29">
        <f>Текущий!AL93</f>
        <v>0</v>
      </c>
      <c r="M94" s="29">
        <f>Текущий!AM93</f>
        <v>0</v>
      </c>
      <c r="N94" s="29">
        <f>Текущий!AN93</f>
        <v>0</v>
      </c>
      <c r="O94" s="29">
        <f>Текущий!AP93</f>
        <v>0</v>
      </c>
      <c r="P94" s="29">
        <f>Предыд!AL93</f>
        <v>0</v>
      </c>
      <c r="Q94" s="29">
        <f>Предыд!AM93</f>
        <v>0</v>
      </c>
      <c r="R94" s="29">
        <f>Предыд!AN93</f>
        <v>0</v>
      </c>
      <c r="S94" s="29">
        <f>Предыд!AO93</f>
        <v>0</v>
      </c>
      <c r="T94" s="17" t="str">
        <f t="shared" si="1"/>
        <v>-</v>
      </c>
    </row>
    <row r="95" spans="1:20" x14ac:dyDescent="0.25">
      <c r="A95" s="29">
        <f>Текущий!A94</f>
        <v>20</v>
      </c>
      <c r="B95" s="29">
        <f>Текущий!B94</f>
        <v>24602</v>
      </c>
      <c r="C95" s="29">
        <f>Текущий!C94</f>
        <v>1</v>
      </c>
      <c r="D95" s="29" t="str">
        <f>Текущий!D94</f>
        <v>Ункур - Разъезд 2017 км</v>
      </c>
      <c r="E95" s="29">
        <f>ROUND(Текущий!J94,0)</f>
        <v>0</v>
      </c>
      <c r="F95" s="29">
        <f>Текущий!E94</f>
        <v>0</v>
      </c>
      <c r="G95" s="16" t="str">
        <f>IF(Текущий!K94="-",Текущий!K94,ROUND(Текущий!K94,0))</f>
        <v>-</v>
      </c>
      <c r="H95" s="29" t="str">
        <f>IF(ROUND(Текущий!I94,0)=0,"-",ROUND(Текущий!I94,0))</f>
        <v>-</v>
      </c>
      <c r="I95" s="16" t="str">
        <f>IF(Предыд!K94="-",Предыд!K94,ROUND(Предыд!K94,0))</f>
        <v>-</v>
      </c>
      <c r="J95" s="29" t="str">
        <f>IF(ROUND(Предыд!I94,0)=0,"-",ROUND(Предыд!I94,0))</f>
        <v>-</v>
      </c>
      <c r="K95" s="30" t="str">
        <f>Текущий!L94</f>
        <v>Рихтовка</v>
      </c>
      <c r="L95" s="29">
        <f>Текущий!AL94</f>
        <v>0</v>
      </c>
      <c r="M95" s="29">
        <f>Текущий!AM94</f>
        <v>0</v>
      </c>
      <c r="N95" s="29">
        <f>Текущий!AN94</f>
        <v>0</v>
      </c>
      <c r="O95" s="29">
        <f>Текущий!AP94</f>
        <v>0</v>
      </c>
      <c r="P95" s="29">
        <f>Предыд!AL94</f>
        <v>0</v>
      </c>
      <c r="Q95" s="29">
        <f>Предыд!AM94</f>
        <v>0</v>
      </c>
      <c r="R95" s="29">
        <f>Предыд!AN94</f>
        <v>0</v>
      </c>
      <c r="S95" s="29">
        <f>Предыд!AO94</f>
        <v>0</v>
      </c>
      <c r="T95" s="17" t="str">
        <f t="shared" si="1"/>
        <v>-</v>
      </c>
    </row>
    <row r="96" spans="1:20" x14ac:dyDescent="0.25">
      <c r="A96" s="29">
        <f>Текущий!A95</f>
        <v>20</v>
      </c>
      <c r="B96" s="29">
        <f>Текущий!B95</f>
        <v>24602</v>
      </c>
      <c r="C96" s="29">
        <f>Текущий!C95</f>
        <v>1</v>
      </c>
      <c r="D96" s="29" t="str">
        <f>Текущий!D95</f>
        <v>Разъезд 2017 км - Чильчи</v>
      </c>
      <c r="E96" s="29">
        <f>ROUND(Текущий!J95,0)</f>
        <v>0</v>
      </c>
      <c r="F96" s="29">
        <f>Текущий!E95</f>
        <v>0</v>
      </c>
      <c r="G96" s="16" t="str">
        <f>IF(Текущий!K95="-",Текущий!K95,ROUND(Текущий!K95,0))</f>
        <v>-</v>
      </c>
      <c r="H96" s="29" t="str">
        <f>IF(ROUND(Текущий!I95,0)=0,"-",ROUND(Текущий!I95,0))</f>
        <v>-</v>
      </c>
      <c r="I96" s="16" t="str">
        <f>IF(Предыд!K95="-",Предыд!K95,ROUND(Предыд!K95,0))</f>
        <v>-</v>
      </c>
      <c r="J96" s="29" t="str">
        <f>IF(ROUND(Предыд!I95,0)=0,"-",ROUND(Предыд!I95,0))</f>
        <v>-</v>
      </c>
      <c r="K96" s="30" t="str">
        <f>Текущий!L95</f>
        <v>Рихтовка</v>
      </c>
      <c r="L96" s="29">
        <f>Текущий!AL95</f>
        <v>0</v>
      </c>
      <c r="M96" s="29">
        <f>Текущий!AM95</f>
        <v>0</v>
      </c>
      <c r="N96" s="29">
        <f>Текущий!AN95</f>
        <v>0</v>
      </c>
      <c r="O96" s="29">
        <f>Текущий!AP95</f>
        <v>0</v>
      </c>
      <c r="P96" s="29">
        <f>Предыд!AL95</f>
        <v>0</v>
      </c>
      <c r="Q96" s="29">
        <f>Предыд!AM95</f>
        <v>0</v>
      </c>
      <c r="R96" s="29">
        <f>Предыд!AN95</f>
        <v>0</v>
      </c>
      <c r="S96" s="29">
        <f>Предыд!AO95</f>
        <v>0</v>
      </c>
      <c r="T96" s="17" t="str">
        <f t="shared" si="1"/>
        <v>-</v>
      </c>
    </row>
    <row r="97" spans="1:20" x14ac:dyDescent="0.25">
      <c r="A97" s="29">
        <f>Текущий!A96</f>
        <v>20</v>
      </c>
      <c r="B97" s="29">
        <f>Текущий!B96</f>
        <v>24602</v>
      </c>
      <c r="C97" s="29">
        <f>Текущий!C96</f>
        <v>1</v>
      </c>
      <c r="D97" s="29" t="str">
        <f>Текущий!D96</f>
        <v>Чильчи - Марихта</v>
      </c>
      <c r="E97" s="29">
        <f>ROUND(Текущий!J96,0)</f>
        <v>0</v>
      </c>
      <c r="F97" s="29">
        <f>Текущий!E96</f>
        <v>0</v>
      </c>
      <c r="G97" s="16" t="str">
        <f>IF(Текущий!K96="-",Текущий!K96,ROUND(Текущий!K96,0))</f>
        <v>-</v>
      </c>
      <c r="H97" s="29" t="str">
        <f>IF(ROUND(Текущий!I96,0)=0,"-",ROUND(Текущий!I96,0))</f>
        <v>-</v>
      </c>
      <c r="I97" s="16" t="str">
        <f>IF(Предыд!K96="-",Предыд!K96,ROUND(Предыд!K96,0))</f>
        <v>-</v>
      </c>
      <c r="J97" s="29" t="str">
        <f>IF(ROUND(Предыд!I96,0)=0,"-",ROUND(Предыд!I96,0))</f>
        <v>-</v>
      </c>
      <c r="K97" s="30" t="str">
        <f>Текущий!L96</f>
        <v>Рихтовка</v>
      </c>
      <c r="L97" s="29">
        <f>Текущий!AL96</f>
        <v>0</v>
      </c>
      <c r="M97" s="29">
        <f>Текущий!AM96</f>
        <v>0</v>
      </c>
      <c r="N97" s="29">
        <f>Текущий!AN96</f>
        <v>0</v>
      </c>
      <c r="O97" s="29">
        <f>Текущий!AP96</f>
        <v>0</v>
      </c>
      <c r="P97" s="29">
        <f>Предыд!AL96</f>
        <v>0</v>
      </c>
      <c r="Q97" s="29">
        <f>Предыд!AM96</f>
        <v>0</v>
      </c>
      <c r="R97" s="29">
        <f>Предыд!AN96</f>
        <v>0</v>
      </c>
      <c r="S97" s="29">
        <f>Предыд!AO96</f>
        <v>0</v>
      </c>
      <c r="T97" s="17" t="str">
        <f t="shared" si="1"/>
        <v>-</v>
      </c>
    </row>
    <row r="98" spans="1:20" x14ac:dyDescent="0.25">
      <c r="A98" s="29">
        <f>Текущий!A97</f>
        <v>20</v>
      </c>
      <c r="B98" s="29">
        <f>Текущий!B97</f>
        <v>24602</v>
      </c>
      <c r="C98" s="29">
        <f>Текущий!C97</f>
        <v>1</v>
      </c>
      <c r="D98" s="29" t="str">
        <f>Текущий!D97</f>
        <v>Марихта - Лопча</v>
      </c>
      <c r="E98" s="29">
        <f>ROUND(Текущий!J97,0)</f>
        <v>0</v>
      </c>
      <c r="F98" s="29">
        <f>Текущий!E97</f>
        <v>0</v>
      </c>
      <c r="G98" s="16" t="str">
        <f>IF(Текущий!K97="-",Текущий!K97,ROUND(Текущий!K97,0))</f>
        <v>-</v>
      </c>
      <c r="H98" s="29" t="str">
        <f>IF(ROUND(Текущий!I97,0)=0,"-",ROUND(Текущий!I97,0))</f>
        <v>-</v>
      </c>
      <c r="I98" s="16" t="str">
        <f>IF(Предыд!K97="-",Предыд!K97,ROUND(Предыд!K97,0))</f>
        <v>-</v>
      </c>
      <c r="J98" s="29" t="str">
        <f>IF(ROUND(Предыд!I97,0)=0,"-",ROUND(Предыд!I97,0))</f>
        <v>-</v>
      </c>
      <c r="K98" s="30" t="str">
        <f>Текущий!L97</f>
        <v>Рихтовка</v>
      </c>
      <c r="L98" s="29">
        <f>Текущий!AL97</f>
        <v>0</v>
      </c>
      <c r="M98" s="29">
        <f>Текущий!AM97</f>
        <v>0</v>
      </c>
      <c r="N98" s="29">
        <f>Текущий!AN97</f>
        <v>0</v>
      </c>
      <c r="O98" s="29">
        <f>Текущий!AP97</f>
        <v>0</v>
      </c>
      <c r="P98" s="29">
        <f>Предыд!AL97</f>
        <v>0</v>
      </c>
      <c r="Q98" s="29">
        <f>Предыд!AM97</f>
        <v>0</v>
      </c>
      <c r="R98" s="29">
        <f>Предыд!AN97</f>
        <v>0</v>
      </c>
      <c r="S98" s="29">
        <f>Предыд!AO97</f>
        <v>0</v>
      </c>
      <c r="T98" s="17" t="str">
        <f t="shared" si="1"/>
        <v>-</v>
      </c>
    </row>
    <row r="99" spans="1:20" x14ac:dyDescent="0.25">
      <c r="A99" s="29">
        <f>Текущий!A98</f>
        <v>20</v>
      </c>
      <c r="B99" s="29">
        <f>Текущий!B98</f>
        <v>24602</v>
      </c>
      <c r="C99" s="29">
        <f>Текущий!C98</f>
        <v>1</v>
      </c>
      <c r="D99" s="29" t="str">
        <f>Текущий!D98</f>
        <v>Лопча - Морошка</v>
      </c>
      <c r="E99" s="29">
        <f>ROUND(Текущий!J98,0)</f>
        <v>0</v>
      </c>
      <c r="F99" s="29">
        <f>Текущий!E98</f>
        <v>0</v>
      </c>
      <c r="G99" s="16" t="str">
        <f>IF(Текущий!K98="-",Текущий!K98,ROUND(Текущий!K98,0))</f>
        <v>-</v>
      </c>
      <c r="H99" s="29" t="str">
        <f>IF(ROUND(Текущий!I98,0)=0,"-",ROUND(Текущий!I98,0))</f>
        <v>-</v>
      </c>
      <c r="I99" s="16" t="str">
        <f>IF(Предыд!K98="-",Предыд!K98,ROUND(Предыд!K98,0))</f>
        <v>-</v>
      </c>
      <c r="J99" s="29" t="str">
        <f>IF(ROUND(Предыд!I98,0)=0,"-",ROUND(Предыд!I98,0))</f>
        <v>-</v>
      </c>
      <c r="K99" s="30" t="str">
        <f>Текущий!L98</f>
        <v>Рихтовка</v>
      </c>
      <c r="L99" s="29">
        <f>Текущий!AL98</f>
        <v>0</v>
      </c>
      <c r="M99" s="29">
        <f>Текущий!AM98</f>
        <v>0</v>
      </c>
      <c r="N99" s="29">
        <f>Текущий!AN98</f>
        <v>0</v>
      </c>
      <c r="O99" s="29">
        <f>Текущий!AP98</f>
        <v>0</v>
      </c>
      <c r="P99" s="29">
        <f>Предыд!AL98</f>
        <v>0</v>
      </c>
      <c r="Q99" s="29">
        <f>Предыд!AM98</f>
        <v>0</v>
      </c>
      <c r="R99" s="29">
        <f>Предыд!AN98</f>
        <v>0</v>
      </c>
      <c r="S99" s="29">
        <f>Предыд!AO98</f>
        <v>0</v>
      </c>
      <c r="T99" s="17" t="str">
        <f t="shared" si="1"/>
        <v>-</v>
      </c>
    </row>
    <row r="100" spans="1:20" x14ac:dyDescent="0.25">
      <c r="A100" s="29">
        <f>Текущий!A99</f>
        <v>20</v>
      </c>
      <c r="B100" s="29">
        <f>Текущий!B99</f>
        <v>24602</v>
      </c>
      <c r="C100" s="29">
        <f>Текущий!C99</f>
        <v>1</v>
      </c>
      <c r="D100" s="29" t="str">
        <f>Текущий!D99</f>
        <v>Морошка - Эльгакан</v>
      </c>
      <c r="E100" s="29">
        <f>ROUND(Текущий!J99,0)</f>
        <v>0</v>
      </c>
      <c r="F100" s="29">
        <f>Текущий!E99</f>
        <v>0</v>
      </c>
      <c r="G100" s="16" t="str">
        <f>IF(Текущий!K99="-",Текущий!K99,ROUND(Текущий!K99,0))</f>
        <v>-</v>
      </c>
      <c r="H100" s="29" t="str">
        <f>IF(ROUND(Текущий!I99,0)=0,"-",ROUND(Текущий!I99,0))</f>
        <v>-</v>
      </c>
      <c r="I100" s="16" t="str">
        <f>IF(Предыд!K99="-",Предыд!K99,ROUND(Предыд!K99,0))</f>
        <v>-</v>
      </c>
      <c r="J100" s="29" t="str">
        <f>IF(ROUND(Предыд!I99,0)=0,"-",ROUND(Предыд!I99,0))</f>
        <v>-</v>
      </c>
      <c r="K100" s="30" t="str">
        <f>Текущий!L99</f>
        <v>Рихтовка</v>
      </c>
      <c r="L100" s="29">
        <f>Текущий!AL99</f>
        <v>0</v>
      </c>
      <c r="M100" s="29">
        <f>Текущий!AM99</f>
        <v>0</v>
      </c>
      <c r="N100" s="29">
        <f>Текущий!AN99</f>
        <v>0</v>
      </c>
      <c r="O100" s="29">
        <f>Текущий!AP99</f>
        <v>0</v>
      </c>
      <c r="P100" s="29">
        <f>Предыд!AL99</f>
        <v>0</v>
      </c>
      <c r="Q100" s="29">
        <f>Предыд!AM99</f>
        <v>0</v>
      </c>
      <c r="R100" s="29">
        <f>Предыд!AN99</f>
        <v>0</v>
      </c>
      <c r="S100" s="29">
        <f>Предыд!AO99</f>
        <v>0</v>
      </c>
      <c r="T100" s="17" t="str">
        <f t="shared" si="1"/>
        <v>-</v>
      </c>
    </row>
    <row r="101" spans="1:20" x14ac:dyDescent="0.25">
      <c r="A101" s="29">
        <f>Текущий!A100</f>
        <v>20</v>
      </c>
      <c r="B101" s="29">
        <f>Текущий!B100</f>
        <v>24602</v>
      </c>
      <c r="C101" s="29">
        <f>Текущий!C100</f>
        <v>1</v>
      </c>
      <c r="D101" s="29" t="str">
        <f>Текущий!D100</f>
        <v>Эльгакан - Заячий</v>
      </c>
      <c r="E101" s="29">
        <f>ROUND(Текущий!J100,0)</f>
        <v>0</v>
      </c>
      <c r="F101" s="29">
        <f>Текущий!E100</f>
        <v>0</v>
      </c>
      <c r="G101" s="16" t="str">
        <f>IF(Текущий!K100="-",Текущий!K100,ROUND(Текущий!K100,0))</f>
        <v>-</v>
      </c>
      <c r="H101" s="29" t="str">
        <f>IF(ROUND(Текущий!I100,0)=0,"-",ROUND(Текущий!I100,0))</f>
        <v>-</v>
      </c>
      <c r="I101" s="16" t="str">
        <f>IF(Предыд!K100="-",Предыд!K100,ROUND(Предыд!K100,0))</f>
        <v>-</v>
      </c>
      <c r="J101" s="29" t="str">
        <f>IF(ROUND(Предыд!I100,0)=0,"-",ROUND(Предыд!I100,0))</f>
        <v>-</v>
      </c>
      <c r="K101" s="30" t="str">
        <f>Текущий!L100</f>
        <v>Рихтовка</v>
      </c>
      <c r="L101" s="29">
        <f>Текущий!AL100</f>
        <v>0</v>
      </c>
      <c r="M101" s="29">
        <f>Текущий!AM100</f>
        <v>0</v>
      </c>
      <c r="N101" s="29">
        <f>Текущий!AN100</f>
        <v>0</v>
      </c>
      <c r="O101" s="29">
        <f>Текущий!AP100</f>
        <v>0</v>
      </c>
      <c r="P101" s="29">
        <f>Предыд!AL100</f>
        <v>0</v>
      </c>
      <c r="Q101" s="29">
        <f>Предыд!AM100</f>
        <v>0</v>
      </c>
      <c r="R101" s="29">
        <f>Предыд!AN100</f>
        <v>0</v>
      </c>
      <c r="S101" s="29">
        <f>Предыд!AO100</f>
        <v>0</v>
      </c>
      <c r="T101" s="17" t="str">
        <f t="shared" si="1"/>
        <v>-</v>
      </c>
    </row>
    <row r="102" spans="1:20" x14ac:dyDescent="0.25">
      <c r="A102" s="29">
        <f>Текущий!A101</f>
        <v>22</v>
      </c>
      <c r="B102" s="29">
        <f>Текущий!B101</f>
        <v>24602</v>
      </c>
      <c r="C102" s="29">
        <f>Текущий!C101</f>
        <v>1</v>
      </c>
      <c r="D102" s="29" t="str">
        <f>Текущий!D101</f>
        <v>Эльгакан - Заячий</v>
      </c>
      <c r="E102" s="29">
        <f>ROUND(Текущий!J101,0)</f>
        <v>0</v>
      </c>
      <c r="F102" s="29">
        <f>Текущий!E101</f>
        <v>0</v>
      </c>
      <c r="G102" s="16" t="str">
        <f>IF(Текущий!K101="-",Текущий!K101,ROUND(Текущий!K101,0))</f>
        <v>-</v>
      </c>
      <c r="H102" s="29" t="str">
        <f>IF(ROUND(Текущий!I101,0)=0,"-",ROUND(Текущий!I101,0))</f>
        <v>-</v>
      </c>
      <c r="I102" s="16" t="str">
        <f>IF(Предыд!K101="-",Предыд!K101,ROUND(Предыд!K101,0))</f>
        <v>-</v>
      </c>
      <c r="J102" s="29" t="str">
        <f>IF(ROUND(Предыд!I101,0)=0,"-",ROUND(Предыд!I101,0))</f>
        <v>-</v>
      </c>
      <c r="K102" s="30" t="str">
        <f>Текущий!L101</f>
        <v>Рихтовка</v>
      </c>
      <c r="L102" s="29">
        <f>Текущий!AL101</f>
        <v>0</v>
      </c>
      <c r="M102" s="29">
        <f>Текущий!AM101</f>
        <v>0</v>
      </c>
      <c r="N102" s="29">
        <f>Текущий!AN101</f>
        <v>0</v>
      </c>
      <c r="O102" s="29">
        <f>Текущий!AP101</f>
        <v>0</v>
      </c>
      <c r="P102" s="29">
        <f>Предыд!AL101</f>
        <v>0</v>
      </c>
      <c r="Q102" s="29">
        <f>Предыд!AM101</f>
        <v>0</v>
      </c>
      <c r="R102" s="29">
        <f>Предыд!AN101</f>
        <v>0</v>
      </c>
      <c r="S102" s="29">
        <f>Предыд!AO101</f>
        <v>0</v>
      </c>
      <c r="T102" s="17" t="str">
        <f t="shared" si="1"/>
        <v>-</v>
      </c>
    </row>
    <row r="103" spans="1:20" x14ac:dyDescent="0.25">
      <c r="A103" s="29">
        <f>Текущий!A102</f>
        <v>22</v>
      </c>
      <c r="B103" s="29">
        <f>Текущий!B102</f>
        <v>24602</v>
      </c>
      <c r="C103" s="29">
        <f>Текущий!C102</f>
        <v>1</v>
      </c>
      <c r="D103" s="29" t="str">
        <f>Текущий!D102</f>
        <v>Заячий - Ларба</v>
      </c>
      <c r="E103" s="29">
        <f>ROUND(Текущий!J102,0)</f>
        <v>0</v>
      </c>
      <c r="F103" s="29">
        <f>Текущий!E102</f>
        <v>0</v>
      </c>
      <c r="G103" s="16" t="str">
        <f>IF(Текущий!K102="-",Текущий!K102,ROUND(Текущий!K102,0))</f>
        <v>-</v>
      </c>
      <c r="H103" s="29" t="str">
        <f>IF(ROUND(Текущий!I102,0)=0,"-",ROUND(Текущий!I102,0))</f>
        <v>-</v>
      </c>
      <c r="I103" s="16" t="str">
        <f>IF(Предыд!K102="-",Предыд!K102,ROUND(Предыд!K102,0))</f>
        <v>-</v>
      </c>
      <c r="J103" s="29" t="str">
        <f>IF(ROUND(Предыд!I102,0)=0,"-",ROUND(Предыд!I102,0))</f>
        <v>-</v>
      </c>
      <c r="K103" s="30" t="str">
        <f>Текущий!L102</f>
        <v>Рихтовка</v>
      </c>
      <c r="L103" s="29">
        <f>Текущий!AL102</f>
        <v>0</v>
      </c>
      <c r="M103" s="29">
        <f>Текущий!AM102</f>
        <v>0</v>
      </c>
      <c r="N103" s="29">
        <f>Текущий!AN102</f>
        <v>0</v>
      </c>
      <c r="O103" s="29">
        <f>Текущий!AP102</f>
        <v>0</v>
      </c>
      <c r="P103" s="29">
        <f>Предыд!AL102</f>
        <v>0</v>
      </c>
      <c r="Q103" s="29">
        <f>Предыд!AM102</f>
        <v>0</v>
      </c>
      <c r="R103" s="29">
        <f>Предыд!AN102</f>
        <v>0</v>
      </c>
      <c r="S103" s="29">
        <f>Предыд!AO102</f>
        <v>0</v>
      </c>
      <c r="T103" s="17" t="str">
        <f t="shared" si="1"/>
        <v>-</v>
      </c>
    </row>
    <row r="104" spans="1:20" x14ac:dyDescent="0.25">
      <c r="A104" s="29">
        <f>Текущий!A103</f>
        <v>22</v>
      </c>
      <c r="B104" s="29">
        <f>Текущий!B103</f>
        <v>24602</v>
      </c>
      <c r="C104" s="29">
        <f>Текущий!C103</f>
        <v>1</v>
      </c>
      <c r="D104" s="29" t="str">
        <f>Текущий!D103</f>
        <v>Ларба - Сосновый</v>
      </c>
      <c r="E104" s="29">
        <f>ROUND(Текущий!J103,0)</f>
        <v>0</v>
      </c>
      <c r="F104" s="29">
        <f>Текущий!E103</f>
        <v>0</v>
      </c>
      <c r="G104" s="16" t="str">
        <f>IF(Текущий!K103="-",Текущий!K103,ROUND(Текущий!K103,0))</f>
        <v>-</v>
      </c>
      <c r="H104" s="29" t="str">
        <f>IF(ROUND(Текущий!I103,0)=0,"-",ROUND(Текущий!I103,0))</f>
        <v>-</v>
      </c>
      <c r="I104" s="16" t="str">
        <f>IF(Предыд!K103="-",Предыд!K103,ROUND(Предыд!K103,0))</f>
        <v>-</v>
      </c>
      <c r="J104" s="29" t="str">
        <f>IF(ROUND(Предыд!I103,0)=0,"-",ROUND(Предыд!I103,0))</f>
        <v>-</v>
      </c>
      <c r="K104" s="30" t="str">
        <f>Текущий!L103</f>
        <v>Рихтовка</v>
      </c>
      <c r="L104" s="29">
        <f>Текущий!AL103</f>
        <v>0</v>
      </c>
      <c r="M104" s="29">
        <f>Текущий!AM103</f>
        <v>0</v>
      </c>
      <c r="N104" s="29">
        <f>Текущий!AN103</f>
        <v>0</v>
      </c>
      <c r="O104" s="29">
        <f>Текущий!AP103</f>
        <v>0</v>
      </c>
      <c r="P104" s="29">
        <f>Предыд!AL103</f>
        <v>0</v>
      </c>
      <c r="Q104" s="29">
        <f>Предыд!AM103</f>
        <v>0</v>
      </c>
      <c r="R104" s="29">
        <f>Предыд!AN103</f>
        <v>0</v>
      </c>
      <c r="S104" s="29">
        <f>Предыд!AO103</f>
        <v>0</v>
      </c>
      <c r="T104" s="17" t="str">
        <f t="shared" si="1"/>
        <v>-</v>
      </c>
    </row>
    <row r="105" spans="1:20" x14ac:dyDescent="0.25">
      <c r="A105" s="29">
        <f>Текущий!A104</f>
        <v>22</v>
      </c>
      <c r="B105" s="29">
        <f>Текущий!B104</f>
        <v>24602</v>
      </c>
      <c r="C105" s="29">
        <f>Текущий!C104</f>
        <v>1</v>
      </c>
      <c r="D105" s="29" t="str">
        <f>Текущий!D104</f>
        <v>Сосновый - Лумбир</v>
      </c>
      <c r="E105" s="29">
        <f>ROUND(Текущий!J104,0)</f>
        <v>0</v>
      </c>
      <c r="F105" s="29">
        <f>Текущий!E104</f>
        <v>0</v>
      </c>
      <c r="G105" s="16" t="str">
        <f>IF(Текущий!K104="-",Текущий!K104,ROUND(Текущий!K104,0))</f>
        <v>-</v>
      </c>
      <c r="H105" s="29" t="str">
        <f>IF(ROUND(Текущий!I104,0)=0,"-",ROUND(Текущий!I104,0))</f>
        <v>-</v>
      </c>
      <c r="I105" s="16" t="str">
        <f>IF(Предыд!K104="-",Предыд!K104,ROUND(Предыд!K104,0))</f>
        <v>-</v>
      </c>
      <c r="J105" s="29" t="str">
        <f>IF(ROUND(Предыд!I104,0)=0,"-",ROUND(Предыд!I104,0))</f>
        <v>-</v>
      </c>
      <c r="K105" s="30" t="str">
        <f>Текущий!L104</f>
        <v>Рихтовка</v>
      </c>
      <c r="L105" s="29">
        <f>Текущий!AL104</f>
        <v>0</v>
      </c>
      <c r="M105" s="29">
        <f>Текущий!AM104</f>
        <v>0</v>
      </c>
      <c r="N105" s="29">
        <f>Текущий!AN104</f>
        <v>0</v>
      </c>
      <c r="O105" s="29">
        <f>Текущий!AP104</f>
        <v>0</v>
      </c>
      <c r="P105" s="29">
        <f>Предыд!AL104</f>
        <v>0</v>
      </c>
      <c r="Q105" s="29">
        <f>Предыд!AM104</f>
        <v>0</v>
      </c>
      <c r="R105" s="29">
        <f>Предыд!AN104</f>
        <v>0</v>
      </c>
      <c r="S105" s="29">
        <f>Предыд!AO104</f>
        <v>0</v>
      </c>
      <c r="T105" s="17" t="str">
        <f t="shared" si="1"/>
        <v>-</v>
      </c>
    </row>
    <row r="106" spans="1:20" x14ac:dyDescent="0.25">
      <c r="A106" s="29">
        <f>Текущий!A105</f>
        <v>22</v>
      </c>
      <c r="B106" s="29">
        <f>Текущий!B105</f>
        <v>24602</v>
      </c>
      <c r="C106" s="29">
        <f>Текущий!C105</f>
        <v>1</v>
      </c>
      <c r="D106" s="29" t="str">
        <f>Текущий!D105</f>
        <v>Лумбир - Глухаринный</v>
      </c>
      <c r="E106" s="29">
        <f>ROUND(Текущий!J105,0)</f>
        <v>0</v>
      </c>
      <c r="F106" s="29">
        <f>Текущий!E105</f>
        <v>0</v>
      </c>
      <c r="G106" s="16" t="str">
        <f>IF(Текущий!K105="-",Текущий!K105,ROUND(Текущий!K105,0))</f>
        <v>-</v>
      </c>
      <c r="H106" s="29" t="str">
        <f>IF(ROUND(Текущий!I105,0)=0,"-",ROUND(Текущий!I105,0))</f>
        <v>-</v>
      </c>
      <c r="I106" s="16" t="str">
        <f>IF(Предыд!K105="-",Предыд!K105,ROUND(Предыд!K105,0))</f>
        <v>-</v>
      </c>
      <c r="J106" s="29" t="str">
        <f>IF(ROUND(Предыд!I105,0)=0,"-",ROUND(Предыд!I105,0))</f>
        <v>-</v>
      </c>
      <c r="K106" s="30" t="str">
        <f>Текущий!L105</f>
        <v>Рихтовка</v>
      </c>
      <c r="L106" s="29">
        <f>Текущий!AL105</f>
        <v>0</v>
      </c>
      <c r="M106" s="29">
        <f>Текущий!AM105</f>
        <v>0</v>
      </c>
      <c r="N106" s="29">
        <f>Текущий!AN105</f>
        <v>0</v>
      </c>
      <c r="O106" s="29">
        <f>Текущий!AP105</f>
        <v>0</v>
      </c>
      <c r="P106" s="29">
        <f>Предыд!AL105</f>
        <v>0</v>
      </c>
      <c r="Q106" s="29">
        <f>Предыд!AM105</f>
        <v>0</v>
      </c>
      <c r="R106" s="29">
        <f>Предыд!AN105</f>
        <v>0</v>
      </c>
      <c r="S106" s="29">
        <f>Предыд!AO105</f>
        <v>0</v>
      </c>
      <c r="T106" s="17" t="str">
        <f t="shared" si="1"/>
        <v>-</v>
      </c>
    </row>
    <row r="107" spans="1:20" x14ac:dyDescent="0.25">
      <c r="A107" s="29">
        <f>Текущий!A106</f>
        <v>22</v>
      </c>
      <c r="B107" s="29">
        <f>Текущий!B106</f>
        <v>24602</v>
      </c>
      <c r="C107" s="29">
        <f>Текущий!C106</f>
        <v>1</v>
      </c>
      <c r="D107" s="29" t="str">
        <f>Текущий!D106</f>
        <v>Глухаринный - Хорогочи</v>
      </c>
      <c r="E107" s="29">
        <f>ROUND(Текущий!J106,0)</f>
        <v>0</v>
      </c>
      <c r="F107" s="29">
        <f>Текущий!E106</f>
        <v>0</v>
      </c>
      <c r="G107" s="16" t="str">
        <f>IF(Текущий!K106="-",Текущий!K106,ROUND(Текущий!K106,0))</f>
        <v>-</v>
      </c>
      <c r="H107" s="29" t="str">
        <f>IF(ROUND(Текущий!I106,0)=0,"-",ROUND(Текущий!I106,0))</f>
        <v>-</v>
      </c>
      <c r="I107" s="16" t="str">
        <f>IF(Предыд!K106="-",Предыд!K106,ROUND(Предыд!K106,0))</f>
        <v>-</v>
      </c>
      <c r="J107" s="29" t="str">
        <f>IF(ROUND(Предыд!I106,0)=0,"-",ROUND(Предыд!I106,0))</f>
        <v>-</v>
      </c>
      <c r="K107" s="30" t="str">
        <f>Текущий!L106</f>
        <v>Рихтовка</v>
      </c>
      <c r="L107" s="29">
        <f>Текущий!AL106</f>
        <v>0</v>
      </c>
      <c r="M107" s="29">
        <f>Текущий!AM106</f>
        <v>0</v>
      </c>
      <c r="N107" s="29">
        <f>Текущий!AN106</f>
        <v>0</v>
      </c>
      <c r="O107" s="29">
        <f>Текущий!AP106</f>
        <v>0</v>
      </c>
      <c r="P107" s="29">
        <f>Предыд!AL106</f>
        <v>0</v>
      </c>
      <c r="Q107" s="29">
        <f>Предыд!AM106</f>
        <v>0</v>
      </c>
      <c r="R107" s="29">
        <f>Предыд!AN106</f>
        <v>0</v>
      </c>
      <c r="S107" s="29">
        <f>Предыд!AO106</f>
        <v>0</v>
      </c>
      <c r="T107" s="17" t="str">
        <f t="shared" si="1"/>
        <v>-</v>
      </c>
    </row>
    <row r="108" spans="1:20" x14ac:dyDescent="0.25">
      <c r="A108" s="29">
        <f>Текущий!A107</f>
        <v>22</v>
      </c>
      <c r="B108" s="29">
        <f>Текущий!B107</f>
        <v>24602</v>
      </c>
      <c r="C108" s="29">
        <f>Текущий!C107</f>
        <v>1</v>
      </c>
      <c r="D108" s="29" t="str">
        <f>Текущий!D107</f>
        <v>Хорогочи - Моховой</v>
      </c>
      <c r="E108" s="29">
        <f>ROUND(Текущий!J107,0)</f>
        <v>0</v>
      </c>
      <c r="F108" s="29">
        <f>Текущий!E107</f>
        <v>0</v>
      </c>
      <c r="G108" s="16" t="str">
        <f>IF(Текущий!K107="-",Текущий!K107,ROUND(Текущий!K107,0))</f>
        <v>-</v>
      </c>
      <c r="H108" s="29" t="str">
        <f>IF(ROUND(Текущий!I107,0)=0,"-",ROUND(Текущий!I107,0))</f>
        <v>-</v>
      </c>
      <c r="I108" s="16" t="str">
        <f>IF(Предыд!K107="-",Предыд!K107,ROUND(Предыд!K107,0))</f>
        <v>-</v>
      </c>
      <c r="J108" s="29" t="str">
        <f>IF(ROUND(Предыд!I107,0)=0,"-",ROUND(Предыд!I107,0))</f>
        <v>-</v>
      </c>
      <c r="K108" s="30" t="str">
        <f>Текущий!L107</f>
        <v>Рихтовка</v>
      </c>
      <c r="L108" s="29">
        <f>Текущий!AL107</f>
        <v>0</v>
      </c>
      <c r="M108" s="29">
        <f>Текущий!AM107</f>
        <v>0</v>
      </c>
      <c r="N108" s="29">
        <f>Текущий!AN107</f>
        <v>0</v>
      </c>
      <c r="O108" s="29">
        <f>Текущий!AP107</f>
        <v>0</v>
      </c>
      <c r="P108" s="29">
        <f>Предыд!AL107</f>
        <v>0</v>
      </c>
      <c r="Q108" s="29">
        <f>Предыд!AM107</f>
        <v>0</v>
      </c>
      <c r="R108" s="29">
        <f>Предыд!AN107</f>
        <v>0</v>
      </c>
      <c r="S108" s="29">
        <f>Предыд!AO107</f>
        <v>0</v>
      </c>
      <c r="T108" s="17" t="str">
        <f t="shared" si="1"/>
        <v>-</v>
      </c>
    </row>
    <row r="109" spans="1:20" x14ac:dyDescent="0.25">
      <c r="A109" s="29">
        <f>Текущий!A108</f>
        <v>22</v>
      </c>
      <c r="B109" s="29">
        <f>Текущий!B108</f>
        <v>24602</v>
      </c>
      <c r="C109" s="29">
        <f>Текущий!C108</f>
        <v>1</v>
      </c>
      <c r="D109" s="29" t="str">
        <f>Текущий!D108</f>
        <v>Моховой - Кутыкан</v>
      </c>
      <c r="E109" s="29">
        <f>ROUND(Текущий!J108,0)</f>
        <v>0</v>
      </c>
      <c r="F109" s="29">
        <f>Текущий!E108</f>
        <v>0</v>
      </c>
      <c r="G109" s="16" t="str">
        <f>IF(Текущий!K108="-",Текущий!K108,ROUND(Текущий!K108,0))</f>
        <v>-</v>
      </c>
      <c r="H109" s="29" t="str">
        <f>IF(ROUND(Текущий!I108,0)=0,"-",ROUND(Текущий!I108,0))</f>
        <v>-</v>
      </c>
      <c r="I109" s="16" t="str">
        <f>IF(Предыд!K108="-",Предыд!K108,ROUND(Предыд!K108,0))</f>
        <v>-</v>
      </c>
      <c r="J109" s="29" t="str">
        <f>IF(ROUND(Предыд!I108,0)=0,"-",ROUND(Предыд!I108,0))</f>
        <v>-</v>
      </c>
      <c r="K109" s="30" t="str">
        <f>Текущий!L108</f>
        <v>Рихтовка</v>
      </c>
      <c r="L109" s="29">
        <f>Текущий!AL108</f>
        <v>0</v>
      </c>
      <c r="M109" s="29">
        <f>Текущий!AM108</f>
        <v>0</v>
      </c>
      <c r="N109" s="29">
        <f>Текущий!AN108</f>
        <v>0</v>
      </c>
      <c r="O109" s="29">
        <f>Текущий!AP108</f>
        <v>0</v>
      </c>
      <c r="P109" s="29">
        <f>Предыд!AL108</f>
        <v>0</v>
      </c>
      <c r="Q109" s="29">
        <f>Предыд!AM108</f>
        <v>0</v>
      </c>
      <c r="R109" s="29">
        <f>Предыд!AN108</f>
        <v>0</v>
      </c>
      <c r="S109" s="29">
        <f>Предыд!AO108</f>
        <v>0</v>
      </c>
      <c r="T109" s="17" t="str">
        <f t="shared" si="1"/>
        <v>-</v>
      </c>
    </row>
    <row r="110" spans="1:20" x14ac:dyDescent="0.25">
      <c r="A110" s="29">
        <f>Текущий!A109</f>
        <v>22</v>
      </c>
      <c r="B110" s="29">
        <f>Текущий!B109</f>
        <v>24602</v>
      </c>
      <c r="C110" s="29">
        <f>Текущий!C109</f>
        <v>1</v>
      </c>
      <c r="D110" s="29" t="str">
        <f>Текущий!D109</f>
        <v>Кутыкан - Кувыкта</v>
      </c>
      <c r="E110" s="29">
        <f>ROUND(Текущий!J109,0)</f>
        <v>0</v>
      </c>
      <c r="F110" s="29">
        <f>Текущий!E109</f>
        <v>0</v>
      </c>
      <c r="G110" s="16" t="str">
        <f>IF(Текущий!K109="-",Текущий!K109,ROUND(Текущий!K109,0))</f>
        <v>-</v>
      </c>
      <c r="H110" s="29" t="str">
        <f>IF(ROUND(Текущий!I109,0)=0,"-",ROUND(Текущий!I109,0))</f>
        <v>-</v>
      </c>
      <c r="I110" s="16" t="str">
        <f>IF(Предыд!K109="-",Предыд!K109,ROUND(Предыд!K109,0))</f>
        <v>-</v>
      </c>
      <c r="J110" s="29" t="str">
        <f>IF(ROUND(Предыд!I109,0)=0,"-",ROUND(Предыд!I109,0))</f>
        <v>-</v>
      </c>
      <c r="K110" s="30" t="str">
        <f>Текущий!L109</f>
        <v>Рихтовка</v>
      </c>
      <c r="L110" s="29">
        <f>Текущий!AL109</f>
        <v>0</v>
      </c>
      <c r="M110" s="29">
        <f>Текущий!AM109</f>
        <v>0</v>
      </c>
      <c r="N110" s="29">
        <f>Текущий!AN109</f>
        <v>0</v>
      </c>
      <c r="O110" s="29">
        <f>Текущий!AP109</f>
        <v>0</v>
      </c>
      <c r="P110" s="29">
        <f>Предыд!AL109</f>
        <v>0</v>
      </c>
      <c r="Q110" s="29">
        <f>Предыд!AM109</f>
        <v>0</v>
      </c>
      <c r="R110" s="29">
        <f>Предыд!AN109</f>
        <v>0</v>
      </c>
      <c r="S110" s="29">
        <f>Предыд!AO109</f>
        <v>0</v>
      </c>
      <c r="T110" s="17" t="str">
        <f t="shared" si="1"/>
        <v>-</v>
      </c>
    </row>
    <row r="111" spans="1:20" x14ac:dyDescent="0.25">
      <c r="A111" s="29">
        <f>Текущий!A110</f>
        <v>22</v>
      </c>
      <c r="B111" s="29">
        <f>Текущий!B110</f>
        <v>24602</v>
      </c>
      <c r="C111" s="29">
        <f>Текущий!C110</f>
        <v>1</v>
      </c>
      <c r="D111" s="29" t="str">
        <f>Текущий!D110</f>
        <v>Кувыкта - Багульный</v>
      </c>
      <c r="E111" s="29">
        <f>ROUND(Текущий!J110,0)</f>
        <v>0</v>
      </c>
      <c r="F111" s="29">
        <f>Текущий!E110</f>
        <v>0</v>
      </c>
      <c r="G111" s="16" t="str">
        <f>IF(Текущий!K110="-",Текущий!K110,ROUND(Текущий!K110,0))</f>
        <v>-</v>
      </c>
      <c r="H111" s="29" t="str">
        <f>IF(ROUND(Текущий!I110,0)=0,"-",ROUND(Текущий!I110,0))</f>
        <v>-</v>
      </c>
      <c r="I111" s="16" t="str">
        <f>IF(Предыд!K110="-",Предыд!K110,ROUND(Предыд!K110,0))</f>
        <v>-</v>
      </c>
      <c r="J111" s="29" t="str">
        <f>IF(ROUND(Предыд!I110,0)=0,"-",ROUND(Предыд!I110,0))</f>
        <v>-</v>
      </c>
      <c r="K111" s="30" t="str">
        <f>Текущий!L110</f>
        <v>Рихтовка</v>
      </c>
      <c r="L111" s="29">
        <f>Текущий!AL110</f>
        <v>0</v>
      </c>
      <c r="M111" s="29">
        <f>Текущий!AM110</f>
        <v>0</v>
      </c>
      <c r="N111" s="29">
        <f>Текущий!AN110</f>
        <v>0</v>
      </c>
      <c r="O111" s="29">
        <f>Текущий!AP110</f>
        <v>0</v>
      </c>
      <c r="P111" s="29">
        <f>Предыд!AL110</f>
        <v>0</v>
      </c>
      <c r="Q111" s="29">
        <f>Предыд!AM110</f>
        <v>0</v>
      </c>
      <c r="R111" s="29">
        <f>Предыд!AN110</f>
        <v>0</v>
      </c>
      <c r="S111" s="29">
        <f>Предыд!AO110</f>
        <v>0</v>
      </c>
      <c r="T111" s="17" t="str">
        <f t="shared" si="1"/>
        <v>-</v>
      </c>
    </row>
    <row r="112" spans="1:20" x14ac:dyDescent="0.25">
      <c r="A112" s="29">
        <f>Текущий!A111</f>
        <v>22</v>
      </c>
      <c r="B112" s="29">
        <f>Текущий!B111</f>
        <v>24602</v>
      </c>
      <c r="C112" s="29">
        <f>Текущий!C111</f>
        <v>1</v>
      </c>
      <c r="D112" s="29" t="str">
        <f>Текущий!D111</f>
        <v>Багульный - Курьян</v>
      </c>
      <c r="E112" s="29">
        <f>ROUND(Текущий!J111,0)</f>
        <v>0</v>
      </c>
      <c r="F112" s="29">
        <f>Текущий!E111</f>
        <v>0</v>
      </c>
      <c r="G112" s="16" t="str">
        <f>IF(Текущий!K111="-",Текущий!K111,ROUND(Текущий!K111,0))</f>
        <v>-</v>
      </c>
      <c r="H112" s="29" t="str">
        <f>IF(ROUND(Текущий!I111,0)=0,"-",ROUND(Текущий!I111,0))</f>
        <v>-</v>
      </c>
      <c r="I112" s="16" t="str">
        <f>IF(Предыд!K111="-",Предыд!K111,ROUND(Предыд!K111,0))</f>
        <v>-</v>
      </c>
      <c r="J112" s="29" t="str">
        <f>IF(ROUND(Предыд!I111,0)=0,"-",ROUND(Предыд!I111,0))</f>
        <v>-</v>
      </c>
      <c r="K112" s="30" t="str">
        <f>Текущий!L111</f>
        <v>Рихтовка</v>
      </c>
      <c r="L112" s="29">
        <f>Текущий!AL111</f>
        <v>0</v>
      </c>
      <c r="M112" s="29">
        <f>Текущий!AM111</f>
        <v>0</v>
      </c>
      <c r="N112" s="29">
        <f>Текущий!AN111</f>
        <v>0</v>
      </c>
      <c r="O112" s="29">
        <f>Текущий!AP111</f>
        <v>0</v>
      </c>
      <c r="P112" s="29">
        <f>Предыд!AL111</f>
        <v>0</v>
      </c>
      <c r="Q112" s="29">
        <f>Предыд!AM111</f>
        <v>0</v>
      </c>
      <c r="R112" s="29">
        <f>Предыд!AN111</f>
        <v>0</v>
      </c>
      <c r="S112" s="29">
        <f>Предыд!AO111</f>
        <v>0</v>
      </c>
      <c r="T112" s="17" t="str">
        <f t="shared" si="1"/>
        <v>-</v>
      </c>
    </row>
    <row r="113" spans="1:20" x14ac:dyDescent="0.25">
      <c r="A113" s="29">
        <f>Текущий!A112</f>
        <v>22</v>
      </c>
      <c r="B113" s="29">
        <f>Текущий!B112</f>
        <v>24602</v>
      </c>
      <c r="C113" s="29">
        <f>Текущий!C112</f>
        <v>1</v>
      </c>
      <c r="D113" s="29" t="str">
        <f>Текущий!D112</f>
        <v>Курьян - Тында</v>
      </c>
      <c r="E113" s="29">
        <f>ROUND(Текущий!J112,0)</f>
        <v>0</v>
      </c>
      <c r="F113" s="29">
        <f>Текущий!E112</f>
        <v>0</v>
      </c>
      <c r="G113" s="16" t="str">
        <f>IF(Текущий!K112="-",Текущий!K112,ROUND(Текущий!K112,0))</f>
        <v>-</v>
      </c>
      <c r="H113" s="29" t="str">
        <f>IF(ROUND(Текущий!I112,0)=0,"-",ROUND(Текущий!I112,0))</f>
        <v>-</v>
      </c>
      <c r="I113" s="16" t="str">
        <f>IF(Предыд!K112="-",Предыд!K112,ROUND(Предыд!K112,0))</f>
        <v>-</v>
      </c>
      <c r="J113" s="29" t="str">
        <f>IF(ROUND(Предыд!I112,0)=0,"-",ROUND(Предыд!I112,0))</f>
        <v>-</v>
      </c>
      <c r="K113" s="30" t="str">
        <f>Текущий!L112</f>
        <v>Рихтовка</v>
      </c>
      <c r="L113" s="29">
        <f>Текущий!AL112</f>
        <v>0</v>
      </c>
      <c r="M113" s="29">
        <f>Текущий!AM112</f>
        <v>0</v>
      </c>
      <c r="N113" s="29">
        <f>Текущий!AN112</f>
        <v>0</v>
      </c>
      <c r="O113" s="29">
        <f>Текущий!AP112</f>
        <v>0</v>
      </c>
      <c r="P113" s="29">
        <f>Предыд!AL112</f>
        <v>0</v>
      </c>
      <c r="Q113" s="29">
        <f>Предыд!AM112</f>
        <v>0</v>
      </c>
      <c r="R113" s="29">
        <f>Предыд!AN112</f>
        <v>0</v>
      </c>
      <c r="S113" s="29">
        <f>Предыд!AO112</f>
        <v>0</v>
      </c>
      <c r="T113" s="17" t="str">
        <f t="shared" si="1"/>
        <v>-</v>
      </c>
    </row>
    <row r="114" spans="1:20" x14ac:dyDescent="0.25">
      <c r="A114" s="29">
        <f>Текущий!A113</f>
        <v>22</v>
      </c>
      <c r="B114" s="29">
        <f>Текущий!B113</f>
        <v>24603</v>
      </c>
      <c r="C114" s="29">
        <f>Текущий!C113</f>
        <v>1</v>
      </c>
      <c r="D114" s="29" t="str">
        <f>Текущий!D113</f>
        <v>Тында - Шахтаум</v>
      </c>
      <c r="E114" s="29">
        <f>ROUND(Текущий!J113,0)</f>
        <v>0</v>
      </c>
      <c r="F114" s="29">
        <f>Текущий!E113</f>
        <v>0</v>
      </c>
      <c r="G114" s="16" t="str">
        <f>IF(Текущий!K113="-",Текущий!K113,ROUND(Текущий!K113,0))</f>
        <v>-</v>
      </c>
      <c r="H114" s="29" t="str">
        <f>IF(ROUND(Текущий!I113,0)=0,"-",ROUND(Текущий!I113,0))</f>
        <v>-</v>
      </c>
      <c r="I114" s="16" t="str">
        <f>IF(Предыд!K113="-",Предыд!K113,ROUND(Предыд!K113,0))</f>
        <v>-</v>
      </c>
      <c r="J114" s="29" t="str">
        <f>IF(ROUND(Предыд!I113,0)=0,"-",ROUND(Предыд!I113,0))</f>
        <v>-</v>
      </c>
      <c r="K114" s="30" t="str">
        <f>Текущий!L113</f>
        <v>Рихтовка</v>
      </c>
      <c r="L114" s="29">
        <f>Текущий!AL113</f>
        <v>0</v>
      </c>
      <c r="M114" s="29">
        <f>Текущий!AM113</f>
        <v>0</v>
      </c>
      <c r="N114" s="29">
        <f>Текущий!AN113</f>
        <v>0</v>
      </c>
      <c r="O114" s="29">
        <f>Текущий!AP113</f>
        <v>0</v>
      </c>
      <c r="P114" s="29">
        <f>Предыд!AL113</f>
        <v>0</v>
      </c>
      <c r="Q114" s="29">
        <f>Предыд!AM113</f>
        <v>0</v>
      </c>
      <c r="R114" s="29">
        <f>Предыд!AN113</f>
        <v>0</v>
      </c>
      <c r="S114" s="29">
        <f>Предыд!AO113</f>
        <v>0</v>
      </c>
      <c r="T114" s="17" t="str">
        <f t="shared" si="1"/>
        <v>-</v>
      </c>
    </row>
    <row r="115" spans="1:20" x14ac:dyDescent="0.25">
      <c r="A115" s="29">
        <f>Текущий!A114</f>
        <v>22</v>
      </c>
      <c r="B115" s="29">
        <f>Текущий!B114</f>
        <v>24603</v>
      </c>
      <c r="C115" s="29">
        <f>Текущий!C114</f>
        <v>1</v>
      </c>
      <c r="D115" s="29" t="str">
        <f>Текущий!D114</f>
        <v>Шахтаум - Бестужево</v>
      </c>
      <c r="E115" s="29">
        <f>ROUND(Текущий!J114,0)</f>
        <v>0</v>
      </c>
      <c r="F115" s="29">
        <f>Текущий!E114</f>
        <v>0</v>
      </c>
      <c r="G115" s="16" t="str">
        <f>IF(Текущий!K114="-",Текущий!K114,ROUND(Текущий!K114,0))</f>
        <v>-</v>
      </c>
      <c r="H115" s="29" t="str">
        <f>IF(ROUND(Текущий!I114,0)=0,"-",ROUND(Текущий!I114,0))</f>
        <v>-</v>
      </c>
      <c r="I115" s="16" t="str">
        <f>IF(Предыд!K114="-",Предыд!K114,ROUND(Предыд!K114,0))</f>
        <v>-</v>
      </c>
      <c r="J115" s="29" t="str">
        <f>IF(ROUND(Предыд!I114,0)=0,"-",ROUND(Предыд!I114,0))</f>
        <v>-</v>
      </c>
      <c r="K115" s="30" t="str">
        <f>Текущий!L114</f>
        <v>Рихтовка</v>
      </c>
      <c r="L115" s="29">
        <f>Текущий!AL114</f>
        <v>0</v>
      </c>
      <c r="M115" s="29">
        <f>Текущий!AM114</f>
        <v>0</v>
      </c>
      <c r="N115" s="29">
        <f>Текущий!AN114</f>
        <v>0</v>
      </c>
      <c r="O115" s="29">
        <f>Текущий!AP114</f>
        <v>0</v>
      </c>
      <c r="P115" s="29">
        <f>Предыд!AL114</f>
        <v>0</v>
      </c>
      <c r="Q115" s="29">
        <f>Предыд!AM114</f>
        <v>0</v>
      </c>
      <c r="R115" s="29">
        <f>Предыд!AN114</f>
        <v>0</v>
      </c>
      <c r="S115" s="29">
        <f>Предыд!AO114</f>
        <v>0</v>
      </c>
      <c r="T115" s="17" t="str">
        <f t="shared" si="1"/>
        <v>-</v>
      </c>
    </row>
    <row r="116" spans="1:20" x14ac:dyDescent="0.25">
      <c r="A116" s="29">
        <f>Текущий!A115</f>
        <v>22</v>
      </c>
      <c r="B116" s="29">
        <f>Текущий!B115</f>
        <v>24701</v>
      </c>
      <c r="C116" s="29">
        <f>Текущий!C115</f>
        <v>1</v>
      </c>
      <c r="D116" s="29" t="str">
        <f>Текущий!D115</f>
        <v>Горелый - Штурм</v>
      </c>
      <c r="E116" s="29">
        <f>ROUND(Текущий!J115,0)</f>
        <v>0</v>
      </c>
      <c r="F116" s="29">
        <f>Текущий!E115</f>
        <v>0</v>
      </c>
      <c r="G116" s="16" t="str">
        <f>IF(Текущий!K115="-",Текущий!K115,ROUND(Текущий!K115,0))</f>
        <v>-</v>
      </c>
      <c r="H116" s="29" t="str">
        <f>IF(ROUND(Текущий!I115,0)=0,"-",ROUND(Текущий!I115,0))</f>
        <v>-</v>
      </c>
      <c r="I116" s="16" t="str">
        <f>IF(Предыд!K115="-",Предыд!K115,ROUND(Предыд!K115,0))</f>
        <v>-</v>
      </c>
      <c r="J116" s="29" t="str">
        <f>IF(ROUND(Предыд!I115,0)=0,"-",ROUND(Предыд!I115,0))</f>
        <v>-</v>
      </c>
      <c r="K116" s="30" t="str">
        <f>Текущий!L115</f>
        <v>Рихтовка</v>
      </c>
      <c r="L116" s="29">
        <f>Текущий!AL115</f>
        <v>0</v>
      </c>
      <c r="M116" s="29">
        <f>Текущий!AM115</f>
        <v>0</v>
      </c>
      <c r="N116" s="29">
        <f>Текущий!AN115</f>
        <v>0</v>
      </c>
      <c r="O116" s="29">
        <f>Текущий!AP115</f>
        <v>0</v>
      </c>
      <c r="P116" s="29">
        <f>Предыд!AL115</f>
        <v>0</v>
      </c>
      <c r="Q116" s="29">
        <f>Предыд!AM115</f>
        <v>0</v>
      </c>
      <c r="R116" s="29">
        <f>Предыд!AN115</f>
        <v>0</v>
      </c>
      <c r="S116" s="29">
        <f>Предыд!AO115</f>
        <v>0</v>
      </c>
      <c r="T116" s="17" t="str">
        <f t="shared" si="1"/>
        <v>-</v>
      </c>
    </row>
    <row r="117" spans="1:20" x14ac:dyDescent="0.25">
      <c r="A117" s="29">
        <f>Текущий!A116</f>
        <v>22</v>
      </c>
      <c r="B117" s="29">
        <f>Текущий!B116</f>
        <v>24701</v>
      </c>
      <c r="C117" s="29">
        <f>Текущий!C116</f>
        <v>1</v>
      </c>
      <c r="D117" s="29" t="str">
        <f>Текущий!D116</f>
        <v>Штурм - Мохортов</v>
      </c>
      <c r="E117" s="29">
        <f>ROUND(Текущий!J116,0)</f>
        <v>0</v>
      </c>
      <c r="F117" s="29">
        <f>Текущий!E116</f>
        <v>0</v>
      </c>
      <c r="G117" s="16" t="str">
        <f>IF(Текущий!K116="-",Текущий!K116,ROUND(Текущий!K116,0))</f>
        <v>-</v>
      </c>
      <c r="H117" s="29" t="str">
        <f>IF(ROUND(Текущий!I116,0)=0,"-",ROUND(Текущий!I116,0))</f>
        <v>-</v>
      </c>
      <c r="I117" s="16" t="str">
        <f>IF(Предыд!K116="-",Предыд!K116,ROUND(Предыд!K116,0))</f>
        <v>-</v>
      </c>
      <c r="J117" s="29" t="str">
        <f>IF(ROUND(Предыд!I116,0)=0,"-",ROUND(Предыд!I116,0))</f>
        <v>-</v>
      </c>
      <c r="K117" s="30" t="str">
        <f>Текущий!L116</f>
        <v>Рихтовка</v>
      </c>
      <c r="L117" s="29">
        <f>Текущий!AL116</f>
        <v>0</v>
      </c>
      <c r="M117" s="29">
        <f>Текущий!AM116</f>
        <v>0</v>
      </c>
      <c r="N117" s="29">
        <f>Текущий!AN116</f>
        <v>0</v>
      </c>
      <c r="O117" s="29">
        <f>Текущий!AP116</f>
        <v>0</v>
      </c>
      <c r="P117" s="29">
        <f>Предыд!AL116</f>
        <v>0</v>
      </c>
      <c r="Q117" s="29">
        <f>Предыд!AM116</f>
        <v>0</v>
      </c>
      <c r="R117" s="29">
        <f>Предыд!AN116</f>
        <v>0</v>
      </c>
      <c r="S117" s="29">
        <f>Предыд!AO116</f>
        <v>0</v>
      </c>
      <c r="T117" s="17" t="str">
        <f t="shared" si="1"/>
        <v>-</v>
      </c>
    </row>
    <row r="118" spans="1:20" x14ac:dyDescent="0.25">
      <c r="A118" s="29">
        <f>Текущий!A117</f>
        <v>22</v>
      </c>
      <c r="B118" s="29">
        <f>Текущий!B117</f>
        <v>24701</v>
      </c>
      <c r="C118" s="29">
        <f>Текущий!C117</f>
        <v>1</v>
      </c>
      <c r="D118" s="29" t="str">
        <f>Текущий!D117</f>
        <v>Мохортов - Муртыгит</v>
      </c>
      <c r="E118" s="29">
        <f>ROUND(Текущий!J117,0)</f>
        <v>0</v>
      </c>
      <c r="F118" s="29">
        <f>Текущий!E117</f>
        <v>0</v>
      </c>
      <c r="G118" s="16" t="str">
        <f>IF(Текущий!K117="-",Текущий!K117,ROUND(Текущий!K117,0))</f>
        <v>-</v>
      </c>
      <c r="H118" s="29" t="str">
        <f>IF(ROUND(Текущий!I117,0)=0,"-",ROUND(Текущий!I117,0))</f>
        <v>-</v>
      </c>
      <c r="I118" s="16" t="str">
        <f>IF(Предыд!K117="-",Предыд!K117,ROUND(Предыд!K117,0))</f>
        <v>-</v>
      </c>
      <c r="J118" s="29" t="str">
        <f>IF(ROUND(Предыд!I117,0)=0,"-",ROUND(Предыд!I117,0))</f>
        <v>-</v>
      </c>
      <c r="K118" s="30" t="str">
        <f>Текущий!L117</f>
        <v>Рихтовка</v>
      </c>
      <c r="L118" s="29">
        <f>Текущий!AL117</f>
        <v>0</v>
      </c>
      <c r="M118" s="29">
        <f>Текущий!AM117</f>
        <v>0</v>
      </c>
      <c r="N118" s="29">
        <f>Текущий!AN117</f>
        <v>0</v>
      </c>
      <c r="O118" s="29">
        <f>Текущий!AP117</f>
        <v>0</v>
      </c>
      <c r="P118" s="29">
        <f>Предыд!AL117</f>
        <v>0</v>
      </c>
      <c r="Q118" s="29">
        <f>Предыд!AM117</f>
        <v>0</v>
      </c>
      <c r="R118" s="29">
        <f>Предыд!AN117</f>
        <v>0</v>
      </c>
      <c r="S118" s="29">
        <f>Предыд!AO117</f>
        <v>0</v>
      </c>
      <c r="T118" s="17" t="str">
        <f t="shared" si="1"/>
        <v>-</v>
      </c>
    </row>
    <row r="119" spans="1:20" x14ac:dyDescent="0.25">
      <c r="A119" s="29">
        <f>Текущий!A118</f>
        <v>22</v>
      </c>
      <c r="B119" s="29">
        <f>Текущий!B118</f>
        <v>24701</v>
      </c>
      <c r="C119" s="29">
        <f>Текущий!C118</f>
        <v>1</v>
      </c>
      <c r="D119" s="29" t="str">
        <f>Текущий!D118</f>
        <v>Муртыгит - Пурикан</v>
      </c>
      <c r="E119" s="29">
        <f>ROUND(Текущий!J118,0)</f>
        <v>0</v>
      </c>
      <c r="F119" s="29">
        <f>Текущий!E118</f>
        <v>0</v>
      </c>
      <c r="G119" s="16" t="str">
        <f>IF(Текущий!K118="-",Текущий!K118,ROUND(Текущий!K118,0))</f>
        <v>-</v>
      </c>
      <c r="H119" s="29" t="str">
        <f>IF(ROUND(Текущий!I118,0)=0,"-",ROUND(Текущий!I118,0))</f>
        <v>-</v>
      </c>
      <c r="I119" s="16" t="str">
        <f>IF(Предыд!K118="-",Предыд!K118,ROUND(Предыд!K118,0))</f>
        <v>-</v>
      </c>
      <c r="J119" s="29" t="str">
        <f>IF(ROUND(Предыд!I118,0)=0,"-",ROUND(Предыд!I118,0))</f>
        <v>-</v>
      </c>
      <c r="K119" s="30" t="str">
        <f>Текущий!L118</f>
        <v>Рихтовка</v>
      </c>
      <c r="L119" s="29">
        <f>Текущий!AL118</f>
        <v>0</v>
      </c>
      <c r="M119" s="29">
        <f>Текущий!AM118</f>
        <v>0</v>
      </c>
      <c r="N119" s="29">
        <f>Текущий!AN118</f>
        <v>0</v>
      </c>
      <c r="O119" s="29">
        <f>Текущий!AP118</f>
        <v>0</v>
      </c>
      <c r="P119" s="29">
        <f>Предыд!AL118</f>
        <v>0</v>
      </c>
      <c r="Q119" s="29">
        <f>Предыд!AM118</f>
        <v>0</v>
      </c>
      <c r="R119" s="29">
        <f>Предыд!AN118</f>
        <v>0</v>
      </c>
      <c r="S119" s="29">
        <f>Предыд!AO118</f>
        <v>0</v>
      </c>
      <c r="T119" s="17" t="str">
        <f t="shared" si="1"/>
        <v>-</v>
      </c>
    </row>
    <row r="120" spans="1:20" x14ac:dyDescent="0.25">
      <c r="A120" s="29">
        <f>Текущий!A119</f>
        <v>22</v>
      </c>
      <c r="B120" s="29">
        <f>Текущий!B119</f>
        <v>24701</v>
      </c>
      <c r="C120" s="29">
        <f>Текущий!C119</f>
        <v>1</v>
      </c>
      <c r="D120" s="29" t="str">
        <f>Текущий!D119</f>
        <v>Пурикан - Аносовская</v>
      </c>
      <c r="E120" s="29">
        <f>ROUND(Текущий!J119,0)</f>
        <v>0</v>
      </c>
      <c r="F120" s="29">
        <f>Текущий!E119</f>
        <v>0</v>
      </c>
      <c r="G120" s="16" t="str">
        <f>IF(Текущий!K119="-",Текущий!K119,ROUND(Текущий!K119,0))</f>
        <v>-</v>
      </c>
      <c r="H120" s="29" t="str">
        <f>IF(ROUND(Текущий!I119,0)=0,"-",ROUND(Текущий!I119,0))</f>
        <v>-</v>
      </c>
      <c r="I120" s="16" t="str">
        <f>IF(Предыд!K119="-",Предыд!K119,ROUND(Предыд!K119,0))</f>
        <v>-</v>
      </c>
      <c r="J120" s="29" t="str">
        <f>IF(ROUND(Предыд!I119,0)=0,"-",ROUND(Предыд!I119,0))</f>
        <v>-</v>
      </c>
      <c r="K120" s="30" t="str">
        <f>Текущий!L119</f>
        <v>Рихтовка</v>
      </c>
      <c r="L120" s="29">
        <f>Текущий!AL119</f>
        <v>0</v>
      </c>
      <c r="M120" s="29">
        <f>Текущий!AM119</f>
        <v>0</v>
      </c>
      <c r="N120" s="29">
        <f>Текущий!AN119</f>
        <v>0</v>
      </c>
      <c r="O120" s="29">
        <f>Текущий!AP119</f>
        <v>0</v>
      </c>
      <c r="P120" s="29">
        <f>Предыд!AL119</f>
        <v>0</v>
      </c>
      <c r="Q120" s="29">
        <f>Предыд!AM119</f>
        <v>0</v>
      </c>
      <c r="R120" s="29">
        <f>Предыд!AN119</f>
        <v>0</v>
      </c>
      <c r="S120" s="29">
        <f>Предыд!AO119</f>
        <v>0</v>
      </c>
      <c r="T120" s="17" t="str">
        <f t="shared" si="1"/>
        <v>-</v>
      </c>
    </row>
    <row r="121" spans="1:20" x14ac:dyDescent="0.25">
      <c r="A121" s="29">
        <f>Текущий!A120</f>
        <v>22</v>
      </c>
      <c r="B121" s="29">
        <f>Текущий!B120</f>
        <v>24701</v>
      </c>
      <c r="C121" s="29">
        <f>Текущий!C120</f>
        <v>1</v>
      </c>
      <c r="D121" s="29" t="str">
        <f>Текущий!D120</f>
        <v>Аносовская - Силип</v>
      </c>
      <c r="E121" s="29">
        <f>ROUND(Текущий!J120,0)</f>
        <v>0</v>
      </c>
      <c r="F121" s="29">
        <f>Текущий!E120</f>
        <v>0</v>
      </c>
      <c r="G121" s="16" t="str">
        <f>IF(Текущий!K120="-",Текущий!K120,ROUND(Текущий!K120,0))</f>
        <v>-</v>
      </c>
      <c r="H121" s="29" t="str">
        <f>IF(ROUND(Текущий!I120,0)=0,"-",ROUND(Текущий!I120,0))</f>
        <v>-</v>
      </c>
      <c r="I121" s="16" t="str">
        <f>IF(Предыд!K120="-",Предыд!K120,ROUND(Предыд!K120,0))</f>
        <v>-</v>
      </c>
      <c r="J121" s="29" t="str">
        <f>IF(ROUND(Предыд!I120,0)=0,"-",ROUND(Предыд!I120,0))</f>
        <v>-</v>
      </c>
      <c r="K121" s="30" t="str">
        <f>Текущий!L120</f>
        <v>Рихтовка</v>
      </c>
      <c r="L121" s="29">
        <f>Текущий!AL120</f>
        <v>0</v>
      </c>
      <c r="M121" s="29">
        <f>Текущий!AM120</f>
        <v>0</v>
      </c>
      <c r="N121" s="29">
        <f>Текущий!AN120</f>
        <v>0</v>
      </c>
      <c r="O121" s="29">
        <f>Текущий!AP120</f>
        <v>0</v>
      </c>
      <c r="P121" s="29">
        <f>Предыд!AL120</f>
        <v>0</v>
      </c>
      <c r="Q121" s="29">
        <f>Предыд!AM120</f>
        <v>0</v>
      </c>
      <c r="R121" s="29">
        <f>Предыд!AN120</f>
        <v>0</v>
      </c>
      <c r="S121" s="29">
        <f>Предыд!AO120</f>
        <v>0</v>
      </c>
      <c r="T121" s="17" t="str">
        <f t="shared" si="1"/>
        <v>-</v>
      </c>
    </row>
    <row r="122" spans="1:20" x14ac:dyDescent="0.25">
      <c r="A122" s="29">
        <f>Текущий!A121</f>
        <v>22</v>
      </c>
      <c r="B122" s="29">
        <f>Текущий!B121</f>
        <v>24701</v>
      </c>
      <c r="C122" s="29">
        <f>Текущий!C121</f>
        <v>1</v>
      </c>
      <c r="D122" s="29" t="str">
        <f>Текущий!D121</f>
        <v>Силип - Заболотное</v>
      </c>
      <c r="E122" s="29">
        <f>ROUND(Текущий!J121,0)</f>
        <v>0</v>
      </c>
      <c r="F122" s="29">
        <f>Текущий!E121</f>
        <v>0</v>
      </c>
      <c r="G122" s="16" t="str">
        <f>IF(Текущий!K121="-",Текущий!K121,ROUND(Текущий!K121,0))</f>
        <v>-</v>
      </c>
      <c r="H122" s="29" t="str">
        <f>IF(ROUND(Текущий!I121,0)=0,"-",ROUND(Текущий!I121,0))</f>
        <v>-</v>
      </c>
      <c r="I122" s="16" t="str">
        <f>IF(Предыд!K121="-",Предыд!K121,ROUND(Предыд!K121,0))</f>
        <v>-</v>
      </c>
      <c r="J122" s="29" t="str">
        <f>IF(ROUND(Предыд!I121,0)=0,"-",ROUND(Предыд!I121,0))</f>
        <v>-</v>
      </c>
      <c r="K122" s="30" t="str">
        <f>Текущий!L121</f>
        <v>Рихтовка</v>
      </c>
      <c r="L122" s="29">
        <f>Текущий!AL121</f>
        <v>0</v>
      </c>
      <c r="M122" s="29">
        <f>Текущий!AM121</f>
        <v>0</v>
      </c>
      <c r="N122" s="29">
        <f>Текущий!AN121</f>
        <v>0</v>
      </c>
      <c r="O122" s="29">
        <f>Текущий!AP121</f>
        <v>0</v>
      </c>
      <c r="P122" s="29">
        <f>Предыд!AL121</f>
        <v>0</v>
      </c>
      <c r="Q122" s="29">
        <f>Предыд!AM121</f>
        <v>0</v>
      </c>
      <c r="R122" s="29">
        <f>Предыд!AN121</f>
        <v>0</v>
      </c>
      <c r="S122" s="29">
        <f>Предыд!AO121</f>
        <v>0</v>
      </c>
      <c r="T122" s="17" t="str">
        <f t="shared" si="1"/>
        <v>-</v>
      </c>
    </row>
    <row r="123" spans="1:20" x14ac:dyDescent="0.25">
      <c r="A123" s="29">
        <f>Текущий!A122</f>
        <v>22</v>
      </c>
      <c r="B123" s="29">
        <f>Текущий!B122</f>
        <v>24701</v>
      </c>
      <c r="C123" s="29">
        <f>Текущий!C122</f>
        <v>1</v>
      </c>
      <c r="D123" s="29" t="str">
        <f>Текущий!D122</f>
        <v>Заболотное - Беленькая</v>
      </c>
      <c r="E123" s="29">
        <f>ROUND(Текущий!J122,0)</f>
        <v>0</v>
      </c>
      <c r="F123" s="29">
        <f>Текущий!E122</f>
        <v>0</v>
      </c>
      <c r="G123" s="16" t="str">
        <f>IF(Текущий!K122="-",Текущий!K122,ROUND(Текущий!K122,0))</f>
        <v>-</v>
      </c>
      <c r="H123" s="29" t="str">
        <f>IF(ROUND(Текущий!I122,0)=0,"-",ROUND(Текущий!I122,0))</f>
        <v>-</v>
      </c>
      <c r="I123" s="16" t="str">
        <f>IF(Предыд!K122="-",Предыд!K122,ROUND(Предыд!K122,0))</f>
        <v>-</v>
      </c>
      <c r="J123" s="29" t="str">
        <f>IF(ROUND(Предыд!I122,0)=0,"-",ROUND(Предыд!I122,0))</f>
        <v>-</v>
      </c>
      <c r="K123" s="30" t="str">
        <f>Текущий!L122</f>
        <v>Рихтовка</v>
      </c>
      <c r="L123" s="29">
        <f>Текущий!AL122</f>
        <v>0</v>
      </c>
      <c r="M123" s="29">
        <f>Текущий!AM122</f>
        <v>0</v>
      </c>
      <c r="N123" s="29">
        <f>Текущий!AN122</f>
        <v>0</v>
      </c>
      <c r="O123" s="29">
        <f>Текущий!AP122</f>
        <v>0</v>
      </c>
      <c r="P123" s="29">
        <f>Предыд!AL122</f>
        <v>0</v>
      </c>
      <c r="Q123" s="29">
        <f>Предыд!AM122</f>
        <v>0</v>
      </c>
      <c r="R123" s="29">
        <f>Предыд!AN122</f>
        <v>0</v>
      </c>
      <c r="S123" s="29">
        <f>Предыд!AO122</f>
        <v>0</v>
      </c>
      <c r="T123" s="17" t="str">
        <f t="shared" si="1"/>
        <v>-</v>
      </c>
    </row>
    <row r="124" spans="1:20" x14ac:dyDescent="0.25">
      <c r="A124" s="29">
        <f>Текущий!A123</f>
        <v>22</v>
      </c>
      <c r="B124" s="29">
        <f>Текущий!B123</f>
        <v>24701</v>
      </c>
      <c r="C124" s="29">
        <f>Текущий!C123</f>
        <v>1</v>
      </c>
      <c r="D124" s="29" t="str">
        <f>Текущий!D123</f>
        <v>Беленькая - Федосеев</v>
      </c>
      <c r="E124" s="29">
        <f>ROUND(Текущий!J123,0)</f>
        <v>0</v>
      </c>
      <c r="F124" s="29">
        <f>Текущий!E123</f>
        <v>0</v>
      </c>
      <c r="G124" s="16" t="str">
        <f>IF(Текущий!K123="-",Текущий!K123,ROUND(Текущий!K123,0))</f>
        <v>-</v>
      </c>
      <c r="H124" s="29" t="str">
        <f>IF(ROUND(Текущий!I123,0)=0,"-",ROUND(Текущий!I123,0))</f>
        <v>-</v>
      </c>
      <c r="I124" s="16" t="str">
        <f>IF(Предыд!K123="-",Предыд!K123,ROUND(Предыд!K123,0))</f>
        <v>-</v>
      </c>
      <c r="J124" s="29" t="str">
        <f>IF(ROUND(Предыд!I123,0)=0,"-",ROUND(Предыд!I123,0))</f>
        <v>-</v>
      </c>
      <c r="K124" s="30" t="str">
        <f>Текущий!L123</f>
        <v>Рихтовка</v>
      </c>
      <c r="L124" s="29">
        <f>Текущий!AL123</f>
        <v>0</v>
      </c>
      <c r="M124" s="29">
        <f>Текущий!AM123</f>
        <v>0</v>
      </c>
      <c r="N124" s="29">
        <f>Текущий!AN123</f>
        <v>0</v>
      </c>
      <c r="O124" s="29">
        <f>Текущий!AP123</f>
        <v>0</v>
      </c>
      <c r="P124" s="29">
        <f>Предыд!AL123</f>
        <v>0</v>
      </c>
      <c r="Q124" s="29">
        <f>Предыд!AM123</f>
        <v>0</v>
      </c>
      <c r="R124" s="29">
        <f>Предыд!AN123</f>
        <v>0</v>
      </c>
      <c r="S124" s="29">
        <f>Предыд!AO123</f>
        <v>0</v>
      </c>
      <c r="T124" s="17" t="str">
        <f t="shared" si="1"/>
        <v>-</v>
      </c>
    </row>
    <row r="125" spans="1:20" x14ac:dyDescent="0.25">
      <c r="A125" s="29">
        <f>Текущий!A124</f>
        <v>22</v>
      </c>
      <c r="B125" s="29">
        <f>Текущий!B124</f>
        <v>24701</v>
      </c>
      <c r="C125" s="29">
        <f>Текущий!C124</f>
        <v>1</v>
      </c>
      <c r="D125" s="29" t="str">
        <f>Текущий!D124</f>
        <v>Федосеев - Сети</v>
      </c>
      <c r="E125" s="29">
        <f>ROUND(Текущий!J124,0)</f>
        <v>0</v>
      </c>
      <c r="F125" s="29">
        <f>Текущий!E124</f>
        <v>0</v>
      </c>
      <c r="G125" s="16" t="str">
        <f>IF(Текущий!K124="-",Текущий!K124,ROUND(Текущий!K124,0))</f>
        <v>-</v>
      </c>
      <c r="H125" s="29" t="str">
        <f>IF(ROUND(Текущий!I124,0)=0,"-",ROUND(Текущий!I124,0))</f>
        <v>-</v>
      </c>
      <c r="I125" s="16" t="str">
        <f>IF(Предыд!K124="-",Предыд!K124,ROUND(Предыд!K124,0))</f>
        <v>-</v>
      </c>
      <c r="J125" s="29" t="str">
        <f>IF(ROUND(Предыд!I124,0)=0,"-",ROUND(Предыд!I124,0))</f>
        <v>-</v>
      </c>
      <c r="K125" s="30" t="str">
        <f>Текущий!L124</f>
        <v>Рихтовка</v>
      </c>
      <c r="L125" s="29">
        <f>Текущий!AL124</f>
        <v>0</v>
      </c>
      <c r="M125" s="29">
        <f>Текущий!AM124</f>
        <v>0</v>
      </c>
      <c r="N125" s="29">
        <f>Текущий!AN124</f>
        <v>0</v>
      </c>
      <c r="O125" s="29">
        <f>Текущий!AP124</f>
        <v>0</v>
      </c>
      <c r="P125" s="29">
        <f>Предыд!AL124</f>
        <v>0</v>
      </c>
      <c r="Q125" s="29">
        <f>Предыд!AM124</f>
        <v>0</v>
      </c>
      <c r="R125" s="29">
        <f>Предыд!AN124</f>
        <v>0</v>
      </c>
      <c r="S125" s="29">
        <f>Предыд!AO124</f>
        <v>0</v>
      </c>
      <c r="T125" s="17" t="str">
        <f t="shared" si="1"/>
        <v>-</v>
      </c>
    </row>
    <row r="126" spans="1:20" x14ac:dyDescent="0.25">
      <c r="A126" s="29">
        <f>Текущий!A125</f>
        <v>22</v>
      </c>
      <c r="B126" s="29">
        <f>Текущий!B125</f>
        <v>24701</v>
      </c>
      <c r="C126" s="29">
        <f>Текущий!C125</f>
        <v>1</v>
      </c>
      <c r="D126" s="29" t="str">
        <f>Текущий!D125</f>
        <v>Сети - Побожий</v>
      </c>
      <c r="E126" s="29">
        <f>ROUND(Текущий!J125,0)</f>
        <v>0</v>
      </c>
      <c r="F126" s="29">
        <f>Текущий!E125</f>
        <v>0</v>
      </c>
      <c r="G126" s="16" t="str">
        <f>IF(Текущий!K125="-",Текущий!K125,ROUND(Текущий!K125,0))</f>
        <v>-</v>
      </c>
      <c r="H126" s="29" t="str">
        <f>IF(ROUND(Текущий!I125,0)=0,"-",ROUND(Текущий!I125,0))</f>
        <v>-</v>
      </c>
      <c r="I126" s="16" t="str">
        <f>IF(Предыд!K125="-",Предыд!K125,ROUND(Предыд!K125,0))</f>
        <v>-</v>
      </c>
      <c r="J126" s="29" t="str">
        <f>IF(ROUND(Предыд!I125,0)=0,"-",ROUND(Предыд!I125,0))</f>
        <v>-</v>
      </c>
      <c r="K126" s="30" t="str">
        <f>Текущий!L125</f>
        <v>Рихтовка</v>
      </c>
      <c r="L126" s="29">
        <f>Текущий!AL125</f>
        <v>0</v>
      </c>
      <c r="M126" s="29">
        <f>Текущий!AM125</f>
        <v>0</v>
      </c>
      <c r="N126" s="29">
        <f>Текущий!AN125</f>
        <v>0</v>
      </c>
      <c r="O126" s="29">
        <f>Текущий!AP125</f>
        <v>0</v>
      </c>
      <c r="P126" s="29">
        <f>Предыд!AL125</f>
        <v>0</v>
      </c>
      <c r="Q126" s="29">
        <f>Предыд!AM125</f>
        <v>0</v>
      </c>
      <c r="R126" s="29">
        <f>Предыд!AN125</f>
        <v>0</v>
      </c>
      <c r="S126" s="29">
        <f>Предыд!AO125</f>
        <v>0</v>
      </c>
      <c r="T126" s="17" t="str">
        <f t="shared" si="1"/>
        <v>-</v>
      </c>
    </row>
    <row r="127" spans="1:20" x14ac:dyDescent="0.25">
      <c r="A127" s="29">
        <f>Текущий!A126</f>
        <v>22</v>
      </c>
      <c r="B127" s="29">
        <f>Текущий!B126</f>
        <v>24701</v>
      </c>
      <c r="C127" s="29">
        <f>Текущий!C126</f>
        <v>1</v>
      </c>
      <c r="D127" s="29" t="str">
        <f>Текущий!D126</f>
        <v>Побожий - Тында</v>
      </c>
      <c r="E127" s="29">
        <f>ROUND(Текущий!J126,0)</f>
        <v>0</v>
      </c>
      <c r="F127" s="29">
        <f>Текущий!E126</f>
        <v>0</v>
      </c>
      <c r="G127" s="16" t="str">
        <f>IF(Текущий!K126="-",Текущий!K126,ROUND(Текущий!K126,0))</f>
        <v>-</v>
      </c>
      <c r="H127" s="29" t="str">
        <f>IF(ROUND(Текущий!I126,0)=0,"-",ROUND(Текущий!I126,0))</f>
        <v>-</v>
      </c>
      <c r="I127" s="16" t="str">
        <f>IF(Предыд!K126="-",Предыд!K126,ROUND(Предыд!K126,0))</f>
        <v>-</v>
      </c>
      <c r="J127" s="29" t="str">
        <f>IF(ROUND(Предыд!I126,0)=0,"-",ROUND(Предыд!I126,0))</f>
        <v>-</v>
      </c>
      <c r="K127" s="30" t="str">
        <f>Текущий!L126</f>
        <v>Рихтовка</v>
      </c>
      <c r="L127" s="29">
        <f>Текущий!AL126</f>
        <v>0</v>
      </c>
      <c r="M127" s="29">
        <f>Текущий!AM126</f>
        <v>0</v>
      </c>
      <c r="N127" s="29">
        <f>Текущий!AN126</f>
        <v>0</v>
      </c>
      <c r="O127" s="29">
        <f>Текущий!AP126</f>
        <v>0</v>
      </c>
      <c r="P127" s="29">
        <f>Предыд!AL126</f>
        <v>0</v>
      </c>
      <c r="Q127" s="29">
        <f>Предыд!AM126</f>
        <v>0</v>
      </c>
      <c r="R127" s="29">
        <f>Предыд!AN126</f>
        <v>0</v>
      </c>
      <c r="S127" s="29">
        <f>Предыд!AO126</f>
        <v>0</v>
      </c>
      <c r="T127" s="17" t="str">
        <f t="shared" si="1"/>
        <v>-</v>
      </c>
    </row>
    <row r="128" spans="1:20" x14ac:dyDescent="0.25">
      <c r="A128" s="29">
        <f>Текущий!A127</f>
        <v>22</v>
      </c>
      <c r="B128" s="29">
        <f>Текущий!B127</f>
        <v>24701</v>
      </c>
      <c r="C128" s="29">
        <f>Текущий!C127</f>
        <v>1</v>
      </c>
      <c r="D128" s="29" t="str">
        <f>Текущий!D127</f>
        <v>Тында - Шахтаум</v>
      </c>
      <c r="E128" s="29">
        <f>ROUND(Текущий!J127,0)</f>
        <v>0</v>
      </c>
      <c r="F128" s="29">
        <f>Текущий!E127</f>
        <v>0</v>
      </c>
      <c r="G128" s="16" t="str">
        <f>IF(Текущий!K127="-",Текущий!K127,ROUND(Текущий!K127,0))</f>
        <v>-</v>
      </c>
      <c r="H128" s="29" t="str">
        <f>IF(ROUND(Текущий!I127,0)=0,"-",ROUND(Текущий!I127,0))</f>
        <v>-</v>
      </c>
      <c r="I128" s="16" t="str">
        <f>IF(Предыд!K127="-",Предыд!K127,ROUND(Предыд!K127,0))</f>
        <v>-</v>
      </c>
      <c r="J128" s="29" t="str">
        <f>IF(ROUND(Предыд!I127,0)=0,"-",ROUND(Предыд!I127,0))</f>
        <v>-</v>
      </c>
      <c r="K128" s="30" t="str">
        <f>Текущий!L127</f>
        <v>Рихтовка</v>
      </c>
      <c r="L128" s="29">
        <f>Текущий!AL127</f>
        <v>0</v>
      </c>
      <c r="M128" s="29">
        <f>Текущий!AM127</f>
        <v>0</v>
      </c>
      <c r="N128" s="29">
        <f>Текущий!AN127</f>
        <v>0</v>
      </c>
      <c r="O128" s="29">
        <f>Текущий!AP127</f>
        <v>0</v>
      </c>
      <c r="P128" s="29">
        <f>Предыд!AL127</f>
        <v>0</v>
      </c>
      <c r="Q128" s="29">
        <f>Предыд!AM127</f>
        <v>0</v>
      </c>
      <c r="R128" s="29">
        <f>Предыд!AN127</f>
        <v>0</v>
      </c>
      <c r="S128" s="29">
        <f>Предыд!AO127</f>
        <v>0</v>
      </c>
      <c r="T128" s="17" t="str">
        <f t="shared" si="1"/>
        <v>-</v>
      </c>
    </row>
    <row r="129" spans="1:20" x14ac:dyDescent="0.25">
      <c r="A129" s="29">
        <f>Текущий!A128</f>
        <v>22</v>
      </c>
      <c r="B129" s="29">
        <f>Текущий!B128</f>
        <v>24701</v>
      </c>
      <c r="C129" s="29">
        <f>Текущий!C128</f>
        <v>1</v>
      </c>
      <c r="D129" s="29" t="str">
        <f>Текущий!D128</f>
        <v>Шахтаум - Бестужево</v>
      </c>
      <c r="E129" s="29">
        <f>ROUND(Текущий!J128,0)</f>
        <v>0</v>
      </c>
      <c r="F129" s="29">
        <f>Текущий!E128</f>
        <v>0</v>
      </c>
      <c r="G129" s="16" t="str">
        <f>IF(Текущий!K128="-",Текущий!K128,ROUND(Текущий!K128,0))</f>
        <v>-</v>
      </c>
      <c r="H129" s="29" t="str">
        <f>IF(ROUND(Текущий!I128,0)=0,"-",ROUND(Текущий!I128,0))</f>
        <v>-</v>
      </c>
      <c r="I129" s="16" t="str">
        <f>IF(Предыд!K128="-",Предыд!K128,ROUND(Предыд!K128,0))</f>
        <v>-</v>
      </c>
      <c r="J129" s="29" t="str">
        <f>IF(ROUND(Предыд!I128,0)=0,"-",ROUND(Предыд!I128,0))</f>
        <v>-</v>
      </c>
      <c r="K129" s="30" t="str">
        <f>Текущий!L128</f>
        <v>Рихтовка</v>
      </c>
      <c r="L129" s="29">
        <f>Текущий!AL128</f>
        <v>0</v>
      </c>
      <c r="M129" s="29">
        <f>Текущий!AM128</f>
        <v>0</v>
      </c>
      <c r="N129" s="29">
        <f>Текущий!AN128</f>
        <v>0</v>
      </c>
      <c r="O129" s="29">
        <f>Текущий!AP128</f>
        <v>0</v>
      </c>
      <c r="P129" s="29">
        <f>Предыд!AL128</f>
        <v>0</v>
      </c>
      <c r="Q129" s="29">
        <f>Предыд!AM128</f>
        <v>0</v>
      </c>
      <c r="R129" s="29">
        <f>Предыд!AN128</f>
        <v>0</v>
      </c>
      <c r="S129" s="29">
        <f>Предыд!AO128</f>
        <v>0</v>
      </c>
      <c r="T129" s="17" t="str">
        <f t="shared" si="1"/>
        <v>-</v>
      </c>
    </row>
    <row r="130" spans="1:20" x14ac:dyDescent="0.25">
      <c r="A130" s="29">
        <f>Текущий!A129</f>
        <v>22</v>
      </c>
      <c r="B130" s="29">
        <f>Текущий!B129</f>
        <v>24701</v>
      </c>
      <c r="C130" s="29">
        <f>Текущий!C129</f>
        <v>1</v>
      </c>
      <c r="D130" s="29" t="str">
        <f>Текущий!D129</f>
        <v>Бестужево - Гилюй</v>
      </c>
      <c r="E130" s="29">
        <f>ROUND(Текущий!J129,0)</f>
        <v>0</v>
      </c>
      <c r="F130" s="29">
        <f>Текущий!E129</f>
        <v>0</v>
      </c>
      <c r="G130" s="16" t="str">
        <f>IF(Текущий!K129="-",Текущий!K129,ROUND(Текущий!K129,0))</f>
        <v>-</v>
      </c>
      <c r="H130" s="29" t="str">
        <f>IF(ROUND(Текущий!I129,0)=0,"-",ROUND(Текущий!I129,0))</f>
        <v>-</v>
      </c>
      <c r="I130" s="16" t="str">
        <f>IF(Предыд!K129="-",Предыд!K129,ROUND(Предыд!K129,0))</f>
        <v>-</v>
      </c>
      <c r="J130" s="29" t="str">
        <f>IF(ROUND(Предыд!I129,0)=0,"-",ROUND(Предыд!I129,0))</f>
        <v>-</v>
      </c>
      <c r="K130" s="30" t="str">
        <f>Текущий!L129</f>
        <v>Рихтовка</v>
      </c>
      <c r="L130" s="29">
        <f>Текущий!AL129</f>
        <v>0</v>
      </c>
      <c r="M130" s="29">
        <f>Текущий!AM129</f>
        <v>0</v>
      </c>
      <c r="N130" s="29">
        <f>Текущий!AN129</f>
        <v>0</v>
      </c>
      <c r="O130" s="29">
        <f>Текущий!AP129</f>
        <v>0</v>
      </c>
      <c r="P130" s="29">
        <f>Предыд!AL129</f>
        <v>0</v>
      </c>
      <c r="Q130" s="29">
        <f>Предыд!AM129</f>
        <v>0</v>
      </c>
      <c r="R130" s="29">
        <f>Предыд!AN129</f>
        <v>0</v>
      </c>
      <c r="S130" s="29">
        <f>Предыд!AO129</f>
        <v>0</v>
      </c>
      <c r="T130" s="17" t="str">
        <f t="shared" si="1"/>
        <v>-</v>
      </c>
    </row>
    <row r="131" spans="1:20" x14ac:dyDescent="0.25">
      <c r="A131" s="29">
        <f>Текущий!A130</f>
        <v>23</v>
      </c>
      <c r="B131" s="29">
        <f>Текущий!B130</f>
        <v>24701</v>
      </c>
      <c r="C131" s="29">
        <f>Текущий!C130</f>
        <v>1</v>
      </c>
      <c r="D131" s="29" t="str">
        <f>Текущий!D130</f>
        <v>Бестужево - Гилюй</v>
      </c>
      <c r="E131" s="29">
        <f>ROUND(Текущий!J130,0)</f>
        <v>0</v>
      </c>
      <c r="F131" s="29">
        <f>Текущий!E130</f>
        <v>0</v>
      </c>
      <c r="G131" s="16" t="str">
        <f>IF(Текущий!K130="-",Текущий!K130,ROUND(Текущий!K130,0))</f>
        <v>-</v>
      </c>
      <c r="H131" s="29" t="str">
        <f>IF(ROUND(Текущий!I130,0)=0,"-",ROUND(Текущий!I130,0))</f>
        <v>-</v>
      </c>
      <c r="I131" s="16" t="str">
        <f>IF(Предыд!K130="-",Предыд!K130,ROUND(Предыд!K130,0))</f>
        <v>-</v>
      </c>
      <c r="J131" s="29" t="str">
        <f>IF(ROUND(Предыд!I130,0)=0,"-",ROUND(Предыд!I130,0))</f>
        <v>-</v>
      </c>
      <c r="K131" s="30" t="str">
        <f>Текущий!L130</f>
        <v>Рихтовка</v>
      </c>
      <c r="L131" s="29">
        <f>Текущий!AL130</f>
        <v>0</v>
      </c>
      <c r="M131" s="29">
        <f>Текущий!AM130</f>
        <v>0</v>
      </c>
      <c r="N131" s="29">
        <f>Текущий!AN130</f>
        <v>0</v>
      </c>
      <c r="O131" s="29">
        <f>Текущий!AP130</f>
        <v>0</v>
      </c>
      <c r="P131" s="29">
        <f>Предыд!AL130</f>
        <v>0</v>
      </c>
      <c r="Q131" s="29">
        <f>Предыд!AM130</f>
        <v>0</v>
      </c>
      <c r="R131" s="29">
        <f>Предыд!AN130</f>
        <v>0</v>
      </c>
      <c r="S131" s="29">
        <f>Предыд!AO130</f>
        <v>0</v>
      </c>
      <c r="T131" s="17" t="str">
        <f t="shared" si="1"/>
        <v>-</v>
      </c>
    </row>
    <row r="132" spans="1:20" x14ac:dyDescent="0.25">
      <c r="A132" s="29">
        <f>Текущий!A131</f>
        <v>23</v>
      </c>
      <c r="B132" s="29">
        <f>Текущий!B131</f>
        <v>24701</v>
      </c>
      <c r="C132" s="29">
        <f>Текущий!C131</f>
        <v>1</v>
      </c>
      <c r="D132" s="29" t="str">
        <f>Текущий!D131</f>
        <v>Гилюй - Могот</v>
      </c>
      <c r="E132" s="29">
        <f>ROUND(Текущий!J131,0)</f>
        <v>0</v>
      </c>
      <c r="F132" s="29">
        <f>Текущий!E131</f>
        <v>0</v>
      </c>
      <c r="G132" s="16" t="str">
        <f>IF(Текущий!K131="-",Текущий!K131,ROUND(Текущий!K131,0))</f>
        <v>-</v>
      </c>
      <c r="H132" s="29" t="str">
        <f>IF(ROUND(Текущий!I131,0)=0,"-",ROUND(Текущий!I131,0))</f>
        <v>-</v>
      </c>
      <c r="I132" s="16" t="str">
        <f>IF(Предыд!K131="-",Предыд!K131,ROUND(Предыд!K131,0))</f>
        <v>-</v>
      </c>
      <c r="J132" s="29" t="str">
        <f>IF(ROUND(Предыд!I131,0)=0,"-",ROUND(Предыд!I131,0))</f>
        <v>-</v>
      </c>
      <c r="K132" s="30" t="str">
        <f>Текущий!L131</f>
        <v>Рихтовка</v>
      </c>
      <c r="L132" s="29">
        <f>Текущий!AL131</f>
        <v>0</v>
      </c>
      <c r="M132" s="29">
        <f>Текущий!AM131</f>
        <v>0</v>
      </c>
      <c r="N132" s="29">
        <f>Текущий!AN131</f>
        <v>0</v>
      </c>
      <c r="O132" s="29">
        <f>Текущий!AP131</f>
        <v>0</v>
      </c>
      <c r="P132" s="29">
        <f>Предыд!AL131</f>
        <v>0</v>
      </c>
      <c r="Q132" s="29">
        <f>Предыд!AM131</f>
        <v>0</v>
      </c>
      <c r="R132" s="29">
        <f>Предыд!AN131</f>
        <v>0</v>
      </c>
      <c r="S132" s="29">
        <f>Предыд!AO131</f>
        <v>0</v>
      </c>
      <c r="T132" s="17" t="str">
        <f t="shared" si="1"/>
        <v>-</v>
      </c>
    </row>
    <row r="133" spans="1:20" x14ac:dyDescent="0.25">
      <c r="A133" s="29">
        <f>Текущий!A132</f>
        <v>23</v>
      </c>
      <c r="B133" s="29">
        <f>Текущий!B132</f>
        <v>24701</v>
      </c>
      <c r="C133" s="29">
        <f>Текущий!C132</f>
        <v>1</v>
      </c>
      <c r="D133" s="29" t="str">
        <f>Текущий!D132</f>
        <v>Могот - Рихард Зорге</v>
      </c>
      <c r="E133" s="29">
        <f>ROUND(Текущий!J132,0)</f>
        <v>0</v>
      </c>
      <c r="F133" s="29">
        <f>Текущий!E132</f>
        <v>0</v>
      </c>
      <c r="G133" s="16" t="str">
        <f>IF(Текущий!K132="-",Текущий!K132,ROUND(Текущий!K132,0))</f>
        <v>-</v>
      </c>
      <c r="H133" s="29" t="str">
        <f>IF(ROUND(Текущий!I132,0)=0,"-",ROUND(Текущий!I132,0))</f>
        <v>-</v>
      </c>
      <c r="I133" s="16" t="str">
        <f>IF(Предыд!K132="-",Предыд!K132,ROUND(Предыд!K132,0))</f>
        <v>-</v>
      </c>
      <c r="J133" s="29" t="str">
        <f>IF(ROUND(Предыд!I132,0)=0,"-",ROUND(Предыд!I132,0))</f>
        <v>-</v>
      </c>
      <c r="K133" s="30" t="str">
        <f>Текущий!L132</f>
        <v>Рихтовка</v>
      </c>
      <c r="L133" s="29">
        <f>Текущий!AL132</f>
        <v>0</v>
      </c>
      <c r="M133" s="29">
        <f>Текущий!AM132</f>
        <v>0</v>
      </c>
      <c r="N133" s="29">
        <f>Текущий!AN132</f>
        <v>0</v>
      </c>
      <c r="O133" s="29">
        <f>Текущий!AP132</f>
        <v>0</v>
      </c>
      <c r="P133" s="29">
        <f>Предыд!AL132</f>
        <v>0</v>
      </c>
      <c r="Q133" s="29">
        <f>Предыд!AM132</f>
        <v>0</v>
      </c>
      <c r="R133" s="29">
        <f>Предыд!AN132</f>
        <v>0</v>
      </c>
      <c r="S133" s="29">
        <f>Предыд!AO132</f>
        <v>0</v>
      </c>
      <c r="T133" s="17" t="str">
        <f t="shared" ref="T133:T196" si="2">IF(G133&gt;I133,"+","-")</f>
        <v>-</v>
      </c>
    </row>
    <row r="134" spans="1:20" x14ac:dyDescent="0.25">
      <c r="A134" s="29">
        <f>Текущий!A133</f>
        <v>23</v>
      </c>
      <c r="B134" s="29">
        <f>Текущий!B133</f>
        <v>24701</v>
      </c>
      <c r="C134" s="29">
        <f>Текущий!C133</f>
        <v>1</v>
      </c>
      <c r="D134" s="29" t="str">
        <f>Текущий!D133</f>
        <v>Рихард Зорге - Якутский</v>
      </c>
      <c r="E134" s="29">
        <f>ROUND(Текущий!J133,0)</f>
        <v>0</v>
      </c>
      <c r="F134" s="29">
        <f>Текущий!E133</f>
        <v>0</v>
      </c>
      <c r="G134" s="16" t="str">
        <f>IF(Текущий!K133="-",Текущий!K133,ROUND(Текущий!K133,0))</f>
        <v>-</v>
      </c>
      <c r="H134" s="29" t="str">
        <f>IF(ROUND(Текущий!I133,0)=0,"-",ROUND(Текущий!I133,0))</f>
        <v>-</v>
      </c>
      <c r="I134" s="16" t="str">
        <f>IF(Предыд!K133="-",Предыд!K133,ROUND(Предыд!K133,0))</f>
        <v>-</v>
      </c>
      <c r="J134" s="29" t="str">
        <f>IF(ROUND(Предыд!I133,0)=0,"-",ROUND(Предыд!I133,0))</f>
        <v>-</v>
      </c>
      <c r="K134" s="30" t="str">
        <f>Текущий!L133</f>
        <v>Рихтовка</v>
      </c>
      <c r="L134" s="29">
        <f>Текущий!AL133</f>
        <v>0</v>
      </c>
      <c r="M134" s="29">
        <f>Текущий!AM133</f>
        <v>0</v>
      </c>
      <c r="N134" s="29">
        <f>Текущий!AN133</f>
        <v>0</v>
      </c>
      <c r="O134" s="29">
        <f>Текущий!AP133</f>
        <v>0</v>
      </c>
      <c r="P134" s="29">
        <f>Предыд!AL133</f>
        <v>0</v>
      </c>
      <c r="Q134" s="29">
        <f>Предыд!AM133</f>
        <v>0</v>
      </c>
      <c r="R134" s="29">
        <f>Предыд!AN133</f>
        <v>0</v>
      </c>
      <c r="S134" s="29">
        <f>Предыд!AO133</f>
        <v>0</v>
      </c>
      <c r="T134" s="17" t="str">
        <f t="shared" si="2"/>
        <v>-</v>
      </c>
    </row>
    <row r="135" spans="1:20" x14ac:dyDescent="0.25">
      <c r="A135" s="29">
        <f>Текущий!A134</f>
        <v>23</v>
      </c>
      <c r="B135" s="29">
        <f>Текущий!B134</f>
        <v>24701</v>
      </c>
      <c r="C135" s="29">
        <f>Текущий!C134</f>
        <v>1</v>
      </c>
      <c r="D135" s="29" t="str">
        <f>Текущий!D134</f>
        <v>Якутский - Нагорная-Якутская</v>
      </c>
      <c r="E135" s="29">
        <f>ROUND(Текущий!J134,0)</f>
        <v>0</v>
      </c>
      <c r="F135" s="29">
        <f>Текущий!E134</f>
        <v>0</v>
      </c>
      <c r="G135" s="16" t="str">
        <f>IF(Текущий!K134="-",Текущий!K134,ROUND(Текущий!K134,0))</f>
        <v>-</v>
      </c>
      <c r="H135" s="29" t="str">
        <f>IF(ROUND(Текущий!I134,0)=0,"-",ROUND(Текущий!I134,0))</f>
        <v>-</v>
      </c>
      <c r="I135" s="16" t="str">
        <f>IF(Предыд!K134="-",Предыд!K134,ROUND(Предыд!K134,0))</f>
        <v>-</v>
      </c>
      <c r="J135" s="29" t="str">
        <f>IF(ROUND(Предыд!I134,0)=0,"-",ROUND(Предыд!I134,0))</f>
        <v>-</v>
      </c>
      <c r="K135" s="30" t="str">
        <f>Текущий!L134</f>
        <v>Рихтовка</v>
      </c>
      <c r="L135" s="29">
        <f>Текущий!AL134</f>
        <v>0</v>
      </c>
      <c r="M135" s="29">
        <f>Текущий!AM134</f>
        <v>0</v>
      </c>
      <c r="N135" s="29">
        <f>Текущий!AN134</f>
        <v>0</v>
      </c>
      <c r="O135" s="29">
        <f>Текущий!AP134</f>
        <v>0</v>
      </c>
      <c r="P135" s="29">
        <f>Предыд!AL134</f>
        <v>0</v>
      </c>
      <c r="Q135" s="29">
        <f>Предыд!AM134</f>
        <v>0</v>
      </c>
      <c r="R135" s="29">
        <f>Предыд!AN134</f>
        <v>0</v>
      </c>
      <c r="S135" s="29">
        <f>Предыд!AO134</f>
        <v>0</v>
      </c>
      <c r="T135" s="17" t="str">
        <f t="shared" si="2"/>
        <v>-</v>
      </c>
    </row>
    <row r="136" spans="1:20" x14ac:dyDescent="0.25">
      <c r="A136" s="29">
        <f>Текущий!A135</f>
        <v>23</v>
      </c>
      <c r="B136" s="29">
        <f>Текущий!B135</f>
        <v>24701</v>
      </c>
      <c r="C136" s="29">
        <f>Текущий!C135</f>
        <v>1</v>
      </c>
      <c r="D136" s="29" t="str">
        <f>Текущий!D135</f>
        <v>Нагорная-Якутская - Аям</v>
      </c>
      <c r="E136" s="29">
        <f>ROUND(Текущий!J135,0)</f>
        <v>0</v>
      </c>
      <c r="F136" s="29">
        <f>Текущий!E135</f>
        <v>0</v>
      </c>
      <c r="G136" s="16" t="str">
        <f>IF(Текущий!K135="-",Текущий!K135,ROUND(Текущий!K135,0))</f>
        <v>-</v>
      </c>
      <c r="H136" s="29" t="str">
        <f>IF(ROUND(Текущий!I135,0)=0,"-",ROUND(Текущий!I135,0))</f>
        <v>-</v>
      </c>
      <c r="I136" s="16" t="str">
        <f>IF(Предыд!K135="-",Предыд!K135,ROUND(Предыд!K135,0))</f>
        <v>-</v>
      </c>
      <c r="J136" s="29" t="str">
        <f>IF(ROUND(Предыд!I135,0)=0,"-",ROUND(Предыд!I135,0))</f>
        <v>-</v>
      </c>
      <c r="K136" s="30" t="str">
        <f>Текущий!L135</f>
        <v>Рихтовка</v>
      </c>
      <c r="L136" s="29">
        <f>Текущий!AL135</f>
        <v>0</v>
      </c>
      <c r="M136" s="29">
        <f>Текущий!AM135</f>
        <v>0</v>
      </c>
      <c r="N136" s="29">
        <f>Текущий!AN135</f>
        <v>0</v>
      </c>
      <c r="O136" s="29">
        <f>Текущий!AP135</f>
        <v>0</v>
      </c>
      <c r="P136" s="29">
        <f>Предыд!AL135</f>
        <v>0</v>
      </c>
      <c r="Q136" s="29">
        <f>Предыд!AM135</f>
        <v>0</v>
      </c>
      <c r="R136" s="29">
        <f>Предыд!AN135</f>
        <v>0</v>
      </c>
      <c r="S136" s="29">
        <f>Предыд!AO135</f>
        <v>0</v>
      </c>
      <c r="T136" s="17" t="str">
        <f t="shared" si="2"/>
        <v>-</v>
      </c>
    </row>
    <row r="137" spans="1:20" x14ac:dyDescent="0.25">
      <c r="A137" s="29">
        <f>Текущий!A136</f>
        <v>23</v>
      </c>
      <c r="B137" s="29">
        <f>Текущий!B136</f>
        <v>24701</v>
      </c>
      <c r="C137" s="29">
        <f>Текущий!C136</f>
        <v>1</v>
      </c>
      <c r="D137" s="29" t="str">
        <f>Текущий!D136</f>
        <v>Аям - Золотинка</v>
      </c>
      <c r="E137" s="29">
        <f>ROUND(Текущий!J136,0)</f>
        <v>0</v>
      </c>
      <c r="F137" s="29">
        <f>Текущий!E136</f>
        <v>0</v>
      </c>
      <c r="G137" s="16" t="str">
        <f>IF(Текущий!K136="-",Текущий!K136,ROUND(Текущий!K136,0))</f>
        <v>-</v>
      </c>
      <c r="H137" s="29" t="str">
        <f>IF(ROUND(Текущий!I136,0)=0,"-",ROUND(Текущий!I136,0))</f>
        <v>-</v>
      </c>
      <c r="I137" s="16" t="str">
        <f>IF(Предыд!K136="-",Предыд!K136,ROUND(Предыд!K136,0))</f>
        <v>-</v>
      </c>
      <c r="J137" s="29" t="str">
        <f>IF(ROUND(Предыд!I136,0)=0,"-",ROUND(Предыд!I136,0))</f>
        <v>-</v>
      </c>
      <c r="K137" s="30" t="str">
        <f>Текущий!L136</f>
        <v>Рихтовка</v>
      </c>
      <c r="L137" s="29">
        <f>Текущий!AL136</f>
        <v>0</v>
      </c>
      <c r="M137" s="29">
        <f>Текущий!AM136</f>
        <v>0</v>
      </c>
      <c r="N137" s="29">
        <f>Текущий!AN136</f>
        <v>0</v>
      </c>
      <c r="O137" s="29">
        <f>Текущий!AP136</f>
        <v>0</v>
      </c>
      <c r="P137" s="29">
        <f>Предыд!AL136</f>
        <v>0</v>
      </c>
      <c r="Q137" s="29">
        <f>Предыд!AM136</f>
        <v>0</v>
      </c>
      <c r="R137" s="29">
        <f>Предыд!AN136</f>
        <v>0</v>
      </c>
      <c r="S137" s="29">
        <f>Предыд!AO136</f>
        <v>0</v>
      </c>
      <c r="T137" s="17" t="str">
        <f t="shared" si="2"/>
        <v>-</v>
      </c>
    </row>
    <row r="138" spans="1:20" x14ac:dyDescent="0.25">
      <c r="A138" s="29">
        <f>Текущий!A137</f>
        <v>23</v>
      </c>
      <c r="B138" s="29">
        <f>Текущий!B137</f>
        <v>24701</v>
      </c>
      <c r="C138" s="29">
        <f>Текущий!C137</f>
        <v>1</v>
      </c>
      <c r="D138" s="29" t="str">
        <f>Текущий!D137</f>
        <v>Золотинка - Окурдан</v>
      </c>
      <c r="E138" s="29">
        <f>ROUND(Текущий!J137,0)</f>
        <v>0</v>
      </c>
      <c r="F138" s="29">
        <f>Текущий!E137</f>
        <v>0</v>
      </c>
      <c r="G138" s="16" t="str">
        <f>IF(Текущий!K137="-",Текущий!K137,ROUND(Текущий!K137,0))</f>
        <v>-</v>
      </c>
      <c r="H138" s="29" t="str">
        <f>IF(ROUND(Текущий!I137,0)=0,"-",ROUND(Текущий!I137,0))</f>
        <v>-</v>
      </c>
      <c r="I138" s="16" t="str">
        <f>IF(Предыд!K137="-",Предыд!K137,ROUND(Предыд!K137,0))</f>
        <v>-</v>
      </c>
      <c r="J138" s="29" t="str">
        <f>IF(ROUND(Предыд!I137,0)=0,"-",ROUND(Предыд!I137,0))</f>
        <v>-</v>
      </c>
      <c r="K138" s="30" t="str">
        <f>Текущий!L137</f>
        <v>Рихтовка</v>
      </c>
      <c r="L138" s="29">
        <f>Текущий!AL137</f>
        <v>0</v>
      </c>
      <c r="M138" s="29">
        <f>Текущий!AM137</f>
        <v>0</v>
      </c>
      <c r="N138" s="29">
        <f>Текущий!AN137</f>
        <v>0</v>
      </c>
      <c r="O138" s="29">
        <f>Текущий!AP137</f>
        <v>0</v>
      </c>
      <c r="P138" s="29">
        <f>Предыд!AL137</f>
        <v>0</v>
      </c>
      <c r="Q138" s="29">
        <f>Предыд!AM137</f>
        <v>0</v>
      </c>
      <c r="R138" s="29">
        <f>Предыд!AN137</f>
        <v>0</v>
      </c>
      <c r="S138" s="29">
        <f>Предыд!AO137</f>
        <v>0</v>
      </c>
      <c r="T138" s="17" t="str">
        <f t="shared" si="2"/>
        <v>-</v>
      </c>
    </row>
    <row r="139" spans="1:20" x14ac:dyDescent="0.25">
      <c r="A139" s="29">
        <f>Текущий!A138</f>
        <v>23</v>
      </c>
      <c r="B139" s="29">
        <f>Текущий!B138</f>
        <v>24701</v>
      </c>
      <c r="C139" s="29">
        <f>Текущий!C138</f>
        <v>1</v>
      </c>
      <c r="D139" s="29" t="str">
        <f>Текущий!D138</f>
        <v>Окурдан - Оборчо</v>
      </c>
      <c r="E139" s="29">
        <f>ROUND(Текущий!J138,0)</f>
        <v>0</v>
      </c>
      <c r="F139" s="29">
        <f>Текущий!E138</f>
        <v>0</v>
      </c>
      <c r="G139" s="16" t="str">
        <f>IF(Текущий!K138="-",Текущий!K138,ROUND(Текущий!K138,0))</f>
        <v>-</v>
      </c>
      <c r="H139" s="29" t="str">
        <f>IF(ROUND(Текущий!I138,0)=0,"-",ROUND(Текущий!I138,0))</f>
        <v>-</v>
      </c>
      <c r="I139" s="16" t="str">
        <f>IF(Предыд!K138="-",Предыд!K138,ROUND(Предыд!K138,0))</f>
        <v>-</v>
      </c>
      <c r="J139" s="29" t="str">
        <f>IF(ROUND(Предыд!I138,0)=0,"-",ROUND(Предыд!I138,0))</f>
        <v>-</v>
      </c>
      <c r="K139" s="30" t="str">
        <f>Текущий!L138</f>
        <v>Рихтовка</v>
      </c>
      <c r="L139" s="29">
        <f>Текущий!AL138</f>
        <v>0</v>
      </c>
      <c r="M139" s="29">
        <f>Текущий!AM138</f>
        <v>0</v>
      </c>
      <c r="N139" s="29">
        <f>Текущий!AN138</f>
        <v>0</v>
      </c>
      <c r="O139" s="29">
        <f>Текущий!AP138</f>
        <v>0</v>
      </c>
      <c r="P139" s="29">
        <f>Предыд!AL138</f>
        <v>0</v>
      </c>
      <c r="Q139" s="29">
        <f>Предыд!AM138</f>
        <v>0</v>
      </c>
      <c r="R139" s="29">
        <f>Предыд!AN138</f>
        <v>0</v>
      </c>
      <c r="S139" s="29">
        <f>Предыд!AO138</f>
        <v>0</v>
      </c>
      <c r="T139" s="17" t="str">
        <f t="shared" si="2"/>
        <v>-</v>
      </c>
    </row>
    <row r="140" spans="1:20" x14ac:dyDescent="0.25">
      <c r="A140" s="29">
        <f>Текущий!A139</f>
        <v>23</v>
      </c>
      <c r="B140" s="29">
        <f>Текущий!B139</f>
        <v>24701</v>
      </c>
      <c r="C140" s="29">
        <f>Текущий!C139</f>
        <v>1</v>
      </c>
      <c r="D140" s="29" t="str">
        <f>Текущий!D139</f>
        <v>Оборчо - Беркакит</v>
      </c>
      <c r="E140" s="29">
        <f>ROUND(Текущий!J139,0)</f>
        <v>0</v>
      </c>
      <c r="F140" s="29">
        <f>Текущий!E139</f>
        <v>0</v>
      </c>
      <c r="G140" s="16" t="str">
        <f>IF(Текущий!K139="-",Текущий!K139,ROUND(Текущий!K139,0))</f>
        <v>-</v>
      </c>
      <c r="H140" s="29" t="str">
        <f>IF(ROUND(Текущий!I139,0)=0,"-",ROUND(Текущий!I139,0))</f>
        <v>-</v>
      </c>
      <c r="I140" s="16" t="str">
        <f>IF(Предыд!K139="-",Предыд!K139,ROUND(Предыд!K139,0))</f>
        <v>-</v>
      </c>
      <c r="J140" s="29" t="str">
        <f>IF(ROUND(Предыд!I139,0)=0,"-",ROUND(Предыд!I139,0))</f>
        <v>-</v>
      </c>
      <c r="K140" s="30" t="str">
        <f>Текущий!L139</f>
        <v>Рихтовка</v>
      </c>
      <c r="L140" s="29">
        <f>Текущий!AL139</f>
        <v>0</v>
      </c>
      <c r="M140" s="29">
        <f>Текущий!AM139</f>
        <v>0</v>
      </c>
      <c r="N140" s="29">
        <f>Текущий!AN139</f>
        <v>0</v>
      </c>
      <c r="O140" s="29">
        <f>Текущий!AP139</f>
        <v>0</v>
      </c>
      <c r="P140" s="29">
        <f>Предыд!AL139</f>
        <v>0</v>
      </c>
      <c r="Q140" s="29">
        <f>Предыд!AM139</f>
        <v>0</v>
      </c>
      <c r="R140" s="29">
        <f>Предыд!AN139</f>
        <v>0</v>
      </c>
      <c r="S140" s="29">
        <f>Предыд!AO139</f>
        <v>0</v>
      </c>
      <c r="T140" s="17" t="str">
        <f t="shared" si="2"/>
        <v>-</v>
      </c>
    </row>
    <row r="141" spans="1:20" x14ac:dyDescent="0.25">
      <c r="A141" s="29">
        <f>Текущий!A140</f>
        <v>23</v>
      </c>
      <c r="B141" s="29">
        <f>Текущий!B140</f>
        <v>24701</v>
      </c>
      <c r="C141" s="29">
        <f>Текущий!C140</f>
        <v>1</v>
      </c>
      <c r="D141" s="29" t="str">
        <f>Текущий!D140</f>
        <v>Беркакит - Нерюнгри-Пассажирская</v>
      </c>
      <c r="E141" s="29">
        <f>ROUND(Текущий!J140,0)</f>
        <v>0</v>
      </c>
      <c r="F141" s="29">
        <f>Текущий!E140</f>
        <v>0</v>
      </c>
      <c r="G141" s="16" t="str">
        <f>IF(Текущий!K140="-",Текущий!K140,ROUND(Текущий!K140,0))</f>
        <v>-</v>
      </c>
      <c r="H141" s="29" t="str">
        <f>IF(ROUND(Текущий!I140,0)=0,"-",ROUND(Текущий!I140,0))</f>
        <v>-</v>
      </c>
      <c r="I141" s="16" t="str">
        <f>IF(Предыд!K140="-",Предыд!K140,ROUND(Предыд!K140,0))</f>
        <v>-</v>
      </c>
      <c r="J141" s="29" t="str">
        <f>IF(ROUND(Предыд!I140,0)=0,"-",ROUND(Предыд!I140,0))</f>
        <v>-</v>
      </c>
      <c r="K141" s="30" t="str">
        <f>Текущий!L140</f>
        <v>Рихтовка</v>
      </c>
      <c r="L141" s="29">
        <f>Текущий!AL140</f>
        <v>0</v>
      </c>
      <c r="M141" s="29">
        <f>Текущий!AM140</f>
        <v>0</v>
      </c>
      <c r="N141" s="29">
        <f>Текущий!AN140</f>
        <v>0</v>
      </c>
      <c r="O141" s="29">
        <f>Текущий!AP140</f>
        <v>0</v>
      </c>
      <c r="P141" s="29">
        <f>Предыд!AL140</f>
        <v>0</v>
      </c>
      <c r="Q141" s="29">
        <f>Предыд!AM140</f>
        <v>0</v>
      </c>
      <c r="R141" s="29">
        <f>Предыд!AN140</f>
        <v>0</v>
      </c>
      <c r="S141" s="29">
        <f>Предыд!AO140</f>
        <v>0</v>
      </c>
      <c r="T141" s="17" t="str">
        <f t="shared" si="2"/>
        <v>-</v>
      </c>
    </row>
    <row r="142" spans="1:20" x14ac:dyDescent="0.25">
      <c r="A142" s="29">
        <f>Текущий!A141</f>
        <v>23</v>
      </c>
      <c r="B142" s="29">
        <f>Текущий!B141</f>
        <v>24701</v>
      </c>
      <c r="C142" s="29">
        <f>Текущий!C141</f>
        <v>1</v>
      </c>
      <c r="D142" s="29" t="str">
        <f>Текущий!D141</f>
        <v>Нерюнгри-Пассажирская - Нерюнгри-Грузовая</v>
      </c>
      <c r="E142" s="29">
        <f>ROUND(Текущий!J141,0)</f>
        <v>0</v>
      </c>
      <c r="F142" s="29">
        <f>Текущий!E141</f>
        <v>0</v>
      </c>
      <c r="G142" s="16" t="str">
        <f>IF(Текущий!K141="-",Текущий!K141,ROUND(Текущий!K141,0))</f>
        <v>-</v>
      </c>
      <c r="H142" s="29" t="str">
        <f>IF(ROUND(Текущий!I141,0)=0,"-",ROUND(Текущий!I141,0))</f>
        <v>-</v>
      </c>
      <c r="I142" s="16" t="str">
        <f>IF(Предыд!K141="-",Предыд!K141,ROUND(Предыд!K141,0))</f>
        <v>-</v>
      </c>
      <c r="J142" s="29" t="str">
        <f>IF(ROUND(Предыд!I141,0)=0,"-",ROUND(Предыд!I141,0))</f>
        <v>-</v>
      </c>
      <c r="K142" s="30" t="str">
        <f>Текущий!L141</f>
        <v>Рихтовка</v>
      </c>
      <c r="L142" s="29">
        <f>Текущий!AL141</f>
        <v>0</v>
      </c>
      <c r="M142" s="29">
        <f>Текущий!AM141</f>
        <v>0</v>
      </c>
      <c r="N142" s="29">
        <f>Текущий!AN141</f>
        <v>0</v>
      </c>
      <c r="O142" s="29">
        <f>Текущий!AP141</f>
        <v>0</v>
      </c>
      <c r="P142" s="29">
        <f>Предыд!AL141</f>
        <v>0</v>
      </c>
      <c r="Q142" s="29">
        <f>Предыд!AM141</f>
        <v>0</v>
      </c>
      <c r="R142" s="29">
        <f>Предыд!AN141</f>
        <v>0</v>
      </c>
      <c r="S142" s="29">
        <f>Предыд!AO141</f>
        <v>0</v>
      </c>
      <c r="T142" s="17" t="str">
        <f t="shared" si="2"/>
        <v>-</v>
      </c>
    </row>
    <row r="143" spans="1:20" x14ac:dyDescent="0.25">
      <c r="A143" s="29">
        <f>Текущий!A142</f>
        <v>23</v>
      </c>
      <c r="B143" s="29">
        <f>Текущий!B142</f>
        <v>24794</v>
      </c>
      <c r="C143" s="29">
        <f>Текущий!C142</f>
        <v>1</v>
      </c>
      <c r="D143" s="29" t="str">
        <f>Текущий!D142</f>
        <v>Нерюнгри-Грузовая - Угольная</v>
      </c>
      <c r="E143" s="29">
        <f>ROUND(Текущий!J142,0)</f>
        <v>0</v>
      </c>
      <c r="F143" s="29">
        <f>Текущий!E142</f>
        <v>0</v>
      </c>
      <c r="G143" s="16" t="str">
        <f>IF(Текущий!K142="-",Текущий!K142,ROUND(Текущий!K142,0))</f>
        <v>-</v>
      </c>
      <c r="H143" s="29" t="str">
        <f>IF(ROUND(Текущий!I142,0)=0,"-",ROUND(Текущий!I142,0))</f>
        <v>-</v>
      </c>
      <c r="I143" s="16" t="str">
        <f>IF(Предыд!K142="-",Предыд!K142,ROUND(Предыд!K142,0))</f>
        <v>-</v>
      </c>
      <c r="J143" s="29" t="str">
        <f>IF(ROUND(Предыд!I142,0)=0,"-",ROUND(Предыд!I142,0))</f>
        <v>-</v>
      </c>
      <c r="K143" s="30" t="str">
        <f>Текущий!L142</f>
        <v>Рихтовка</v>
      </c>
      <c r="L143" s="29">
        <f>Текущий!AL142</f>
        <v>0</v>
      </c>
      <c r="M143" s="29">
        <f>Текущий!AM142</f>
        <v>0</v>
      </c>
      <c r="N143" s="29">
        <f>Текущий!AN142</f>
        <v>0</v>
      </c>
      <c r="O143" s="29">
        <f>Текущий!AP142</f>
        <v>0</v>
      </c>
      <c r="P143" s="29">
        <f>Предыд!AL142</f>
        <v>0</v>
      </c>
      <c r="Q143" s="29">
        <f>Предыд!AM142</f>
        <v>0</v>
      </c>
      <c r="R143" s="29">
        <f>Предыд!AN142</f>
        <v>0</v>
      </c>
      <c r="S143" s="29">
        <f>Предыд!AO142</f>
        <v>0</v>
      </c>
      <c r="T143" s="17" t="str">
        <f t="shared" si="2"/>
        <v>-</v>
      </c>
    </row>
    <row r="144" spans="1:20" x14ac:dyDescent="0.25">
      <c r="A144" s="29">
        <f>Текущий!A143</f>
        <v>24</v>
      </c>
      <c r="B144" s="29">
        <f>Текущий!B143</f>
        <v>24603</v>
      </c>
      <c r="C144" s="29">
        <f>Текущий!C143</f>
        <v>1</v>
      </c>
      <c r="D144" s="29" t="str">
        <f>Текущий!D143</f>
        <v>Бестужево - Джелингра</v>
      </c>
      <c r="E144" s="29">
        <f>ROUND(Текущий!J143,0)</f>
        <v>0</v>
      </c>
      <c r="F144" s="29">
        <f>Текущий!E143</f>
        <v>0</v>
      </c>
      <c r="G144" s="16" t="str">
        <f>IF(Текущий!K143="-",Текущий!K143,ROUND(Текущий!K143,0))</f>
        <v>-</v>
      </c>
      <c r="H144" s="29" t="str">
        <f>IF(ROUND(Текущий!I143,0)=0,"-",ROUND(Текущий!I143,0))</f>
        <v>-</v>
      </c>
      <c r="I144" s="16" t="str">
        <f>IF(Предыд!K143="-",Предыд!K143,ROUND(Предыд!K143,0))</f>
        <v>-</v>
      </c>
      <c r="J144" s="29" t="str">
        <f>IF(ROUND(Предыд!I143,0)=0,"-",ROUND(Предыд!I143,0))</f>
        <v>-</v>
      </c>
      <c r="K144" s="30" t="str">
        <f>Текущий!L143</f>
        <v>Рихтовка</v>
      </c>
      <c r="L144" s="29">
        <f>Текущий!AL143</f>
        <v>0</v>
      </c>
      <c r="M144" s="29">
        <f>Текущий!AM143</f>
        <v>0</v>
      </c>
      <c r="N144" s="29">
        <f>Текущий!AN143</f>
        <v>0</v>
      </c>
      <c r="O144" s="29">
        <f>Текущий!AP143</f>
        <v>0</v>
      </c>
      <c r="P144" s="29">
        <f>Предыд!AL143</f>
        <v>0</v>
      </c>
      <c r="Q144" s="29">
        <f>Предыд!AM143</f>
        <v>0</v>
      </c>
      <c r="R144" s="29">
        <f>Предыд!AN143</f>
        <v>0</v>
      </c>
      <c r="S144" s="29">
        <f>Предыд!AO143</f>
        <v>0</v>
      </c>
      <c r="T144" s="17" t="str">
        <f t="shared" si="2"/>
        <v>-</v>
      </c>
    </row>
    <row r="145" spans="1:20" x14ac:dyDescent="0.25">
      <c r="A145" s="29">
        <f>Текущий!A144</f>
        <v>24</v>
      </c>
      <c r="B145" s="29">
        <f>Текущий!B144</f>
        <v>24603</v>
      </c>
      <c r="C145" s="29">
        <f>Текущий!C144</f>
        <v>1</v>
      </c>
      <c r="D145" s="29" t="str">
        <f>Текущий!D144</f>
        <v>Джелингра - Амут</v>
      </c>
      <c r="E145" s="29">
        <f>ROUND(Текущий!J144,0)</f>
        <v>0</v>
      </c>
      <c r="F145" s="29">
        <f>Текущий!E144</f>
        <v>0</v>
      </c>
      <c r="G145" s="16" t="str">
        <f>IF(Текущий!K144="-",Текущий!K144,ROUND(Текущий!K144,0))</f>
        <v>-</v>
      </c>
      <c r="H145" s="29" t="str">
        <f>IF(ROUND(Текущий!I144,0)=0,"-",ROUND(Текущий!I144,0))</f>
        <v>-</v>
      </c>
      <c r="I145" s="16" t="str">
        <f>IF(Предыд!K144="-",Предыд!K144,ROUND(Предыд!K144,0))</f>
        <v>-</v>
      </c>
      <c r="J145" s="29" t="str">
        <f>IF(ROUND(Предыд!I144,0)=0,"-",ROUND(Предыд!I144,0))</f>
        <v>-</v>
      </c>
      <c r="K145" s="30" t="str">
        <f>Текущий!L144</f>
        <v>Рихтовка</v>
      </c>
      <c r="L145" s="29">
        <f>Текущий!AL144</f>
        <v>0</v>
      </c>
      <c r="M145" s="29">
        <f>Текущий!AM144</f>
        <v>0</v>
      </c>
      <c r="N145" s="29">
        <f>Текущий!AN144</f>
        <v>0</v>
      </c>
      <c r="O145" s="29">
        <f>Текущий!AP144</f>
        <v>0</v>
      </c>
      <c r="P145" s="29">
        <f>Предыд!AL144</f>
        <v>0</v>
      </c>
      <c r="Q145" s="29">
        <f>Предыд!AM144</f>
        <v>0</v>
      </c>
      <c r="R145" s="29">
        <f>Предыд!AN144</f>
        <v>0</v>
      </c>
      <c r="S145" s="29">
        <f>Предыд!AO144</f>
        <v>0</v>
      </c>
      <c r="T145" s="17" t="str">
        <f t="shared" si="2"/>
        <v>-</v>
      </c>
    </row>
    <row r="146" spans="1:20" x14ac:dyDescent="0.25">
      <c r="A146" s="29">
        <f>Текущий!A145</f>
        <v>24</v>
      </c>
      <c r="B146" s="29">
        <f>Текущий!B145</f>
        <v>24603</v>
      </c>
      <c r="C146" s="29">
        <f>Текущий!C145</f>
        <v>1</v>
      </c>
      <c r="D146" s="29" t="str">
        <f>Текущий!D145</f>
        <v>Амут - Маревая</v>
      </c>
      <c r="E146" s="29">
        <f>ROUND(Текущий!J145,0)</f>
        <v>0</v>
      </c>
      <c r="F146" s="29">
        <f>Текущий!E145</f>
        <v>0</v>
      </c>
      <c r="G146" s="16" t="str">
        <f>IF(Текущий!K145="-",Текущий!K145,ROUND(Текущий!K145,0))</f>
        <v>-</v>
      </c>
      <c r="H146" s="29" t="str">
        <f>IF(ROUND(Текущий!I145,0)=0,"-",ROUND(Текущий!I145,0))</f>
        <v>-</v>
      </c>
      <c r="I146" s="16" t="str">
        <f>IF(Предыд!K145="-",Предыд!K145,ROUND(Предыд!K145,0))</f>
        <v>-</v>
      </c>
      <c r="J146" s="29" t="str">
        <f>IF(ROUND(Предыд!I145,0)=0,"-",ROUND(Предыд!I145,0))</f>
        <v>-</v>
      </c>
      <c r="K146" s="30" t="str">
        <f>Текущий!L145</f>
        <v>Рихтовка</v>
      </c>
      <c r="L146" s="29">
        <f>Текущий!AL145</f>
        <v>0</v>
      </c>
      <c r="M146" s="29">
        <f>Текущий!AM145</f>
        <v>0</v>
      </c>
      <c r="N146" s="29">
        <f>Текущий!AN145</f>
        <v>0</v>
      </c>
      <c r="O146" s="29">
        <f>Текущий!AP145</f>
        <v>0</v>
      </c>
      <c r="P146" s="29">
        <f>Предыд!AL145</f>
        <v>0</v>
      </c>
      <c r="Q146" s="29">
        <f>Предыд!AM145</f>
        <v>0</v>
      </c>
      <c r="R146" s="29">
        <f>Предыд!AN145</f>
        <v>0</v>
      </c>
      <c r="S146" s="29">
        <f>Предыд!AO145</f>
        <v>0</v>
      </c>
      <c r="T146" s="17" t="str">
        <f t="shared" si="2"/>
        <v>-</v>
      </c>
    </row>
    <row r="147" spans="1:20" x14ac:dyDescent="0.25">
      <c r="A147" s="29">
        <f>Текущий!A146</f>
        <v>24</v>
      </c>
      <c r="B147" s="29">
        <f>Текущий!B146</f>
        <v>24603</v>
      </c>
      <c r="C147" s="29">
        <f>Текущий!C146</f>
        <v>1</v>
      </c>
      <c r="D147" s="29" t="str">
        <f>Текущий!D146</f>
        <v>Маревая - Змейка</v>
      </c>
      <c r="E147" s="29">
        <f>ROUND(Текущий!J146,0)</f>
        <v>0</v>
      </c>
      <c r="F147" s="29">
        <f>Текущий!E146</f>
        <v>0</v>
      </c>
      <c r="G147" s="16" t="str">
        <f>IF(Текущий!K146="-",Текущий!K146,ROUND(Текущий!K146,0))</f>
        <v>-</v>
      </c>
      <c r="H147" s="29" t="str">
        <f>IF(ROUND(Текущий!I146,0)=0,"-",ROUND(Текущий!I146,0))</f>
        <v>-</v>
      </c>
      <c r="I147" s="16" t="str">
        <f>IF(Предыд!K146="-",Предыд!K146,ROUND(Предыд!K146,0))</f>
        <v>-</v>
      </c>
      <c r="J147" s="29" t="str">
        <f>IF(ROUND(Предыд!I146,0)=0,"-",ROUND(Предыд!I146,0))</f>
        <v>-</v>
      </c>
      <c r="K147" s="30" t="str">
        <f>Текущий!L146</f>
        <v>Рихтовка</v>
      </c>
      <c r="L147" s="29">
        <f>Текущий!AL146</f>
        <v>0</v>
      </c>
      <c r="M147" s="29">
        <f>Текущий!AM146</f>
        <v>0</v>
      </c>
      <c r="N147" s="29">
        <f>Текущий!AN146</f>
        <v>0</v>
      </c>
      <c r="O147" s="29">
        <f>Текущий!AP146</f>
        <v>0</v>
      </c>
      <c r="P147" s="29">
        <f>Предыд!AL146</f>
        <v>0</v>
      </c>
      <c r="Q147" s="29">
        <f>Предыд!AM146</f>
        <v>0</v>
      </c>
      <c r="R147" s="29">
        <f>Предыд!AN146</f>
        <v>0</v>
      </c>
      <c r="S147" s="29">
        <f>Предыд!AO146</f>
        <v>0</v>
      </c>
      <c r="T147" s="17" t="str">
        <f t="shared" si="2"/>
        <v>-</v>
      </c>
    </row>
    <row r="148" spans="1:20" x14ac:dyDescent="0.25">
      <c r="A148" s="29">
        <f>Текущий!A147</f>
        <v>24</v>
      </c>
      <c r="B148" s="29">
        <f>Текущий!B147</f>
        <v>24603</v>
      </c>
      <c r="C148" s="29">
        <f>Текущий!C147</f>
        <v>1</v>
      </c>
      <c r="D148" s="29" t="str">
        <f>Текущий!D147</f>
        <v>Змейка - Кудули</v>
      </c>
      <c r="E148" s="29">
        <f>ROUND(Текущий!J147,0)</f>
        <v>0</v>
      </c>
      <c r="F148" s="29">
        <f>Текущий!E147</f>
        <v>0</v>
      </c>
      <c r="G148" s="16" t="str">
        <f>IF(Текущий!K147="-",Текущий!K147,ROUND(Текущий!K147,0))</f>
        <v>-</v>
      </c>
      <c r="H148" s="29" t="str">
        <f>IF(ROUND(Текущий!I147,0)=0,"-",ROUND(Текущий!I147,0))</f>
        <v>-</v>
      </c>
      <c r="I148" s="16" t="str">
        <f>IF(Предыд!K147="-",Предыд!K147,ROUND(Предыд!K147,0))</f>
        <v>-</v>
      </c>
      <c r="J148" s="29" t="str">
        <f>IF(ROUND(Предыд!I147,0)=0,"-",ROUND(Предыд!I147,0))</f>
        <v>-</v>
      </c>
      <c r="K148" s="30" t="str">
        <f>Текущий!L147</f>
        <v>Рихтовка</v>
      </c>
      <c r="L148" s="29">
        <f>Текущий!AL147</f>
        <v>0</v>
      </c>
      <c r="M148" s="29">
        <f>Текущий!AM147</f>
        <v>0</v>
      </c>
      <c r="N148" s="29">
        <f>Текущий!AN147</f>
        <v>0</v>
      </c>
      <c r="O148" s="29">
        <f>Текущий!AP147</f>
        <v>0</v>
      </c>
      <c r="P148" s="29">
        <f>Предыд!AL147</f>
        <v>0</v>
      </c>
      <c r="Q148" s="29">
        <f>Предыд!AM147</f>
        <v>0</v>
      </c>
      <c r="R148" s="29">
        <f>Предыд!AN147</f>
        <v>0</v>
      </c>
      <c r="S148" s="29">
        <f>Предыд!AO147</f>
        <v>0</v>
      </c>
      <c r="T148" s="17" t="str">
        <f t="shared" si="2"/>
        <v>-</v>
      </c>
    </row>
    <row r="149" spans="1:20" x14ac:dyDescent="0.25">
      <c r="A149" s="29">
        <f>Текущий!A148</f>
        <v>24</v>
      </c>
      <c r="B149" s="29">
        <f>Текущий!B148</f>
        <v>24603</v>
      </c>
      <c r="C149" s="29">
        <f>Текущий!C148</f>
        <v>1</v>
      </c>
      <c r="D149" s="29" t="str">
        <f>Текущий!D148</f>
        <v>Кудули - Унаха</v>
      </c>
      <c r="E149" s="29">
        <f>ROUND(Текущий!J148,0)</f>
        <v>0</v>
      </c>
      <c r="F149" s="29">
        <f>Текущий!E148</f>
        <v>0</v>
      </c>
      <c r="G149" s="16" t="str">
        <f>IF(Текущий!K148="-",Текущий!K148,ROUND(Текущий!K148,0))</f>
        <v>-</v>
      </c>
      <c r="H149" s="29" t="str">
        <f>IF(ROUND(Текущий!I148,0)=0,"-",ROUND(Текущий!I148,0))</f>
        <v>-</v>
      </c>
      <c r="I149" s="16" t="str">
        <f>IF(Предыд!K148="-",Предыд!K148,ROUND(Предыд!K148,0))</f>
        <v>-</v>
      </c>
      <c r="J149" s="29" t="str">
        <f>IF(ROUND(Предыд!I148,0)=0,"-",ROUND(Предыд!I148,0))</f>
        <v>-</v>
      </c>
      <c r="K149" s="30" t="str">
        <f>Текущий!L148</f>
        <v>Рихтовка</v>
      </c>
      <c r="L149" s="29">
        <f>Текущий!AL148</f>
        <v>0</v>
      </c>
      <c r="M149" s="29">
        <f>Текущий!AM148</f>
        <v>0</v>
      </c>
      <c r="N149" s="29">
        <f>Текущий!AN148</f>
        <v>0</v>
      </c>
      <c r="O149" s="29">
        <f>Текущий!AP148</f>
        <v>0</v>
      </c>
      <c r="P149" s="29">
        <f>Предыд!AL148</f>
        <v>0</v>
      </c>
      <c r="Q149" s="29">
        <f>Предыд!AM148</f>
        <v>0</v>
      </c>
      <c r="R149" s="29">
        <f>Предыд!AN148</f>
        <v>0</v>
      </c>
      <c r="S149" s="29">
        <f>Предыд!AO148</f>
        <v>0</v>
      </c>
      <c r="T149" s="17" t="str">
        <f t="shared" si="2"/>
        <v>-</v>
      </c>
    </row>
    <row r="150" spans="1:20" x14ac:dyDescent="0.25">
      <c r="A150" s="29">
        <f>Текущий!A149</f>
        <v>24</v>
      </c>
      <c r="B150" s="29">
        <f>Текущий!B149</f>
        <v>24603</v>
      </c>
      <c r="C150" s="29">
        <f>Текущий!C149</f>
        <v>1</v>
      </c>
      <c r="D150" s="29" t="str">
        <f>Текущий!D149</f>
        <v>Унаха - Дипкун</v>
      </c>
      <c r="E150" s="29">
        <f>ROUND(Текущий!J149,0)</f>
        <v>0</v>
      </c>
      <c r="F150" s="29">
        <f>Текущий!E149</f>
        <v>0</v>
      </c>
      <c r="G150" s="16" t="str">
        <f>IF(Текущий!K149="-",Текущий!K149,ROUND(Текущий!K149,0))</f>
        <v>-</v>
      </c>
      <c r="H150" s="29" t="str">
        <f>IF(ROUND(Текущий!I149,0)=0,"-",ROUND(Текущий!I149,0))</f>
        <v>-</v>
      </c>
      <c r="I150" s="16" t="str">
        <f>IF(Предыд!K149="-",Предыд!K149,ROUND(Предыд!K149,0))</f>
        <v>-</v>
      </c>
      <c r="J150" s="29" t="str">
        <f>IF(ROUND(Предыд!I149,0)=0,"-",ROUND(Предыд!I149,0))</f>
        <v>-</v>
      </c>
      <c r="K150" s="30" t="str">
        <f>Текущий!L149</f>
        <v>Рихтовка</v>
      </c>
      <c r="L150" s="29">
        <f>Текущий!AL149</f>
        <v>0</v>
      </c>
      <c r="M150" s="29">
        <f>Текущий!AM149</f>
        <v>0</v>
      </c>
      <c r="N150" s="29">
        <f>Текущий!AN149</f>
        <v>0</v>
      </c>
      <c r="O150" s="29">
        <f>Текущий!AP149</f>
        <v>0</v>
      </c>
      <c r="P150" s="29">
        <f>Предыд!AL149</f>
        <v>0</v>
      </c>
      <c r="Q150" s="29">
        <f>Предыд!AM149</f>
        <v>0</v>
      </c>
      <c r="R150" s="29">
        <f>Предыд!AN149</f>
        <v>0</v>
      </c>
      <c r="S150" s="29">
        <f>Предыд!AO149</f>
        <v>0</v>
      </c>
      <c r="T150" s="17" t="str">
        <f t="shared" si="2"/>
        <v>-</v>
      </c>
    </row>
    <row r="151" spans="1:20" x14ac:dyDescent="0.25">
      <c r="A151" s="29">
        <f>Текущий!A150</f>
        <v>24</v>
      </c>
      <c r="B151" s="29">
        <f>Текущий!B150</f>
        <v>24603</v>
      </c>
      <c r="C151" s="29">
        <f>Текущий!C150</f>
        <v>1</v>
      </c>
      <c r="D151" s="29" t="str">
        <f>Текущий!D150</f>
        <v>Дипкун - Десс</v>
      </c>
      <c r="E151" s="29">
        <f>ROUND(Текущий!J150,0)</f>
        <v>0</v>
      </c>
      <c r="F151" s="29">
        <f>Текущий!E150</f>
        <v>0</v>
      </c>
      <c r="G151" s="16" t="str">
        <f>IF(Текущий!K150="-",Текущий!K150,ROUND(Текущий!K150,0))</f>
        <v>-</v>
      </c>
      <c r="H151" s="29" t="str">
        <f>IF(ROUND(Текущий!I150,0)=0,"-",ROUND(Текущий!I150,0))</f>
        <v>-</v>
      </c>
      <c r="I151" s="16" t="str">
        <f>IF(Предыд!K150="-",Предыд!K150,ROUND(Предыд!K150,0))</f>
        <v>-</v>
      </c>
      <c r="J151" s="29" t="str">
        <f>IF(ROUND(Предыд!I150,0)=0,"-",ROUND(Предыд!I150,0))</f>
        <v>-</v>
      </c>
      <c r="K151" s="30" t="str">
        <f>Текущий!L150</f>
        <v>Рихтовка</v>
      </c>
      <c r="L151" s="29">
        <f>Текущий!AL150</f>
        <v>0</v>
      </c>
      <c r="M151" s="29">
        <f>Текущий!AM150</f>
        <v>0</v>
      </c>
      <c r="N151" s="29">
        <f>Текущий!AN150</f>
        <v>0</v>
      </c>
      <c r="O151" s="29">
        <f>Текущий!AP150</f>
        <v>0</v>
      </c>
      <c r="P151" s="29">
        <f>Предыд!AL150</f>
        <v>0</v>
      </c>
      <c r="Q151" s="29">
        <f>Предыд!AM150</f>
        <v>0</v>
      </c>
      <c r="R151" s="29">
        <f>Предыд!AN150</f>
        <v>0</v>
      </c>
      <c r="S151" s="29">
        <f>Предыд!AO150</f>
        <v>0</v>
      </c>
      <c r="T151" s="17" t="str">
        <f t="shared" si="2"/>
        <v>-</v>
      </c>
    </row>
    <row r="152" spans="1:20" x14ac:dyDescent="0.25">
      <c r="A152" s="29">
        <f>Текущий!A151</f>
        <v>24</v>
      </c>
      <c r="B152" s="29">
        <f>Текущий!B151</f>
        <v>24603</v>
      </c>
      <c r="C152" s="29">
        <f>Текущий!C151</f>
        <v>1</v>
      </c>
      <c r="D152" s="29" t="str">
        <f>Текущий!D151</f>
        <v>Десс - Москоский Комсомолец</v>
      </c>
      <c r="E152" s="29">
        <f>ROUND(Текущий!J151,0)</f>
        <v>0</v>
      </c>
      <c r="F152" s="29">
        <f>Текущий!E151</f>
        <v>0</v>
      </c>
      <c r="G152" s="16" t="str">
        <f>IF(Текущий!K151="-",Текущий!K151,ROUND(Текущий!K151,0))</f>
        <v>-</v>
      </c>
      <c r="H152" s="29" t="str">
        <f>IF(ROUND(Текущий!I151,0)=0,"-",ROUND(Текущий!I151,0))</f>
        <v>-</v>
      </c>
      <c r="I152" s="16" t="str">
        <f>IF(Предыд!K151="-",Предыд!K151,ROUND(Предыд!K151,0))</f>
        <v>-</v>
      </c>
      <c r="J152" s="29" t="str">
        <f>IF(ROUND(Предыд!I151,0)=0,"-",ROUND(Предыд!I151,0))</f>
        <v>-</v>
      </c>
      <c r="K152" s="30" t="str">
        <f>Текущий!L151</f>
        <v>Рихтовка</v>
      </c>
      <c r="L152" s="29">
        <f>Текущий!AL151</f>
        <v>0</v>
      </c>
      <c r="M152" s="29">
        <f>Текущий!AM151</f>
        <v>0</v>
      </c>
      <c r="N152" s="29">
        <f>Текущий!AN151</f>
        <v>0</v>
      </c>
      <c r="O152" s="29">
        <f>Текущий!AP151</f>
        <v>0</v>
      </c>
      <c r="P152" s="29">
        <f>Предыд!AL151</f>
        <v>0</v>
      </c>
      <c r="Q152" s="29">
        <f>Предыд!AM151</f>
        <v>0</v>
      </c>
      <c r="R152" s="29">
        <f>Предыд!AN151</f>
        <v>0</v>
      </c>
      <c r="S152" s="29">
        <f>Предыд!AO151</f>
        <v>0</v>
      </c>
      <c r="T152" s="17" t="str">
        <f t="shared" si="2"/>
        <v>-</v>
      </c>
    </row>
    <row r="153" spans="1:20" x14ac:dyDescent="0.25">
      <c r="A153" s="29">
        <f>Текущий!A152</f>
        <v>24</v>
      </c>
      <c r="B153" s="29">
        <f>Текущий!B152</f>
        <v>24603</v>
      </c>
      <c r="C153" s="29">
        <f>Текущий!C152</f>
        <v>1</v>
      </c>
      <c r="D153" s="29" t="str">
        <f>Текущий!D152</f>
        <v>Москоский Комсомолец - Учугей</v>
      </c>
      <c r="E153" s="29">
        <f>ROUND(Текущий!J152,0)</f>
        <v>0</v>
      </c>
      <c r="F153" s="29">
        <f>Текущий!E152</f>
        <v>0</v>
      </c>
      <c r="G153" s="16" t="str">
        <f>IF(Текущий!K152="-",Текущий!K152,ROUND(Текущий!K152,0))</f>
        <v>-</v>
      </c>
      <c r="H153" s="29" t="str">
        <f>IF(ROUND(Текущий!I152,0)=0,"-",ROUND(Текущий!I152,0))</f>
        <v>-</v>
      </c>
      <c r="I153" s="16" t="str">
        <f>IF(Предыд!K152="-",Предыд!K152,ROUND(Предыд!K152,0))</f>
        <v>-</v>
      </c>
      <c r="J153" s="29" t="str">
        <f>IF(ROUND(Предыд!I152,0)=0,"-",ROUND(Предыд!I152,0))</f>
        <v>-</v>
      </c>
      <c r="K153" s="30" t="str">
        <f>Текущий!L152</f>
        <v>Рихтовка</v>
      </c>
      <c r="L153" s="29">
        <f>Текущий!AL152</f>
        <v>0</v>
      </c>
      <c r="M153" s="29">
        <f>Текущий!AM152</f>
        <v>0</v>
      </c>
      <c r="N153" s="29">
        <f>Текущий!AN152</f>
        <v>0</v>
      </c>
      <c r="O153" s="29">
        <f>Текущий!AP152</f>
        <v>0</v>
      </c>
      <c r="P153" s="29">
        <f>Предыд!AL152</f>
        <v>0</v>
      </c>
      <c r="Q153" s="29">
        <f>Предыд!AM152</f>
        <v>0</v>
      </c>
      <c r="R153" s="29">
        <f>Предыд!AN152</f>
        <v>0</v>
      </c>
      <c r="S153" s="29">
        <f>Предыд!AO152</f>
        <v>0</v>
      </c>
      <c r="T153" s="17" t="str">
        <f t="shared" si="2"/>
        <v>-</v>
      </c>
    </row>
    <row r="154" spans="1:20" x14ac:dyDescent="0.25">
      <c r="A154" s="29">
        <f>Текущий!A153</f>
        <v>24</v>
      </c>
      <c r="B154" s="29">
        <f>Текущий!B153</f>
        <v>24603</v>
      </c>
      <c r="C154" s="29">
        <f>Текущий!C153</f>
        <v>1</v>
      </c>
      <c r="D154" s="29" t="str">
        <f>Текущий!D153</f>
        <v>Учугей - Тутаул</v>
      </c>
      <c r="E154" s="29">
        <f>ROUND(Текущий!J153,0)</f>
        <v>0</v>
      </c>
      <c r="F154" s="29">
        <f>Текущий!E153</f>
        <v>0</v>
      </c>
      <c r="G154" s="16" t="str">
        <f>IF(Текущий!K153="-",Текущий!K153,ROUND(Текущий!K153,0))</f>
        <v>-</v>
      </c>
      <c r="H154" s="29" t="str">
        <f>IF(ROUND(Текущий!I153,0)=0,"-",ROUND(Текущий!I153,0))</f>
        <v>-</v>
      </c>
      <c r="I154" s="16" t="str">
        <f>IF(Предыд!K153="-",Предыд!K153,ROUND(Предыд!K153,0))</f>
        <v>-</v>
      </c>
      <c r="J154" s="29" t="str">
        <f>IF(ROUND(Предыд!I153,0)=0,"-",ROUND(Предыд!I153,0))</f>
        <v>-</v>
      </c>
      <c r="K154" s="30" t="str">
        <f>Текущий!L153</f>
        <v>Рихтовка</v>
      </c>
      <c r="L154" s="29">
        <f>Текущий!AL153</f>
        <v>0</v>
      </c>
      <c r="M154" s="29">
        <f>Текущий!AM153</f>
        <v>0</v>
      </c>
      <c r="N154" s="29">
        <f>Текущий!AN153</f>
        <v>0</v>
      </c>
      <c r="O154" s="29">
        <f>Текущий!AP153</f>
        <v>0</v>
      </c>
      <c r="P154" s="29">
        <f>Предыд!AL153</f>
        <v>0</v>
      </c>
      <c r="Q154" s="29">
        <f>Предыд!AM153</f>
        <v>0</v>
      </c>
      <c r="R154" s="29">
        <f>Предыд!AN153</f>
        <v>0</v>
      </c>
      <c r="S154" s="29">
        <f>Предыд!AO153</f>
        <v>0</v>
      </c>
      <c r="T154" s="17" t="str">
        <f t="shared" si="2"/>
        <v>-</v>
      </c>
    </row>
    <row r="155" spans="1:20" x14ac:dyDescent="0.25">
      <c r="A155" s="29">
        <f>Текущий!A154</f>
        <v>24</v>
      </c>
      <c r="B155" s="29">
        <f>Текущий!B154</f>
        <v>24603</v>
      </c>
      <c r="C155" s="29">
        <f>Текущий!C154</f>
        <v>1</v>
      </c>
      <c r="D155" s="29" t="str">
        <f>Текущий!D154</f>
        <v>Тутаул - Клепиково</v>
      </c>
      <c r="E155" s="29">
        <f>ROUND(Текущий!J154,0)</f>
        <v>0</v>
      </c>
      <c r="F155" s="29">
        <f>Текущий!E154</f>
        <v>0</v>
      </c>
      <c r="G155" s="16" t="str">
        <f>IF(Текущий!K154="-",Текущий!K154,ROUND(Текущий!K154,0))</f>
        <v>-</v>
      </c>
      <c r="H155" s="29" t="str">
        <f>IF(ROUND(Текущий!I154,0)=0,"-",ROUND(Текущий!I154,0))</f>
        <v>-</v>
      </c>
      <c r="I155" s="16" t="str">
        <f>IF(Предыд!K154="-",Предыд!K154,ROUND(Предыд!K154,0))</f>
        <v>-</v>
      </c>
      <c r="J155" s="29" t="str">
        <f>IF(ROUND(Предыд!I154,0)=0,"-",ROUND(Предыд!I154,0))</f>
        <v>-</v>
      </c>
      <c r="K155" s="30" t="str">
        <f>Текущий!L154</f>
        <v>Рихтовка</v>
      </c>
      <c r="L155" s="29">
        <f>Текущий!AL154</f>
        <v>0</v>
      </c>
      <c r="M155" s="29">
        <f>Текущий!AM154</f>
        <v>0</v>
      </c>
      <c r="N155" s="29">
        <f>Текущий!AN154</f>
        <v>0</v>
      </c>
      <c r="O155" s="29">
        <f>Текущий!AP154</f>
        <v>0</v>
      </c>
      <c r="P155" s="29">
        <f>Предыд!AL154</f>
        <v>0</v>
      </c>
      <c r="Q155" s="29">
        <f>Предыд!AM154</f>
        <v>0</v>
      </c>
      <c r="R155" s="29">
        <f>Предыд!AN154</f>
        <v>0</v>
      </c>
      <c r="S155" s="29">
        <f>Предыд!AO154</f>
        <v>0</v>
      </c>
      <c r="T155" s="17" t="str">
        <f t="shared" si="2"/>
        <v>-</v>
      </c>
    </row>
    <row r="156" spans="1:20" x14ac:dyDescent="0.25">
      <c r="A156" s="29">
        <f>Текущий!A155</f>
        <v>24</v>
      </c>
      <c r="B156" s="29">
        <f>Текущий!B155</f>
        <v>24603</v>
      </c>
      <c r="C156" s="29">
        <f>Текущий!C155</f>
        <v>1</v>
      </c>
      <c r="D156" s="29" t="str">
        <f>Текущий!D155</f>
        <v>Клепиково - Первопроходцы</v>
      </c>
      <c r="E156" s="29">
        <f>ROUND(Текущий!J155,0)</f>
        <v>0</v>
      </c>
      <c r="F156" s="29">
        <f>Текущий!E155</f>
        <v>0</v>
      </c>
      <c r="G156" s="16" t="str">
        <f>IF(Текущий!K155="-",Текущий!K155,ROUND(Текущий!K155,0))</f>
        <v>-</v>
      </c>
      <c r="H156" s="29" t="str">
        <f>IF(ROUND(Текущий!I155,0)=0,"-",ROUND(Текущий!I155,0))</f>
        <v>-</v>
      </c>
      <c r="I156" s="16" t="str">
        <f>IF(Предыд!K155="-",Предыд!K155,ROUND(Предыд!K155,0))</f>
        <v>-</v>
      </c>
      <c r="J156" s="29" t="str">
        <f>IF(ROUND(Предыд!I155,0)=0,"-",ROUND(Предыд!I155,0))</f>
        <v>-</v>
      </c>
      <c r="K156" s="30" t="str">
        <f>Текущий!L155</f>
        <v>Рихтовка</v>
      </c>
      <c r="L156" s="29">
        <f>Текущий!AL155</f>
        <v>0</v>
      </c>
      <c r="M156" s="29">
        <f>Текущий!AM155</f>
        <v>0</v>
      </c>
      <c r="N156" s="29">
        <f>Текущий!AN155</f>
        <v>0</v>
      </c>
      <c r="O156" s="29">
        <f>Текущий!AP155</f>
        <v>0</v>
      </c>
      <c r="P156" s="29">
        <f>Предыд!AL155</f>
        <v>0</v>
      </c>
      <c r="Q156" s="29">
        <f>Предыд!AM155</f>
        <v>0</v>
      </c>
      <c r="R156" s="29">
        <f>Предыд!AN155</f>
        <v>0</v>
      </c>
      <c r="S156" s="29">
        <f>Предыд!AO155</f>
        <v>0</v>
      </c>
      <c r="T156" s="17" t="str">
        <f t="shared" si="2"/>
        <v>-</v>
      </c>
    </row>
    <row r="157" spans="1:20" x14ac:dyDescent="0.25">
      <c r="A157" s="29">
        <f>Текущий!A156</f>
        <v>24</v>
      </c>
      <c r="B157" s="29">
        <f>Текущий!B156</f>
        <v>24603</v>
      </c>
      <c r="C157" s="29">
        <f>Текущий!C156</f>
        <v>1</v>
      </c>
      <c r="D157" s="29" t="str">
        <f>Текущий!D156</f>
        <v>Первопроходцы - Им.Генерала Милько</v>
      </c>
      <c r="E157" s="29">
        <f>ROUND(Текущий!J156,0)</f>
        <v>0</v>
      </c>
      <c r="F157" s="29">
        <f>Текущий!E156</f>
        <v>0</v>
      </c>
      <c r="G157" s="16" t="str">
        <f>IF(Текущий!K156="-",Текущий!K156,ROUND(Текущий!K156,0))</f>
        <v>-</v>
      </c>
      <c r="H157" s="29" t="str">
        <f>IF(ROUND(Текущий!I156,0)=0,"-",ROUND(Текущий!I156,0))</f>
        <v>-</v>
      </c>
      <c r="I157" s="16" t="str">
        <f>IF(Предыд!K156="-",Предыд!K156,ROUND(Предыд!K156,0))</f>
        <v>-</v>
      </c>
      <c r="J157" s="29" t="str">
        <f>IF(ROUND(Предыд!I156,0)=0,"-",ROUND(Предыд!I156,0))</f>
        <v>-</v>
      </c>
      <c r="K157" s="30" t="str">
        <f>Текущий!L156</f>
        <v>Рихтовка</v>
      </c>
      <c r="L157" s="29">
        <f>Текущий!AL156</f>
        <v>0</v>
      </c>
      <c r="M157" s="29">
        <f>Текущий!AM156</f>
        <v>0</v>
      </c>
      <c r="N157" s="29">
        <f>Текущий!AN156</f>
        <v>0</v>
      </c>
      <c r="O157" s="29">
        <f>Текущий!AP156</f>
        <v>0</v>
      </c>
      <c r="P157" s="29">
        <f>Предыд!AL156</f>
        <v>0</v>
      </c>
      <c r="Q157" s="29">
        <f>Предыд!AM156</f>
        <v>0</v>
      </c>
      <c r="R157" s="29">
        <f>Предыд!AN156</f>
        <v>0</v>
      </c>
      <c r="S157" s="29">
        <f>Предыд!AO156</f>
        <v>0</v>
      </c>
      <c r="T157" s="17" t="str">
        <f t="shared" si="2"/>
        <v>-</v>
      </c>
    </row>
    <row r="158" spans="1:20" x14ac:dyDescent="0.25">
      <c r="A158" s="29">
        <f>Текущий!A157</f>
        <v>25</v>
      </c>
      <c r="B158" s="29">
        <f>Текущий!B157</f>
        <v>24603</v>
      </c>
      <c r="C158" s="29">
        <f>Текущий!C157</f>
        <v>1</v>
      </c>
      <c r="D158" s="29" t="str">
        <f>Текущий!D157</f>
        <v>Первопроходцы - Им.Генерала Милько</v>
      </c>
      <c r="E158" s="29">
        <f>ROUND(Текущий!J157,0)</f>
        <v>0</v>
      </c>
      <c r="F158" s="29">
        <f>Текущий!E157</f>
        <v>0</v>
      </c>
      <c r="G158" s="16" t="str">
        <f>IF(Текущий!K157="-",Текущий!K157,ROUND(Текущий!K157,0))</f>
        <v>-</v>
      </c>
      <c r="H158" s="29" t="str">
        <f>IF(ROUND(Текущий!I157,0)=0,"-",ROUND(Текущий!I157,0))</f>
        <v>-</v>
      </c>
      <c r="I158" s="16" t="str">
        <f>IF(Предыд!K157="-",Предыд!K157,ROUND(Предыд!K157,0))</f>
        <v>-</v>
      </c>
      <c r="J158" s="29" t="str">
        <f>IF(ROUND(Предыд!I157,0)=0,"-",ROUND(Предыд!I157,0))</f>
        <v>-</v>
      </c>
      <c r="K158" s="30" t="str">
        <f>Текущий!L157</f>
        <v>Рихтовка</v>
      </c>
      <c r="L158" s="29">
        <f>Текущий!AL157</f>
        <v>0</v>
      </c>
      <c r="M158" s="29">
        <f>Текущий!AM157</f>
        <v>0</v>
      </c>
      <c r="N158" s="29">
        <f>Текущий!AN157</f>
        <v>0</v>
      </c>
      <c r="O158" s="29">
        <f>Текущий!AP157</f>
        <v>0</v>
      </c>
      <c r="P158" s="29">
        <f>Предыд!AL157</f>
        <v>0</v>
      </c>
      <c r="Q158" s="29">
        <f>Предыд!AM157</f>
        <v>0</v>
      </c>
      <c r="R158" s="29">
        <f>Предыд!AN157</f>
        <v>0</v>
      </c>
      <c r="S158" s="29">
        <f>Предыд!AO157</f>
        <v>0</v>
      </c>
      <c r="T158" s="17" t="str">
        <f t="shared" si="2"/>
        <v>-</v>
      </c>
    </row>
    <row r="159" spans="1:20" x14ac:dyDescent="0.25">
      <c r="A159" s="29">
        <f>Текущий!A158</f>
        <v>25</v>
      </c>
      <c r="B159" s="29">
        <f>Текущий!B158</f>
        <v>24603</v>
      </c>
      <c r="C159" s="29">
        <f>Текущий!C158</f>
        <v>1</v>
      </c>
      <c r="D159" s="29" t="str">
        <f>Текущий!D158</f>
        <v>Им.Генерала Милько - Мульмуга</v>
      </c>
      <c r="E159" s="29">
        <f>ROUND(Текущий!J158,0)</f>
        <v>0</v>
      </c>
      <c r="F159" s="29">
        <f>Текущий!E158</f>
        <v>0</v>
      </c>
      <c r="G159" s="16" t="str">
        <f>IF(Текущий!K158="-",Текущий!K158,ROUND(Текущий!K158,0))</f>
        <v>-</v>
      </c>
      <c r="H159" s="29" t="str">
        <f>IF(ROUND(Текущий!I158,0)=0,"-",ROUND(Текущий!I158,0))</f>
        <v>-</v>
      </c>
      <c r="I159" s="16" t="str">
        <f>IF(Предыд!K158="-",Предыд!K158,ROUND(Предыд!K158,0))</f>
        <v>-</v>
      </c>
      <c r="J159" s="29" t="str">
        <f>IF(ROUND(Предыд!I158,0)=0,"-",ROUND(Предыд!I158,0))</f>
        <v>-</v>
      </c>
      <c r="K159" s="30" t="str">
        <f>Текущий!L158</f>
        <v>Рихтовка</v>
      </c>
      <c r="L159" s="29">
        <f>Текущий!AL158</f>
        <v>0</v>
      </c>
      <c r="M159" s="29">
        <f>Текущий!AM158</f>
        <v>0</v>
      </c>
      <c r="N159" s="29">
        <f>Текущий!AN158</f>
        <v>0</v>
      </c>
      <c r="O159" s="29">
        <f>Текущий!AP158</f>
        <v>0</v>
      </c>
      <c r="P159" s="29">
        <f>Предыд!AL158</f>
        <v>0</v>
      </c>
      <c r="Q159" s="29">
        <f>Предыд!AM158</f>
        <v>0</v>
      </c>
      <c r="R159" s="29">
        <f>Предыд!AN158</f>
        <v>0</v>
      </c>
      <c r="S159" s="29">
        <f>Предыд!AO158</f>
        <v>0</v>
      </c>
      <c r="T159" s="17" t="str">
        <f t="shared" si="2"/>
        <v>-</v>
      </c>
    </row>
    <row r="160" spans="1:20" x14ac:dyDescent="0.25">
      <c r="A160" s="29">
        <f>Текущий!A159</f>
        <v>25</v>
      </c>
      <c r="B160" s="29">
        <f>Текущий!B159</f>
        <v>24603</v>
      </c>
      <c r="C160" s="29">
        <f>Текущий!C159</f>
        <v>1</v>
      </c>
      <c r="D160" s="29" t="str">
        <f>Текущий!D159</f>
        <v>Мульмуга - Мульмугакан</v>
      </c>
      <c r="E160" s="29">
        <f>ROUND(Текущий!J159,0)</f>
        <v>0</v>
      </c>
      <c r="F160" s="29">
        <f>Текущий!E159</f>
        <v>0</v>
      </c>
      <c r="G160" s="16" t="str">
        <f>IF(Текущий!K159="-",Текущий!K159,ROUND(Текущий!K159,0))</f>
        <v>-</v>
      </c>
      <c r="H160" s="29" t="str">
        <f>IF(ROUND(Текущий!I159,0)=0,"-",ROUND(Текущий!I159,0))</f>
        <v>-</v>
      </c>
      <c r="I160" s="16" t="str">
        <f>IF(Предыд!K159="-",Предыд!K159,ROUND(Предыд!K159,0))</f>
        <v>-</v>
      </c>
      <c r="J160" s="29" t="str">
        <f>IF(ROUND(Предыд!I159,0)=0,"-",ROUND(Предыд!I159,0))</f>
        <v>-</v>
      </c>
      <c r="K160" s="30" t="str">
        <f>Текущий!L159</f>
        <v>Рихтовка</v>
      </c>
      <c r="L160" s="29">
        <f>Текущий!AL159</f>
        <v>0</v>
      </c>
      <c r="M160" s="29">
        <f>Текущий!AM159</f>
        <v>0</v>
      </c>
      <c r="N160" s="29">
        <f>Текущий!AN159</f>
        <v>0</v>
      </c>
      <c r="O160" s="29">
        <f>Текущий!AP159</f>
        <v>0</v>
      </c>
      <c r="P160" s="29">
        <f>Предыд!AL159</f>
        <v>0</v>
      </c>
      <c r="Q160" s="29">
        <f>Предыд!AM159</f>
        <v>0</v>
      </c>
      <c r="R160" s="29">
        <f>Предыд!AN159</f>
        <v>0</v>
      </c>
      <c r="S160" s="29">
        <f>Предыд!AO159</f>
        <v>0</v>
      </c>
      <c r="T160" s="17" t="str">
        <f t="shared" si="2"/>
        <v>-</v>
      </c>
    </row>
    <row r="161" spans="1:20" x14ac:dyDescent="0.25">
      <c r="A161" s="29">
        <f>Текущий!A160</f>
        <v>25</v>
      </c>
      <c r="B161" s="29">
        <f>Текущий!B160</f>
        <v>24603</v>
      </c>
      <c r="C161" s="29">
        <f>Текущий!C160</f>
        <v>1</v>
      </c>
      <c r="D161" s="29" t="str">
        <f>Текущий!D160</f>
        <v>Мульмугакан - Улак</v>
      </c>
      <c r="E161" s="29">
        <f>ROUND(Текущий!J160,0)</f>
        <v>0</v>
      </c>
      <c r="F161" s="29">
        <f>Текущий!E160</f>
        <v>0</v>
      </c>
      <c r="G161" s="16" t="str">
        <f>IF(Текущий!K160="-",Текущий!K160,ROUND(Текущий!K160,0))</f>
        <v>-</v>
      </c>
      <c r="H161" s="29" t="str">
        <f>IF(ROUND(Текущий!I160,0)=0,"-",ROUND(Текущий!I160,0))</f>
        <v>-</v>
      </c>
      <c r="I161" s="16" t="str">
        <f>IF(Предыд!K160="-",Предыд!K160,ROUND(Предыд!K160,0))</f>
        <v>-</v>
      </c>
      <c r="J161" s="29" t="str">
        <f>IF(ROUND(Предыд!I160,0)=0,"-",ROUND(Предыд!I160,0))</f>
        <v>-</v>
      </c>
      <c r="K161" s="30" t="str">
        <f>Текущий!L160</f>
        <v>Рихтовка</v>
      </c>
      <c r="L161" s="29">
        <f>Текущий!AL160</f>
        <v>0</v>
      </c>
      <c r="M161" s="29">
        <f>Текущий!AM160</f>
        <v>0</v>
      </c>
      <c r="N161" s="29">
        <f>Текущий!AN160</f>
        <v>0</v>
      </c>
      <c r="O161" s="29">
        <f>Текущий!AP160</f>
        <v>0</v>
      </c>
      <c r="P161" s="29">
        <f>Предыд!AL160</f>
        <v>0</v>
      </c>
      <c r="Q161" s="29">
        <f>Предыд!AM160</f>
        <v>0</v>
      </c>
      <c r="R161" s="29">
        <f>Предыд!AN160</f>
        <v>0</v>
      </c>
      <c r="S161" s="29">
        <f>Предыд!AO160</f>
        <v>0</v>
      </c>
      <c r="T161" s="17" t="str">
        <f t="shared" si="2"/>
        <v>-</v>
      </c>
    </row>
    <row r="162" spans="1:20" x14ac:dyDescent="0.25">
      <c r="A162" s="29">
        <f>Текущий!A161</f>
        <v>25</v>
      </c>
      <c r="B162" s="29">
        <f>Текущий!B161</f>
        <v>24603</v>
      </c>
      <c r="C162" s="29">
        <f>Текущий!C161</f>
        <v>1</v>
      </c>
      <c r="D162" s="29" t="str">
        <f>Текущий!D161</f>
        <v>Улак - Верхнезейск</v>
      </c>
      <c r="E162" s="29">
        <f>ROUND(Текущий!J161,0)</f>
        <v>0</v>
      </c>
      <c r="F162" s="29">
        <f>Текущий!E161</f>
        <v>0</v>
      </c>
      <c r="G162" s="16" t="str">
        <f>IF(Текущий!K161="-",Текущий!K161,ROUND(Текущий!K161,0))</f>
        <v>-</v>
      </c>
      <c r="H162" s="29" t="str">
        <f>IF(ROUND(Текущий!I161,0)=0,"-",ROUND(Текущий!I161,0))</f>
        <v>-</v>
      </c>
      <c r="I162" s="16" t="str">
        <f>IF(Предыд!K161="-",Предыд!K161,ROUND(Предыд!K161,0))</f>
        <v>-</v>
      </c>
      <c r="J162" s="29" t="str">
        <f>IF(ROUND(Предыд!I161,0)=0,"-",ROUND(Предыд!I161,0))</f>
        <v>-</v>
      </c>
      <c r="K162" s="30" t="str">
        <f>Текущий!L161</f>
        <v>Рихтовка</v>
      </c>
      <c r="L162" s="29">
        <f>Текущий!AL161</f>
        <v>0</v>
      </c>
      <c r="M162" s="29">
        <f>Текущий!AM161</f>
        <v>0</v>
      </c>
      <c r="N162" s="29">
        <f>Текущий!AN161</f>
        <v>0</v>
      </c>
      <c r="O162" s="29">
        <f>Текущий!AP161</f>
        <v>0</v>
      </c>
      <c r="P162" s="29">
        <f>Предыд!AL161</f>
        <v>0</v>
      </c>
      <c r="Q162" s="29">
        <f>Предыд!AM161</f>
        <v>0</v>
      </c>
      <c r="R162" s="29">
        <f>Предыд!AN161</f>
        <v>0</v>
      </c>
      <c r="S162" s="29">
        <f>Предыд!AO161</f>
        <v>0</v>
      </c>
      <c r="T162" s="17" t="str">
        <f t="shared" si="2"/>
        <v>-</v>
      </c>
    </row>
    <row r="163" spans="1:20" x14ac:dyDescent="0.25">
      <c r="A163" s="29">
        <f>Текущий!A162</f>
        <v>25</v>
      </c>
      <c r="B163" s="29">
        <f>Текущий!B162</f>
        <v>24603</v>
      </c>
      <c r="C163" s="29">
        <f>Текущий!C162</f>
        <v>1</v>
      </c>
      <c r="D163" s="29" t="str">
        <f>Текущий!D162</f>
        <v>Верхнезейск - Апетенок</v>
      </c>
      <c r="E163" s="29">
        <f>ROUND(Текущий!J162,0)</f>
        <v>0</v>
      </c>
      <c r="F163" s="29">
        <f>Текущий!E162</f>
        <v>0</v>
      </c>
      <c r="G163" s="16" t="str">
        <f>IF(Текущий!K162="-",Текущий!K162,ROUND(Текущий!K162,0))</f>
        <v>-</v>
      </c>
      <c r="H163" s="29" t="str">
        <f>IF(ROUND(Текущий!I162,0)=0,"-",ROUND(Текущий!I162,0))</f>
        <v>-</v>
      </c>
      <c r="I163" s="16" t="str">
        <f>IF(Предыд!K162="-",Предыд!K162,ROUND(Предыд!K162,0))</f>
        <v>-</v>
      </c>
      <c r="J163" s="29" t="str">
        <f>IF(ROUND(Предыд!I162,0)=0,"-",ROUND(Предыд!I162,0))</f>
        <v>-</v>
      </c>
      <c r="K163" s="30" t="str">
        <f>Текущий!L162</f>
        <v>Рихтовка</v>
      </c>
      <c r="L163" s="29">
        <f>Текущий!AL162</f>
        <v>0</v>
      </c>
      <c r="M163" s="29">
        <f>Текущий!AM162</f>
        <v>0</v>
      </c>
      <c r="N163" s="29">
        <f>Текущий!AN162</f>
        <v>0</v>
      </c>
      <c r="O163" s="29">
        <f>Текущий!AP162</f>
        <v>0</v>
      </c>
      <c r="P163" s="29">
        <f>Предыд!AL162</f>
        <v>0</v>
      </c>
      <c r="Q163" s="29">
        <f>Предыд!AM162</f>
        <v>0</v>
      </c>
      <c r="R163" s="29">
        <f>Предыд!AN162</f>
        <v>0</v>
      </c>
      <c r="S163" s="29">
        <f>Предыд!AO162</f>
        <v>0</v>
      </c>
      <c r="T163" s="17" t="str">
        <f t="shared" si="2"/>
        <v>-</v>
      </c>
    </row>
    <row r="164" spans="1:20" x14ac:dyDescent="0.25">
      <c r="A164" s="29">
        <f>Текущий!A163</f>
        <v>25</v>
      </c>
      <c r="B164" s="29">
        <f>Текущий!B163</f>
        <v>24603</v>
      </c>
      <c r="C164" s="29">
        <f>Текущий!C163</f>
        <v>1</v>
      </c>
      <c r="D164" s="29" t="str">
        <f>Текущий!D163</f>
        <v>Апетенок - Ижак</v>
      </c>
      <c r="E164" s="29">
        <f>ROUND(Текущий!J163,0)</f>
        <v>0</v>
      </c>
      <c r="F164" s="29">
        <f>Текущий!E163</f>
        <v>0</v>
      </c>
      <c r="G164" s="16" t="str">
        <f>IF(Текущий!K163="-",Текущий!K163,ROUND(Текущий!K163,0))</f>
        <v>-</v>
      </c>
      <c r="H164" s="29" t="str">
        <f>IF(ROUND(Текущий!I163,0)=0,"-",ROUND(Текущий!I163,0))</f>
        <v>-</v>
      </c>
      <c r="I164" s="16" t="str">
        <f>IF(Предыд!K163="-",Предыд!K163,ROUND(Предыд!K163,0))</f>
        <v>-</v>
      </c>
      <c r="J164" s="29" t="str">
        <f>IF(ROUND(Предыд!I163,0)=0,"-",ROUND(Предыд!I163,0))</f>
        <v>-</v>
      </c>
      <c r="K164" s="30" t="str">
        <f>Текущий!L163</f>
        <v>Рихтовка</v>
      </c>
      <c r="L164" s="29">
        <f>Текущий!AL163</f>
        <v>0</v>
      </c>
      <c r="M164" s="29">
        <f>Текущий!AM163</f>
        <v>0</v>
      </c>
      <c r="N164" s="29">
        <f>Текущий!AN163</f>
        <v>0</v>
      </c>
      <c r="O164" s="29">
        <f>Текущий!AP163</f>
        <v>0</v>
      </c>
      <c r="P164" s="29">
        <f>Предыд!AL163</f>
        <v>0</v>
      </c>
      <c r="Q164" s="29">
        <f>Предыд!AM163</f>
        <v>0</v>
      </c>
      <c r="R164" s="29">
        <f>Предыд!AN163</f>
        <v>0</v>
      </c>
      <c r="S164" s="29">
        <f>Предыд!AO163</f>
        <v>0</v>
      </c>
      <c r="T164" s="17" t="str">
        <f t="shared" si="2"/>
        <v>-</v>
      </c>
    </row>
    <row r="165" spans="1:20" x14ac:dyDescent="0.25">
      <c r="A165" s="29">
        <f>Текущий!A164</f>
        <v>25</v>
      </c>
      <c r="B165" s="29">
        <f>Текущий!B164</f>
        <v>24603</v>
      </c>
      <c r="C165" s="29">
        <f>Текущий!C164</f>
        <v>1</v>
      </c>
      <c r="D165" s="29" t="str">
        <f>Текущий!D164</f>
        <v>Ижак - Ульяновский стр.</v>
      </c>
      <c r="E165" s="29">
        <f>ROUND(Текущий!J164,0)</f>
        <v>0</v>
      </c>
      <c r="F165" s="29">
        <f>Текущий!E164</f>
        <v>0</v>
      </c>
      <c r="G165" s="16" t="str">
        <f>IF(Текущий!K164="-",Текущий!K164,ROUND(Текущий!K164,0))</f>
        <v>-</v>
      </c>
      <c r="H165" s="29" t="str">
        <f>IF(ROUND(Текущий!I164,0)=0,"-",ROUND(Текущий!I164,0))</f>
        <v>-</v>
      </c>
      <c r="I165" s="16" t="str">
        <f>IF(Предыд!K164="-",Предыд!K164,ROUND(Предыд!K164,0))</f>
        <v>-</v>
      </c>
      <c r="J165" s="29" t="str">
        <f>IF(ROUND(Предыд!I164,0)=0,"-",ROUND(Предыд!I164,0))</f>
        <v>-</v>
      </c>
      <c r="K165" s="30" t="str">
        <f>Текущий!L164</f>
        <v>Рихтовка</v>
      </c>
      <c r="L165" s="29">
        <f>Текущий!AL164</f>
        <v>0</v>
      </c>
      <c r="M165" s="29">
        <f>Текущий!AM164</f>
        <v>0</v>
      </c>
      <c r="N165" s="29">
        <f>Текущий!AN164</f>
        <v>0</v>
      </c>
      <c r="O165" s="29">
        <f>Текущий!AP164</f>
        <v>0</v>
      </c>
      <c r="P165" s="29">
        <f>Предыд!AL164</f>
        <v>0</v>
      </c>
      <c r="Q165" s="29">
        <f>Предыд!AM164</f>
        <v>0</v>
      </c>
      <c r="R165" s="29">
        <f>Предыд!AN164</f>
        <v>0</v>
      </c>
      <c r="S165" s="29">
        <f>Предыд!AO164</f>
        <v>0</v>
      </c>
      <c r="T165" s="17" t="str">
        <f t="shared" si="2"/>
        <v>-</v>
      </c>
    </row>
    <row r="166" spans="1:20" x14ac:dyDescent="0.25">
      <c r="A166" s="29">
        <f>Текущий!A165</f>
        <v>25</v>
      </c>
      <c r="B166" s="29">
        <f>Текущий!B165</f>
        <v>24603</v>
      </c>
      <c r="C166" s="29">
        <f>Текущий!C165</f>
        <v>1</v>
      </c>
      <c r="D166" s="29" t="str">
        <f>Текущий!D165</f>
        <v>Ульяновский стр. - Огорон</v>
      </c>
      <c r="E166" s="29">
        <f>ROUND(Текущий!J165,0)</f>
        <v>0</v>
      </c>
      <c r="F166" s="29">
        <f>Текущий!E165</f>
        <v>0</v>
      </c>
      <c r="G166" s="16" t="str">
        <f>IF(Текущий!K165="-",Текущий!K165,ROUND(Текущий!K165,0))</f>
        <v>-</v>
      </c>
      <c r="H166" s="29" t="str">
        <f>IF(ROUND(Текущий!I165,0)=0,"-",ROUND(Текущий!I165,0))</f>
        <v>-</v>
      </c>
      <c r="I166" s="16" t="str">
        <f>IF(Предыд!K165="-",Предыд!K165,ROUND(Предыд!K165,0))</f>
        <v>-</v>
      </c>
      <c r="J166" s="29" t="str">
        <f>IF(ROUND(Предыд!I165,0)=0,"-",ROUND(Предыд!I165,0))</f>
        <v>-</v>
      </c>
      <c r="K166" s="30" t="str">
        <f>Текущий!L165</f>
        <v>Рихтовка</v>
      </c>
      <c r="L166" s="29">
        <f>Текущий!AL165</f>
        <v>0</v>
      </c>
      <c r="M166" s="29">
        <f>Текущий!AM165</f>
        <v>0</v>
      </c>
      <c r="N166" s="29">
        <f>Текущий!AN165</f>
        <v>0</v>
      </c>
      <c r="O166" s="29">
        <f>Текущий!AP165</f>
        <v>0</v>
      </c>
      <c r="P166" s="29">
        <f>Предыд!AL165</f>
        <v>0</v>
      </c>
      <c r="Q166" s="29">
        <f>Предыд!AM165</f>
        <v>0</v>
      </c>
      <c r="R166" s="29">
        <f>Предыд!AN165</f>
        <v>0</v>
      </c>
      <c r="S166" s="29">
        <f>Предыд!AO165</f>
        <v>0</v>
      </c>
      <c r="T166" s="17" t="str">
        <f t="shared" si="2"/>
        <v>-</v>
      </c>
    </row>
    <row r="167" spans="1:20" x14ac:dyDescent="0.25">
      <c r="A167" s="29">
        <f>Текущий!A166</f>
        <v>25</v>
      </c>
      <c r="B167" s="29">
        <f>Текущий!B166</f>
        <v>24603</v>
      </c>
      <c r="C167" s="29">
        <f>Текущий!C166</f>
        <v>1</v>
      </c>
      <c r="D167" s="29" t="str">
        <f>Текущий!D166</f>
        <v>Огорон - Молдавский</v>
      </c>
      <c r="E167" s="29">
        <f>ROUND(Текущий!J166,0)</f>
        <v>0</v>
      </c>
      <c r="F167" s="29">
        <f>Текущий!E166</f>
        <v>0</v>
      </c>
      <c r="G167" s="16" t="str">
        <f>IF(Текущий!K166="-",Текущий!K166,ROUND(Текущий!K166,0))</f>
        <v>-</v>
      </c>
      <c r="H167" s="29" t="str">
        <f>IF(ROUND(Текущий!I166,0)=0,"-",ROUND(Текущий!I166,0))</f>
        <v>-</v>
      </c>
      <c r="I167" s="16" t="str">
        <f>IF(Предыд!K166="-",Предыд!K166,ROUND(Предыд!K166,0))</f>
        <v>-</v>
      </c>
      <c r="J167" s="29" t="str">
        <f>IF(ROUND(Предыд!I166,0)=0,"-",ROUND(Предыд!I166,0))</f>
        <v>-</v>
      </c>
      <c r="K167" s="30" t="str">
        <f>Текущий!L166</f>
        <v>Рихтовка</v>
      </c>
      <c r="L167" s="29">
        <f>Текущий!AL166</f>
        <v>0</v>
      </c>
      <c r="M167" s="29">
        <f>Текущий!AM166</f>
        <v>0</v>
      </c>
      <c r="N167" s="29">
        <f>Текущий!AN166</f>
        <v>0</v>
      </c>
      <c r="O167" s="29">
        <f>Текущий!AP166</f>
        <v>0</v>
      </c>
      <c r="P167" s="29">
        <f>Предыд!AL166</f>
        <v>0</v>
      </c>
      <c r="Q167" s="29">
        <f>Предыд!AM166</f>
        <v>0</v>
      </c>
      <c r="R167" s="29">
        <f>Предыд!AN166</f>
        <v>0</v>
      </c>
      <c r="S167" s="29">
        <f>Предыд!AO166</f>
        <v>0</v>
      </c>
      <c r="T167" s="17" t="str">
        <f t="shared" si="2"/>
        <v>-</v>
      </c>
    </row>
    <row r="168" spans="1:20" x14ac:dyDescent="0.25">
      <c r="A168" s="29">
        <f>Текущий!A167</f>
        <v>25</v>
      </c>
      <c r="B168" s="29">
        <f>Текущий!B167</f>
        <v>24603</v>
      </c>
      <c r="C168" s="29">
        <f>Текущий!C167</f>
        <v>1</v>
      </c>
      <c r="D168" s="29" t="str">
        <f>Текущий!D167</f>
        <v>Молдавский - Улагир</v>
      </c>
      <c r="E168" s="29">
        <f>ROUND(Текущий!J167,0)</f>
        <v>0</v>
      </c>
      <c r="F168" s="29">
        <f>Текущий!E167</f>
        <v>0</v>
      </c>
      <c r="G168" s="16" t="str">
        <f>IF(Текущий!K167="-",Текущий!K167,ROUND(Текущий!K167,0))</f>
        <v>-</v>
      </c>
      <c r="H168" s="29" t="str">
        <f>IF(ROUND(Текущий!I167,0)=0,"-",ROUND(Текущий!I167,0))</f>
        <v>-</v>
      </c>
      <c r="I168" s="16" t="str">
        <f>IF(Предыд!K167="-",Предыд!K167,ROUND(Предыд!K167,0))</f>
        <v>-</v>
      </c>
      <c r="J168" s="29" t="str">
        <f>IF(ROUND(Предыд!I167,0)=0,"-",ROUND(Предыд!I167,0))</f>
        <v>-</v>
      </c>
      <c r="K168" s="30" t="str">
        <f>Текущий!L167</f>
        <v>Рихтовка</v>
      </c>
      <c r="L168" s="29">
        <f>Текущий!AL167</f>
        <v>0</v>
      </c>
      <c r="M168" s="29">
        <f>Текущий!AM167</f>
        <v>0</v>
      </c>
      <c r="N168" s="29">
        <f>Текущий!AN167</f>
        <v>0</v>
      </c>
      <c r="O168" s="29">
        <f>Текущий!AP167</f>
        <v>0</v>
      </c>
      <c r="P168" s="29">
        <f>Предыд!AL167</f>
        <v>0</v>
      </c>
      <c r="Q168" s="29">
        <f>Предыд!AM167</f>
        <v>0</v>
      </c>
      <c r="R168" s="29">
        <f>Предыд!AN167</f>
        <v>0</v>
      </c>
      <c r="S168" s="29">
        <f>Предыд!AO167</f>
        <v>0</v>
      </c>
      <c r="T168" s="17" t="str">
        <f t="shared" si="2"/>
        <v>-</v>
      </c>
    </row>
    <row r="169" spans="1:20" x14ac:dyDescent="0.25">
      <c r="A169" s="29">
        <f>Текущий!A168</f>
        <v>25</v>
      </c>
      <c r="B169" s="29">
        <f>Текущий!B168</f>
        <v>24603</v>
      </c>
      <c r="C169" s="29">
        <f>Текущий!C168</f>
        <v>1</v>
      </c>
      <c r="D169" s="29" t="str">
        <f>Текущий!D168</f>
        <v>Улагир - Мирошниченко</v>
      </c>
      <c r="E169" s="29">
        <f>ROUND(Текущий!J168,0)</f>
        <v>0</v>
      </c>
      <c r="F169" s="29">
        <f>Текущий!E168</f>
        <v>0</v>
      </c>
      <c r="G169" s="16" t="str">
        <f>IF(Текущий!K168="-",Текущий!K168,ROUND(Текущий!K168,0))</f>
        <v>-</v>
      </c>
      <c r="H169" s="29" t="str">
        <f>IF(ROUND(Текущий!I168,0)=0,"-",ROUND(Текущий!I168,0))</f>
        <v>-</v>
      </c>
      <c r="I169" s="16" t="str">
        <f>IF(Предыд!K168="-",Предыд!K168,ROUND(Предыд!K168,0))</f>
        <v>-</v>
      </c>
      <c r="J169" s="29" t="str">
        <f>IF(ROUND(Предыд!I168,0)=0,"-",ROUND(Предыд!I168,0))</f>
        <v>-</v>
      </c>
      <c r="K169" s="30" t="str">
        <f>Текущий!L168</f>
        <v>Рихтовка</v>
      </c>
      <c r="L169" s="29">
        <f>Текущий!AL168</f>
        <v>0</v>
      </c>
      <c r="M169" s="29">
        <f>Текущий!AM168</f>
        <v>0</v>
      </c>
      <c r="N169" s="29">
        <f>Текущий!AN168</f>
        <v>0</v>
      </c>
      <c r="O169" s="29">
        <f>Текущий!AP168</f>
        <v>0</v>
      </c>
      <c r="P169" s="29">
        <f>Предыд!AL168</f>
        <v>0</v>
      </c>
      <c r="Q169" s="29">
        <f>Предыд!AM168</f>
        <v>0</v>
      </c>
      <c r="R169" s="29">
        <f>Предыд!AN168</f>
        <v>0</v>
      </c>
      <c r="S169" s="29">
        <f>Предыд!AO168</f>
        <v>0</v>
      </c>
      <c r="T169" s="17" t="str">
        <f t="shared" si="2"/>
        <v>-</v>
      </c>
    </row>
    <row r="170" spans="1:20" x14ac:dyDescent="0.25">
      <c r="A170" s="29">
        <f>Текущий!A169</f>
        <v>25</v>
      </c>
      <c r="B170" s="29">
        <f>Текущий!B169</f>
        <v>24603</v>
      </c>
      <c r="C170" s="29">
        <f>Текущий!C169</f>
        <v>1</v>
      </c>
      <c r="D170" s="29" t="str">
        <f>Текущий!D169</f>
        <v>Мирошниченко - Тунгала</v>
      </c>
      <c r="E170" s="29">
        <f>ROUND(Текущий!J169,0)</f>
        <v>0</v>
      </c>
      <c r="F170" s="29">
        <f>Текущий!E169</f>
        <v>0</v>
      </c>
      <c r="G170" s="16" t="str">
        <f>IF(Текущий!K169="-",Текущий!K169,ROUND(Текущий!K169,0))</f>
        <v>-</v>
      </c>
      <c r="H170" s="29" t="str">
        <f>IF(ROUND(Текущий!I169,0)=0,"-",ROUND(Текущий!I169,0))</f>
        <v>-</v>
      </c>
      <c r="I170" s="16" t="str">
        <f>IF(Предыд!K169="-",Предыд!K169,ROUND(Предыд!K169,0))</f>
        <v>-</v>
      </c>
      <c r="J170" s="29" t="str">
        <f>IF(ROUND(Предыд!I169,0)=0,"-",ROUND(Предыд!I169,0))</f>
        <v>-</v>
      </c>
      <c r="K170" s="30" t="str">
        <f>Текущий!L169</f>
        <v>Рихтовка</v>
      </c>
      <c r="L170" s="29">
        <f>Текущий!AL169</f>
        <v>0</v>
      </c>
      <c r="M170" s="29">
        <f>Текущий!AM169</f>
        <v>0</v>
      </c>
      <c r="N170" s="29">
        <f>Текущий!AN169</f>
        <v>0</v>
      </c>
      <c r="O170" s="29">
        <f>Текущий!AP169</f>
        <v>0</v>
      </c>
      <c r="P170" s="29">
        <f>Предыд!AL169</f>
        <v>0</v>
      </c>
      <c r="Q170" s="29">
        <f>Предыд!AM169</f>
        <v>0</v>
      </c>
      <c r="R170" s="29">
        <f>Предыд!AN169</f>
        <v>0</v>
      </c>
      <c r="S170" s="29">
        <f>Предыд!AO169</f>
        <v>0</v>
      </c>
      <c r="T170" s="17" t="str">
        <f t="shared" si="2"/>
        <v>-</v>
      </c>
    </row>
    <row r="171" spans="1:20" x14ac:dyDescent="0.25">
      <c r="A171" s="29">
        <f>Текущий!A170</f>
        <v>26</v>
      </c>
      <c r="B171" s="29">
        <f>Текущий!B170</f>
        <v>24603</v>
      </c>
      <c r="C171" s="29">
        <f>Текущий!C170</f>
        <v>1</v>
      </c>
      <c r="D171" s="29" t="str">
        <f>Текущий!D170</f>
        <v>Тунгала - Камнега</v>
      </c>
      <c r="E171" s="29">
        <f>ROUND(Текущий!J170,0)</f>
        <v>0</v>
      </c>
      <c r="F171" s="29">
        <f>Текущий!E170</f>
        <v>0</v>
      </c>
      <c r="G171" s="16" t="str">
        <f>IF(Текущий!K170="-",Текущий!K170,ROUND(Текущий!K170,0))</f>
        <v>-</v>
      </c>
      <c r="H171" s="29" t="str">
        <f>IF(ROUND(Текущий!I170,0)=0,"-",ROUND(Текущий!I170,0))</f>
        <v>-</v>
      </c>
      <c r="I171" s="16" t="str">
        <f>IF(Предыд!K170="-",Предыд!K170,ROUND(Предыд!K170,0))</f>
        <v>-</v>
      </c>
      <c r="J171" s="29" t="str">
        <f>IF(ROUND(Предыд!I170,0)=0,"-",ROUND(Предыд!I170,0))</f>
        <v>-</v>
      </c>
      <c r="K171" s="30" t="str">
        <f>Текущий!L170</f>
        <v>Рихтовка</v>
      </c>
      <c r="L171" s="29">
        <f>Текущий!AL170</f>
        <v>0</v>
      </c>
      <c r="M171" s="29">
        <f>Текущий!AM170</f>
        <v>0</v>
      </c>
      <c r="N171" s="29">
        <f>Текущий!AN170</f>
        <v>0</v>
      </c>
      <c r="O171" s="29">
        <f>Текущий!AP170</f>
        <v>0</v>
      </c>
      <c r="P171" s="29">
        <f>Предыд!AL170</f>
        <v>0</v>
      </c>
      <c r="Q171" s="29">
        <f>Предыд!AM170</f>
        <v>0</v>
      </c>
      <c r="R171" s="29">
        <f>Предыд!AN170</f>
        <v>0</v>
      </c>
      <c r="S171" s="29">
        <f>Предыд!AO170</f>
        <v>0</v>
      </c>
      <c r="T171" s="17" t="str">
        <f t="shared" si="2"/>
        <v>-</v>
      </c>
    </row>
    <row r="172" spans="1:20" x14ac:dyDescent="0.25">
      <c r="A172" s="29">
        <f>Текущий!A171</f>
        <v>26</v>
      </c>
      <c r="B172" s="29">
        <f>Текущий!B171</f>
        <v>24603</v>
      </c>
      <c r="C172" s="29">
        <f>Текущий!C171</f>
        <v>1</v>
      </c>
      <c r="D172" s="29" t="str">
        <f>Текущий!D171</f>
        <v>Камнега - Тангомен</v>
      </c>
      <c r="E172" s="29">
        <f>ROUND(Текущий!J171,0)</f>
        <v>0</v>
      </c>
      <c r="F172" s="29">
        <f>Текущий!E171</f>
        <v>0</v>
      </c>
      <c r="G172" s="16" t="str">
        <f>IF(Текущий!K171="-",Текущий!K171,ROUND(Текущий!K171,0))</f>
        <v>-</v>
      </c>
      <c r="H172" s="29" t="str">
        <f>IF(ROUND(Текущий!I171,0)=0,"-",ROUND(Текущий!I171,0))</f>
        <v>-</v>
      </c>
      <c r="I172" s="16" t="str">
        <f>IF(Предыд!K171="-",Предыд!K171,ROUND(Предыд!K171,0))</f>
        <v>-</v>
      </c>
      <c r="J172" s="29" t="str">
        <f>IF(ROUND(Предыд!I171,0)=0,"-",ROUND(Предыд!I171,0))</f>
        <v>-</v>
      </c>
      <c r="K172" s="30" t="str">
        <f>Текущий!L171</f>
        <v>Рихтовка</v>
      </c>
      <c r="L172" s="29">
        <f>Текущий!AL171</f>
        <v>0</v>
      </c>
      <c r="M172" s="29">
        <f>Текущий!AM171</f>
        <v>0</v>
      </c>
      <c r="N172" s="29">
        <f>Текущий!AN171</f>
        <v>0</v>
      </c>
      <c r="O172" s="29">
        <f>Текущий!AP171</f>
        <v>0</v>
      </c>
      <c r="P172" s="29">
        <f>Предыд!AL171</f>
        <v>0</v>
      </c>
      <c r="Q172" s="29">
        <f>Предыд!AM171</f>
        <v>0</v>
      </c>
      <c r="R172" s="29">
        <f>Предыд!AN171</f>
        <v>0</v>
      </c>
      <c r="S172" s="29">
        <f>Предыд!AO171</f>
        <v>0</v>
      </c>
      <c r="T172" s="17" t="str">
        <f t="shared" si="2"/>
        <v>-</v>
      </c>
    </row>
    <row r="173" spans="1:20" x14ac:dyDescent="0.25">
      <c r="A173" s="29">
        <f>Текущий!A172</f>
        <v>26</v>
      </c>
      <c r="B173" s="29">
        <f>Текущий!B172</f>
        <v>24603</v>
      </c>
      <c r="C173" s="29">
        <f>Текущий!C172</f>
        <v>1</v>
      </c>
      <c r="D173" s="29" t="str">
        <f>Текущий!D172</f>
        <v>Тангомен - Дугда</v>
      </c>
      <c r="E173" s="29">
        <f>ROUND(Текущий!J172,0)</f>
        <v>0</v>
      </c>
      <c r="F173" s="29">
        <f>Текущий!E172</f>
        <v>0</v>
      </c>
      <c r="G173" s="16" t="str">
        <f>IF(Текущий!K172="-",Текущий!K172,ROUND(Текущий!K172,0))</f>
        <v>-</v>
      </c>
      <c r="H173" s="29" t="str">
        <f>IF(ROUND(Текущий!I172,0)=0,"-",ROUND(Текущий!I172,0))</f>
        <v>-</v>
      </c>
      <c r="I173" s="16" t="str">
        <f>IF(Предыд!K172="-",Предыд!K172,ROUND(Предыд!K172,0))</f>
        <v>-</v>
      </c>
      <c r="J173" s="29" t="str">
        <f>IF(ROUND(Предыд!I172,0)=0,"-",ROUND(Предыд!I172,0))</f>
        <v>-</v>
      </c>
      <c r="K173" s="30" t="str">
        <f>Текущий!L172</f>
        <v>Рихтовка</v>
      </c>
      <c r="L173" s="29">
        <f>Текущий!AL172</f>
        <v>0</v>
      </c>
      <c r="M173" s="29">
        <f>Текущий!AM172</f>
        <v>0</v>
      </c>
      <c r="N173" s="29">
        <f>Текущий!AN172</f>
        <v>0</v>
      </c>
      <c r="O173" s="29">
        <f>Текущий!AP172</f>
        <v>0</v>
      </c>
      <c r="P173" s="29">
        <f>Предыд!AL172</f>
        <v>0</v>
      </c>
      <c r="Q173" s="29">
        <f>Предыд!AM172</f>
        <v>0</v>
      </c>
      <c r="R173" s="29">
        <f>Предыд!AN172</f>
        <v>0</v>
      </c>
      <c r="S173" s="29">
        <f>Предыд!AO172</f>
        <v>0</v>
      </c>
      <c r="T173" s="17" t="str">
        <f t="shared" si="2"/>
        <v>-</v>
      </c>
    </row>
    <row r="174" spans="1:20" x14ac:dyDescent="0.25">
      <c r="A174" s="29">
        <f>Текущий!A173</f>
        <v>26</v>
      </c>
      <c r="B174" s="29">
        <f>Текущий!B173</f>
        <v>24603</v>
      </c>
      <c r="C174" s="29">
        <f>Текущий!C173</f>
        <v>1</v>
      </c>
      <c r="D174" s="29" t="str">
        <f>Текущий!D173</f>
        <v>Дугда - Нора</v>
      </c>
      <c r="E174" s="29">
        <f>ROUND(Текущий!J173,0)</f>
        <v>0</v>
      </c>
      <c r="F174" s="29">
        <f>Текущий!E173</f>
        <v>0</v>
      </c>
      <c r="G174" s="16" t="str">
        <f>IF(Текущий!K173="-",Текущий!K173,ROUND(Текущий!K173,0))</f>
        <v>-</v>
      </c>
      <c r="H174" s="29" t="str">
        <f>IF(ROUND(Текущий!I173,0)=0,"-",ROUND(Текущий!I173,0))</f>
        <v>-</v>
      </c>
      <c r="I174" s="16" t="str">
        <f>IF(Предыд!K173="-",Предыд!K173,ROUND(Предыд!K173,0))</f>
        <v>-</v>
      </c>
      <c r="J174" s="29" t="str">
        <f>IF(ROUND(Предыд!I173,0)=0,"-",ROUND(Предыд!I173,0))</f>
        <v>-</v>
      </c>
      <c r="K174" s="30" t="str">
        <f>Текущий!L173</f>
        <v>Рихтовка</v>
      </c>
      <c r="L174" s="29">
        <f>Текущий!AL173</f>
        <v>0</v>
      </c>
      <c r="M174" s="29">
        <f>Текущий!AM173</f>
        <v>0</v>
      </c>
      <c r="N174" s="29">
        <f>Текущий!AN173</f>
        <v>0</v>
      </c>
      <c r="O174" s="29">
        <f>Текущий!AP173</f>
        <v>0</v>
      </c>
      <c r="P174" s="29">
        <f>Предыд!AL173</f>
        <v>0</v>
      </c>
      <c r="Q174" s="29">
        <f>Предыд!AM173</f>
        <v>0</v>
      </c>
      <c r="R174" s="29">
        <f>Предыд!AN173</f>
        <v>0</v>
      </c>
      <c r="S174" s="29">
        <f>Предыд!AO173</f>
        <v>0</v>
      </c>
      <c r="T174" s="17" t="str">
        <f t="shared" si="2"/>
        <v>-</v>
      </c>
    </row>
    <row r="175" spans="1:20" x14ac:dyDescent="0.25">
      <c r="A175" s="29">
        <f>Текущий!A174</f>
        <v>26</v>
      </c>
      <c r="B175" s="29">
        <f>Текущий!B174</f>
        <v>24603</v>
      </c>
      <c r="C175" s="29">
        <f>Текущий!C174</f>
        <v>1</v>
      </c>
      <c r="D175" s="29" t="str">
        <f>Текущий!D174</f>
        <v>Нора - Меун</v>
      </c>
      <c r="E175" s="29">
        <f>ROUND(Текущий!J174,0)</f>
        <v>0</v>
      </c>
      <c r="F175" s="29">
        <f>Текущий!E174</f>
        <v>0</v>
      </c>
      <c r="G175" s="16" t="str">
        <f>IF(Текущий!K174="-",Текущий!K174,ROUND(Текущий!K174,0))</f>
        <v>-</v>
      </c>
      <c r="H175" s="29" t="str">
        <f>IF(ROUND(Текущий!I174,0)=0,"-",ROUND(Текущий!I174,0))</f>
        <v>-</v>
      </c>
      <c r="I175" s="16" t="str">
        <f>IF(Предыд!K174="-",Предыд!K174,ROUND(Предыд!K174,0))</f>
        <v>-</v>
      </c>
      <c r="J175" s="29" t="str">
        <f>IF(ROUND(Предыд!I174,0)=0,"-",ROUND(Предыд!I174,0))</f>
        <v>-</v>
      </c>
      <c r="K175" s="30" t="str">
        <f>Текущий!L174</f>
        <v>Рихтовка</v>
      </c>
      <c r="L175" s="29">
        <f>Текущий!AL174</f>
        <v>0</v>
      </c>
      <c r="M175" s="29">
        <f>Текущий!AM174</f>
        <v>0</v>
      </c>
      <c r="N175" s="29">
        <f>Текущий!AN174</f>
        <v>0</v>
      </c>
      <c r="O175" s="29">
        <f>Текущий!AP174</f>
        <v>0</v>
      </c>
      <c r="P175" s="29">
        <f>Предыд!AL174</f>
        <v>0</v>
      </c>
      <c r="Q175" s="29">
        <f>Предыд!AM174</f>
        <v>0</v>
      </c>
      <c r="R175" s="29">
        <f>Предыд!AN174</f>
        <v>0</v>
      </c>
      <c r="S175" s="29">
        <f>Предыд!AO174</f>
        <v>0</v>
      </c>
      <c r="T175" s="17" t="str">
        <f t="shared" si="2"/>
        <v>-</v>
      </c>
    </row>
    <row r="176" spans="1:20" x14ac:dyDescent="0.25">
      <c r="A176" s="29">
        <f>Текущий!A175</f>
        <v>26</v>
      </c>
      <c r="B176" s="29">
        <f>Текущий!B175</f>
        <v>24603</v>
      </c>
      <c r="C176" s="29">
        <f>Текущий!C175</f>
        <v>1</v>
      </c>
      <c r="D176" s="29" t="str">
        <f>Текущий!D175</f>
        <v>Меун - Дрогошевск</v>
      </c>
      <c r="E176" s="29">
        <f>ROUND(Текущий!J175,0)</f>
        <v>0</v>
      </c>
      <c r="F176" s="29">
        <f>Текущий!E175</f>
        <v>0</v>
      </c>
      <c r="G176" s="16" t="str">
        <f>IF(Текущий!K175="-",Текущий!K175,ROUND(Текущий!K175,0))</f>
        <v>-</v>
      </c>
      <c r="H176" s="29" t="str">
        <f>IF(ROUND(Текущий!I175,0)=0,"-",ROUND(Текущий!I175,0))</f>
        <v>-</v>
      </c>
      <c r="I176" s="16" t="str">
        <f>IF(Предыд!K175="-",Предыд!K175,ROUND(Предыд!K175,0))</f>
        <v>-</v>
      </c>
      <c r="J176" s="29" t="str">
        <f>IF(ROUND(Предыд!I175,0)=0,"-",ROUND(Предыд!I175,0))</f>
        <v>-</v>
      </c>
      <c r="K176" s="30" t="str">
        <f>Текущий!L175</f>
        <v>Рихтовка</v>
      </c>
      <c r="L176" s="29">
        <f>Текущий!AL175</f>
        <v>0</v>
      </c>
      <c r="M176" s="29">
        <f>Текущий!AM175</f>
        <v>0</v>
      </c>
      <c r="N176" s="29">
        <f>Текущий!AN175</f>
        <v>0</v>
      </c>
      <c r="O176" s="29">
        <f>Текущий!AP175</f>
        <v>0</v>
      </c>
      <c r="P176" s="29">
        <f>Предыд!AL175</f>
        <v>0</v>
      </c>
      <c r="Q176" s="29">
        <f>Предыд!AM175</f>
        <v>0</v>
      </c>
      <c r="R176" s="29">
        <f>Предыд!AN175</f>
        <v>0</v>
      </c>
      <c r="S176" s="29">
        <f>Предыд!AO175</f>
        <v>0</v>
      </c>
      <c r="T176" s="17" t="str">
        <f t="shared" si="2"/>
        <v>-</v>
      </c>
    </row>
    <row r="177" spans="1:20" x14ac:dyDescent="0.25">
      <c r="A177" s="29">
        <f>Текущий!A176</f>
        <v>26</v>
      </c>
      <c r="B177" s="29">
        <f>Текущий!B176</f>
        <v>24603</v>
      </c>
      <c r="C177" s="29">
        <f>Текущий!C176</f>
        <v>1</v>
      </c>
      <c r="D177" s="29" t="str">
        <f>Текущий!D176</f>
        <v>Дрогошевск - Скалистый</v>
      </c>
      <c r="E177" s="29">
        <f>ROUND(Текущий!J176,0)</f>
        <v>0</v>
      </c>
      <c r="F177" s="29">
        <f>Текущий!E176</f>
        <v>0</v>
      </c>
      <c r="G177" s="16" t="str">
        <f>IF(Текущий!K176="-",Текущий!K176,ROUND(Текущий!K176,0))</f>
        <v>-</v>
      </c>
      <c r="H177" s="29" t="str">
        <f>IF(ROUND(Текущий!I176,0)=0,"-",ROUND(Текущий!I176,0))</f>
        <v>-</v>
      </c>
      <c r="I177" s="16" t="str">
        <f>IF(Предыд!K176="-",Предыд!K176,ROUND(Предыд!K176,0))</f>
        <v>-</v>
      </c>
      <c r="J177" s="29" t="str">
        <f>IF(ROUND(Предыд!I176,0)=0,"-",ROUND(Предыд!I176,0))</f>
        <v>-</v>
      </c>
      <c r="K177" s="30" t="str">
        <f>Текущий!L176</f>
        <v>Рихтовка</v>
      </c>
      <c r="L177" s="29">
        <f>Текущий!AL176</f>
        <v>0</v>
      </c>
      <c r="M177" s="29">
        <f>Текущий!AM176</f>
        <v>0</v>
      </c>
      <c r="N177" s="29">
        <f>Текущий!AN176</f>
        <v>0</v>
      </c>
      <c r="O177" s="29">
        <f>Текущий!AP176</f>
        <v>0</v>
      </c>
      <c r="P177" s="29">
        <f>Предыд!AL176</f>
        <v>0</v>
      </c>
      <c r="Q177" s="29">
        <f>Предыд!AM176</f>
        <v>0</v>
      </c>
      <c r="R177" s="29">
        <f>Предыд!AN176</f>
        <v>0</v>
      </c>
      <c r="S177" s="29">
        <f>Предыд!AO176</f>
        <v>0</v>
      </c>
      <c r="T177" s="17" t="str">
        <f t="shared" si="2"/>
        <v>-</v>
      </c>
    </row>
    <row r="178" spans="1:20" x14ac:dyDescent="0.25">
      <c r="A178" s="29">
        <f>Текущий!A177</f>
        <v>26</v>
      </c>
      <c r="B178" s="29">
        <f>Текущий!B177</f>
        <v>24603</v>
      </c>
      <c r="C178" s="29">
        <f>Текущий!C177</f>
        <v>1</v>
      </c>
      <c r="D178" s="29" t="str">
        <f>Текущий!D177</f>
        <v>Скалистый - Червинка</v>
      </c>
      <c r="E178" s="29">
        <f>ROUND(Текущий!J177,0)</f>
        <v>0</v>
      </c>
      <c r="F178" s="29">
        <f>Текущий!E177</f>
        <v>0</v>
      </c>
      <c r="G178" s="16" t="str">
        <f>IF(Текущий!K177="-",Текущий!K177,ROUND(Текущий!K177,0))</f>
        <v>-</v>
      </c>
      <c r="H178" s="29" t="str">
        <f>IF(ROUND(Текущий!I177,0)=0,"-",ROUND(Текущий!I177,0))</f>
        <v>-</v>
      </c>
      <c r="I178" s="16" t="str">
        <f>IF(Предыд!K177="-",Предыд!K177,ROUND(Предыд!K177,0))</f>
        <v>-</v>
      </c>
      <c r="J178" s="29" t="str">
        <f>IF(ROUND(Предыд!I177,0)=0,"-",ROUND(Предыд!I177,0))</f>
        <v>-</v>
      </c>
      <c r="K178" s="30" t="str">
        <f>Текущий!L177</f>
        <v>Рихтовка</v>
      </c>
      <c r="L178" s="29">
        <f>Текущий!AL177</f>
        <v>0</v>
      </c>
      <c r="M178" s="29">
        <f>Текущий!AM177</f>
        <v>0</v>
      </c>
      <c r="N178" s="29">
        <f>Текущий!AN177</f>
        <v>0</v>
      </c>
      <c r="O178" s="29">
        <f>Текущий!AP177</f>
        <v>0</v>
      </c>
      <c r="P178" s="29">
        <f>Предыд!AL177</f>
        <v>0</v>
      </c>
      <c r="Q178" s="29">
        <f>Предыд!AM177</f>
        <v>0</v>
      </c>
      <c r="R178" s="29">
        <f>Предыд!AN177</f>
        <v>0</v>
      </c>
      <c r="S178" s="29">
        <f>Предыд!AO177</f>
        <v>0</v>
      </c>
      <c r="T178" s="17" t="str">
        <f t="shared" si="2"/>
        <v>-</v>
      </c>
    </row>
    <row r="179" spans="1:20" x14ac:dyDescent="0.25">
      <c r="A179" s="29">
        <f>Текущий!A178</f>
        <v>26</v>
      </c>
      <c r="B179" s="29">
        <f>Текущий!B178</f>
        <v>24603</v>
      </c>
      <c r="C179" s="29">
        <f>Текущий!C178</f>
        <v>1</v>
      </c>
      <c r="D179" s="29" t="str">
        <f>Текущий!D178</f>
        <v>Червинка - Феральск</v>
      </c>
      <c r="E179" s="29">
        <f>ROUND(Текущий!J178,0)</f>
        <v>0</v>
      </c>
      <c r="F179" s="29">
        <f>Текущий!E178</f>
        <v>0</v>
      </c>
      <c r="G179" s="16" t="str">
        <f>IF(Текущий!K178="-",Текущий!K178,ROUND(Текущий!K178,0))</f>
        <v>-</v>
      </c>
      <c r="H179" s="29" t="str">
        <f>IF(ROUND(Текущий!I178,0)=0,"-",ROUND(Текущий!I178,0))</f>
        <v>-</v>
      </c>
      <c r="I179" s="16" t="str">
        <f>IF(Предыд!K178="-",Предыд!K178,ROUND(Предыд!K178,0))</f>
        <v>-</v>
      </c>
      <c r="J179" s="29" t="str">
        <f>IF(ROUND(Предыд!I178,0)=0,"-",ROUND(Предыд!I178,0))</f>
        <v>-</v>
      </c>
      <c r="K179" s="30" t="str">
        <f>Текущий!L178</f>
        <v>Рихтовка</v>
      </c>
      <c r="L179" s="29">
        <f>Текущий!AL178</f>
        <v>0</v>
      </c>
      <c r="M179" s="29">
        <f>Текущий!AM178</f>
        <v>0</v>
      </c>
      <c r="N179" s="29">
        <f>Текущий!AN178</f>
        <v>0</v>
      </c>
      <c r="O179" s="29">
        <f>Текущий!AP178</f>
        <v>0</v>
      </c>
      <c r="P179" s="29">
        <f>Предыд!AL178</f>
        <v>0</v>
      </c>
      <c r="Q179" s="29">
        <f>Предыд!AM178</f>
        <v>0</v>
      </c>
      <c r="R179" s="29">
        <f>Предыд!AN178</f>
        <v>0</v>
      </c>
      <c r="S179" s="29">
        <f>Предыд!AO178</f>
        <v>0</v>
      </c>
      <c r="T179" s="17" t="str">
        <f t="shared" si="2"/>
        <v>-</v>
      </c>
    </row>
    <row r="180" spans="1:20" x14ac:dyDescent="0.25">
      <c r="A180" s="29">
        <f>Текущий!A179</f>
        <v>26</v>
      </c>
      <c r="B180" s="29">
        <f>Текущий!B179</f>
        <v>24603</v>
      </c>
      <c r="C180" s="29">
        <f>Текущий!C179</f>
        <v>1</v>
      </c>
      <c r="D180" s="29" t="str">
        <f>Текущий!D179</f>
        <v>Феральск - Звонкое</v>
      </c>
      <c r="E180" s="29">
        <f>ROUND(Текущий!J179,0)</f>
        <v>0</v>
      </c>
      <c r="F180" s="29">
        <f>Текущий!E179</f>
        <v>0</v>
      </c>
      <c r="G180" s="16" t="str">
        <f>IF(Текущий!K179="-",Текущий!K179,ROUND(Текущий!K179,0))</f>
        <v>-</v>
      </c>
      <c r="H180" s="29" t="str">
        <f>IF(ROUND(Текущий!I179,0)=0,"-",ROUND(Текущий!I179,0))</f>
        <v>-</v>
      </c>
      <c r="I180" s="16" t="str">
        <f>IF(Предыд!K179="-",Предыд!K179,ROUND(Предыд!K179,0))</f>
        <v>-</v>
      </c>
      <c r="J180" s="29" t="str">
        <f>IF(ROUND(Предыд!I179,0)=0,"-",ROUND(Предыд!I179,0))</f>
        <v>-</v>
      </c>
      <c r="K180" s="30" t="str">
        <f>Текущий!L179</f>
        <v>Рихтовка</v>
      </c>
      <c r="L180" s="29">
        <f>Текущий!AL179</f>
        <v>0</v>
      </c>
      <c r="M180" s="29">
        <f>Текущий!AM179</f>
        <v>0</v>
      </c>
      <c r="N180" s="29">
        <f>Текущий!AN179</f>
        <v>0</v>
      </c>
      <c r="O180" s="29">
        <f>Текущий!AP179</f>
        <v>0</v>
      </c>
      <c r="P180" s="29">
        <f>Предыд!AL179</f>
        <v>0</v>
      </c>
      <c r="Q180" s="29">
        <f>Предыд!AM179</f>
        <v>0</v>
      </c>
      <c r="R180" s="29">
        <f>Предыд!AN179</f>
        <v>0</v>
      </c>
      <c r="S180" s="29">
        <f>Предыд!AO179</f>
        <v>0</v>
      </c>
      <c r="T180" s="17" t="str">
        <f t="shared" si="2"/>
        <v>-</v>
      </c>
    </row>
    <row r="181" spans="1:20" x14ac:dyDescent="0.25">
      <c r="A181" s="29">
        <f>Текущий!A180</f>
        <v>26</v>
      </c>
      <c r="B181" s="29">
        <f>Текущий!B180</f>
        <v>24603</v>
      </c>
      <c r="C181" s="29">
        <f>Текущий!C180</f>
        <v>1</v>
      </c>
      <c r="D181" s="29" t="str">
        <f>Текущий!D180</f>
        <v>Звонкое - Демченко</v>
      </c>
      <c r="E181" s="29">
        <f>ROUND(Текущий!J180,0)</f>
        <v>0</v>
      </c>
      <c r="F181" s="29">
        <f>Текущий!E180</f>
        <v>0</v>
      </c>
      <c r="G181" s="16" t="str">
        <f>IF(Текущий!K180="-",Текущий!K180,ROUND(Текущий!K180,0))</f>
        <v>-</v>
      </c>
      <c r="H181" s="29" t="str">
        <f>IF(ROUND(Текущий!I180,0)=0,"-",ROUND(Текущий!I180,0))</f>
        <v>-</v>
      </c>
      <c r="I181" s="16" t="str">
        <f>IF(Предыд!K180="-",Предыд!K180,ROUND(Предыд!K180,0))</f>
        <v>-</v>
      </c>
      <c r="J181" s="29" t="str">
        <f>IF(ROUND(Предыд!I180,0)=0,"-",ROUND(Предыд!I180,0))</f>
        <v>-</v>
      </c>
      <c r="K181" s="30" t="str">
        <f>Текущий!L180</f>
        <v>Рихтовка</v>
      </c>
      <c r="L181" s="29">
        <f>Текущий!AL180</f>
        <v>0</v>
      </c>
      <c r="M181" s="29">
        <f>Текущий!AM180</f>
        <v>0</v>
      </c>
      <c r="N181" s="29">
        <f>Текущий!AN180</f>
        <v>0</v>
      </c>
      <c r="O181" s="29">
        <f>Текущий!AP180</f>
        <v>0</v>
      </c>
      <c r="P181" s="29">
        <f>Предыд!AL180</f>
        <v>0</v>
      </c>
      <c r="Q181" s="29">
        <f>Предыд!AM180</f>
        <v>0</v>
      </c>
      <c r="R181" s="29">
        <f>Предыд!AN180</f>
        <v>0</v>
      </c>
      <c r="S181" s="29">
        <f>Предыд!AO180</f>
        <v>0</v>
      </c>
      <c r="T181" s="17" t="str">
        <f t="shared" si="2"/>
        <v>-</v>
      </c>
    </row>
    <row r="182" spans="1:20" x14ac:dyDescent="0.25">
      <c r="A182" s="29">
        <f>Текущий!A181</f>
        <v>26</v>
      </c>
      <c r="B182" s="29">
        <f>Текущий!B181</f>
        <v>24603</v>
      </c>
      <c r="C182" s="29">
        <f>Текущий!C181</f>
        <v>1</v>
      </c>
      <c r="D182" s="29" t="str">
        <f>Текущий!D181</f>
        <v>Демченко - Исакан</v>
      </c>
      <c r="E182" s="29">
        <f>ROUND(Текущий!J181,0)</f>
        <v>0</v>
      </c>
      <c r="F182" s="29">
        <f>Текущий!E181</f>
        <v>0</v>
      </c>
      <c r="G182" s="16" t="str">
        <f>IF(Текущий!K181="-",Текущий!K181,ROUND(Текущий!K181,0))</f>
        <v>-</v>
      </c>
      <c r="H182" s="29" t="str">
        <f>IF(ROUND(Текущий!I181,0)=0,"-",ROUND(Текущий!I181,0))</f>
        <v>-</v>
      </c>
      <c r="I182" s="16" t="str">
        <f>IF(Предыд!K181="-",Предыд!K181,ROUND(Предыд!K181,0))</f>
        <v>-</v>
      </c>
      <c r="J182" s="29" t="str">
        <f>IF(ROUND(Предыд!I181,0)=0,"-",ROUND(Предыд!I181,0))</f>
        <v>-</v>
      </c>
      <c r="K182" s="30" t="str">
        <f>Текущий!L181</f>
        <v>Рихтовка</v>
      </c>
      <c r="L182" s="29">
        <f>Текущий!AL181</f>
        <v>0</v>
      </c>
      <c r="M182" s="29">
        <f>Текущий!AM181</f>
        <v>0</v>
      </c>
      <c r="N182" s="29">
        <f>Текущий!AN181</f>
        <v>0</v>
      </c>
      <c r="O182" s="29">
        <f>Текущий!AP181</f>
        <v>0</v>
      </c>
      <c r="P182" s="29">
        <f>Предыд!AL181</f>
        <v>0</v>
      </c>
      <c r="Q182" s="29">
        <f>Предыд!AM181</f>
        <v>0</v>
      </c>
      <c r="R182" s="29">
        <f>Предыд!AN181</f>
        <v>0</v>
      </c>
      <c r="S182" s="29">
        <f>Предыд!AO181</f>
        <v>0</v>
      </c>
      <c r="T182" s="17" t="str">
        <f t="shared" si="2"/>
        <v>-</v>
      </c>
    </row>
    <row r="183" spans="1:20" x14ac:dyDescent="0.25">
      <c r="A183" s="29">
        <f>Текущий!A182</f>
        <v>26</v>
      </c>
      <c r="B183" s="29">
        <f>Текущий!B182</f>
        <v>24603</v>
      </c>
      <c r="C183" s="29">
        <f>Текущий!C182</f>
        <v>1</v>
      </c>
      <c r="D183" s="29" t="str">
        <f>Текущий!D182</f>
        <v>Исакан - Иса</v>
      </c>
      <c r="E183" s="29">
        <f>ROUND(Текущий!J182,0)</f>
        <v>0</v>
      </c>
      <c r="F183" s="29">
        <f>Текущий!E182</f>
        <v>0</v>
      </c>
      <c r="G183" s="16" t="str">
        <f>IF(Текущий!K182="-",Текущий!K182,ROUND(Текущий!K182,0))</f>
        <v>-</v>
      </c>
      <c r="H183" s="29" t="str">
        <f>IF(ROUND(Текущий!I182,0)=0,"-",ROUND(Текущий!I182,0))</f>
        <v>-</v>
      </c>
      <c r="I183" s="16" t="str">
        <f>IF(Предыд!K182="-",Предыд!K182,ROUND(Предыд!K182,0))</f>
        <v>-</v>
      </c>
      <c r="J183" s="29" t="str">
        <f>IF(ROUND(Предыд!I182,0)=0,"-",ROUND(Предыд!I182,0))</f>
        <v>-</v>
      </c>
      <c r="K183" s="30" t="str">
        <f>Текущий!L182</f>
        <v>Рихтовка</v>
      </c>
      <c r="L183" s="29">
        <f>Текущий!AL182</f>
        <v>0</v>
      </c>
      <c r="M183" s="29">
        <f>Текущий!AM182</f>
        <v>0</v>
      </c>
      <c r="N183" s="29">
        <f>Текущий!AN182</f>
        <v>0</v>
      </c>
      <c r="O183" s="29">
        <f>Текущий!AP182</f>
        <v>0</v>
      </c>
      <c r="P183" s="29">
        <f>Предыд!AL182</f>
        <v>0</v>
      </c>
      <c r="Q183" s="29">
        <f>Предыд!AM182</f>
        <v>0</v>
      </c>
      <c r="R183" s="29">
        <f>Предыд!AN182</f>
        <v>0</v>
      </c>
      <c r="S183" s="29">
        <f>Предыд!AO182</f>
        <v>0</v>
      </c>
      <c r="T183" s="17" t="str">
        <f t="shared" si="2"/>
        <v>-</v>
      </c>
    </row>
    <row r="184" spans="1:20" x14ac:dyDescent="0.25">
      <c r="A184" s="29">
        <f>Текущий!A183</f>
        <v>27</v>
      </c>
      <c r="B184" s="29">
        <f>Текущий!B183</f>
        <v>24603</v>
      </c>
      <c r="C184" s="29">
        <f>Текущий!C183</f>
        <v>1</v>
      </c>
      <c r="D184" s="29" t="str">
        <f>Текущий!D183</f>
        <v>Исакан - Иса</v>
      </c>
      <c r="E184" s="29">
        <f>ROUND(Текущий!J183,0)</f>
        <v>0</v>
      </c>
      <c r="F184" s="29">
        <f>Текущий!E183</f>
        <v>0</v>
      </c>
      <c r="G184" s="16" t="str">
        <f>IF(Текущий!K183="-",Текущий!K183,ROUND(Текущий!K183,0))</f>
        <v>-</v>
      </c>
      <c r="H184" s="29" t="str">
        <f>IF(ROUND(Текущий!I183,0)=0,"-",ROUND(Текущий!I183,0))</f>
        <v>-</v>
      </c>
      <c r="I184" s="16" t="str">
        <f>IF(Предыд!K183="-",Предыд!K183,ROUND(Предыд!K183,0))</f>
        <v>-</v>
      </c>
      <c r="J184" s="29" t="str">
        <f>IF(ROUND(Предыд!I183,0)=0,"-",ROUND(Предыд!I183,0))</f>
        <v>-</v>
      </c>
      <c r="K184" s="30" t="str">
        <f>Текущий!L183</f>
        <v>Рихтовка</v>
      </c>
      <c r="L184" s="29">
        <f>Текущий!AL183</f>
        <v>0</v>
      </c>
      <c r="M184" s="29">
        <f>Текущий!AM183</f>
        <v>0</v>
      </c>
      <c r="N184" s="29">
        <f>Текущий!AN183</f>
        <v>0</v>
      </c>
      <c r="O184" s="29">
        <f>Текущий!AP183</f>
        <v>0</v>
      </c>
      <c r="P184" s="29">
        <f>Предыд!AL183</f>
        <v>0</v>
      </c>
      <c r="Q184" s="29">
        <f>Предыд!AM183</f>
        <v>0</v>
      </c>
      <c r="R184" s="29">
        <f>Предыд!AN183</f>
        <v>0</v>
      </c>
      <c r="S184" s="29">
        <f>Предыд!AO183</f>
        <v>0</v>
      </c>
      <c r="T184" s="17" t="str">
        <f t="shared" si="2"/>
        <v>-</v>
      </c>
    </row>
    <row r="185" spans="1:20" x14ac:dyDescent="0.25">
      <c r="A185" s="29">
        <f>Текущий!A184</f>
        <v>27</v>
      </c>
      <c r="B185" s="29">
        <f>Текущий!B184</f>
        <v>24603</v>
      </c>
      <c r="C185" s="29">
        <f>Текущий!C184</f>
        <v>1</v>
      </c>
      <c r="D185" s="29" t="str">
        <f>Текущий!D184</f>
        <v>Иса - Гвоздевский</v>
      </c>
      <c r="E185" s="29">
        <f>ROUND(Текущий!J184,0)</f>
        <v>0</v>
      </c>
      <c r="F185" s="29">
        <f>Текущий!E184</f>
        <v>0</v>
      </c>
      <c r="G185" s="16" t="str">
        <f>IF(Текущий!K184="-",Текущий!K184,ROUND(Текущий!K184,0))</f>
        <v>-</v>
      </c>
      <c r="H185" s="29" t="str">
        <f>IF(ROUND(Текущий!I184,0)=0,"-",ROUND(Текущий!I184,0))</f>
        <v>-</v>
      </c>
      <c r="I185" s="16" t="str">
        <f>IF(Предыд!K184="-",Предыд!K184,ROUND(Предыд!K184,0))</f>
        <v>-</v>
      </c>
      <c r="J185" s="29" t="str">
        <f>IF(ROUND(Предыд!I184,0)=0,"-",ROUND(Предыд!I184,0))</f>
        <v>-</v>
      </c>
      <c r="K185" s="30" t="str">
        <f>Текущий!L184</f>
        <v>Рихтовка</v>
      </c>
      <c r="L185" s="29">
        <f>Текущий!AL184</f>
        <v>0</v>
      </c>
      <c r="M185" s="29">
        <f>Текущий!AM184</f>
        <v>0</v>
      </c>
      <c r="N185" s="29">
        <f>Текущий!AN184</f>
        <v>0</v>
      </c>
      <c r="O185" s="29">
        <f>Текущий!AP184</f>
        <v>0</v>
      </c>
      <c r="P185" s="29">
        <f>Предыд!AL184</f>
        <v>0</v>
      </c>
      <c r="Q185" s="29">
        <f>Предыд!AM184</f>
        <v>0</v>
      </c>
      <c r="R185" s="29">
        <f>Предыд!AN184</f>
        <v>0</v>
      </c>
      <c r="S185" s="29">
        <f>Предыд!AO184</f>
        <v>0</v>
      </c>
      <c r="T185" s="17" t="str">
        <f t="shared" si="2"/>
        <v>-</v>
      </c>
    </row>
    <row r="186" spans="1:20" x14ac:dyDescent="0.25">
      <c r="A186" s="29">
        <f>Текущий!A185</f>
        <v>27</v>
      </c>
      <c r="B186" s="29">
        <f>Текущий!B185</f>
        <v>24603</v>
      </c>
      <c r="C186" s="29">
        <f>Текущий!C185</f>
        <v>1</v>
      </c>
      <c r="D186" s="29" t="str">
        <f>Текущий!D185</f>
        <v>Гвоздевский - Мустах</v>
      </c>
      <c r="E186" s="29">
        <f>ROUND(Текущий!J185,0)</f>
        <v>0</v>
      </c>
      <c r="F186" s="29">
        <f>Текущий!E185</f>
        <v>0</v>
      </c>
      <c r="G186" s="16" t="str">
        <f>IF(Текущий!K185="-",Текущий!K185,ROUND(Текущий!K185,0))</f>
        <v>-</v>
      </c>
      <c r="H186" s="29" t="str">
        <f>IF(ROUND(Текущий!I185,0)=0,"-",ROUND(Текущий!I185,0))</f>
        <v>-</v>
      </c>
      <c r="I186" s="16" t="str">
        <f>IF(Предыд!K185="-",Предыд!K185,ROUND(Предыд!K185,0))</f>
        <v>-</v>
      </c>
      <c r="J186" s="29" t="str">
        <f>IF(ROUND(Предыд!I185,0)=0,"-",ROUND(Предыд!I185,0))</f>
        <v>-</v>
      </c>
      <c r="K186" s="30" t="str">
        <f>Текущий!L185</f>
        <v>Рихтовка</v>
      </c>
      <c r="L186" s="29">
        <f>Текущий!AL185</f>
        <v>0</v>
      </c>
      <c r="M186" s="29">
        <f>Текущий!AM185</f>
        <v>0</v>
      </c>
      <c r="N186" s="29">
        <f>Текущий!AN185</f>
        <v>0</v>
      </c>
      <c r="O186" s="29">
        <f>Текущий!AP185</f>
        <v>0</v>
      </c>
      <c r="P186" s="29">
        <f>Предыд!AL185</f>
        <v>0</v>
      </c>
      <c r="Q186" s="29">
        <f>Предыд!AM185</f>
        <v>0</v>
      </c>
      <c r="R186" s="29">
        <f>Предыд!AN185</f>
        <v>0</v>
      </c>
      <c r="S186" s="29">
        <f>Предыд!AO185</f>
        <v>0</v>
      </c>
      <c r="T186" s="17" t="str">
        <f t="shared" si="2"/>
        <v>-</v>
      </c>
    </row>
    <row r="187" spans="1:20" x14ac:dyDescent="0.25">
      <c r="A187" s="29">
        <f>Текущий!A186</f>
        <v>27</v>
      </c>
      <c r="B187" s="29">
        <f>Текущий!B186</f>
        <v>24603</v>
      </c>
      <c r="C187" s="29">
        <f>Текущий!C186</f>
        <v>1</v>
      </c>
      <c r="D187" s="29" t="str">
        <f>Текущий!D186</f>
        <v>Мустах - Ульма</v>
      </c>
      <c r="E187" s="29">
        <f>ROUND(Текущий!J186,0)</f>
        <v>0</v>
      </c>
      <c r="F187" s="29">
        <f>Текущий!E186</f>
        <v>0</v>
      </c>
      <c r="G187" s="16" t="str">
        <f>IF(Текущий!K186="-",Текущий!K186,ROUND(Текущий!K186,0))</f>
        <v>-</v>
      </c>
      <c r="H187" s="29" t="str">
        <f>IF(ROUND(Текущий!I186,0)=0,"-",ROUND(Текущий!I186,0))</f>
        <v>-</v>
      </c>
      <c r="I187" s="16" t="str">
        <f>IF(Предыд!K186="-",Предыд!K186,ROUND(Предыд!K186,0))</f>
        <v>-</v>
      </c>
      <c r="J187" s="29" t="str">
        <f>IF(ROUND(Предыд!I186,0)=0,"-",ROUND(Предыд!I186,0))</f>
        <v>-</v>
      </c>
      <c r="K187" s="30" t="str">
        <f>Текущий!L186</f>
        <v>Рихтовка</v>
      </c>
      <c r="L187" s="29">
        <f>Текущий!AL186</f>
        <v>0</v>
      </c>
      <c r="M187" s="29">
        <f>Текущий!AM186</f>
        <v>0</v>
      </c>
      <c r="N187" s="29">
        <f>Текущий!AN186</f>
        <v>0</v>
      </c>
      <c r="O187" s="29">
        <f>Текущий!AP186</f>
        <v>0</v>
      </c>
      <c r="P187" s="29">
        <f>Предыд!AL186</f>
        <v>0</v>
      </c>
      <c r="Q187" s="29">
        <f>Предыд!AM186</f>
        <v>0</v>
      </c>
      <c r="R187" s="29">
        <f>Предыд!AN186</f>
        <v>0</v>
      </c>
      <c r="S187" s="29">
        <f>Предыд!AO186</f>
        <v>0</v>
      </c>
      <c r="T187" s="17" t="str">
        <f t="shared" si="2"/>
        <v>-</v>
      </c>
    </row>
    <row r="188" spans="1:20" x14ac:dyDescent="0.25">
      <c r="A188" s="29">
        <f>Текущий!A187</f>
        <v>27</v>
      </c>
      <c r="B188" s="29">
        <f>Текущий!B187</f>
        <v>24603</v>
      </c>
      <c r="C188" s="29">
        <f>Текущий!C187</f>
        <v>1</v>
      </c>
      <c r="D188" s="29" t="str">
        <f>Текущий!D187</f>
        <v>Ульма - Этыркэн</v>
      </c>
      <c r="E188" s="29">
        <f>ROUND(Текущий!J187,0)</f>
        <v>0</v>
      </c>
      <c r="F188" s="29">
        <f>Текущий!E187</f>
        <v>0</v>
      </c>
      <c r="G188" s="16" t="str">
        <f>IF(Текущий!K187="-",Текущий!K187,ROUND(Текущий!K187,0))</f>
        <v>-</v>
      </c>
      <c r="H188" s="29" t="str">
        <f>IF(ROUND(Текущий!I187,0)=0,"-",ROUND(Текущий!I187,0))</f>
        <v>-</v>
      </c>
      <c r="I188" s="16" t="str">
        <f>IF(Предыд!K187="-",Предыд!K187,ROUND(Предыд!K187,0))</f>
        <v>-</v>
      </c>
      <c r="J188" s="29" t="str">
        <f>IF(ROUND(Предыд!I187,0)=0,"-",ROUND(Предыд!I187,0))</f>
        <v>-</v>
      </c>
      <c r="K188" s="30" t="str">
        <f>Текущий!L187</f>
        <v>Рихтовка</v>
      </c>
      <c r="L188" s="29">
        <f>Текущий!AL187</f>
        <v>0</v>
      </c>
      <c r="M188" s="29">
        <f>Текущий!AM187</f>
        <v>0</v>
      </c>
      <c r="N188" s="29">
        <f>Текущий!AN187</f>
        <v>0</v>
      </c>
      <c r="O188" s="29">
        <f>Текущий!AP187</f>
        <v>0</v>
      </c>
      <c r="P188" s="29">
        <f>Предыд!AL187</f>
        <v>0</v>
      </c>
      <c r="Q188" s="29">
        <f>Предыд!AM187</f>
        <v>0</v>
      </c>
      <c r="R188" s="29">
        <f>Предыд!AN187</f>
        <v>0</v>
      </c>
      <c r="S188" s="29">
        <f>Предыд!AO187</f>
        <v>0</v>
      </c>
      <c r="T188" s="17" t="str">
        <f t="shared" si="2"/>
        <v>-</v>
      </c>
    </row>
    <row r="189" spans="1:20" x14ac:dyDescent="0.25">
      <c r="A189" s="29">
        <f>Текущий!A188</f>
        <v>27</v>
      </c>
      <c r="B189" s="29">
        <f>Текущий!B188</f>
        <v>24603</v>
      </c>
      <c r="C189" s="29">
        <f>Текущий!C188</f>
        <v>1</v>
      </c>
      <c r="D189" s="29" t="str">
        <f>Текущий!D188</f>
        <v>Этыркэн - Амган</v>
      </c>
      <c r="E189" s="29">
        <f>ROUND(Текущий!J188,0)</f>
        <v>0</v>
      </c>
      <c r="F189" s="29">
        <f>Текущий!E188</f>
        <v>0</v>
      </c>
      <c r="G189" s="16" t="str">
        <f>IF(Текущий!K188="-",Текущий!K188,ROUND(Текущий!K188,0))</f>
        <v>-</v>
      </c>
      <c r="H189" s="29" t="str">
        <f>IF(ROUND(Текущий!I188,0)=0,"-",ROUND(Текущий!I188,0))</f>
        <v>-</v>
      </c>
      <c r="I189" s="16" t="str">
        <f>IF(Предыд!K188="-",Предыд!K188,ROUND(Предыд!K188,0))</f>
        <v>-</v>
      </c>
      <c r="J189" s="29" t="str">
        <f>IF(ROUND(Предыд!I188,0)=0,"-",ROUND(Предыд!I188,0))</f>
        <v>-</v>
      </c>
      <c r="K189" s="30" t="str">
        <f>Текущий!L188</f>
        <v>Рихтовка</v>
      </c>
      <c r="L189" s="29">
        <f>Текущий!AL188</f>
        <v>0</v>
      </c>
      <c r="M189" s="29">
        <f>Текущий!AM188</f>
        <v>0</v>
      </c>
      <c r="N189" s="29">
        <f>Текущий!AN188</f>
        <v>0</v>
      </c>
      <c r="O189" s="29">
        <f>Текущий!AP188</f>
        <v>0</v>
      </c>
      <c r="P189" s="29">
        <f>Предыд!AL188</f>
        <v>0</v>
      </c>
      <c r="Q189" s="29">
        <f>Предыд!AM188</f>
        <v>0</v>
      </c>
      <c r="R189" s="29">
        <f>Предыд!AN188</f>
        <v>0</v>
      </c>
      <c r="S189" s="29">
        <f>Предыд!AO188</f>
        <v>0</v>
      </c>
      <c r="T189" s="17" t="str">
        <f t="shared" si="2"/>
        <v>-</v>
      </c>
    </row>
    <row r="190" spans="1:20" x14ac:dyDescent="0.25">
      <c r="A190" s="29">
        <f>Текущий!A189</f>
        <v>27</v>
      </c>
      <c r="B190" s="29">
        <f>Текущий!B189</f>
        <v>24603</v>
      </c>
      <c r="C190" s="29">
        <f>Текущий!C189</f>
        <v>1</v>
      </c>
      <c r="D190" s="29" t="str">
        <f>Текущий!D189</f>
        <v>Амган - Шугара</v>
      </c>
      <c r="E190" s="29">
        <f>ROUND(Текущий!J189,0)</f>
        <v>0</v>
      </c>
      <c r="F190" s="29">
        <f>Текущий!E189</f>
        <v>0</v>
      </c>
      <c r="G190" s="16" t="str">
        <f>IF(Текущий!K189="-",Текущий!K189,ROUND(Текущий!K189,0))</f>
        <v>-</v>
      </c>
      <c r="H190" s="29" t="str">
        <f>IF(ROUND(Текущий!I189,0)=0,"-",ROUND(Текущий!I189,0))</f>
        <v>-</v>
      </c>
      <c r="I190" s="16" t="str">
        <f>IF(Предыд!K189="-",Предыд!K189,ROUND(Предыд!K189,0))</f>
        <v>-</v>
      </c>
      <c r="J190" s="29" t="str">
        <f>IF(ROUND(Предыд!I189,0)=0,"-",ROUND(Предыд!I189,0))</f>
        <v>-</v>
      </c>
      <c r="K190" s="30" t="str">
        <f>Текущий!L189</f>
        <v>Рихтовка</v>
      </c>
      <c r="L190" s="29">
        <f>Текущий!AL189</f>
        <v>0</v>
      </c>
      <c r="M190" s="29">
        <f>Текущий!AM189</f>
        <v>0</v>
      </c>
      <c r="N190" s="29">
        <f>Текущий!AN189</f>
        <v>0</v>
      </c>
      <c r="O190" s="29">
        <f>Текущий!AP189</f>
        <v>0</v>
      </c>
      <c r="P190" s="29">
        <f>Предыд!AL189</f>
        <v>0</v>
      </c>
      <c r="Q190" s="29">
        <f>Предыд!AM189</f>
        <v>0</v>
      </c>
      <c r="R190" s="29">
        <f>Предыд!AN189</f>
        <v>0</v>
      </c>
      <c r="S190" s="29">
        <f>Предыд!AO189</f>
        <v>0</v>
      </c>
      <c r="T190" s="17" t="str">
        <f t="shared" si="2"/>
        <v>-</v>
      </c>
    </row>
    <row r="191" spans="1:20" x14ac:dyDescent="0.25">
      <c r="A191" s="29">
        <f>Текущий!A190</f>
        <v>27</v>
      </c>
      <c r="B191" s="29">
        <f>Текущий!B190</f>
        <v>24603</v>
      </c>
      <c r="C191" s="29">
        <f>Текущий!C190</f>
        <v>1</v>
      </c>
      <c r="D191" s="29" t="str">
        <f>Текущий!D190</f>
        <v>Шугара - Туюн</v>
      </c>
      <c r="E191" s="29">
        <f>ROUND(Текущий!J190,0)</f>
        <v>0</v>
      </c>
      <c r="F191" s="29">
        <f>Текущий!E190</f>
        <v>0</v>
      </c>
      <c r="G191" s="16" t="str">
        <f>IF(Текущий!K190="-",Текущий!K190,ROUND(Текущий!K190,0))</f>
        <v>-</v>
      </c>
      <c r="H191" s="29" t="str">
        <f>IF(ROUND(Текущий!I190,0)=0,"-",ROUND(Текущий!I190,0))</f>
        <v>-</v>
      </c>
      <c r="I191" s="16" t="str">
        <f>IF(Предыд!K190="-",Предыд!K190,ROUND(Предыд!K190,0))</f>
        <v>-</v>
      </c>
      <c r="J191" s="29" t="str">
        <f>IF(ROUND(Предыд!I190,0)=0,"-",ROUND(Предыд!I190,0))</f>
        <v>-</v>
      </c>
      <c r="K191" s="30" t="str">
        <f>Текущий!L190</f>
        <v>Рихтовка</v>
      </c>
      <c r="L191" s="29">
        <f>Текущий!AL190</f>
        <v>0</v>
      </c>
      <c r="M191" s="29">
        <f>Текущий!AM190</f>
        <v>0</v>
      </c>
      <c r="N191" s="29">
        <f>Текущий!AN190</f>
        <v>0</v>
      </c>
      <c r="O191" s="29">
        <f>Текущий!AP190</f>
        <v>0</v>
      </c>
      <c r="P191" s="29">
        <f>Предыд!AL190</f>
        <v>0</v>
      </c>
      <c r="Q191" s="29">
        <f>Предыд!AM190</f>
        <v>0</v>
      </c>
      <c r="R191" s="29">
        <f>Предыд!AN190</f>
        <v>0</v>
      </c>
      <c r="S191" s="29">
        <f>Предыд!AO190</f>
        <v>0</v>
      </c>
      <c r="T191" s="17" t="str">
        <f t="shared" si="2"/>
        <v>-</v>
      </c>
    </row>
    <row r="192" spans="1:20" x14ac:dyDescent="0.25">
      <c r="A192" s="29">
        <f>Текущий!A191</f>
        <v>27</v>
      </c>
      <c r="B192" s="29">
        <f>Текущий!B191</f>
        <v>24603</v>
      </c>
      <c r="C192" s="29">
        <f>Текущий!C191</f>
        <v>1</v>
      </c>
      <c r="D192" s="29" t="str">
        <f>Текущий!D191</f>
        <v>Туюн - Стланик</v>
      </c>
      <c r="E192" s="29">
        <f>ROUND(Текущий!J191,0)</f>
        <v>0</v>
      </c>
      <c r="F192" s="29">
        <f>Текущий!E191</f>
        <v>0</v>
      </c>
      <c r="G192" s="16" t="str">
        <f>IF(Текущий!K191="-",Текущий!K191,ROUND(Текущий!K191,0))</f>
        <v>-</v>
      </c>
      <c r="H192" s="29" t="str">
        <f>IF(ROUND(Текущий!I191,0)=0,"-",ROUND(Текущий!I191,0))</f>
        <v>-</v>
      </c>
      <c r="I192" s="16" t="str">
        <f>IF(Предыд!K191="-",Предыд!K191,ROUND(Предыд!K191,0))</f>
        <v>-</v>
      </c>
      <c r="J192" s="29" t="str">
        <f>IF(ROUND(Предыд!I191,0)=0,"-",ROUND(Предыд!I191,0))</f>
        <v>-</v>
      </c>
      <c r="K192" s="30" t="str">
        <f>Текущий!L191</f>
        <v>Рихтовка</v>
      </c>
      <c r="L192" s="29">
        <f>Текущий!AL191</f>
        <v>0</v>
      </c>
      <c r="M192" s="29">
        <f>Текущий!AM191</f>
        <v>0</v>
      </c>
      <c r="N192" s="29">
        <f>Текущий!AN191</f>
        <v>0</v>
      </c>
      <c r="O192" s="29">
        <f>Текущий!AP191</f>
        <v>0</v>
      </c>
      <c r="P192" s="29">
        <f>Предыд!AL191</f>
        <v>0</v>
      </c>
      <c r="Q192" s="29">
        <f>Предыд!AM191</f>
        <v>0</v>
      </c>
      <c r="R192" s="29">
        <f>Предыд!AN191</f>
        <v>0</v>
      </c>
      <c r="S192" s="29">
        <f>Предыд!AO191</f>
        <v>0</v>
      </c>
      <c r="T192" s="17" t="str">
        <f t="shared" si="2"/>
        <v>-</v>
      </c>
    </row>
    <row r="193" spans="1:20" x14ac:dyDescent="0.25">
      <c r="A193" s="29">
        <f>Текущий!A192</f>
        <v>27</v>
      </c>
      <c r="B193" s="29">
        <f>Текущий!B192</f>
        <v>24603</v>
      </c>
      <c r="C193" s="29">
        <f>Текущий!C192</f>
        <v>1</v>
      </c>
      <c r="D193" s="29" t="str">
        <f>Текущий!D192</f>
        <v>Стланик - Алонка</v>
      </c>
      <c r="E193" s="29">
        <f>ROUND(Текущий!J192,0)</f>
        <v>0</v>
      </c>
      <c r="F193" s="29">
        <f>Текущий!E192</f>
        <v>0</v>
      </c>
      <c r="G193" s="16" t="str">
        <f>IF(Текущий!K192="-",Текущий!K192,ROUND(Текущий!K192,0))</f>
        <v>-</v>
      </c>
      <c r="H193" s="29" t="str">
        <f>IF(ROUND(Текущий!I192,0)=0,"-",ROUND(Текущий!I192,0))</f>
        <v>-</v>
      </c>
      <c r="I193" s="16" t="str">
        <f>IF(Предыд!K192="-",Предыд!K192,ROUND(Предыд!K192,0))</f>
        <v>-</v>
      </c>
      <c r="J193" s="29" t="str">
        <f>IF(ROUND(Предыд!I192,0)=0,"-",ROUND(Предыд!I192,0))</f>
        <v>-</v>
      </c>
      <c r="K193" s="30" t="str">
        <f>Текущий!L192</f>
        <v>Рихтовка</v>
      </c>
      <c r="L193" s="29">
        <f>Текущий!AL192</f>
        <v>0</v>
      </c>
      <c r="M193" s="29">
        <f>Текущий!AM192</f>
        <v>0</v>
      </c>
      <c r="N193" s="29">
        <f>Текущий!AN192</f>
        <v>0</v>
      </c>
      <c r="O193" s="29">
        <f>Текущий!AP192</f>
        <v>0</v>
      </c>
      <c r="P193" s="29">
        <f>Предыд!AL192</f>
        <v>0</v>
      </c>
      <c r="Q193" s="29">
        <f>Предыд!AM192</f>
        <v>0</v>
      </c>
      <c r="R193" s="29">
        <f>Предыд!AN192</f>
        <v>0</v>
      </c>
      <c r="S193" s="29">
        <f>Предыд!AO192</f>
        <v>0</v>
      </c>
      <c r="T193" s="17" t="str">
        <f t="shared" si="2"/>
        <v>-</v>
      </c>
    </row>
    <row r="194" spans="1:20" x14ac:dyDescent="0.25">
      <c r="A194" s="29">
        <f>Текущий!A193</f>
        <v>27</v>
      </c>
      <c r="B194" s="29">
        <f>Текущий!B193</f>
        <v>24603</v>
      </c>
      <c r="C194" s="29">
        <f>Текущий!C193</f>
        <v>1</v>
      </c>
      <c r="D194" s="29" t="str">
        <f>Текущий!D193</f>
        <v>Алонка - Кычыранкы</v>
      </c>
      <c r="E194" s="29">
        <f>ROUND(Текущий!J193,0)</f>
        <v>0</v>
      </c>
      <c r="F194" s="29">
        <f>Текущий!E193</f>
        <v>0</v>
      </c>
      <c r="G194" s="16" t="str">
        <f>IF(Текущий!K193="-",Текущий!K193,ROUND(Текущий!K193,0))</f>
        <v>-</v>
      </c>
      <c r="H194" s="29" t="str">
        <f>IF(ROUND(Текущий!I193,0)=0,"-",ROUND(Текущий!I193,0))</f>
        <v>-</v>
      </c>
      <c r="I194" s="16" t="str">
        <f>IF(Предыд!K193="-",Предыд!K193,ROUND(Предыд!K193,0))</f>
        <v>-</v>
      </c>
      <c r="J194" s="29" t="str">
        <f>IF(ROUND(Предыд!I193,0)=0,"-",ROUND(Предыд!I193,0))</f>
        <v>-</v>
      </c>
      <c r="K194" s="30" t="str">
        <f>Текущий!L193</f>
        <v>Рихтовка</v>
      </c>
      <c r="L194" s="29">
        <f>Текущий!AL193</f>
        <v>0</v>
      </c>
      <c r="M194" s="29">
        <f>Текущий!AM193</f>
        <v>0</v>
      </c>
      <c r="N194" s="29">
        <f>Текущий!AN193</f>
        <v>0</v>
      </c>
      <c r="O194" s="29">
        <f>Текущий!AP193</f>
        <v>0</v>
      </c>
      <c r="P194" s="29">
        <f>Предыд!AL193</f>
        <v>0</v>
      </c>
      <c r="Q194" s="29">
        <f>Предыд!AM193</f>
        <v>0</v>
      </c>
      <c r="R194" s="29">
        <f>Предыд!AN193</f>
        <v>0</v>
      </c>
      <c r="S194" s="29">
        <f>Предыд!AO193</f>
        <v>0</v>
      </c>
      <c r="T194" s="17" t="str">
        <f t="shared" si="2"/>
        <v>-</v>
      </c>
    </row>
    <row r="195" spans="1:20" x14ac:dyDescent="0.25">
      <c r="A195" s="29">
        <f>Текущий!A194</f>
        <v>27</v>
      </c>
      <c r="B195" s="29">
        <f>Текущий!B194</f>
        <v>24603</v>
      </c>
      <c r="C195" s="29">
        <f>Текущий!C194</f>
        <v>1</v>
      </c>
      <c r="D195" s="29" t="str">
        <f>Текущий!D194</f>
        <v>Кычыранкы - Чебангда</v>
      </c>
      <c r="E195" s="29">
        <f>ROUND(Текущий!J194,0)</f>
        <v>0</v>
      </c>
      <c r="F195" s="29">
        <f>Текущий!E194</f>
        <v>0</v>
      </c>
      <c r="G195" s="16" t="str">
        <f>IF(Текущий!K194="-",Текущий!K194,ROUND(Текущий!K194,0))</f>
        <v>-</v>
      </c>
      <c r="H195" s="29" t="str">
        <f>IF(ROUND(Текущий!I194,0)=0,"-",ROUND(Текущий!I194,0))</f>
        <v>-</v>
      </c>
      <c r="I195" s="16" t="str">
        <f>IF(Предыд!K194="-",Предыд!K194,ROUND(Предыд!K194,0))</f>
        <v>-</v>
      </c>
      <c r="J195" s="29" t="str">
        <f>IF(ROUND(Предыд!I194,0)=0,"-",ROUND(Предыд!I194,0))</f>
        <v>-</v>
      </c>
      <c r="K195" s="30" t="str">
        <f>Текущий!L194</f>
        <v>Рихтовка</v>
      </c>
      <c r="L195" s="29">
        <f>Текущий!AL194</f>
        <v>0</v>
      </c>
      <c r="M195" s="29">
        <f>Текущий!AM194</f>
        <v>0</v>
      </c>
      <c r="N195" s="29">
        <f>Текущий!AN194</f>
        <v>0</v>
      </c>
      <c r="O195" s="29">
        <f>Текущий!AP194</f>
        <v>0</v>
      </c>
      <c r="P195" s="29">
        <f>Предыд!AL194</f>
        <v>0</v>
      </c>
      <c r="Q195" s="29">
        <f>Предыд!AM194</f>
        <v>0</v>
      </c>
      <c r="R195" s="29">
        <f>Предыд!AN194</f>
        <v>0</v>
      </c>
      <c r="S195" s="29">
        <f>Предыд!AO194</f>
        <v>0</v>
      </c>
      <c r="T195" s="17" t="str">
        <f t="shared" si="2"/>
        <v>-</v>
      </c>
    </row>
    <row r="196" spans="1:20" x14ac:dyDescent="0.25">
      <c r="A196" s="29">
        <f>Текущий!A195</f>
        <v>27</v>
      </c>
      <c r="B196" s="29">
        <f>Текущий!B195</f>
        <v>24603</v>
      </c>
      <c r="C196" s="29">
        <f>Текущий!C195</f>
        <v>1</v>
      </c>
      <c r="D196" s="29" t="str">
        <f>Текущий!D195</f>
        <v>Чебангда - Буреинск</v>
      </c>
      <c r="E196" s="29">
        <f>ROUND(Текущий!J195,0)</f>
        <v>0</v>
      </c>
      <c r="F196" s="29">
        <f>Текущий!E195</f>
        <v>0</v>
      </c>
      <c r="G196" s="16" t="str">
        <f>IF(Текущий!K195="-",Текущий!K195,ROUND(Текущий!K195,0))</f>
        <v>-</v>
      </c>
      <c r="H196" s="29" t="str">
        <f>IF(ROUND(Текущий!I195,0)=0,"-",ROUND(Текущий!I195,0))</f>
        <v>-</v>
      </c>
      <c r="I196" s="16" t="str">
        <f>IF(Предыд!K195="-",Предыд!K195,ROUND(Предыд!K195,0))</f>
        <v>-</v>
      </c>
      <c r="J196" s="29" t="str">
        <f>IF(ROUND(Предыд!I195,0)=0,"-",ROUND(Предыд!I195,0))</f>
        <v>-</v>
      </c>
      <c r="K196" s="30" t="str">
        <f>Текущий!L195</f>
        <v>Рихтовка</v>
      </c>
      <c r="L196" s="29">
        <f>Текущий!AL195</f>
        <v>0</v>
      </c>
      <c r="M196" s="29">
        <f>Текущий!AM195</f>
        <v>0</v>
      </c>
      <c r="N196" s="29">
        <f>Текущий!AN195</f>
        <v>0</v>
      </c>
      <c r="O196" s="29">
        <f>Текущий!AP195</f>
        <v>0</v>
      </c>
      <c r="P196" s="29">
        <f>Предыд!AL195</f>
        <v>0</v>
      </c>
      <c r="Q196" s="29">
        <f>Предыд!AM195</f>
        <v>0</v>
      </c>
      <c r="R196" s="29">
        <f>Предыд!AN195</f>
        <v>0</v>
      </c>
      <c r="S196" s="29">
        <f>Предыд!AO195</f>
        <v>0</v>
      </c>
      <c r="T196" s="17" t="str">
        <f t="shared" si="2"/>
        <v>-</v>
      </c>
    </row>
    <row r="197" spans="1:20" x14ac:dyDescent="0.25">
      <c r="A197" s="29">
        <f>Текущий!A196</f>
        <v>29</v>
      </c>
      <c r="B197" s="29">
        <f>Текущий!B196</f>
        <v>24603</v>
      </c>
      <c r="C197" s="29">
        <f>Текущий!C196</f>
        <v>1</v>
      </c>
      <c r="D197" s="29" t="str">
        <f>Текущий!D196</f>
        <v>Чебангда - Буреинск</v>
      </c>
      <c r="E197" s="29">
        <f>ROUND(Текущий!J196,0)</f>
        <v>0</v>
      </c>
      <c r="F197" s="29">
        <f>Текущий!E196</f>
        <v>0</v>
      </c>
      <c r="G197" s="16" t="str">
        <f>IF(Текущий!K196="-",Текущий!K196,ROUND(Текущий!K196,0))</f>
        <v>-</v>
      </c>
      <c r="H197" s="29" t="str">
        <f>IF(ROUND(Текущий!I196,0)=0,"-",ROUND(Текущий!I196,0))</f>
        <v>-</v>
      </c>
      <c r="I197" s="16" t="str">
        <f>IF(Предыд!K196="-",Предыд!K196,ROUND(Предыд!K196,0))</f>
        <v>-</v>
      </c>
      <c r="J197" s="29" t="str">
        <f>IF(ROUND(Предыд!I196,0)=0,"-",ROUND(Предыд!I196,0))</f>
        <v>-</v>
      </c>
      <c r="K197" s="30" t="str">
        <f>Текущий!L196</f>
        <v>Рихтовка</v>
      </c>
      <c r="L197" s="29">
        <f>Текущий!AL196</f>
        <v>0</v>
      </c>
      <c r="M197" s="29">
        <f>Текущий!AM196</f>
        <v>0</v>
      </c>
      <c r="N197" s="29">
        <f>Текущий!AN196</f>
        <v>0</v>
      </c>
      <c r="O197" s="29">
        <f>Текущий!AP196</f>
        <v>0</v>
      </c>
      <c r="P197" s="29">
        <f>Предыд!AL196</f>
        <v>0</v>
      </c>
      <c r="Q197" s="29">
        <f>Предыд!AM196</f>
        <v>0</v>
      </c>
      <c r="R197" s="29">
        <f>Предыд!AN196</f>
        <v>0</v>
      </c>
      <c r="S197" s="29">
        <f>Предыд!AO196</f>
        <v>0</v>
      </c>
      <c r="T197" s="17" t="str">
        <f t="shared" ref="T197:T260" si="3">IF(G197&gt;I197,"+","-")</f>
        <v>-</v>
      </c>
    </row>
    <row r="198" spans="1:20" x14ac:dyDescent="0.25">
      <c r="A198" s="29">
        <f>Текущий!A197</f>
        <v>29</v>
      </c>
      <c r="B198" s="29">
        <f>Текущий!B197</f>
        <v>24603</v>
      </c>
      <c r="C198" s="29">
        <f>Текущий!C197</f>
        <v>1</v>
      </c>
      <c r="D198" s="29" t="str">
        <f>Текущий!D197</f>
        <v>Буреинск - Новый Ургал</v>
      </c>
      <c r="E198" s="29">
        <f>ROUND(Текущий!J197,0)</f>
        <v>0</v>
      </c>
      <c r="F198" s="29">
        <f>Текущий!E197</f>
        <v>0</v>
      </c>
      <c r="G198" s="16" t="str">
        <f>IF(Текущий!K197="-",Текущий!K197,ROUND(Текущий!K197,0))</f>
        <v>-</v>
      </c>
      <c r="H198" s="29" t="str">
        <f>IF(ROUND(Текущий!I197,0)=0,"-",ROUND(Текущий!I197,0))</f>
        <v>-</v>
      </c>
      <c r="I198" s="16" t="str">
        <f>IF(Предыд!K197="-",Предыд!K197,ROUND(Предыд!K197,0))</f>
        <v>-</v>
      </c>
      <c r="J198" s="29" t="str">
        <f>IF(ROUND(Предыд!I197,0)=0,"-",ROUND(Предыд!I197,0))</f>
        <v>-</v>
      </c>
      <c r="K198" s="30" t="str">
        <f>Текущий!L197</f>
        <v>Рихтовка</v>
      </c>
      <c r="L198" s="29">
        <f>Текущий!AL197</f>
        <v>0</v>
      </c>
      <c r="M198" s="29">
        <f>Текущий!AM197</f>
        <v>0</v>
      </c>
      <c r="N198" s="29">
        <f>Текущий!AN197</f>
        <v>0</v>
      </c>
      <c r="O198" s="29">
        <f>Текущий!AP197</f>
        <v>0</v>
      </c>
      <c r="P198" s="29">
        <f>Предыд!AL197</f>
        <v>0</v>
      </c>
      <c r="Q198" s="29">
        <f>Предыд!AM197</f>
        <v>0</v>
      </c>
      <c r="R198" s="29">
        <f>Предыд!AN197</f>
        <v>0</v>
      </c>
      <c r="S198" s="29">
        <f>Предыд!AO197</f>
        <v>0</v>
      </c>
      <c r="T198" s="17" t="str">
        <f t="shared" si="3"/>
        <v>-</v>
      </c>
    </row>
    <row r="199" spans="1:20" x14ac:dyDescent="0.25">
      <c r="A199" s="29">
        <f>Текущий!A198</f>
        <v>29</v>
      </c>
      <c r="B199" s="29">
        <f>Текущий!B198</f>
        <v>24603</v>
      </c>
      <c r="C199" s="29">
        <f>Текущий!C198</f>
        <v>1</v>
      </c>
      <c r="D199" s="29" t="str">
        <f>Текущий!D198</f>
        <v>Новый Ургал - Ургал I</v>
      </c>
      <c r="E199" s="29">
        <f>ROUND(Текущий!J198,0)</f>
        <v>0</v>
      </c>
      <c r="F199" s="29">
        <f>Текущий!E198</f>
        <v>0</v>
      </c>
      <c r="G199" s="16" t="str">
        <f>IF(Текущий!K198="-",Текущий!K198,ROUND(Текущий!K198,0))</f>
        <v>-</v>
      </c>
      <c r="H199" s="29" t="str">
        <f>IF(ROUND(Текущий!I198,0)=0,"-",ROUND(Текущий!I198,0))</f>
        <v>-</v>
      </c>
      <c r="I199" s="16" t="str">
        <f>IF(Предыд!K198="-",Предыд!K198,ROUND(Предыд!K198,0))</f>
        <v>-</v>
      </c>
      <c r="J199" s="29" t="str">
        <f>IF(ROUND(Предыд!I198,0)=0,"-",ROUND(Предыд!I198,0))</f>
        <v>-</v>
      </c>
      <c r="K199" s="30" t="str">
        <f>Текущий!L198</f>
        <v>Рихтовка</v>
      </c>
      <c r="L199" s="29">
        <f>Текущий!AL198</f>
        <v>0</v>
      </c>
      <c r="M199" s="29">
        <f>Текущий!AM198</f>
        <v>0</v>
      </c>
      <c r="N199" s="29">
        <f>Текущий!AN198</f>
        <v>0</v>
      </c>
      <c r="O199" s="29">
        <f>Текущий!AP198</f>
        <v>0</v>
      </c>
      <c r="P199" s="29">
        <f>Предыд!AL198</f>
        <v>0</v>
      </c>
      <c r="Q199" s="29">
        <f>Предыд!AM198</f>
        <v>0</v>
      </c>
      <c r="R199" s="29">
        <f>Предыд!AN198</f>
        <v>0</v>
      </c>
      <c r="S199" s="29">
        <f>Предыд!AO198</f>
        <v>0</v>
      </c>
      <c r="T199" s="17" t="str">
        <f t="shared" si="3"/>
        <v>-</v>
      </c>
    </row>
    <row r="200" spans="1:20" x14ac:dyDescent="0.25">
      <c r="A200" s="29">
        <f>Текущий!A199</f>
        <v>29</v>
      </c>
      <c r="B200" s="29">
        <f>Текущий!B199</f>
        <v>24604</v>
      </c>
      <c r="C200" s="29">
        <f>Текущий!C199</f>
        <v>1</v>
      </c>
      <c r="D200" s="29" t="str">
        <f>Текущий!D199</f>
        <v>Ургал I - Чемчуко</v>
      </c>
      <c r="E200" s="29">
        <f>ROUND(Текущий!J199,0)</f>
        <v>0</v>
      </c>
      <c r="F200" s="29">
        <f>Текущий!E199</f>
        <v>0</v>
      </c>
      <c r="G200" s="16" t="str">
        <f>IF(Текущий!K199="-",Текущий!K199,ROUND(Текущий!K199,0))</f>
        <v>-</v>
      </c>
      <c r="H200" s="29" t="str">
        <f>IF(ROUND(Текущий!I199,0)=0,"-",ROUND(Текущий!I199,0))</f>
        <v>-</v>
      </c>
      <c r="I200" s="16" t="str">
        <f>IF(Предыд!K199="-",Предыд!K199,ROUND(Предыд!K199,0))</f>
        <v>-</v>
      </c>
      <c r="J200" s="29" t="str">
        <f>IF(ROUND(Предыд!I199,0)=0,"-",ROUND(Предыд!I199,0))</f>
        <v>-</v>
      </c>
      <c r="K200" s="30" t="str">
        <f>Текущий!L199</f>
        <v>Рихтовка</v>
      </c>
      <c r="L200" s="29">
        <f>Текущий!AL199</f>
        <v>0</v>
      </c>
      <c r="M200" s="29">
        <f>Текущий!AM199</f>
        <v>0</v>
      </c>
      <c r="N200" s="29">
        <f>Текущий!AN199</f>
        <v>0</v>
      </c>
      <c r="O200" s="29">
        <f>Текущий!AP199</f>
        <v>0</v>
      </c>
      <c r="P200" s="29">
        <f>Предыд!AL199</f>
        <v>0</v>
      </c>
      <c r="Q200" s="29">
        <f>Предыд!AM199</f>
        <v>0</v>
      </c>
      <c r="R200" s="29">
        <f>Предыд!AN199</f>
        <v>0</v>
      </c>
      <c r="S200" s="29">
        <f>Предыд!AO199</f>
        <v>0</v>
      </c>
      <c r="T200" s="17" t="str">
        <f t="shared" si="3"/>
        <v>-</v>
      </c>
    </row>
    <row r="201" spans="1:20" x14ac:dyDescent="0.25">
      <c r="A201" s="29">
        <f>Текущий!A200</f>
        <v>29</v>
      </c>
      <c r="B201" s="29">
        <f>Текущий!B200</f>
        <v>24604</v>
      </c>
      <c r="C201" s="29">
        <f>Текущий!C200</f>
        <v>1</v>
      </c>
      <c r="D201" s="29" t="str">
        <f>Текущий!D200</f>
        <v>Чемчуко - Мугуле</v>
      </c>
      <c r="E201" s="29">
        <f>ROUND(Текущий!J200,0)</f>
        <v>0</v>
      </c>
      <c r="F201" s="29">
        <f>Текущий!E200</f>
        <v>0</v>
      </c>
      <c r="G201" s="16" t="str">
        <f>IF(Текущий!K200="-",Текущий!K200,ROUND(Текущий!K200,0))</f>
        <v>-</v>
      </c>
      <c r="H201" s="29" t="str">
        <f>IF(ROUND(Текущий!I200,0)=0,"-",ROUND(Текущий!I200,0))</f>
        <v>-</v>
      </c>
      <c r="I201" s="16" t="str">
        <f>IF(Предыд!K200="-",Предыд!K200,ROUND(Предыд!K200,0))</f>
        <v>-</v>
      </c>
      <c r="J201" s="29" t="str">
        <f>IF(ROUND(Предыд!I200,0)=0,"-",ROUND(Предыд!I200,0))</f>
        <v>-</v>
      </c>
      <c r="K201" s="30" t="str">
        <f>Текущий!L200</f>
        <v>Рихтовка</v>
      </c>
      <c r="L201" s="29">
        <f>Текущий!AL200</f>
        <v>0</v>
      </c>
      <c r="M201" s="29">
        <f>Текущий!AM200</f>
        <v>0</v>
      </c>
      <c r="N201" s="29">
        <f>Текущий!AN200</f>
        <v>0</v>
      </c>
      <c r="O201" s="29">
        <f>Текущий!AP200</f>
        <v>0</v>
      </c>
      <c r="P201" s="29">
        <f>Предыд!AL200</f>
        <v>0</v>
      </c>
      <c r="Q201" s="29">
        <f>Предыд!AM200</f>
        <v>0</v>
      </c>
      <c r="R201" s="29">
        <f>Предыд!AN200</f>
        <v>0</v>
      </c>
      <c r="S201" s="29">
        <f>Предыд!AO200</f>
        <v>0</v>
      </c>
      <c r="T201" s="17" t="str">
        <f t="shared" si="3"/>
        <v>-</v>
      </c>
    </row>
    <row r="202" spans="1:20" x14ac:dyDescent="0.25">
      <c r="A202" s="29">
        <f>Текущий!A201</f>
        <v>29</v>
      </c>
      <c r="B202" s="29">
        <f>Текущий!B201</f>
        <v>24604</v>
      </c>
      <c r="C202" s="29">
        <f>Текущий!C201</f>
        <v>1</v>
      </c>
      <c r="D202" s="29" t="str">
        <f>Текущий!D201</f>
        <v>Мугуле - Мукунга</v>
      </c>
      <c r="E202" s="29">
        <f>ROUND(Текущий!J201,0)</f>
        <v>0</v>
      </c>
      <c r="F202" s="29">
        <f>Текущий!E201</f>
        <v>0</v>
      </c>
      <c r="G202" s="16" t="str">
        <f>IF(Текущий!K201="-",Текущий!K201,ROUND(Текущий!K201,0))</f>
        <v>-</v>
      </c>
      <c r="H202" s="29" t="str">
        <f>IF(ROUND(Текущий!I201,0)=0,"-",ROUND(Текущий!I201,0))</f>
        <v>-</v>
      </c>
      <c r="I202" s="16" t="str">
        <f>IF(Предыд!K201="-",Предыд!K201,ROUND(Предыд!K201,0))</f>
        <v>-</v>
      </c>
      <c r="J202" s="29" t="str">
        <f>IF(ROUND(Предыд!I201,0)=0,"-",ROUND(Предыд!I201,0))</f>
        <v>-</v>
      </c>
      <c r="K202" s="30" t="str">
        <f>Текущий!L201</f>
        <v>Рихтовка</v>
      </c>
      <c r="L202" s="29">
        <f>Текущий!AL201</f>
        <v>0</v>
      </c>
      <c r="M202" s="29">
        <f>Текущий!AM201</f>
        <v>0</v>
      </c>
      <c r="N202" s="29">
        <f>Текущий!AN201</f>
        <v>0</v>
      </c>
      <c r="O202" s="29">
        <f>Текущий!AP201</f>
        <v>0</v>
      </c>
      <c r="P202" s="29">
        <f>Предыд!AL201</f>
        <v>0</v>
      </c>
      <c r="Q202" s="29">
        <f>Предыд!AM201</f>
        <v>0</v>
      </c>
      <c r="R202" s="29">
        <f>Предыд!AN201</f>
        <v>0</v>
      </c>
      <c r="S202" s="29">
        <f>Предыд!AO201</f>
        <v>0</v>
      </c>
      <c r="T202" s="17" t="str">
        <f t="shared" si="3"/>
        <v>-</v>
      </c>
    </row>
    <row r="203" spans="1:20" x14ac:dyDescent="0.25">
      <c r="A203" s="29">
        <f>Текущий!A202</f>
        <v>29</v>
      </c>
      <c r="B203" s="29">
        <f>Текущий!B202</f>
        <v>24604</v>
      </c>
      <c r="C203" s="29">
        <f>Текущий!C202</f>
        <v>1</v>
      </c>
      <c r="D203" s="29" t="str">
        <f>Текущий!D202</f>
        <v>Мукунга - Солони</v>
      </c>
      <c r="E203" s="29">
        <f>ROUND(Текущий!J202,0)</f>
        <v>0</v>
      </c>
      <c r="F203" s="29">
        <f>Текущий!E202</f>
        <v>0</v>
      </c>
      <c r="G203" s="16" t="str">
        <f>IF(Текущий!K202="-",Текущий!K202,ROUND(Текущий!K202,0))</f>
        <v>-</v>
      </c>
      <c r="H203" s="29" t="str">
        <f>IF(ROUND(Текущий!I202,0)=0,"-",ROUND(Текущий!I202,0))</f>
        <v>-</v>
      </c>
      <c r="I203" s="16" t="str">
        <f>IF(Предыд!K202="-",Предыд!K202,ROUND(Предыд!K202,0))</f>
        <v>-</v>
      </c>
      <c r="J203" s="29" t="str">
        <f>IF(ROUND(Предыд!I202,0)=0,"-",ROUND(Предыд!I202,0))</f>
        <v>-</v>
      </c>
      <c r="K203" s="30" t="str">
        <f>Текущий!L202</f>
        <v>Рихтовка</v>
      </c>
      <c r="L203" s="29">
        <f>Текущий!AL202</f>
        <v>0</v>
      </c>
      <c r="M203" s="29">
        <f>Текущий!AM202</f>
        <v>0</v>
      </c>
      <c r="N203" s="29">
        <f>Текущий!AN202</f>
        <v>0</v>
      </c>
      <c r="O203" s="29">
        <f>Текущий!AP202</f>
        <v>0</v>
      </c>
      <c r="P203" s="29">
        <f>Предыд!AL202</f>
        <v>0</v>
      </c>
      <c r="Q203" s="29">
        <f>Предыд!AM202</f>
        <v>0</v>
      </c>
      <c r="R203" s="29">
        <f>Предыд!AN202</f>
        <v>0</v>
      </c>
      <c r="S203" s="29">
        <f>Предыд!AO202</f>
        <v>0</v>
      </c>
      <c r="T203" s="17" t="str">
        <f t="shared" si="3"/>
        <v>-</v>
      </c>
    </row>
    <row r="204" spans="1:20" x14ac:dyDescent="0.25">
      <c r="A204" s="29">
        <f>Текущий!A203</f>
        <v>29</v>
      </c>
      <c r="B204" s="29">
        <f>Текущий!B203</f>
        <v>24604</v>
      </c>
      <c r="C204" s="29">
        <f>Текущий!C203</f>
        <v>1</v>
      </c>
      <c r="D204" s="29" t="str">
        <f>Текущий!D203</f>
        <v>Солони - Нальды</v>
      </c>
      <c r="E204" s="29">
        <f>ROUND(Текущий!J203,0)</f>
        <v>0</v>
      </c>
      <c r="F204" s="29">
        <f>Текущий!E203</f>
        <v>0</v>
      </c>
      <c r="G204" s="16" t="str">
        <f>IF(Текущий!K203="-",Текущий!K203,ROUND(Текущий!K203,0))</f>
        <v>-</v>
      </c>
      <c r="H204" s="29" t="str">
        <f>IF(ROUND(Текущий!I203,0)=0,"-",ROUND(Текущий!I203,0))</f>
        <v>-</v>
      </c>
      <c r="I204" s="16" t="str">
        <f>IF(Предыд!K203="-",Предыд!K203,ROUND(Предыд!K203,0))</f>
        <v>-</v>
      </c>
      <c r="J204" s="29" t="str">
        <f>IF(ROUND(Предыд!I203,0)=0,"-",ROUND(Предыд!I203,0))</f>
        <v>-</v>
      </c>
      <c r="K204" s="30" t="str">
        <f>Текущий!L203</f>
        <v>Рихтовка</v>
      </c>
      <c r="L204" s="29">
        <f>Текущий!AL203</f>
        <v>0</v>
      </c>
      <c r="M204" s="29">
        <f>Текущий!AM203</f>
        <v>0</v>
      </c>
      <c r="N204" s="29">
        <f>Текущий!AN203</f>
        <v>0</v>
      </c>
      <c r="O204" s="29">
        <f>Текущий!AP203</f>
        <v>0</v>
      </c>
      <c r="P204" s="29">
        <f>Предыд!AL203</f>
        <v>0</v>
      </c>
      <c r="Q204" s="29">
        <f>Предыд!AM203</f>
        <v>0</v>
      </c>
      <c r="R204" s="29">
        <f>Предыд!AN203</f>
        <v>0</v>
      </c>
      <c r="S204" s="29">
        <f>Предыд!AO203</f>
        <v>0</v>
      </c>
      <c r="T204" s="17" t="str">
        <f t="shared" si="3"/>
        <v>-</v>
      </c>
    </row>
    <row r="205" spans="1:20" x14ac:dyDescent="0.25">
      <c r="A205" s="29">
        <f>Текущий!A204</f>
        <v>29</v>
      </c>
      <c r="B205" s="29">
        <f>Текущий!B204</f>
        <v>24604</v>
      </c>
      <c r="C205" s="29">
        <f>Текущий!C204</f>
        <v>1</v>
      </c>
      <c r="D205" s="29" t="str">
        <f>Текущий!D204</f>
        <v>Нальды - Дуссе-Алинь</v>
      </c>
      <c r="E205" s="29">
        <f>ROUND(Текущий!J204,0)</f>
        <v>0</v>
      </c>
      <c r="F205" s="29">
        <f>Текущий!E204</f>
        <v>0</v>
      </c>
      <c r="G205" s="16" t="str">
        <f>IF(Текущий!K204="-",Текущий!K204,ROUND(Текущий!K204,0))</f>
        <v>-</v>
      </c>
      <c r="H205" s="29" t="str">
        <f>IF(ROUND(Текущий!I204,0)=0,"-",ROUND(Текущий!I204,0))</f>
        <v>-</v>
      </c>
      <c r="I205" s="16" t="str">
        <f>IF(Предыд!K204="-",Предыд!K204,ROUND(Предыд!K204,0))</f>
        <v>-</v>
      </c>
      <c r="J205" s="29" t="str">
        <f>IF(ROUND(Предыд!I204,0)=0,"-",ROUND(Предыд!I204,0))</f>
        <v>-</v>
      </c>
      <c r="K205" s="30" t="str">
        <f>Текущий!L204</f>
        <v>Рихтовка</v>
      </c>
      <c r="L205" s="29">
        <f>Текущий!AL204</f>
        <v>0</v>
      </c>
      <c r="M205" s="29">
        <f>Текущий!AM204</f>
        <v>0</v>
      </c>
      <c r="N205" s="29">
        <f>Текущий!AN204</f>
        <v>0</v>
      </c>
      <c r="O205" s="29">
        <f>Текущий!AP204</f>
        <v>0</v>
      </c>
      <c r="P205" s="29">
        <f>Предыд!AL204</f>
        <v>0</v>
      </c>
      <c r="Q205" s="29">
        <f>Предыд!AM204</f>
        <v>0</v>
      </c>
      <c r="R205" s="29">
        <f>Предыд!AN204</f>
        <v>0</v>
      </c>
      <c r="S205" s="29">
        <f>Предыд!AO204</f>
        <v>0</v>
      </c>
      <c r="T205" s="17" t="str">
        <f t="shared" si="3"/>
        <v>-</v>
      </c>
    </row>
    <row r="206" spans="1:20" x14ac:dyDescent="0.25">
      <c r="A206" s="29">
        <f>Текущий!A205</f>
        <v>30</v>
      </c>
      <c r="B206" s="29">
        <f>Текущий!B205</f>
        <v>24604</v>
      </c>
      <c r="C206" s="29">
        <f>Текущий!C205</f>
        <v>1</v>
      </c>
      <c r="D206" s="29" t="str">
        <f>Текущий!D205</f>
        <v>Нальды - Дуссе-Алинь</v>
      </c>
      <c r="E206" s="29">
        <f>ROUND(Текущий!J205,0)</f>
        <v>0</v>
      </c>
      <c r="F206" s="29">
        <f>Текущий!E205</f>
        <v>0</v>
      </c>
      <c r="G206" s="16" t="str">
        <f>IF(Текущий!K205="-",Текущий!K205,ROUND(Текущий!K205,0))</f>
        <v>-</v>
      </c>
      <c r="H206" s="29" t="str">
        <f>IF(ROUND(Текущий!I205,0)=0,"-",ROUND(Текущий!I205,0))</f>
        <v>-</v>
      </c>
      <c r="I206" s="16" t="str">
        <f>IF(Предыд!K205="-",Предыд!K205,ROUND(Предыд!K205,0))</f>
        <v>-</v>
      </c>
      <c r="J206" s="29" t="str">
        <f>IF(ROUND(Предыд!I205,0)=0,"-",ROUND(Предыд!I205,0))</f>
        <v>-</v>
      </c>
      <c r="K206" s="30" t="str">
        <f>Текущий!L205</f>
        <v>Рихтовка</v>
      </c>
      <c r="L206" s="29">
        <f>Текущий!AL205</f>
        <v>0</v>
      </c>
      <c r="M206" s="29">
        <f>Текущий!AM205</f>
        <v>0</v>
      </c>
      <c r="N206" s="29">
        <f>Текущий!AN205</f>
        <v>0</v>
      </c>
      <c r="O206" s="29">
        <f>Текущий!AP205</f>
        <v>0</v>
      </c>
      <c r="P206" s="29">
        <f>Предыд!AL205</f>
        <v>0</v>
      </c>
      <c r="Q206" s="29">
        <f>Предыд!AM205</f>
        <v>0</v>
      </c>
      <c r="R206" s="29">
        <f>Предыд!AN205</f>
        <v>0</v>
      </c>
      <c r="S206" s="29">
        <f>Предыд!AO205</f>
        <v>0</v>
      </c>
      <c r="T206" s="17" t="str">
        <f t="shared" si="3"/>
        <v>-</v>
      </c>
    </row>
    <row r="207" spans="1:20" x14ac:dyDescent="0.25">
      <c r="A207" s="29">
        <f>Текущий!A206</f>
        <v>30</v>
      </c>
      <c r="B207" s="29">
        <f>Текущий!B206</f>
        <v>24604</v>
      </c>
      <c r="C207" s="29">
        <f>Текущий!C206</f>
        <v>1</v>
      </c>
      <c r="D207" s="29" t="str">
        <f>Текущий!D206</f>
        <v>Дуссе-Алинь - Сулук</v>
      </c>
      <c r="E207" s="29">
        <f>ROUND(Текущий!J206,0)</f>
        <v>0</v>
      </c>
      <c r="F207" s="29">
        <f>Текущий!E206</f>
        <v>0</v>
      </c>
      <c r="G207" s="16" t="str">
        <f>IF(Текущий!K206="-",Текущий!K206,ROUND(Текущий!K206,0))</f>
        <v>-</v>
      </c>
      <c r="H207" s="29" t="str">
        <f>IF(ROUND(Текущий!I206,0)=0,"-",ROUND(Текущий!I206,0))</f>
        <v>-</v>
      </c>
      <c r="I207" s="16" t="str">
        <f>IF(Предыд!K206="-",Предыд!K206,ROUND(Предыд!K206,0))</f>
        <v>-</v>
      </c>
      <c r="J207" s="29" t="str">
        <f>IF(ROUND(Предыд!I206,0)=0,"-",ROUND(Предыд!I206,0))</f>
        <v>-</v>
      </c>
      <c r="K207" s="30" t="str">
        <f>Текущий!L206</f>
        <v>Рихтовка</v>
      </c>
      <c r="L207" s="29">
        <f>Текущий!AL206</f>
        <v>0</v>
      </c>
      <c r="M207" s="29">
        <f>Текущий!AM206</f>
        <v>0</v>
      </c>
      <c r="N207" s="29">
        <f>Текущий!AN206</f>
        <v>0</v>
      </c>
      <c r="O207" s="29">
        <f>Текущий!AP206</f>
        <v>0</v>
      </c>
      <c r="P207" s="29">
        <f>Предыд!AL206</f>
        <v>0</v>
      </c>
      <c r="Q207" s="29">
        <f>Предыд!AM206</f>
        <v>0</v>
      </c>
      <c r="R207" s="29">
        <f>Предыд!AN206</f>
        <v>0</v>
      </c>
      <c r="S207" s="29">
        <f>Предыд!AO206</f>
        <v>0</v>
      </c>
      <c r="T207" s="17" t="str">
        <f t="shared" si="3"/>
        <v>-</v>
      </c>
    </row>
    <row r="208" spans="1:20" x14ac:dyDescent="0.25">
      <c r="A208" s="29">
        <f>Текущий!A207</f>
        <v>30</v>
      </c>
      <c r="B208" s="29">
        <f>Текущий!B207</f>
        <v>24604</v>
      </c>
      <c r="C208" s="29">
        <f>Текущий!C207</f>
        <v>1</v>
      </c>
      <c r="D208" s="29" t="str">
        <f>Текущий!D207</f>
        <v>Сулук - Могды</v>
      </c>
      <c r="E208" s="29">
        <f>ROUND(Текущий!J207,0)</f>
        <v>0</v>
      </c>
      <c r="F208" s="29">
        <f>Текущий!E207</f>
        <v>0</v>
      </c>
      <c r="G208" s="16" t="str">
        <f>IF(Текущий!K207="-",Текущий!K207,ROUND(Текущий!K207,0))</f>
        <v>-</v>
      </c>
      <c r="H208" s="29" t="str">
        <f>IF(ROUND(Текущий!I207,0)=0,"-",ROUND(Текущий!I207,0))</f>
        <v>-</v>
      </c>
      <c r="I208" s="16" t="str">
        <f>IF(Предыд!K207="-",Предыд!K207,ROUND(Предыд!K207,0))</f>
        <v>-</v>
      </c>
      <c r="J208" s="29" t="str">
        <f>IF(ROUND(Предыд!I207,0)=0,"-",ROUND(Предыд!I207,0))</f>
        <v>-</v>
      </c>
      <c r="K208" s="30" t="str">
        <f>Текущий!L207</f>
        <v>Рихтовка</v>
      </c>
      <c r="L208" s="29">
        <f>Текущий!AL207</f>
        <v>0</v>
      </c>
      <c r="M208" s="29">
        <f>Текущий!AM207</f>
        <v>0</v>
      </c>
      <c r="N208" s="29">
        <f>Текущий!AN207</f>
        <v>0</v>
      </c>
      <c r="O208" s="29">
        <f>Текущий!AP207</f>
        <v>0</v>
      </c>
      <c r="P208" s="29">
        <f>Предыд!AL207</f>
        <v>0</v>
      </c>
      <c r="Q208" s="29">
        <f>Предыд!AM207</f>
        <v>0</v>
      </c>
      <c r="R208" s="29">
        <f>Предыд!AN207</f>
        <v>0</v>
      </c>
      <c r="S208" s="29">
        <f>Предыд!AO207</f>
        <v>0</v>
      </c>
      <c r="T208" s="17" t="str">
        <f t="shared" si="3"/>
        <v>-</v>
      </c>
    </row>
    <row r="209" spans="1:20" x14ac:dyDescent="0.25">
      <c r="A209" s="29">
        <f>Текущий!A208</f>
        <v>30</v>
      </c>
      <c r="B209" s="29">
        <f>Текущий!B208</f>
        <v>24604</v>
      </c>
      <c r="C209" s="29">
        <f>Текущий!C208</f>
        <v>1</v>
      </c>
      <c r="D209" s="29" t="str">
        <f>Текущий!D208</f>
        <v>Могды - Орокот</v>
      </c>
      <c r="E209" s="29">
        <f>ROUND(Текущий!J208,0)</f>
        <v>0</v>
      </c>
      <c r="F209" s="29">
        <f>Текущий!E208</f>
        <v>0</v>
      </c>
      <c r="G209" s="16" t="str">
        <f>IF(Текущий!K208="-",Текущий!K208,ROUND(Текущий!K208,0))</f>
        <v>-</v>
      </c>
      <c r="H209" s="29" t="str">
        <f>IF(ROUND(Текущий!I208,0)=0,"-",ROUND(Текущий!I208,0))</f>
        <v>-</v>
      </c>
      <c r="I209" s="16" t="str">
        <f>IF(Предыд!K208="-",Предыд!K208,ROUND(Предыд!K208,0))</f>
        <v>-</v>
      </c>
      <c r="J209" s="29" t="str">
        <f>IF(ROUND(Предыд!I208,0)=0,"-",ROUND(Предыд!I208,0))</f>
        <v>-</v>
      </c>
      <c r="K209" s="30" t="str">
        <f>Текущий!L208</f>
        <v>Рихтовка</v>
      </c>
      <c r="L209" s="29">
        <f>Текущий!AL208</f>
        <v>0</v>
      </c>
      <c r="M209" s="29">
        <f>Текущий!AM208</f>
        <v>0</v>
      </c>
      <c r="N209" s="29">
        <f>Текущий!AN208</f>
        <v>0</v>
      </c>
      <c r="O209" s="29">
        <f>Текущий!AP208</f>
        <v>0</v>
      </c>
      <c r="P209" s="29">
        <f>Предыд!AL208</f>
        <v>0</v>
      </c>
      <c r="Q209" s="29">
        <f>Предыд!AM208</f>
        <v>0</v>
      </c>
      <c r="R209" s="29">
        <f>Предыд!AN208</f>
        <v>0</v>
      </c>
      <c r="S209" s="29">
        <f>Предыд!AO208</f>
        <v>0</v>
      </c>
      <c r="T209" s="17" t="str">
        <f t="shared" si="3"/>
        <v>-</v>
      </c>
    </row>
    <row r="210" spans="1:20" x14ac:dyDescent="0.25">
      <c r="A210" s="29">
        <f>Текущий!A209</f>
        <v>30</v>
      </c>
      <c r="B210" s="29">
        <f>Текущий!B209</f>
        <v>24604</v>
      </c>
      <c r="C210" s="29">
        <f>Текущий!C209</f>
        <v>1</v>
      </c>
      <c r="D210" s="29" t="str">
        <f>Текущий!D209</f>
        <v>Орокот - Герби</v>
      </c>
      <c r="E210" s="29">
        <f>ROUND(Текущий!J209,0)</f>
        <v>0</v>
      </c>
      <c r="F210" s="29">
        <f>Текущий!E209</f>
        <v>0</v>
      </c>
      <c r="G210" s="16" t="str">
        <f>IF(Текущий!K209="-",Текущий!K209,ROUND(Текущий!K209,0))</f>
        <v>-</v>
      </c>
      <c r="H210" s="29" t="str">
        <f>IF(ROUND(Текущий!I209,0)=0,"-",ROUND(Текущий!I209,0))</f>
        <v>-</v>
      </c>
      <c r="I210" s="16" t="str">
        <f>IF(Предыд!K209="-",Предыд!K209,ROUND(Предыд!K209,0))</f>
        <v>-</v>
      </c>
      <c r="J210" s="29" t="str">
        <f>IF(ROUND(Предыд!I209,0)=0,"-",ROUND(Предыд!I209,0))</f>
        <v>-</v>
      </c>
      <c r="K210" s="30" t="str">
        <f>Текущий!L209</f>
        <v>Рихтовка</v>
      </c>
      <c r="L210" s="29">
        <f>Текущий!AL209</f>
        <v>0</v>
      </c>
      <c r="M210" s="29">
        <f>Текущий!AM209</f>
        <v>0</v>
      </c>
      <c r="N210" s="29">
        <f>Текущий!AN209</f>
        <v>0</v>
      </c>
      <c r="O210" s="29">
        <f>Текущий!AP209</f>
        <v>0</v>
      </c>
      <c r="P210" s="29">
        <f>Предыд!AL209</f>
        <v>0</v>
      </c>
      <c r="Q210" s="29">
        <f>Предыд!AM209</f>
        <v>0</v>
      </c>
      <c r="R210" s="29">
        <f>Предыд!AN209</f>
        <v>0</v>
      </c>
      <c r="S210" s="29">
        <f>Предыд!AO209</f>
        <v>0</v>
      </c>
      <c r="T210" s="17" t="str">
        <f t="shared" si="3"/>
        <v>-</v>
      </c>
    </row>
    <row r="211" spans="1:20" x14ac:dyDescent="0.25">
      <c r="A211" s="29">
        <f>Текущий!A210</f>
        <v>30</v>
      </c>
      <c r="B211" s="29">
        <f>Текущий!B210</f>
        <v>24604</v>
      </c>
      <c r="C211" s="29">
        <f>Текущий!C210</f>
        <v>1</v>
      </c>
      <c r="D211" s="29" t="str">
        <f>Текущий!D210</f>
        <v>Герби - Талиджак</v>
      </c>
      <c r="E211" s="29">
        <f>ROUND(Текущий!J210,0)</f>
        <v>0</v>
      </c>
      <c r="F211" s="29">
        <f>Текущий!E210</f>
        <v>0</v>
      </c>
      <c r="G211" s="16" t="str">
        <f>IF(Текущий!K210="-",Текущий!K210,ROUND(Текущий!K210,0))</f>
        <v>-</v>
      </c>
      <c r="H211" s="29" t="str">
        <f>IF(ROUND(Текущий!I210,0)=0,"-",ROUND(Текущий!I210,0))</f>
        <v>-</v>
      </c>
      <c r="I211" s="16" t="str">
        <f>IF(Предыд!K210="-",Предыд!K210,ROUND(Предыд!K210,0))</f>
        <v>-</v>
      </c>
      <c r="J211" s="29" t="str">
        <f>IF(ROUND(Предыд!I210,0)=0,"-",ROUND(Предыд!I210,0))</f>
        <v>-</v>
      </c>
      <c r="K211" s="30" t="str">
        <f>Текущий!L210</f>
        <v>Рихтовка</v>
      </c>
      <c r="L211" s="29">
        <f>Текущий!AL210</f>
        <v>0</v>
      </c>
      <c r="M211" s="29">
        <f>Текущий!AM210</f>
        <v>0</v>
      </c>
      <c r="N211" s="29">
        <f>Текущий!AN210</f>
        <v>0</v>
      </c>
      <c r="O211" s="29">
        <f>Текущий!AP210</f>
        <v>0</v>
      </c>
      <c r="P211" s="29">
        <f>Предыд!AL210</f>
        <v>0</v>
      </c>
      <c r="Q211" s="29">
        <f>Предыд!AM210</f>
        <v>0</v>
      </c>
      <c r="R211" s="29">
        <f>Предыд!AN210</f>
        <v>0</v>
      </c>
      <c r="S211" s="29">
        <f>Предыд!AO210</f>
        <v>0</v>
      </c>
      <c r="T211" s="17" t="str">
        <f t="shared" si="3"/>
        <v>-</v>
      </c>
    </row>
    <row r="212" spans="1:20" x14ac:dyDescent="0.25">
      <c r="A212" s="29">
        <f>Текущий!A211</f>
        <v>30</v>
      </c>
      <c r="B212" s="29">
        <f>Текущий!B211</f>
        <v>24604</v>
      </c>
      <c r="C212" s="29">
        <f>Текущий!C211</f>
        <v>1</v>
      </c>
      <c r="D212" s="29" t="str">
        <f>Текущий!D211</f>
        <v>Талиджак - Уркальту</v>
      </c>
      <c r="E212" s="29">
        <f>ROUND(Текущий!J211,0)</f>
        <v>0</v>
      </c>
      <c r="F212" s="29">
        <f>Текущий!E211</f>
        <v>0</v>
      </c>
      <c r="G212" s="16" t="str">
        <f>IF(Текущий!K211="-",Текущий!K211,ROUND(Текущий!K211,0))</f>
        <v>-</v>
      </c>
      <c r="H212" s="29" t="str">
        <f>IF(ROUND(Текущий!I211,0)=0,"-",ROUND(Текущий!I211,0))</f>
        <v>-</v>
      </c>
      <c r="I212" s="16" t="str">
        <f>IF(Предыд!K211="-",Предыд!K211,ROUND(Предыд!K211,0))</f>
        <v>-</v>
      </c>
      <c r="J212" s="29" t="str">
        <f>IF(ROUND(Предыд!I211,0)=0,"-",ROUND(Предыд!I211,0))</f>
        <v>-</v>
      </c>
      <c r="K212" s="30" t="str">
        <f>Текущий!L211</f>
        <v>Рихтовка</v>
      </c>
      <c r="L212" s="29">
        <f>Текущий!AL211</f>
        <v>0</v>
      </c>
      <c r="M212" s="29">
        <f>Текущий!AM211</f>
        <v>0</v>
      </c>
      <c r="N212" s="29">
        <f>Текущий!AN211</f>
        <v>0</v>
      </c>
      <c r="O212" s="29">
        <f>Текущий!AP211</f>
        <v>0</v>
      </c>
      <c r="P212" s="29">
        <f>Предыд!AL211</f>
        <v>0</v>
      </c>
      <c r="Q212" s="29">
        <f>Предыд!AM211</f>
        <v>0</v>
      </c>
      <c r="R212" s="29">
        <f>Предыд!AN211</f>
        <v>0</v>
      </c>
      <c r="S212" s="29">
        <f>Предыд!AO211</f>
        <v>0</v>
      </c>
      <c r="T212" s="17" t="str">
        <f t="shared" si="3"/>
        <v>-</v>
      </c>
    </row>
    <row r="213" spans="1:20" x14ac:dyDescent="0.25">
      <c r="A213" s="29">
        <f>Текущий!A212</f>
        <v>30</v>
      </c>
      <c r="B213" s="29">
        <f>Текущий!B212</f>
        <v>24604</v>
      </c>
      <c r="C213" s="29">
        <f>Текущий!C212</f>
        <v>1</v>
      </c>
      <c r="D213" s="29" t="str">
        <f>Текущий!D212</f>
        <v>Уркальту - Баджал</v>
      </c>
      <c r="E213" s="29">
        <f>ROUND(Текущий!J212,0)</f>
        <v>0</v>
      </c>
      <c r="F213" s="29">
        <f>Текущий!E212</f>
        <v>0</v>
      </c>
      <c r="G213" s="16" t="str">
        <f>IF(Текущий!K212="-",Текущий!K212,ROUND(Текущий!K212,0))</f>
        <v>-</v>
      </c>
      <c r="H213" s="29" t="str">
        <f>IF(ROUND(Текущий!I212,0)=0,"-",ROUND(Текущий!I212,0))</f>
        <v>-</v>
      </c>
      <c r="I213" s="16" t="str">
        <f>IF(Предыд!K212="-",Предыд!K212,ROUND(Предыд!K212,0))</f>
        <v>-</v>
      </c>
      <c r="J213" s="29" t="str">
        <f>IF(ROUND(Предыд!I212,0)=0,"-",ROUND(Предыд!I212,0))</f>
        <v>-</v>
      </c>
      <c r="K213" s="30" t="str">
        <f>Текущий!L212</f>
        <v>Рихтовка</v>
      </c>
      <c r="L213" s="29">
        <f>Текущий!AL212</f>
        <v>0</v>
      </c>
      <c r="M213" s="29">
        <f>Текущий!AM212</f>
        <v>0</v>
      </c>
      <c r="N213" s="29">
        <f>Текущий!AN212</f>
        <v>0</v>
      </c>
      <c r="O213" s="29">
        <f>Текущий!AP212</f>
        <v>0</v>
      </c>
      <c r="P213" s="29">
        <f>Предыд!AL212</f>
        <v>0</v>
      </c>
      <c r="Q213" s="29">
        <f>Предыд!AM212</f>
        <v>0</v>
      </c>
      <c r="R213" s="29">
        <f>Предыд!AN212</f>
        <v>0</v>
      </c>
      <c r="S213" s="29">
        <f>Предыд!AO212</f>
        <v>0</v>
      </c>
      <c r="T213" s="17" t="str">
        <f t="shared" si="3"/>
        <v>-</v>
      </c>
    </row>
    <row r="214" spans="1:20" x14ac:dyDescent="0.25">
      <c r="A214" s="29">
        <f>Текущий!A213</f>
        <v>30</v>
      </c>
      <c r="B214" s="29">
        <f>Текущий!B213</f>
        <v>24604</v>
      </c>
      <c r="C214" s="29">
        <f>Текущий!C213</f>
        <v>1</v>
      </c>
      <c r="D214" s="29" t="str">
        <f>Текущий!D213</f>
        <v>Баджал - Джамку</v>
      </c>
      <c r="E214" s="29">
        <f>ROUND(Текущий!J213,0)</f>
        <v>0</v>
      </c>
      <c r="F214" s="29">
        <f>Текущий!E213</f>
        <v>0</v>
      </c>
      <c r="G214" s="16" t="str">
        <f>IF(Текущий!K213="-",Текущий!K213,ROUND(Текущий!K213,0))</f>
        <v>-</v>
      </c>
      <c r="H214" s="29" t="str">
        <f>IF(ROUND(Текущий!I213,0)=0,"-",ROUND(Текущий!I213,0))</f>
        <v>-</v>
      </c>
      <c r="I214" s="16" t="str">
        <f>IF(Предыд!K213="-",Предыд!K213,ROUND(Предыд!K213,0))</f>
        <v>-</v>
      </c>
      <c r="J214" s="29" t="str">
        <f>IF(ROUND(Предыд!I213,0)=0,"-",ROUND(Предыд!I213,0))</f>
        <v>-</v>
      </c>
      <c r="K214" s="30" t="str">
        <f>Текущий!L213</f>
        <v>Рихтовка</v>
      </c>
      <c r="L214" s="29">
        <f>Текущий!AL213</f>
        <v>0</v>
      </c>
      <c r="M214" s="29">
        <f>Текущий!AM213</f>
        <v>0</v>
      </c>
      <c r="N214" s="29">
        <f>Текущий!AN213</f>
        <v>0</v>
      </c>
      <c r="O214" s="29">
        <f>Текущий!AP213</f>
        <v>0</v>
      </c>
      <c r="P214" s="29">
        <f>Предыд!AL213</f>
        <v>0</v>
      </c>
      <c r="Q214" s="29">
        <f>Предыд!AM213</f>
        <v>0</v>
      </c>
      <c r="R214" s="29">
        <f>Предыд!AN213</f>
        <v>0</v>
      </c>
      <c r="S214" s="29">
        <f>Предыд!AO213</f>
        <v>0</v>
      </c>
      <c r="T214" s="17" t="str">
        <f t="shared" si="3"/>
        <v>-</v>
      </c>
    </row>
    <row r="215" spans="1:20" x14ac:dyDescent="0.25">
      <c r="A215" s="29">
        <f>Текущий!A214</f>
        <v>30</v>
      </c>
      <c r="B215" s="29">
        <f>Текущий!B214</f>
        <v>24604</v>
      </c>
      <c r="C215" s="29">
        <f>Текущий!C214</f>
        <v>1</v>
      </c>
      <c r="D215" s="29" t="str">
        <f>Текущий!D214</f>
        <v>Джамку - Сектали</v>
      </c>
      <c r="E215" s="29">
        <f>ROUND(Текущий!J214,0)</f>
        <v>0</v>
      </c>
      <c r="F215" s="29">
        <f>Текущий!E214</f>
        <v>0</v>
      </c>
      <c r="G215" s="16" t="str">
        <f>IF(Текущий!K214="-",Текущий!K214,ROUND(Текущий!K214,0))</f>
        <v>-</v>
      </c>
      <c r="H215" s="29" t="str">
        <f>IF(ROUND(Текущий!I214,0)=0,"-",ROUND(Текущий!I214,0))</f>
        <v>-</v>
      </c>
      <c r="I215" s="16" t="str">
        <f>IF(Предыд!K214="-",Предыд!K214,ROUND(Предыд!K214,0))</f>
        <v>-</v>
      </c>
      <c r="J215" s="29" t="str">
        <f>IF(ROUND(Предыд!I214,0)=0,"-",ROUND(Предыд!I214,0))</f>
        <v>-</v>
      </c>
      <c r="K215" s="30" t="str">
        <f>Текущий!L214</f>
        <v>Рихтовка</v>
      </c>
      <c r="L215" s="29">
        <f>Текущий!AL214</f>
        <v>0</v>
      </c>
      <c r="M215" s="29">
        <f>Текущий!AM214</f>
        <v>0</v>
      </c>
      <c r="N215" s="29">
        <f>Текущий!AN214</f>
        <v>0</v>
      </c>
      <c r="O215" s="29">
        <f>Текущий!AP214</f>
        <v>0</v>
      </c>
      <c r="P215" s="29">
        <f>Предыд!AL214</f>
        <v>0</v>
      </c>
      <c r="Q215" s="29">
        <f>Предыд!AM214</f>
        <v>0</v>
      </c>
      <c r="R215" s="29">
        <f>Предыд!AN214</f>
        <v>0</v>
      </c>
      <c r="S215" s="29">
        <f>Предыд!AO214</f>
        <v>0</v>
      </c>
      <c r="T215" s="17" t="str">
        <f t="shared" si="3"/>
        <v>-</v>
      </c>
    </row>
    <row r="216" spans="1:20" x14ac:dyDescent="0.25">
      <c r="A216" s="29">
        <f>Текущий!A215</f>
        <v>30</v>
      </c>
      <c r="B216" s="29">
        <f>Текущий!B215</f>
        <v>24604</v>
      </c>
      <c r="C216" s="29">
        <f>Текущий!C215</f>
        <v>1</v>
      </c>
      <c r="D216" s="29" t="str">
        <f>Текущий!D215</f>
        <v>Сектали - Эанга</v>
      </c>
      <c r="E216" s="29">
        <f>ROUND(Текущий!J215,0)</f>
        <v>0</v>
      </c>
      <c r="F216" s="29">
        <f>Текущий!E215</f>
        <v>0</v>
      </c>
      <c r="G216" s="16" t="str">
        <f>IF(Текущий!K215="-",Текущий!K215,ROUND(Текущий!K215,0))</f>
        <v>-</v>
      </c>
      <c r="H216" s="29" t="str">
        <f>IF(ROUND(Текущий!I215,0)=0,"-",ROUND(Текущий!I215,0))</f>
        <v>-</v>
      </c>
      <c r="I216" s="16" t="str">
        <f>IF(Предыд!K215="-",Предыд!K215,ROUND(Предыд!K215,0))</f>
        <v>-</v>
      </c>
      <c r="J216" s="29" t="str">
        <f>IF(ROUND(Предыд!I215,0)=0,"-",ROUND(Предыд!I215,0))</f>
        <v>-</v>
      </c>
      <c r="K216" s="30" t="str">
        <f>Текущий!L215</f>
        <v>Рихтовка</v>
      </c>
      <c r="L216" s="29">
        <f>Текущий!AL215</f>
        <v>0</v>
      </c>
      <c r="M216" s="29">
        <f>Текущий!AM215</f>
        <v>0</v>
      </c>
      <c r="N216" s="29">
        <f>Текущий!AN215</f>
        <v>0</v>
      </c>
      <c r="O216" s="29">
        <f>Текущий!AP215</f>
        <v>0</v>
      </c>
      <c r="P216" s="29">
        <f>Предыд!AL215</f>
        <v>0</v>
      </c>
      <c r="Q216" s="29">
        <f>Предыд!AM215</f>
        <v>0</v>
      </c>
      <c r="R216" s="29">
        <f>Предыд!AN215</f>
        <v>0</v>
      </c>
      <c r="S216" s="29">
        <f>Предыд!AO215</f>
        <v>0</v>
      </c>
      <c r="T216" s="17" t="str">
        <f t="shared" si="3"/>
        <v>-</v>
      </c>
    </row>
    <row r="217" spans="1:20" x14ac:dyDescent="0.25">
      <c r="A217" s="29">
        <f>Текущий!A216</f>
        <v>30</v>
      </c>
      <c r="B217" s="29">
        <f>Текущий!B216</f>
        <v>24604</v>
      </c>
      <c r="C217" s="29">
        <f>Текущий!C216</f>
        <v>1</v>
      </c>
      <c r="D217" s="29" t="str">
        <f>Текущий!D216</f>
        <v>Эанга - Амгунь</v>
      </c>
      <c r="E217" s="29">
        <f>ROUND(Текущий!J216,0)</f>
        <v>0</v>
      </c>
      <c r="F217" s="29">
        <f>Текущий!E216</f>
        <v>0</v>
      </c>
      <c r="G217" s="16" t="str">
        <f>IF(Текущий!K216="-",Текущий!K216,ROUND(Текущий!K216,0))</f>
        <v>-</v>
      </c>
      <c r="H217" s="29" t="str">
        <f>IF(ROUND(Текущий!I216,0)=0,"-",ROUND(Текущий!I216,0))</f>
        <v>-</v>
      </c>
      <c r="I217" s="16" t="str">
        <f>IF(Предыд!K216="-",Предыд!K216,ROUND(Предыд!K216,0))</f>
        <v>-</v>
      </c>
      <c r="J217" s="29" t="str">
        <f>IF(ROUND(Предыд!I216,0)=0,"-",ROUND(Предыд!I216,0))</f>
        <v>-</v>
      </c>
      <c r="K217" s="30" t="str">
        <f>Текущий!L216</f>
        <v>Рихтовка</v>
      </c>
      <c r="L217" s="29">
        <f>Текущий!AL216</f>
        <v>0</v>
      </c>
      <c r="M217" s="29">
        <f>Текущий!AM216</f>
        <v>0</v>
      </c>
      <c r="N217" s="29">
        <f>Текущий!AN216</f>
        <v>0</v>
      </c>
      <c r="O217" s="29">
        <f>Текущий!AP216</f>
        <v>0</v>
      </c>
      <c r="P217" s="29">
        <f>Предыд!AL216</f>
        <v>0</v>
      </c>
      <c r="Q217" s="29">
        <f>Предыд!AM216</f>
        <v>0</v>
      </c>
      <c r="R217" s="29">
        <f>Предыд!AN216</f>
        <v>0</v>
      </c>
      <c r="S217" s="29">
        <f>Предыд!AO216</f>
        <v>0</v>
      </c>
      <c r="T217" s="17" t="str">
        <f t="shared" si="3"/>
        <v>-</v>
      </c>
    </row>
    <row r="218" spans="1:20" x14ac:dyDescent="0.25">
      <c r="A218" s="29">
        <f>Текущий!A217</f>
        <v>30</v>
      </c>
      <c r="B218" s="29">
        <f>Текущий!B217</f>
        <v>24604</v>
      </c>
      <c r="C218" s="29">
        <f>Текущий!C217</f>
        <v>1</v>
      </c>
      <c r="D218" s="29" t="str">
        <f>Текущий!D217</f>
        <v>Амгунь - Сонах</v>
      </c>
      <c r="E218" s="29">
        <f>ROUND(Текущий!J217,0)</f>
        <v>0</v>
      </c>
      <c r="F218" s="29">
        <f>Текущий!E217</f>
        <v>0</v>
      </c>
      <c r="G218" s="16" t="str">
        <f>IF(Текущий!K217="-",Текущий!K217,ROUND(Текущий!K217,0))</f>
        <v>-</v>
      </c>
      <c r="H218" s="29" t="str">
        <f>IF(ROUND(Текущий!I217,0)=0,"-",ROUND(Текущий!I217,0))</f>
        <v>-</v>
      </c>
      <c r="I218" s="16" t="str">
        <f>IF(Предыд!K217="-",Предыд!K217,ROUND(Предыд!K217,0))</f>
        <v>-</v>
      </c>
      <c r="J218" s="29" t="str">
        <f>IF(ROUND(Предыд!I217,0)=0,"-",ROUND(Предыд!I217,0))</f>
        <v>-</v>
      </c>
      <c r="K218" s="30" t="str">
        <f>Текущий!L217</f>
        <v>Рихтовка</v>
      </c>
      <c r="L218" s="29">
        <f>Текущий!AL217</f>
        <v>0</v>
      </c>
      <c r="M218" s="29">
        <f>Текущий!AM217</f>
        <v>0</v>
      </c>
      <c r="N218" s="29">
        <f>Текущий!AN217</f>
        <v>0</v>
      </c>
      <c r="O218" s="29">
        <f>Текущий!AP217</f>
        <v>0</v>
      </c>
      <c r="P218" s="29">
        <f>Предыд!AL217</f>
        <v>0</v>
      </c>
      <c r="Q218" s="29">
        <f>Предыд!AM217</f>
        <v>0</v>
      </c>
      <c r="R218" s="29">
        <f>Предыд!AN217</f>
        <v>0</v>
      </c>
      <c r="S218" s="29">
        <f>Предыд!AO217</f>
        <v>0</v>
      </c>
      <c r="T218" s="17" t="str">
        <f t="shared" si="3"/>
        <v>-</v>
      </c>
    </row>
    <row r="219" spans="1:20" x14ac:dyDescent="0.25">
      <c r="A219" s="29">
        <f>Текущий!A218</f>
        <v>30</v>
      </c>
      <c r="B219" s="29">
        <f>Текущий!B218</f>
        <v>24604</v>
      </c>
      <c r="C219" s="29">
        <f>Текущий!C218</f>
        <v>1</v>
      </c>
      <c r="D219" s="29" t="str">
        <f>Текущий!D218</f>
        <v>Сонах - Эбгунь</v>
      </c>
      <c r="E219" s="29">
        <f>ROUND(Текущий!J218,0)</f>
        <v>0</v>
      </c>
      <c r="F219" s="29">
        <f>Текущий!E218</f>
        <v>0</v>
      </c>
      <c r="G219" s="16" t="str">
        <f>IF(Текущий!K218="-",Текущий!K218,ROUND(Текущий!K218,0))</f>
        <v>-</v>
      </c>
      <c r="H219" s="29" t="str">
        <f>IF(ROUND(Текущий!I218,0)=0,"-",ROUND(Текущий!I218,0))</f>
        <v>-</v>
      </c>
      <c r="I219" s="16" t="str">
        <f>IF(Предыд!K218="-",Предыд!K218,ROUND(Предыд!K218,0))</f>
        <v>-</v>
      </c>
      <c r="J219" s="29" t="str">
        <f>IF(ROUND(Предыд!I218,0)=0,"-",ROUND(Предыд!I218,0))</f>
        <v>-</v>
      </c>
      <c r="K219" s="30" t="str">
        <f>Текущий!L218</f>
        <v>Рихтовка</v>
      </c>
      <c r="L219" s="29">
        <f>Текущий!AL218</f>
        <v>0</v>
      </c>
      <c r="M219" s="29">
        <f>Текущий!AM218</f>
        <v>0</v>
      </c>
      <c r="N219" s="29">
        <f>Текущий!AN218</f>
        <v>0</v>
      </c>
      <c r="O219" s="29">
        <f>Текущий!AP218</f>
        <v>0</v>
      </c>
      <c r="P219" s="29">
        <f>Предыд!AL218</f>
        <v>0</v>
      </c>
      <c r="Q219" s="29">
        <f>Предыд!AM218</f>
        <v>0</v>
      </c>
      <c r="R219" s="29">
        <f>Предыд!AN218</f>
        <v>0</v>
      </c>
      <c r="S219" s="29">
        <f>Предыд!AO218</f>
        <v>0</v>
      </c>
      <c r="T219" s="17" t="str">
        <f t="shared" si="3"/>
        <v>-</v>
      </c>
    </row>
    <row r="220" spans="1:20" x14ac:dyDescent="0.25">
      <c r="A220" s="29">
        <f>Текущий!A219</f>
        <v>30</v>
      </c>
      <c r="B220" s="29">
        <f>Текущий!B219</f>
        <v>24604</v>
      </c>
      <c r="C220" s="29">
        <f>Текущий!C219</f>
        <v>1</v>
      </c>
      <c r="D220" s="29" t="str">
        <f>Текущий!D219</f>
        <v>Эбгунь - Постышево</v>
      </c>
      <c r="E220" s="29">
        <f>ROUND(Текущий!J219,0)</f>
        <v>0</v>
      </c>
      <c r="F220" s="29">
        <f>Текущий!E219</f>
        <v>0</v>
      </c>
      <c r="G220" s="16" t="str">
        <f>IF(Текущий!K219="-",Текущий!K219,ROUND(Текущий!K219,0))</f>
        <v>-</v>
      </c>
      <c r="H220" s="29" t="str">
        <f>IF(ROUND(Текущий!I219,0)=0,"-",ROUND(Текущий!I219,0))</f>
        <v>-</v>
      </c>
      <c r="I220" s="16" t="str">
        <f>IF(Предыд!K219="-",Предыд!K219,ROUND(Предыд!K219,0))</f>
        <v>-</v>
      </c>
      <c r="J220" s="29" t="str">
        <f>IF(ROUND(Предыд!I219,0)=0,"-",ROUND(Предыд!I219,0))</f>
        <v>-</v>
      </c>
      <c r="K220" s="30" t="str">
        <f>Текущий!L219</f>
        <v>Рихтовка</v>
      </c>
      <c r="L220" s="29">
        <f>Текущий!AL219</f>
        <v>0</v>
      </c>
      <c r="M220" s="29">
        <f>Текущий!AM219</f>
        <v>0</v>
      </c>
      <c r="N220" s="29">
        <f>Текущий!AN219</f>
        <v>0</v>
      </c>
      <c r="O220" s="29">
        <f>Текущий!AP219</f>
        <v>0</v>
      </c>
      <c r="P220" s="29">
        <f>Предыд!AL219</f>
        <v>0</v>
      </c>
      <c r="Q220" s="29">
        <f>Предыд!AM219</f>
        <v>0</v>
      </c>
      <c r="R220" s="29">
        <f>Предыд!AN219</f>
        <v>0</v>
      </c>
      <c r="S220" s="29">
        <f>Предыд!AO219</f>
        <v>0</v>
      </c>
      <c r="T220" s="17" t="str">
        <f t="shared" si="3"/>
        <v>-</v>
      </c>
    </row>
    <row r="221" spans="1:20" x14ac:dyDescent="0.25">
      <c r="A221" s="29">
        <f>Текущий!A220</f>
        <v>31</v>
      </c>
      <c r="B221" s="29">
        <f>Текущий!B220</f>
        <v>24604</v>
      </c>
      <c r="C221" s="29">
        <f>Текущий!C220</f>
        <v>1</v>
      </c>
      <c r="D221" s="29" t="str">
        <f>Текущий!D220</f>
        <v>Постышево - Дуки</v>
      </c>
      <c r="E221" s="29">
        <f>ROUND(Текущий!J220,0)</f>
        <v>0</v>
      </c>
      <c r="F221" s="29">
        <f>Текущий!E220</f>
        <v>0</v>
      </c>
      <c r="G221" s="16" t="str">
        <f>IF(Текущий!K220="-",Текущий!K220,ROUND(Текущий!K220,0))</f>
        <v>-</v>
      </c>
      <c r="H221" s="29" t="str">
        <f>IF(ROUND(Текущий!I220,0)=0,"-",ROUND(Текущий!I220,0))</f>
        <v>-</v>
      </c>
      <c r="I221" s="16" t="str">
        <f>IF(Предыд!K220="-",Предыд!K220,ROUND(Предыд!K220,0))</f>
        <v>-</v>
      </c>
      <c r="J221" s="29" t="str">
        <f>IF(ROUND(Предыд!I220,0)=0,"-",ROUND(Предыд!I220,0))</f>
        <v>-</v>
      </c>
      <c r="K221" s="30" t="str">
        <f>Текущий!L220</f>
        <v>Рихтовка</v>
      </c>
      <c r="L221" s="29">
        <f>Текущий!AL220</f>
        <v>0</v>
      </c>
      <c r="M221" s="29">
        <f>Текущий!AM220</f>
        <v>0</v>
      </c>
      <c r="N221" s="29">
        <f>Текущий!AN220</f>
        <v>0</v>
      </c>
      <c r="O221" s="29">
        <f>Текущий!AP220</f>
        <v>0</v>
      </c>
      <c r="P221" s="29">
        <f>Предыд!AL220</f>
        <v>0</v>
      </c>
      <c r="Q221" s="29">
        <f>Предыд!AM220</f>
        <v>0</v>
      </c>
      <c r="R221" s="29">
        <f>Предыд!AN220</f>
        <v>0</v>
      </c>
      <c r="S221" s="29">
        <f>Предыд!AO220</f>
        <v>0</v>
      </c>
      <c r="T221" s="17" t="str">
        <f t="shared" si="3"/>
        <v>-</v>
      </c>
    </row>
    <row r="222" spans="1:20" x14ac:dyDescent="0.25">
      <c r="A222" s="29">
        <f>Текущий!A221</f>
        <v>31</v>
      </c>
      <c r="B222" s="29">
        <f>Текущий!B221</f>
        <v>24604</v>
      </c>
      <c r="C222" s="29">
        <f>Текущий!C221</f>
        <v>1</v>
      </c>
      <c r="D222" s="29" t="str">
        <f>Текущий!D221</f>
        <v>Дуки - Болен</v>
      </c>
      <c r="E222" s="29">
        <f>ROUND(Текущий!J221,0)</f>
        <v>0</v>
      </c>
      <c r="F222" s="29">
        <f>Текущий!E221</f>
        <v>0</v>
      </c>
      <c r="G222" s="16" t="str">
        <f>IF(Текущий!K221="-",Текущий!K221,ROUND(Текущий!K221,0))</f>
        <v>-</v>
      </c>
      <c r="H222" s="29" t="str">
        <f>IF(ROUND(Текущий!I221,0)=0,"-",ROUND(Текущий!I221,0))</f>
        <v>-</v>
      </c>
      <c r="I222" s="16" t="str">
        <f>IF(Предыд!K221="-",Предыд!K221,ROUND(Предыд!K221,0))</f>
        <v>-</v>
      </c>
      <c r="J222" s="29" t="str">
        <f>IF(ROUND(Предыд!I221,0)=0,"-",ROUND(Предыд!I221,0))</f>
        <v>-</v>
      </c>
      <c r="K222" s="30" t="str">
        <f>Текущий!L221</f>
        <v>Рихтовка</v>
      </c>
      <c r="L222" s="29">
        <f>Текущий!AL221</f>
        <v>0</v>
      </c>
      <c r="M222" s="29">
        <f>Текущий!AM221</f>
        <v>0</v>
      </c>
      <c r="N222" s="29">
        <f>Текущий!AN221</f>
        <v>0</v>
      </c>
      <c r="O222" s="29">
        <f>Текущий!AP221</f>
        <v>0</v>
      </c>
      <c r="P222" s="29">
        <f>Предыд!AL221</f>
        <v>0</v>
      </c>
      <c r="Q222" s="29">
        <f>Предыд!AM221</f>
        <v>0</v>
      </c>
      <c r="R222" s="29">
        <f>Предыд!AN221</f>
        <v>0</v>
      </c>
      <c r="S222" s="29">
        <f>Предыд!AO221</f>
        <v>0</v>
      </c>
      <c r="T222" s="17" t="str">
        <f t="shared" si="3"/>
        <v>-</v>
      </c>
    </row>
    <row r="223" spans="1:20" x14ac:dyDescent="0.25">
      <c r="A223" s="29">
        <f>Текущий!A222</f>
        <v>31</v>
      </c>
      <c r="B223" s="29">
        <f>Текущий!B222</f>
        <v>24604</v>
      </c>
      <c r="C223" s="29">
        <f>Текущий!C222</f>
        <v>1</v>
      </c>
      <c r="D223" s="29" t="str">
        <f>Текущий!D222</f>
        <v>Болен - Мони</v>
      </c>
      <c r="E223" s="29">
        <f>ROUND(Текущий!J222,0)</f>
        <v>0</v>
      </c>
      <c r="F223" s="29">
        <f>Текущий!E222</f>
        <v>0</v>
      </c>
      <c r="G223" s="16" t="str">
        <f>IF(Текущий!K222="-",Текущий!K222,ROUND(Текущий!K222,0))</f>
        <v>-</v>
      </c>
      <c r="H223" s="29" t="str">
        <f>IF(ROUND(Текущий!I222,0)=0,"-",ROUND(Текущий!I222,0))</f>
        <v>-</v>
      </c>
      <c r="I223" s="16" t="str">
        <f>IF(Предыд!K222="-",Предыд!K222,ROUND(Предыд!K222,0))</f>
        <v>-</v>
      </c>
      <c r="J223" s="29" t="str">
        <f>IF(ROUND(Предыд!I222,0)=0,"-",ROUND(Предыд!I222,0))</f>
        <v>-</v>
      </c>
      <c r="K223" s="30" t="str">
        <f>Текущий!L222</f>
        <v>Рихтовка</v>
      </c>
      <c r="L223" s="29">
        <f>Текущий!AL222</f>
        <v>0</v>
      </c>
      <c r="M223" s="29">
        <f>Текущий!AM222</f>
        <v>0</v>
      </c>
      <c r="N223" s="29">
        <f>Текущий!AN222</f>
        <v>0</v>
      </c>
      <c r="O223" s="29">
        <f>Текущий!AP222</f>
        <v>0</v>
      </c>
      <c r="P223" s="29">
        <f>Предыд!AL222</f>
        <v>0</v>
      </c>
      <c r="Q223" s="29">
        <f>Предыд!AM222</f>
        <v>0</v>
      </c>
      <c r="R223" s="29">
        <f>Предыд!AN222</f>
        <v>0</v>
      </c>
      <c r="S223" s="29">
        <f>Предыд!AO222</f>
        <v>0</v>
      </c>
      <c r="T223" s="17" t="str">
        <f t="shared" si="3"/>
        <v>-</v>
      </c>
    </row>
    <row r="224" spans="1:20" x14ac:dyDescent="0.25">
      <c r="A224" s="29">
        <f>Текущий!A223</f>
        <v>31</v>
      </c>
      <c r="B224" s="29">
        <f>Текущий!B223</f>
        <v>24604</v>
      </c>
      <c r="C224" s="29">
        <f>Текущий!C223</f>
        <v>1</v>
      </c>
      <c r="D224" s="29" t="str">
        <f>Текущий!D223</f>
        <v>Мони - Эворон</v>
      </c>
      <c r="E224" s="29">
        <f>ROUND(Текущий!J223,0)</f>
        <v>0</v>
      </c>
      <c r="F224" s="29">
        <f>Текущий!E223</f>
        <v>0</v>
      </c>
      <c r="G224" s="16" t="str">
        <f>IF(Текущий!K223="-",Текущий!K223,ROUND(Текущий!K223,0))</f>
        <v>-</v>
      </c>
      <c r="H224" s="29" t="str">
        <f>IF(ROUND(Текущий!I223,0)=0,"-",ROUND(Текущий!I223,0))</f>
        <v>-</v>
      </c>
      <c r="I224" s="16" t="str">
        <f>IF(Предыд!K223="-",Предыд!K223,ROUND(Предыд!K223,0))</f>
        <v>-</v>
      </c>
      <c r="J224" s="29" t="str">
        <f>IF(ROUND(Предыд!I223,0)=0,"-",ROUND(Предыд!I223,0))</f>
        <v>-</v>
      </c>
      <c r="K224" s="30" t="str">
        <f>Текущий!L223</f>
        <v>Рихтовка</v>
      </c>
      <c r="L224" s="29">
        <f>Текущий!AL223</f>
        <v>0</v>
      </c>
      <c r="M224" s="29">
        <f>Текущий!AM223</f>
        <v>0</v>
      </c>
      <c r="N224" s="29">
        <f>Текущий!AN223</f>
        <v>0</v>
      </c>
      <c r="O224" s="29">
        <f>Текущий!AP223</f>
        <v>0</v>
      </c>
      <c r="P224" s="29">
        <f>Предыд!AL223</f>
        <v>0</v>
      </c>
      <c r="Q224" s="29">
        <f>Предыд!AM223</f>
        <v>0</v>
      </c>
      <c r="R224" s="29">
        <f>Предыд!AN223</f>
        <v>0</v>
      </c>
      <c r="S224" s="29">
        <f>Предыд!AO223</f>
        <v>0</v>
      </c>
      <c r="T224" s="17" t="str">
        <f t="shared" si="3"/>
        <v>-</v>
      </c>
    </row>
    <row r="225" spans="1:20" x14ac:dyDescent="0.25">
      <c r="A225" s="29">
        <f>Текущий!A224</f>
        <v>31</v>
      </c>
      <c r="B225" s="29">
        <f>Текущий!B224</f>
        <v>24604</v>
      </c>
      <c r="C225" s="29">
        <f>Текущий!C224</f>
        <v>1</v>
      </c>
      <c r="D225" s="29" t="str">
        <f>Текущий!D224</f>
        <v>Эворон - Катама</v>
      </c>
      <c r="E225" s="29">
        <f>ROUND(Текущий!J224,0)</f>
        <v>0</v>
      </c>
      <c r="F225" s="29">
        <f>Текущий!E224</f>
        <v>0</v>
      </c>
      <c r="G225" s="16" t="str">
        <f>IF(Текущий!K224="-",Текущий!K224,ROUND(Текущий!K224,0))</f>
        <v>-</v>
      </c>
      <c r="H225" s="29" t="str">
        <f>IF(ROUND(Текущий!I224,0)=0,"-",ROUND(Текущий!I224,0))</f>
        <v>-</v>
      </c>
      <c r="I225" s="16" t="str">
        <f>IF(Предыд!K224="-",Предыд!K224,ROUND(Предыд!K224,0))</f>
        <v>-</v>
      </c>
      <c r="J225" s="29" t="str">
        <f>IF(ROUND(Предыд!I224,0)=0,"-",ROUND(Предыд!I224,0))</f>
        <v>-</v>
      </c>
      <c r="K225" s="30" t="str">
        <f>Текущий!L224</f>
        <v>Рихтовка</v>
      </c>
      <c r="L225" s="29">
        <f>Текущий!AL224</f>
        <v>0</v>
      </c>
      <c r="M225" s="29">
        <f>Текущий!AM224</f>
        <v>0</v>
      </c>
      <c r="N225" s="29">
        <f>Текущий!AN224</f>
        <v>0</v>
      </c>
      <c r="O225" s="29">
        <f>Текущий!AP224</f>
        <v>0</v>
      </c>
      <c r="P225" s="29">
        <f>Предыд!AL224</f>
        <v>0</v>
      </c>
      <c r="Q225" s="29">
        <f>Предыд!AM224</f>
        <v>0</v>
      </c>
      <c r="R225" s="29">
        <f>Предыд!AN224</f>
        <v>0</v>
      </c>
      <c r="S225" s="29">
        <f>Предыд!AO224</f>
        <v>0</v>
      </c>
      <c r="T225" s="17" t="str">
        <f t="shared" si="3"/>
        <v>-</v>
      </c>
    </row>
    <row r="226" spans="1:20" x14ac:dyDescent="0.25">
      <c r="A226" s="29">
        <f>Текущий!A225</f>
        <v>31</v>
      </c>
      <c r="B226" s="29">
        <f>Текущий!B225</f>
        <v>24604</v>
      </c>
      <c r="C226" s="29">
        <f>Текущий!C225</f>
        <v>1</v>
      </c>
      <c r="D226" s="29" t="str">
        <f>Текущий!D225</f>
        <v>Катама - Харпичан</v>
      </c>
      <c r="E226" s="29">
        <f>ROUND(Текущий!J225,0)</f>
        <v>0</v>
      </c>
      <c r="F226" s="29">
        <f>Текущий!E225</f>
        <v>0</v>
      </c>
      <c r="G226" s="16" t="str">
        <f>IF(Текущий!K225="-",Текущий!K225,ROUND(Текущий!K225,0))</f>
        <v>-</v>
      </c>
      <c r="H226" s="29" t="str">
        <f>IF(ROUND(Текущий!I225,0)=0,"-",ROUND(Текущий!I225,0))</f>
        <v>-</v>
      </c>
      <c r="I226" s="16" t="str">
        <f>IF(Предыд!K225="-",Предыд!K225,ROUND(Предыд!K225,0))</f>
        <v>-</v>
      </c>
      <c r="J226" s="29" t="str">
        <f>IF(ROUND(Предыд!I225,0)=0,"-",ROUND(Предыд!I225,0))</f>
        <v>-</v>
      </c>
      <c r="K226" s="30" t="str">
        <f>Текущий!L225</f>
        <v>Рихтовка</v>
      </c>
      <c r="L226" s="29">
        <f>Текущий!AL225</f>
        <v>0</v>
      </c>
      <c r="M226" s="29">
        <f>Текущий!AM225</f>
        <v>0</v>
      </c>
      <c r="N226" s="29">
        <f>Текущий!AN225</f>
        <v>0</v>
      </c>
      <c r="O226" s="29">
        <f>Текущий!AP225</f>
        <v>0</v>
      </c>
      <c r="P226" s="29">
        <f>Предыд!AL225</f>
        <v>0</v>
      </c>
      <c r="Q226" s="29">
        <f>Предыд!AM225</f>
        <v>0</v>
      </c>
      <c r="R226" s="29">
        <f>Предыд!AN225</f>
        <v>0</v>
      </c>
      <c r="S226" s="29">
        <f>Предыд!AO225</f>
        <v>0</v>
      </c>
      <c r="T226" s="17" t="str">
        <f t="shared" si="3"/>
        <v>-</v>
      </c>
    </row>
    <row r="227" spans="1:20" x14ac:dyDescent="0.25">
      <c r="A227" s="29">
        <f>Текущий!A226</f>
        <v>31</v>
      </c>
      <c r="B227" s="29">
        <f>Текущий!B226</f>
        <v>24604</v>
      </c>
      <c r="C227" s="29">
        <f>Текущий!C226</f>
        <v>1</v>
      </c>
      <c r="D227" s="29" t="str">
        <f>Текущий!D226</f>
        <v>Харпичан - Горин</v>
      </c>
      <c r="E227" s="29">
        <f>ROUND(Текущий!J226,0)</f>
        <v>0</v>
      </c>
      <c r="F227" s="29">
        <f>Текущий!E226</f>
        <v>0</v>
      </c>
      <c r="G227" s="16" t="str">
        <f>IF(Текущий!K226="-",Текущий!K226,ROUND(Текущий!K226,0))</f>
        <v>-</v>
      </c>
      <c r="H227" s="29" t="str">
        <f>IF(ROUND(Текущий!I226,0)=0,"-",ROUND(Текущий!I226,0))</f>
        <v>-</v>
      </c>
      <c r="I227" s="16" t="str">
        <f>IF(Предыд!K226="-",Предыд!K226,ROUND(Предыд!K226,0))</f>
        <v>-</v>
      </c>
      <c r="J227" s="29" t="str">
        <f>IF(ROUND(Предыд!I226,0)=0,"-",ROUND(Предыд!I226,0))</f>
        <v>-</v>
      </c>
      <c r="K227" s="30" t="str">
        <f>Текущий!L226</f>
        <v>Рихтовка</v>
      </c>
      <c r="L227" s="29">
        <f>Текущий!AL226</f>
        <v>0</v>
      </c>
      <c r="M227" s="29">
        <f>Текущий!AM226</f>
        <v>0</v>
      </c>
      <c r="N227" s="29">
        <f>Текущий!AN226</f>
        <v>0</v>
      </c>
      <c r="O227" s="29">
        <f>Текущий!AP226</f>
        <v>0</v>
      </c>
      <c r="P227" s="29">
        <f>Предыд!AL226</f>
        <v>0</v>
      </c>
      <c r="Q227" s="29">
        <f>Предыд!AM226</f>
        <v>0</v>
      </c>
      <c r="R227" s="29">
        <f>Предыд!AN226</f>
        <v>0</v>
      </c>
      <c r="S227" s="29">
        <f>Предыд!AO226</f>
        <v>0</v>
      </c>
      <c r="T227" s="17" t="str">
        <f t="shared" si="3"/>
        <v>-</v>
      </c>
    </row>
    <row r="228" spans="1:20" x14ac:dyDescent="0.25">
      <c r="A228" s="29">
        <f>Текущий!A227</f>
        <v>31</v>
      </c>
      <c r="B228" s="29">
        <f>Текущий!B227</f>
        <v>24604</v>
      </c>
      <c r="C228" s="29">
        <f>Текущий!C227</f>
        <v>1</v>
      </c>
      <c r="D228" s="29" t="str">
        <f>Текущий!D227</f>
        <v>Горин - Пиль</v>
      </c>
      <c r="E228" s="29">
        <f>ROUND(Текущий!J227,0)</f>
        <v>0</v>
      </c>
      <c r="F228" s="29">
        <f>Текущий!E227</f>
        <v>0</v>
      </c>
      <c r="G228" s="16" t="str">
        <f>IF(Текущий!K227="-",Текущий!K227,ROUND(Текущий!K227,0))</f>
        <v>-</v>
      </c>
      <c r="H228" s="29" t="str">
        <f>IF(ROUND(Текущий!I227,0)=0,"-",ROUND(Текущий!I227,0))</f>
        <v>-</v>
      </c>
      <c r="I228" s="16" t="str">
        <f>IF(Предыд!K227="-",Предыд!K227,ROUND(Предыд!K227,0))</f>
        <v>-</v>
      </c>
      <c r="J228" s="29" t="str">
        <f>IF(ROUND(Предыд!I227,0)=0,"-",ROUND(Предыд!I227,0))</f>
        <v>-</v>
      </c>
      <c r="K228" s="30" t="str">
        <f>Текущий!L227</f>
        <v>Рихтовка</v>
      </c>
      <c r="L228" s="29">
        <f>Текущий!AL227</f>
        <v>0</v>
      </c>
      <c r="M228" s="29">
        <f>Текущий!AM227</f>
        <v>0</v>
      </c>
      <c r="N228" s="29">
        <f>Текущий!AN227</f>
        <v>0</v>
      </c>
      <c r="O228" s="29">
        <f>Текущий!AP227</f>
        <v>0</v>
      </c>
      <c r="P228" s="29">
        <f>Предыд!AL227</f>
        <v>0</v>
      </c>
      <c r="Q228" s="29">
        <f>Предыд!AM227</f>
        <v>0</v>
      </c>
      <c r="R228" s="29">
        <f>Предыд!AN227</f>
        <v>0</v>
      </c>
      <c r="S228" s="29">
        <f>Предыд!AO227</f>
        <v>0</v>
      </c>
      <c r="T228" s="17" t="str">
        <f t="shared" si="3"/>
        <v>-</v>
      </c>
    </row>
    <row r="229" spans="1:20" x14ac:dyDescent="0.25">
      <c r="A229" s="29">
        <f>Текущий!A228</f>
        <v>31</v>
      </c>
      <c r="B229" s="29">
        <f>Текущий!B228</f>
        <v>24604</v>
      </c>
      <c r="C229" s="29">
        <f>Текущий!C228</f>
        <v>1</v>
      </c>
      <c r="D229" s="29" t="str">
        <f>Текущий!D228</f>
        <v>Пиль - Мавринский</v>
      </c>
      <c r="E229" s="29">
        <f>ROUND(Текущий!J228,0)</f>
        <v>0</v>
      </c>
      <c r="F229" s="29">
        <f>Текущий!E228</f>
        <v>0</v>
      </c>
      <c r="G229" s="16" t="str">
        <f>IF(Текущий!K228="-",Текущий!K228,ROUND(Текущий!K228,0))</f>
        <v>-</v>
      </c>
      <c r="H229" s="29" t="str">
        <f>IF(ROUND(Текущий!I228,0)=0,"-",ROUND(Текущий!I228,0))</f>
        <v>-</v>
      </c>
      <c r="I229" s="16" t="str">
        <f>IF(Предыд!K228="-",Предыд!K228,ROUND(Предыд!K228,0))</f>
        <v>-</v>
      </c>
      <c r="J229" s="29" t="str">
        <f>IF(ROUND(Предыд!I228,0)=0,"-",ROUND(Предыд!I228,0))</f>
        <v>-</v>
      </c>
      <c r="K229" s="30" t="str">
        <f>Текущий!L228</f>
        <v>Рихтовка</v>
      </c>
      <c r="L229" s="29">
        <f>Текущий!AL228</f>
        <v>0</v>
      </c>
      <c r="M229" s="29">
        <f>Текущий!AM228</f>
        <v>0</v>
      </c>
      <c r="N229" s="29">
        <f>Текущий!AN228</f>
        <v>0</v>
      </c>
      <c r="O229" s="29">
        <f>Текущий!AP228</f>
        <v>0</v>
      </c>
      <c r="P229" s="29">
        <f>Предыд!AL228</f>
        <v>0</v>
      </c>
      <c r="Q229" s="29">
        <f>Предыд!AM228</f>
        <v>0</v>
      </c>
      <c r="R229" s="29">
        <f>Предыд!AN228</f>
        <v>0</v>
      </c>
      <c r="S229" s="29">
        <f>Предыд!AO228</f>
        <v>0</v>
      </c>
      <c r="T229" s="17" t="str">
        <f t="shared" si="3"/>
        <v>-</v>
      </c>
    </row>
    <row r="230" spans="1:20" x14ac:dyDescent="0.25">
      <c r="A230" s="29">
        <f>Текущий!A229</f>
        <v>31</v>
      </c>
      <c r="B230" s="29">
        <f>Текущий!B229</f>
        <v>24604</v>
      </c>
      <c r="C230" s="29">
        <f>Текущий!C229</f>
        <v>1</v>
      </c>
      <c r="D230" s="29" t="str">
        <f>Текущий!D229</f>
        <v>Мавринский - Хурмули</v>
      </c>
      <c r="E230" s="29">
        <f>ROUND(Текущий!J229,0)</f>
        <v>0</v>
      </c>
      <c r="F230" s="29">
        <f>Текущий!E229</f>
        <v>0</v>
      </c>
      <c r="G230" s="16" t="str">
        <f>IF(Текущий!K229="-",Текущий!K229,ROUND(Текущий!K229,0))</f>
        <v>-</v>
      </c>
      <c r="H230" s="29" t="str">
        <f>IF(ROUND(Текущий!I229,0)=0,"-",ROUND(Текущий!I229,0))</f>
        <v>-</v>
      </c>
      <c r="I230" s="16" t="str">
        <f>IF(Предыд!K229="-",Предыд!K229,ROUND(Предыд!K229,0))</f>
        <v>-</v>
      </c>
      <c r="J230" s="29" t="str">
        <f>IF(ROUND(Предыд!I229,0)=0,"-",ROUND(Предыд!I229,0))</f>
        <v>-</v>
      </c>
      <c r="K230" s="30" t="str">
        <f>Текущий!L229</f>
        <v>Рихтовка</v>
      </c>
      <c r="L230" s="29">
        <f>Текущий!AL229</f>
        <v>0</v>
      </c>
      <c r="M230" s="29">
        <f>Текущий!AM229</f>
        <v>0</v>
      </c>
      <c r="N230" s="29">
        <f>Текущий!AN229</f>
        <v>0</v>
      </c>
      <c r="O230" s="29">
        <f>Текущий!AP229</f>
        <v>0</v>
      </c>
      <c r="P230" s="29">
        <f>Предыд!AL229</f>
        <v>0</v>
      </c>
      <c r="Q230" s="29">
        <f>Предыд!AM229</f>
        <v>0</v>
      </c>
      <c r="R230" s="29">
        <f>Предыд!AN229</f>
        <v>0</v>
      </c>
      <c r="S230" s="29">
        <f>Предыд!AO229</f>
        <v>0</v>
      </c>
      <c r="T230" s="17" t="str">
        <f t="shared" si="3"/>
        <v>-</v>
      </c>
    </row>
    <row r="231" spans="1:20" x14ac:dyDescent="0.25">
      <c r="A231" s="29">
        <f>Текущий!A230</f>
        <v>31</v>
      </c>
      <c r="B231" s="29">
        <f>Текущий!B230</f>
        <v>24604</v>
      </c>
      <c r="C231" s="29">
        <f>Текущий!C230</f>
        <v>1</v>
      </c>
      <c r="D231" s="29" t="str">
        <f>Текущий!D230</f>
        <v>Хурмули - Холони</v>
      </c>
      <c r="E231" s="29">
        <f>ROUND(Текущий!J230,0)</f>
        <v>0</v>
      </c>
      <c r="F231" s="29">
        <f>Текущий!E230</f>
        <v>0</v>
      </c>
      <c r="G231" s="16" t="str">
        <f>IF(Текущий!K230="-",Текущий!K230,ROUND(Текущий!K230,0))</f>
        <v>-</v>
      </c>
      <c r="H231" s="29" t="str">
        <f>IF(ROUND(Текущий!I230,0)=0,"-",ROUND(Текущий!I230,0))</f>
        <v>-</v>
      </c>
      <c r="I231" s="16" t="str">
        <f>IF(Предыд!K230="-",Предыд!K230,ROUND(Предыд!K230,0))</f>
        <v>-</v>
      </c>
      <c r="J231" s="29" t="str">
        <f>IF(ROUND(Предыд!I230,0)=0,"-",ROUND(Предыд!I230,0))</f>
        <v>-</v>
      </c>
      <c r="K231" s="30" t="str">
        <f>Текущий!L230</f>
        <v>Рихтовка</v>
      </c>
      <c r="L231" s="29">
        <f>Текущий!AL230</f>
        <v>0</v>
      </c>
      <c r="M231" s="29">
        <f>Текущий!AM230</f>
        <v>0</v>
      </c>
      <c r="N231" s="29">
        <f>Текущий!AN230</f>
        <v>0</v>
      </c>
      <c r="O231" s="29">
        <f>Текущий!AP230</f>
        <v>0</v>
      </c>
      <c r="P231" s="29">
        <f>Предыд!AL230</f>
        <v>0</v>
      </c>
      <c r="Q231" s="29">
        <f>Предыд!AM230</f>
        <v>0</v>
      </c>
      <c r="R231" s="29">
        <f>Предыд!AN230</f>
        <v>0</v>
      </c>
      <c r="S231" s="29">
        <f>Предыд!AO230</f>
        <v>0</v>
      </c>
      <c r="T231" s="17" t="str">
        <f t="shared" si="3"/>
        <v>-</v>
      </c>
    </row>
    <row r="232" spans="1:20" x14ac:dyDescent="0.25">
      <c r="A232" s="29">
        <f>Текущий!A231</f>
        <v>31</v>
      </c>
      <c r="B232" s="29">
        <f>Текущий!B231</f>
        <v>24604</v>
      </c>
      <c r="C232" s="29">
        <f>Текущий!C231</f>
        <v>1</v>
      </c>
      <c r="D232" s="29" t="str">
        <f>Текущий!D231</f>
        <v>Холони - Лиан</v>
      </c>
      <c r="E232" s="29">
        <f>ROUND(Текущий!J231,0)</f>
        <v>0</v>
      </c>
      <c r="F232" s="29">
        <f>Текущий!E231</f>
        <v>0</v>
      </c>
      <c r="G232" s="16" t="str">
        <f>IF(Текущий!K231="-",Текущий!K231,ROUND(Текущий!K231,0))</f>
        <v>-</v>
      </c>
      <c r="H232" s="29" t="str">
        <f>IF(ROUND(Текущий!I231,0)=0,"-",ROUND(Текущий!I231,0))</f>
        <v>-</v>
      </c>
      <c r="I232" s="16" t="str">
        <f>IF(Предыд!K231="-",Предыд!K231,ROUND(Предыд!K231,0))</f>
        <v>-</v>
      </c>
      <c r="J232" s="29" t="str">
        <f>IF(ROUND(Предыд!I231,0)=0,"-",ROUND(Предыд!I231,0))</f>
        <v>-</v>
      </c>
      <c r="K232" s="30" t="str">
        <f>Текущий!L231</f>
        <v>Рихтовка</v>
      </c>
      <c r="L232" s="29">
        <f>Текущий!AL231</f>
        <v>0</v>
      </c>
      <c r="M232" s="29">
        <f>Текущий!AM231</f>
        <v>0</v>
      </c>
      <c r="N232" s="29">
        <f>Текущий!AN231</f>
        <v>0</v>
      </c>
      <c r="O232" s="29">
        <f>Текущий!AP231</f>
        <v>0</v>
      </c>
      <c r="P232" s="29">
        <f>Предыд!AL231</f>
        <v>0</v>
      </c>
      <c r="Q232" s="29">
        <f>Предыд!AM231</f>
        <v>0</v>
      </c>
      <c r="R232" s="29">
        <f>Предыд!AN231</f>
        <v>0</v>
      </c>
      <c r="S232" s="29">
        <f>Предыд!AO231</f>
        <v>0</v>
      </c>
      <c r="T232" s="17" t="str">
        <f t="shared" si="3"/>
        <v>-</v>
      </c>
    </row>
    <row r="233" spans="1:20" x14ac:dyDescent="0.25">
      <c r="A233" s="29">
        <f>Текущий!A232</f>
        <v>31</v>
      </c>
      <c r="B233" s="29">
        <f>Текущий!B232</f>
        <v>24604</v>
      </c>
      <c r="C233" s="29">
        <f>Текущий!C232</f>
        <v>1</v>
      </c>
      <c r="D233" s="29" t="str">
        <f>Текущий!D232</f>
        <v>Лиан - Хальгасо</v>
      </c>
      <c r="E233" s="29">
        <f>ROUND(Текущий!J232,0)</f>
        <v>0</v>
      </c>
      <c r="F233" s="29">
        <f>Текущий!E232</f>
        <v>0</v>
      </c>
      <c r="G233" s="16" t="str">
        <f>IF(Текущий!K232="-",Текущий!K232,ROUND(Текущий!K232,0))</f>
        <v>-</v>
      </c>
      <c r="H233" s="29" t="str">
        <f>IF(ROUND(Текущий!I232,0)=0,"-",ROUND(Текущий!I232,0))</f>
        <v>-</v>
      </c>
      <c r="I233" s="16" t="str">
        <f>IF(Предыд!K232="-",Предыд!K232,ROUND(Предыд!K232,0))</f>
        <v>-</v>
      </c>
      <c r="J233" s="29" t="str">
        <f>IF(ROUND(Предыд!I232,0)=0,"-",ROUND(Предыд!I232,0))</f>
        <v>-</v>
      </c>
      <c r="K233" s="30" t="str">
        <f>Текущий!L232</f>
        <v>Рихтовка</v>
      </c>
      <c r="L233" s="29">
        <f>Текущий!AL232</f>
        <v>0</v>
      </c>
      <c r="M233" s="29">
        <f>Текущий!AM232</f>
        <v>0</v>
      </c>
      <c r="N233" s="29">
        <f>Текущий!AN232</f>
        <v>0</v>
      </c>
      <c r="O233" s="29">
        <f>Текущий!AP232</f>
        <v>0</v>
      </c>
      <c r="P233" s="29">
        <f>Предыд!AL232</f>
        <v>0</v>
      </c>
      <c r="Q233" s="29">
        <f>Предыд!AM232</f>
        <v>0</v>
      </c>
      <c r="R233" s="29">
        <f>Предыд!AN232</f>
        <v>0</v>
      </c>
      <c r="S233" s="29">
        <f>Предыд!AO232</f>
        <v>0</v>
      </c>
      <c r="T233" s="17" t="str">
        <f t="shared" si="3"/>
        <v>-</v>
      </c>
    </row>
    <row r="234" spans="1:20" x14ac:dyDescent="0.25">
      <c r="A234" s="29">
        <f>Текущий!A233</f>
        <v>31</v>
      </c>
      <c r="B234" s="29">
        <f>Текущий!B233</f>
        <v>24604</v>
      </c>
      <c r="C234" s="29">
        <f>Текущий!C233</f>
        <v>1</v>
      </c>
      <c r="D234" s="29" t="str">
        <f>Текущий!D233</f>
        <v>Хальгасо - Силинка</v>
      </c>
      <c r="E234" s="29">
        <f>ROUND(Текущий!J233,0)</f>
        <v>0</v>
      </c>
      <c r="F234" s="29">
        <f>Текущий!E233</f>
        <v>0</v>
      </c>
      <c r="G234" s="16" t="str">
        <f>IF(Текущий!K233="-",Текущий!K233,ROUND(Текущий!K233,0))</f>
        <v>-</v>
      </c>
      <c r="H234" s="29" t="str">
        <f>IF(ROUND(Текущий!I233,0)=0,"-",ROUND(Текущий!I233,0))</f>
        <v>-</v>
      </c>
      <c r="I234" s="16">
        <f>IF(Предыд!K233="-",Предыд!K233,ROUND(Предыд!K233,0))</f>
        <v>40</v>
      </c>
      <c r="J234" s="29" t="str">
        <f>IF(ROUND(Предыд!I233,0)=0,"-",ROUND(Предыд!I233,0))</f>
        <v>-</v>
      </c>
      <c r="K234" s="30" t="str">
        <f>Текущий!L233</f>
        <v>Рихтовка</v>
      </c>
      <c r="L234" s="29">
        <f>Текущий!AL233</f>
        <v>0</v>
      </c>
      <c r="M234" s="29">
        <f>Текущий!AM233</f>
        <v>0</v>
      </c>
      <c r="N234" s="29">
        <f>Текущий!AN233</f>
        <v>0</v>
      </c>
      <c r="O234" s="29">
        <f>Текущий!AP233</f>
        <v>0</v>
      </c>
      <c r="P234" s="29">
        <f>Предыд!AL233</f>
        <v>5</v>
      </c>
      <c r="Q234" s="29">
        <f>Предыд!AM233</f>
        <v>0</v>
      </c>
      <c r="R234" s="29">
        <f>Предыд!AN233</f>
        <v>0</v>
      </c>
      <c r="S234" s="29">
        <f>Предыд!AO233</f>
        <v>0</v>
      </c>
      <c r="T234" s="17" t="str">
        <f t="shared" si="3"/>
        <v>+</v>
      </c>
    </row>
    <row r="235" spans="1:20" x14ac:dyDescent="0.25">
      <c r="A235" s="29">
        <f>Текущий!A234</f>
        <v>16</v>
      </c>
      <c r="B235" s="29">
        <f>Текущий!B234</f>
        <v>24604</v>
      </c>
      <c r="C235" s="29">
        <f>Текущий!C234</f>
        <v>1</v>
      </c>
      <c r="D235" s="29" t="str">
        <f>Текущий!D234</f>
        <v>Хальгасо - Силинка</v>
      </c>
      <c r="E235" s="29">
        <f>ROUND(Текущий!J234,0)</f>
        <v>0</v>
      </c>
      <c r="F235" s="29">
        <f>Текущий!E234</f>
        <v>0</v>
      </c>
      <c r="G235" s="16" t="str">
        <f>IF(Текущий!K234="-",Текущий!K234,ROUND(Текущий!K234,0))</f>
        <v>-</v>
      </c>
      <c r="H235" s="29" t="str">
        <f>IF(ROUND(Текущий!I234,0)=0,"-",ROUND(Текущий!I234,0))</f>
        <v>-</v>
      </c>
      <c r="I235" s="16">
        <f>IF(Предыд!K234="-",Предыд!K234,ROUND(Предыд!K234,0))</f>
        <v>10</v>
      </c>
      <c r="J235" s="29" t="str">
        <f>IF(ROUND(Предыд!I234,0)=0,"-",ROUND(Предыд!I234,0))</f>
        <v>-</v>
      </c>
      <c r="K235" s="30" t="str">
        <f>Текущий!L234</f>
        <v>Рихтовка</v>
      </c>
      <c r="L235" s="29">
        <f>Текущий!AL234</f>
        <v>0</v>
      </c>
      <c r="M235" s="29">
        <f>Текущий!AM234</f>
        <v>0</v>
      </c>
      <c r="N235" s="29">
        <f>Текущий!AN234</f>
        <v>0</v>
      </c>
      <c r="O235" s="29">
        <f>Текущий!AP234</f>
        <v>0</v>
      </c>
      <c r="P235" s="29">
        <f>Предыд!AL234</f>
        <v>1</v>
      </c>
      <c r="Q235" s="29">
        <f>Предыд!AM234</f>
        <v>0</v>
      </c>
      <c r="R235" s="29">
        <f>Предыд!AN234</f>
        <v>0</v>
      </c>
      <c r="S235" s="29">
        <f>Предыд!AO234</f>
        <v>0</v>
      </c>
      <c r="T235" s="17" t="str">
        <f t="shared" si="3"/>
        <v>+</v>
      </c>
    </row>
    <row r="236" spans="1:20" x14ac:dyDescent="0.25">
      <c r="A236" s="29">
        <f>Текущий!A235</f>
        <v>16</v>
      </c>
      <c r="B236" s="29">
        <f>Текущий!B235</f>
        <v>24604</v>
      </c>
      <c r="C236" s="29">
        <f>Текущий!C235</f>
        <v>1</v>
      </c>
      <c r="D236" s="29" t="str">
        <f>Текущий!D235</f>
        <v>Силинка - Комсомольск-на-Амуре II</v>
      </c>
      <c r="E236" s="29">
        <f>ROUND(Текущий!J235,0)</f>
        <v>0</v>
      </c>
      <c r="F236" s="29">
        <f>Текущий!E235</f>
        <v>0</v>
      </c>
      <c r="G236" s="16" t="str">
        <f>IF(Текущий!K235="-",Текущий!K235,ROUND(Текущий!K235,0))</f>
        <v>-</v>
      </c>
      <c r="H236" s="29" t="str">
        <f>IF(ROUND(Текущий!I235,0)=0,"-",ROUND(Текущий!I235,0))</f>
        <v>-</v>
      </c>
      <c r="I236" s="16">
        <f>IF(Предыд!K235="-",Предыд!K235,ROUND(Предыд!K235,0))</f>
        <v>115</v>
      </c>
      <c r="J236" s="29">
        <f>IF(ROUND(Предыд!I235,0)=0,"-",ROUND(Предыд!I235,0))</f>
        <v>1</v>
      </c>
      <c r="K236" s="30" t="str">
        <f>Текущий!L235</f>
        <v>Рихтовка</v>
      </c>
      <c r="L236" s="29">
        <f>Текущий!AL235</f>
        <v>0</v>
      </c>
      <c r="M236" s="29">
        <f>Текущий!AM235</f>
        <v>0</v>
      </c>
      <c r="N236" s="29">
        <f>Текущий!AN235</f>
        <v>0</v>
      </c>
      <c r="O236" s="29">
        <f>Текущий!AP235</f>
        <v>0</v>
      </c>
      <c r="P236" s="29">
        <f>Предыд!AL235</f>
        <v>218</v>
      </c>
      <c r="Q236" s="29">
        <f>Предыд!AM235</f>
        <v>10</v>
      </c>
      <c r="R236" s="29">
        <f>Предыд!AN235</f>
        <v>1</v>
      </c>
      <c r="S236" s="29">
        <f>Предыд!AO235</f>
        <v>0</v>
      </c>
      <c r="T236" s="17" t="str">
        <f t="shared" si="3"/>
        <v>+</v>
      </c>
    </row>
    <row r="237" spans="1:20" x14ac:dyDescent="0.25">
      <c r="A237" s="29">
        <f>Текущий!A236</f>
        <v>16</v>
      </c>
      <c r="B237" s="29">
        <f>Текущий!B236</f>
        <v>24604</v>
      </c>
      <c r="C237" s="29">
        <f>Текущий!C236</f>
        <v>1</v>
      </c>
      <c r="D237" s="29" t="str">
        <f>Текущий!D236</f>
        <v>Комсомольск-на-Амуре II - Комсомольск (349 км)</v>
      </c>
      <c r="E237" s="29">
        <f>ROUND(Текущий!J236,0)</f>
        <v>0</v>
      </c>
      <c r="F237" s="29">
        <f>Текущий!E236</f>
        <v>0</v>
      </c>
      <c r="G237" s="16" t="str">
        <f>IF(Текущий!K236="-",Текущий!K236,ROUND(Текущий!K236,0))</f>
        <v>-</v>
      </c>
      <c r="H237" s="29" t="str">
        <f>IF(ROUND(Текущий!I236,0)=0,"-",ROUND(Текущий!I236,0))</f>
        <v>-</v>
      </c>
      <c r="I237" s="16">
        <f>IF(Предыд!K236="-",Предыд!K236,ROUND(Предыд!K236,0))</f>
        <v>35</v>
      </c>
      <c r="J237" s="29" t="str">
        <f>IF(ROUND(Предыд!I236,0)=0,"-",ROUND(Предыд!I236,0))</f>
        <v>-</v>
      </c>
      <c r="K237" s="30" t="str">
        <f>Текущий!L236</f>
        <v>Рихтовка</v>
      </c>
      <c r="L237" s="29">
        <f>Текущий!AL236</f>
        <v>0</v>
      </c>
      <c r="M237" s="29">
        <f>Текущий!AM236</f>
        <v>0</v>
      </c>
      <c r="N237" s="29">
        <f>Текущий!AN236</f>
        <v>0</v>
      </c>
      <c r="O237" s="29">
        <f>Текущий!AP236</f>
        <v>0</v>
      </c>
      <c r="P237" s="29">
        <f>Предыд!AL236</f>
        <v>29</v>
      </c>
      <c r="Q237" s="29">
        <f>Предыд!AM236</f>
        <v>0</v>
      </c>
      <c r="R237" s="29">
        <f>Предыд!AN236</f>
        <v>0</v>
      </c>
      <c r="S237" s="29">
        <f>Предыд!AO236</f>
        <v>0</v>
      </c>
      <c r="T237" s="17" t="str">
        <f t="shared" si="3"/>
        <v>+</v>
      </c>
    </row>
    <row r="238" spans="1:20" x14ac:dyDescent="0.25">
      <c r="A238" s="29">
        <f>Текущий!A237</f>
        <v>16</v>
      </c>
      <c r="B238" s="29">
        <f>Текущий!B237</f>
        <v>24645</v>
      </c>
      <c r="C238" s="29" t="str">
        <f>Текущий!C237</f>
        <v>ск</v>
      </c>
      <c r="D238" s="29" t="str">
        <f>Текущий!D237</f>
        <v xml:space="preserve">Комсомольск-на-Амуре II - Комсомольск-на-Амуре </v>
      </c>
      <c r="E238" s="29">
        <f>ROUND(Текущий!J237,0)</f>
        <v>0</v>
      </c>
      <c r="F238" s="29">
        <f>Текущий!E237</f>
        <v>0</v>
      </c>
      <c r="G238" s="16" t="str">
        <f>IF(Текущий!K237="-",Текущий!K237,ROUND(Текущий!K237,0))</f>
        <v>-</v>
      </c>
      <c r="H238" s="29" t="str">
        <f>IF(ROUND(Текущий!I237,0)=0,"-",ROUND(Текущий!I237,0))</f>
        <v>-</v>
      </c>
      <c r="I238" s="16" t="str">
        <f>IF(Предыд!K237="-",Предыд!K237,ROUND(Предыд!K237,0))</f>
        <v>-</v>
      </c>
      <c r="J238" s="29" t="str">
        <f>IF(ROUND(Предыд!I237,0)=0,"-",ROUND(Предыд!I237,0))</f>
        <v>-</v>
      </c>
      <c r="K238" s="30" t="str">
        <f>Текущий!L237</f>
        <v>Рихтовка</v>
      </c>
      <c r="L238" s="29">
        <f>Текущий!AL237</f>
        <v>0</v>
      </c>
      <c r="M238" s="29">
        <f>Текущий!AM237</f>
        <v>0</v>
      </c>
      <c r="N238" s="29">
        <f>Текущий!AN237</f>
        <v>0</v>
      </c>
      <c r="O238" s="29">
        <f>Текущий!AP237</f>
        <v>0</v>
      </c>
      <c r="P238" s="29">
        <f>Предыд!AL237</f>
        <v>0</v>
      </c>
      <c r="Q238" s="29">
        <f>Предыд!AM237</f>
        <v>0</v>
      </c>
      <c r="R238" s="29">
        <f>Предыд!AN237</f>
        <v>0</v>
      </c>
      <c r="S238" s="29">
        <f>Предыд!AO237</f>
        <v>0</v>
      </c>
      <c r="T238" s="17" t="str">
        <f t="shared" si="3"/>
        <v>-</v>
      </c>
    </row>
    <row r="239" spans="1:20" x14ac:dyDescent="0.25">
      <c r="A239" s="29">
        <f>Текущий!A238</f>
        <v>15</v>
      </c>
      <c r="B239" s="29">
        <f>Текущий!B238</f>
        <v>13875</v>
      </c>
      <c r="C239" s="29" t="str">
        <f>Текущий!C238</f>
        <v>Одн</v>
      </c>
      <c r="D239" s="29" t="str">
        <f>Текущий!D238</f>
        <v>Дежневка - Волочаевка II</v>
      </c>
      <c r="E239" s="29">
        <f>ROUND(Текущий!J238,0)</f>
        <v>5</v>
      </c>
      <c r="F239" s="29">
        <f>Текущий!E238</f>
        <v>1</v>
      </c>
      <c r="G239" s="16">
        <f>IF(Текущий!K238="-",Текущий!K238,ROUND(Текущий!K238,0))</f>
        <v>12</v>
      </c>
      <c r="H239" s="29" t="str">
        <f>IF(ROUND(Текущий!I238,0)=0,"-",ROUND(Текущий!I238,0))</f>
        <v>-</v>
      </c>
      <c r="I239" s="16">
        <f>IF(Предыд!K238="-",Предыд!K238,ROUND(Предыд!K238,0))</f>
        <v>23</v>
      </c>
      <c r="J239" s="29" t="str">
        <f>IF(ROUND(Предыд!I238,0)=0,"-",ROUND(Предыд!I238,0))</f>
        <v>-</v>
      </c>
      <c r="K239" s="30" t="str">
        <f>Текущий!L238</f>
        <v>Уширение</v>
      </c>
      <c r="L239" s="29">
        <f>Текущий!AL238</f>
        <v>10</v>
      </c>
      <c r="M239" s="29">
        <f>Текущий!AM238</f>
        <v>0</v>
      </c>
      <c r="N239" s="29">
        <f>Текущий!AN238</f>
        <v>0</v>
      </c>
      <c r="O239" s="29">
        <f>Текущий!AP238</f>
        <v>17</v>
      </c>
      <c r="P239" s="29">
        <f>Предыд!AL238</f>
        <v>25</v>
      </c>
      <c r="Q239" s="29">
        <f>Предыд!AM238</f>
        <v>0</v>
      </c>
      <c r="R239" s="29">
        <f>Предыд!AN238</f>
        <v>0</v>
      </c>
      <c r="S239" s="29">
        <f>Предыд!AO238</f>
        <v>0</v>
      </c>
      <c r="T239" s="17" t="str">
        <f t="shared" si="3"/>
        <v>-</v>
      </c>
    </row>
    <row r="240" spans="1:20" x14ac:dyDescent="0.25">
      <c r="A240" s="29">
        <f>Текущий!A239</f>
        <v>5</v>
      </c>
      <c r="B240" s="29">
        <f>Текущий!B239</f>
        <v>25001</v>
      </c>
      <c r="C240" s="29" t="str">
        <f>Текущий!C239</f>
        <v>Одн</v>
      </c>
      <c r="D240" s="29" t="str">
        <f>Текущий!D239</f>
        <v>Тунгусский - Волочаевка II</v>
      </c>
      <c r="E240" s="29">
        <f>ROUND(Текущий!J239,0)</f>
        <v>0</v>
      </c>
      <c r="F240" s="29">
        <f>Текущий!E239</f>
        <v>0</v>
      </c>
      <c r="G240" s="16" t="str">
        <f>IF(Текущий!K239="-",Текущий!K239,ROUND(Текущий!K239,0))</f>
        <v>-</v>
      </c>
      <c r="H240" s="29" t="str">
        <f>IF(ROUND(Текущий!I239,0)=0,"-",ROUND(Текущий!I239,0))</f>
        <v>-</v>
      </c>
      <c r="I240" s="16">
        <f>IF(Предыд!K239="-",Предыд!K239,ROUND(Предыд!K239,0))</f>
        <v>10</v>
      </c>
      <c r="J240" s="29" t="str">
        <f>IF(ROUND(Предыд!I239,0)=0,"-",ROUND(Предыд!I239,0))</f>
        <v>-</v>
      </c>
      <c r="K240" s="30" t="str">
        <f>Текущий!L239</f>
        <v>Рихтовка</v>
      </c>
      <c r="L240" s="29">
        <f>Текущий!AL239</f>
        <v>0</v>
      </c>
      <c r="M240" s="29">
        <f>Текущий!AM239</f>
        <v>0</v>
      </c>
      <c r="N240" s="29">
        <f>Текущий!AN239</f>
        <v>0</v>
      </c>
      <c r="O240" s="29">
        <f>Текущий!AP239</f>
        <v>0</v>
      </c>
      <c r="P240" s="29">
        <f>Предыд!AL239</f>
        <v>1</v>
      </c>
      <c r="Q240" s="29">
        <f>Предыд!AM239</f>
        <v>0</v>
      </c>
      <c r="R240" s="29">
        <f>Предыд!AN239</f>
        <v>0</v>
      </c>
      <c r="S240" s="29">
        <f>Предыд!AO239</f>
        <v>0</v>
      </c>
      <c r="T240" s="17" t="str">
        <f t="shared" si="3"/>
        <v>+</v>
      </c>
    </row>
    <row r="241" spans="1:20" x14ac:dyDescent="0.25">
      <c r="A241" s="29">
        <f>Текущий!A240</f>
        <v>15</v>
      </c>
      <c r="B241" s="29">
        <f>Текущий!B240</f>
        <v>25001</v>
      </c>
      <c r="C241" s="29" t="str">
        <f>Текущий!C240</f>
        <v>Одн</v>
      </c>
      <c r="D241" s="29" t="str">
        <f>Текущий!D240</f>
        <v>Тунгусский - Волочаевка II</v>
      </c>
      <c r="E241" s="29">
        <f>ROUND(Текущий!J240,0)</f>
        <v>0</v>
      </c>
      <c r="F241" s="29">
        <f>Текущий!E240</f>
        <v>0</v>
      </c>
      <c r="G241" s="16" t="str">
        <f>IF(Текущий!K240="-",Текущий!K240,ROUND(Текущий!K240,0))</f>
        <v>-</v>
      </c>
      <c r="H241" s="29" t="str">
        <f>IF(ROUND(Текущий!I240,0)=0,"-",ROUND(Текущий!I240,0))</f>
        <v>-</v>
      </c>
      <c r="I241" s="16">
        <f>IF(Предыд!K240="-",Предыд!K240,ROUND(Предыд!K240,0))</f>
        <v>23</v>
      </c>
      <c r="J241" s="29" t="str">
        <f>IF(ROUND(Предыд!I240,0)=0,"-",ROUND(Предыд!I240,0))</f>
        <v>-</v>
      </c>
      <c r="K241" s="30" t="str">
        <f>Текущий!L240</f>
        <v>Рихтовка</v>
      </c>
      <c r="L241" s="29">
        <f>Текущий!AL240</f>
        <v>0</v>
      </c>
      <c r="M241" s="29">
        <f>Текущий!AM240</f>
        <v>0</v>
      </c>
      <c r="N241" s="29">
        <f>Текущий!AN240</f>
        <v>0</v>
      </c>
      <c r="O241" s="29">
        <f>Текущий!AP240</f>
        <v>0</v>
      </c>
      <c r="P241" s="29">
        <f>Предыд!AL240</f>
        <v>15</v>
      </c>
      <c r="Q241" s="29">
        <f>Предыд!AM240</f>
        <v>0</v>
      </c>
      <c r="R241" s="29">
        <f>Предыд!AN240</f>
        <v>0</v>
      </c>
      <c r="S241" s="29">
        <f>Предыд!AO240</f>
        <v>0</v>
      </c>
      <c r="T241" s="17" t="str">
        <f t="shared" si="3"/>
        <v>+</v>
      </c>
    </row>
    <row r="242" spans="1:20" x14ac:dyDescent="0.25">
      <c r="A242" s="29">
        <f>Текущий!A241</f>
        <v>15</v>
      </c>
      <c r="B242" s="29">
        <f>Текущий!B241</f>
        <v>25001</v>
      </c>
      <c r="C242" s="29" t="str">
        <f>Текущий!C241</f>
        <v>Одн</v>
      </c>
      <c r="D242" s="29" t="str">
        <f>Текущий!D241</f>
        <v>Волочаевка II - Утиный</v>
      </c>
      <c r="E242" s="29">
        <f>ROUND(Текущий!J241,0)</f>
        <v>9</v>
      </c>
      <c r="F242" s="29" t="str">
        <f>Текущий!E241</f>
        <v>1,2</v>
      </c>
      <c r="G242" s="16">
        <f>IF(Текущий!K241="-",Текущий!K241,ROUND(Текущий!K241,0))</f>
        <v>13</v>
      </c>
      <c r="H242" s="29" t="str">
        <f>IF(ROUND(Текущий!I241,0)=0,"-",ROUND(Текущий!I241,0))</f>
        <v>-</v>
      </c>
      <c r="I242" s="16">
        <f>IF(Предыд!K241="-",Предыд!K241,ROUND(Предыд!K241,0))</f>
        <v>13</v>
      </c>
      <c r="J242" s="29" t="str">
        <f>IF(ROUND(Предыд!I241,0)=0,"-",ROUND(Предыд!I241,0))</f>
        <v>-</v>
      </c>
      <c r="K242" s="30" t="str">
        <f>Текущий!L241</f>
        <v>Уровень</v>
      </c>
      <c r="L242" s="29">
        <f>Текущий!AL241</f>
        <v>29</v>
      </c>
      <c r="M242" s="29">
        <f>Текущий!AM241</f>
        <v>0</v>
      </c>
      <c r="N242" s="29">
        <f>Текущий!AN241</f>
        <v>0</v>
      </c>
      <c r="O242" s="29">
        <f>Текущий!AP241</f>
        <v>0</v>
      </c>
      <c r="P242" s="29">
        <f>Предыд!AL241</f>
        <v>26</v>
      </c>
      <c r="Q242" s="29">
        <f>Предыд!AM241</f>
        <v>0</v>
      </c>
      <c r="R242" s="29">
        <f>Предыд!AN241</f>
        <v>0</v>
      </c>
      <c r="S242" s="29">
        <f>Предыд!AO241</f>
        <v>0</v>
      </c>
      <c r="T242" s="17" t="str">
        <f t="shared" si="3"/>
        <v>-</v>
      </c>
    </row>
    <row r="243" spans="1:20" x14ac:dyDescent="0.25">
      <c r="A243" s="29">
        <f>Текущий!A242</f>
        <v>15</v>
      </c>
      <c r="B243" s="29">
        <f>Текущий!B242</f>
        <v>25001</v>
      </c>
      <c r="C243" s="29" t="str">
        <f>Текущий!C242</f>
        <v>Одн</v>
      </c>
      <c r="D243" s="29" t="str">
        <f>Текущий!D242</f>
        <v>Утиный - Джармен</v>
      </c>
      <c r="E243" s="29">
        <f>ROUND(Текущий!J242,0)</f>
        <v>10</v>
      </c>
      <c r="F243" s="29">
        <f>Текущий!E242</f>
        <v>2</v>
      </c>
      <c r="G243" s="16">
        <f>IF(Текущий!K242="-",Текущий!K242,ROUND(Текущий!K242,0))</f>
        <v>27</v>
      </c>
      <c r="H243" s="29" t="str">
        <f>IF(ROUND(Текущий!I242,0)=0,"-",ROUND(Текущий!I242,0))</f>
        <v>-</v>
      </c>
      <c r="I243" s="16">
        <f>IF(Предыд!K242="-",Предыд!K242,ROUND(Предыд!K242,0))</f>
        <v>19</v>
      </c>
      <c r="J243" s="29" t="str">
        <f>IF(ROUND(Предыд!I242,0)=0,"-",ROUND(Предыд!I242,0))</f>
        <v>-</v>
      </c>
      <c r="K243" s="30" t="str">
        <f>Текущий!L242</f>
        <v>Рихтовка</v>
      </c>
      <c r="L243" s="29">
        <f>Текущий!AL242</f>
        <v>28</v>
      </c>
      <c r="M243" s="29">
        <f>Текущий!AM242</f>
        <v>1</v>
      </c>
      <c r="N243" s="29">
        <f>Текущий!AN242</f>
        <v>0</v>
      </c>
      <c r="O243" s="29">
        <f>Текущий!AP242</f>
        <v>0</v>
      </c>
      <c r="P243" s="29">
        <f>Предыд!AL242</f>
        <v>40</v>
      </c>
      <c r="Q243" s="29">
        <f>Предыд!AM242</f>
        <v>0</v>
      </c>
      <c r="R243" s="29">
        <f>Предыд!AN242</f>
        <v>0</v>
      </c>
      <c r="S243" s="29">
        <f>Предыд!AO242</f>
        <v>0</v>
      </c>
      <c r="T243" s="17" t="str">
        <f t="shared" si="3"/>
        <v>+</v>
      </c>
    </row>
    <row r="244" spans="1:20" x14ac:dyDescent="0.25">
      <c r="A244" s="29">
        <f>Текущий!A243</f>
        <v>15</v>
      </c>
      <c r="B244" s="29">
        <f>Текущий!B243</f>
        <v>25001</v>
      </c>
      <c r="C244" s="29" t="str">
        <f>Текущий!C243</f>
        <v>Одн</v>
      </c>
      <c r="D244" s="29" t="str">
        <f>Текущий!D243</f>
        <v>Джармен - Партизанские сопки</v>
      </c>
      <c r="E244" s="29">
        <f>ROUND(Текущий!J243,0)</f>
        <v>18</v>
      </c>
      <c r="F244" s="29" t="str">
        <f>Текущий!E243</f>
        <v>2,3</v>
      </c>
      <c r="G244" s="16">
        <f>IF(Текущий!K243="-",Текущий!K243,ROUND(Текущий!K243,0))</f>
        <v>24</v>
      </c>
      <c r="H244" s="29" t="str">
        <f>IF(ROUND(Текущий!I243,0)=0,"-",ROUND(Текущий!I243,0))</f>
        <v>-</v>
      </c>
      <c r="I244" s="16">
        <f>IF(Предыд!K243="-",Предыд!K243,ROUND(Предыд!K243,0))</f>
        <v>22</v>
      </c>
      <c r="J244" s="29" t="str">
        <f>IF(ROUND(Предыд!I243,0)=0,"-",ROUND(Предыд!I243,0))</f>
        <v>-</v>
      </c>
      <c r="K244" s="30" t="str">
        <f>Текущий!L243</f>
        <v>Просадка</v>
      </c>
      <c r="L244" s="29">
        <f>Текущий!AL243</f>
        <v>109</v>
      </c>
      <c r="M244" s="29">
        <f>Текущий!AM243</f>
        <v>0</v>
      </c>
      <c r="N244" s="29">
        <f>Текущий!AN243</f>
        <v>0</v>
      </c>
      <c r="O244" s="29">
        <f>Текущий!AP243</f>
        <v>0</v>
      </c>
      <c r="P244" s="29">
        <f>Предыд!AL243</f>
        <v>97</v>
      </c>
      <c r="Q244" s="29">
        <f>Предыд!AM243</f>
        <v>0</v>
      </c>
      <c r="R244" s="29">
        <f>Предыд!AN243</f>
        <v>0</v>
      </c>
      <c r="S244" s="29">
        <f>Предыд!AO243</f>
        <v>0</v>
      </c>
      <c r="T244" s="17" t="str">
        <f t="shared" si="3"/>
        <v>+</v>
      </c>
    </row>
    <row r="245" spans="1:20" x14ac:dyDescent="0.25">
      <c r="A245" s="29">
        <f>Текущий!A244</f>
        <v>15</v>
      </c>
      <c r="B245" s="29">
        <f>Текущий!B244</f>
        <v>25001</v>
      </c>
      <c r="C245" s="29" t="str">
        <f>Текущий!C244</f>
        <v>Одн</v>
      </c>
      <c r="D245" s="29" t="str">
        <f>Текущий!D244</f>
        <v>Партизанские сопки - Джелюмкен</v>
      </c>
      <c r="E245" s="29">
        <f>ROUND(Текущий!J244,0)</f>
        <v>16</v>
      </c>
      <c r="F245" s="29">
        <f>Текущий!E244</f>
        <v>3</v>
      </c>
      <c r="G245" s="16">
        <f>IF(Текущий!K244="-",Текущий!K244,ROUND(Текущий!K244,0))</f>
        <v>24</v>
      </c>
      <c r="H245" s="29" t="str">
        <f>IF(ROUND(Текущий!I244,0)=0,"-",ROUND(Текущий!I244,0))</f>
        <v>-</v>
      </c>
      <c r="I245" s="16">
        <f>IF(Предыд!K244="-",Предыд!K244,ROUND(Предыд!K244,0))</f>
        <v>22</v>
      </c>
      <c r="J245" s="29" t="str">
        <f>IF(ROUND(Предыд!I244,0)=0,"-",ROUND(Предыд!I244,0))</f>
        <v>-</v>
      </c>
      <c r="K245" s="30" t="str">
        <f>Текущий!L244</f>
        <v>Рихтовка</v>
      </c>
      <c r="L245" s="29">
        <f>Текущий!AL244</f>
        <v>77</v>
      </c>
      <c r="M245" s="29">
        <f>Текущий!AM244</f>
        <v>1</v>
      </c>
      <c r="N245" s="29">
        <f>Текущий!AN244</f>
        <v>0</v>
      </c>
      <c r="O245" s="29">
        <f>Текущий!AP244</f>
        <v>0</v>
      </c>
      <c r="P245" s="29">
        <f>Предыд!AL244</f>
        <v>83</v>
      </c>
      <c r="Q245" s="29">
        <f>Предыд!AM244</f>
        <v>0</v>
      </c>
      <c r="R245" s="29">
        <f>Предыд!AN244</f>
        <v>0</v>
      </c>
      <c r="S245" s="29">
        <f>Предыд!AO244</f>
        <v>0</v>
      </c>
      <c r="T245" s="17" t="str">
        <f t="shared" si="3"/>
        <v>+</v>
      </c>
    </row>
    <row r="246" spans="1:20" x14ac:dyDescent="0.25">
      <c r="A246" s="29">
        <f>Текущий!A245</f>
        <v>15</v>
      </c>
      <c r="B246" s="29">
        <f>Текущий!B245</f>
        <v>25001</v>
      </c>
      <c r="C246" s="29" t="str">
        <f>Текущий!C245</f>
        <v>Одн</v>
      </c>
      <c r="D246" s="29" t="str">
        <f>Текущий!D245</f>
        <v>Джелюмкен - Вандан</v>
      </c>
      <c r="E246" s="29">
        <f>ROUND(Текущий!J245,0)</f>
        <v>14</v>
      </c>
      <c r="F246" s="29" t="str">
        <f>Текущий!E245</f>
        <v>3,4</v>
      </c>
      <c r="G246" s="16">
        <f>IF(Текущий!K245="-",Текущий!K245,ROUND(Текущий!K245,0))</f>
        <v>77</v>
      </c>
      <c r="H246" s="29">
        <f>IF(ROUND(Текущий!I245,0)=0,"-",ROUND(Текущий!I245,0))</f>
        <v>1</v>
      </c>
      <c r="I246" s="16">
        <f>IF(Предыд!K245="-",Предыд!K245,ROUND(Предыд!K245,0))</f>
        <v>45</v>
      </c>
      <c r="J246" s="29" t="str">
        <f>IF(ROUND(Предыд!I245,0)=0,"-",ROUND(Предыд!I245,0))</f>
        <v>-</v>
      </c>
      <c r="K246" s="30" t="str">
        <f>Текущий!L245</f>
        <v>Просадка</v>
      </c>
      <c r="L246" s="29">
        <f>Текущий!AL245</f>
        <v>147</v>
      </c>
      <c r="M246" s="29">
        <f>Текущий!AM245</f>
        <v>2</v>
      </c>
      <c r="N246" s="29">
        <f>Текущий!AN245</f>
        <v>0</v>
      </c>
      <c r="O246" s="29">
        <f>Текущий!AP245</f>
        <v>1</v>
      </c>
      <c r="P246" s="29">
        <f>Предыд!AL245</f>
        <v>139</v>
      </c>
      <c r="Q246" s="29">
        <f>Предыд!AM245</f>
        <v>3</v>
      </c>
      <c r="R246" s="29">
        <f>Предыд!AN245</f>
        <v>0</v>
      </c>
      <c r="S246" s="29">
        <f>Предыд!AO245</f>
        <v>0</v>
      </c>
      <c r="T246" s="17" t="str">
        <f t="shared" si="3"/>
        <v>+</v>
      </c>
    </row>
    <row r="247" spans="1:20" x14ac:dyDescent="0.25">
      <c r="A247" s="29">
        <f>Текущий!A246</f>
        <v>15</v>
      </c>
      <c r="B247" s="29">
        <f>Текущий!B246</f>
        <v>25001</v>
      </c>
      <c r="C247" s="29" t="str">
        <f>Текущий!C246</f>
        <v>Одн</v>
      </c>
      <c r="D247" s="29" t="str">
        <f>Текущий!D246</f>
        <v>Вандан - Форель</v>
      </c>
      <c r="E247" s="29">
        <f>ROUND(Текущий!J246,0)</f>
        <v>15</v>
      </c>
      <c r="F247" s="29">
        <f>Текущий!E246</f>
        <v>4</v>
      </c>
      <c r="G247" s="16">
        <f>IF(Текущий!K246="-",Текущий!K246,ROUND(Текущий!K246,0))</f>
        <v>31</v>
      </c>
      <c r="H247" s="29" t="str">
        <f>IF(ROUND(Текущий!I246,0)=0,"-",ROUND(Текущий!I246,0))</f>
        <v>-</v>
      </c>
      <c r="I247" s="16">
        <f>IF(Предыд!K246="-",Предыд!K246,ROUND(Предыд!K246,0))</f>
        <v>41</v>
      </c>
      <c r="J247" s="29" t="str">
        <f>IF(ROUND(Предыд!I246,0)=0,"-",ROUND(Предыд!I246,0))</f>
        <v>-</v>
      </c>
      <c r="K247" s="30" t="str">
        <f>Текущий!L246</f>
        <v>Просадка</v>
      </c>
      <c r="L247" s="29">
        <f>Текущий!AL246</f>
        <v>84</v>
      </c>
      <c r="M247" s="29">
        <f>Текущий!AM246</f>
        <v>0</v>
      </c>
      <c r="N247" s="29">
        <f>Текущий!AN246</f>
        <v>0</v>
      </c>
      <c r="O247" s="29">
        <f>Текущий!AP246</f>
        <v>0</v>
      </c>
      <c r="P247" s="29">
        <f>Предыд!AL246</f>
        <v>115</v>
      </c>
      <c r="Q247" s="29">
        <f>Предыд!AM246</f>
        <v>0</v>
      </c>
      <c r="R247" s="29">
        <f>Предыд!AN246</f>
        <v>0</v>
      </c>
      <c r="S247" s="29">
        <f>Предыд!AO246</f>
        <v>0</v>
      </c>
      <c r="T247" s="17" t="str">
        <f t="shared" si="3"/>
        <v>-</v>
      </c>
    </row>
    <row r="248" spans="1:20" x14ac:dyDescent="0.25">
      <c r="A248" s="29">
        <f>Текущий!A247</f>
        <v>15</v>
      </c>
      <c r="B248" s="29">
        <f>Текущий!B247</f>
        <v>25001</v>
      </c>
      <c r="C248" s="29" t="str">
        <f>Текущий!C247</f>
        <v>Одн</v>
      </c>
      <c r="D248" s="29" t="str">
        <f>Текущий!D247</f>
        <v>Форель - Дальневосточный</v>
      </c>
      <c r="E248" s="29">
        <f>ROUND(Текущий!J247,0)</f>
        <v>12</v>
      </c>
      <c r="F248" s="29" t="str">
        <f>Текущий!E247</f>
        <v>4,5</v>
      </c>
      <c r="G248" s="16">
        <f>IF(Текущий!K247="-",Текущий!K247,ROUND(Текущий!K247,0))</f>
        <v>26</v>
      </c>
      <c r="H248" s="29" t="str">
        <f>IF(ROUND(Текущий!I247,0)=0,"-",ROUND(Текущий!I247,0))</f>
        <v>-</v>
      </c>
      <c r="I248" s="16">
        <f>IF(Предыд!K247="-",Предыд!K247,ROUND(Предыд!K247,0))</f>
        <v>44</v>
      </c>
      <c r="J248" s="29" t="str">
        <f>IF(ROUND(Предыд!I247,0)=0,"-",ROUND(Предыд!I247,0))</f>
        <v>-</v>
      </c>
      <c r="K248" s="30" t="str">
        <f>Текущий!L247</f>
        <v>Рихтовка</v>
      </c>
      <c r="L248" s="29">
        <f>Текущий!AL247</f>
        <v>82</v>
      </c>
      <c r="M248" s="29">
        <f>Текущий!AM247</f>
        <v>0</v>
      </c>
      <c r="N248" s="29">
        <f>Текущий!AN247</f>
        <v>0</v>
      </c>
      <c r="O248" s="29">
        <f>Текущий!AP247</f>
        <v>0</v>
      </c>
      <c r="P248" s="29">
        <f>Предыд!AL247</f>
        <v>102</v>
      </c>
      <c r="Q248" s="29">
        <f>Предыд!AM247</f>
        <v>0</v>
      </c>
      <c r="R248" s="29">
        <f>Предыд!AN247</f>
        <v>0</v>
      </c>
      <c r="S248" s="29">
        <f>Предыд!AO247</f>
        <v>0</v>
      </c>
      <c r="T248" s="17" t="str">
        <f t="shared" si="3"/>
        <v>-</v>
      </c>
    </row>
    <row r="249" spans="1:20" x14ac:dyDescent="0.25">
      <c r="A249" s="29">
        <f>Текущий!A248</f>
        <v>15</v>
      </c>
      <c r="B249" s="29">
        <f>Текущий!B248</f>
        <v>25001</v>
      </c>
      <c r="C249" s="29" t="str">
        <f>Текущий!C248</f>
        <v>Одн</v>
      </c>
      <c r="D249" s="29" t="str">
        <f>Текущий!D248</f>
        <v>Дальневосточный - Литовко</v>
      </c>
      <c r="E249" s="29">
        <f>ROUND(Текущий!J248,0)</f>
        <v>8</v>
      </c>
      <c r="F249" s="29">
        <f>Текущий!E248</f>
        <v>5</v>
      </c>
      <c r="G249" s="16">
        <f>IF(Текущий!K248="-",Текущий!K248,ROUND(Текущий!K248,0))</f>
        <v>44</v>
      </c>
      <c r="H249" s="29" t="str">
        <f>IF(ROUND(Текущий!I248,0)=0,"-",ROUND(Текущий!I248,0))</f>
        <v>-</v>
      </c>
      <c r="I249" s="16">
        <f>IF(Предыд!K248="-",Предыд!K248,ROUND(Предыд!K248,0))</f>
        <v>39</v>
      </c>
      <c r="J249" s="29" t="str">
        <f>IF(ROUND(Предыд!I248,0)=0,"-",ROUND(Предыд!I248,0))</f>
        <v>-</v>
      </c>
      <c r="K249" s="30" t="str">
        <f>Текущий!L248</f>
        <v>Просадка</v>
      </c>
      <c r="L249" s="29">
        <f>Текущий!AL248</f>
        <v>66</v>
      </c>
      <c r="M249" s="29">
        <f>Текущий!AM248</f>
        <v>4</v>
      </c>
      <c r="N249" s="29">
        <f>Текущий!AN248</f>
        <v>0</v>
      </c>
      <c r="O249" s="29">
        <f>Текущий!AP248</f>
        <v>0</v>
      </c>
      <c r="P249" s="29">
        <f>Предыд!AL248</f>
        <v>39</v>
      </c>
      <c r="Q249" s="29">
        <f>Предыд!AM248</f>
        <v>1</v>
      </c>
      <c r="R249" s="29">
        <f>Предыд!AN248</f>
        <v>0</v>
      </c>
      <c r="S249" s="29">
        <f>Предыд!AO248</f>
        <v>0</v>
      </c>
      <c r="T249" s="17" t="str">
        <f t="shared" si="3"/>
        <v>+</v>
      </c>
    </row>
    <row r="250" spans="1:20" x14ac:dyDescent="0.25">
      <c r="A250" s="29">
        <f>Текущий!A249</f>
        <v>15</v>
      </c>
      <c r="B250" s="29">
        <f>Текущий!B249</f>
        <v>25001</v>
      </c>
      <c r="C250" s="29" t="str">
        <f>Текущий!C249</f>
        <v>Одн</v>
      </c>
      <c r="D250" s="29" t="str">
        <f>Текущий!D249</f>
        <v>Литовко - Санболи</v>
      </c>
      <c r="E250" s="29">
        <f>ROUND(Текущий!J249,0)</f>
        <v>17</v>
      </c>
      <c r="F250" s="29" t="str">
        <f>Текущий!E249</f>
        <v>5,6</v>
      </c>
      <c r="G250" s="16">
        <f>IF(Текущий!K249="-",Текущий!K249,ROUND(Текущий!K249,0))</f>
        <v>92</v>
      </c>
      <c r="H250" s="29">
        <f>IF(ROUND(Текущий!I249,0)=0,"-",ROUND(Текущий!I249,0))</f>
        <v>2</v>
      </c>
      <c r="I250" s="16">
        <f>IF(Предыд!K249="-",Предыд!K249,ROUND(Предыд!K249,0))</f>
        <v>42</v>
      </c>
      <c r="J250" s="29" t="str">
        <f>IF(ROUND(Предыд!I249,0)=0,"-",ROUND(Предыд!I249,0))</f>
        <v>-</v>
      </c>
      <c r="K250" s="30" t="str">
        <f>Текущий!L249</f>
        <v>Рихтовка</v>
      </c>
      <c r="L250" s="29">
        <f>Текущий!AL249</f>
        <v>115</v>
      </c>
      <c r="M250" s="29">
        <f>Текущий!AM249</f>
        <v>3</v>
      </c>
      <c r="N250" s="29">
        <f>Текущий!AN249</f>
        <v>2</v>
      </c>
      <c r="O250" s="29">
        <f>Текущий!AP249</f>
        <v>0</v>
      </c>
      <c r="P250" s="29">
        <f>Предыд!AL249</f>
        <v>113</v>
      </c>
      <c r="Q250" s="29">
        <f>Предыд!AM249</f>
        <v>2</v>
      </c>
      <c r="R250" s="29">
        <f>Предыд!AN249</f>
        <v>0</v>
      </c>
      <c r="S250" s="29">
        <f>Предыд!AO249</f>
        <v>0</v>
      </c>
      <c r="T250" s="17" t="str">
        <f t="shared" si="3"/>
        <v>+</v>
      </c>
    </row>
    <row r="251" spans="1:20" x14ac:dyDescent="0.25">
      <c r="A251" s="29">
        <f>Текущий!A250</f>
        <v>15</v>
      </c>
      <c r="B251" s="29">
        <f>Текущий!B250</f>
        <v>25001</v>
      </c>
      <c r="C251" s="29" t="str">
        <f>Текущий!C250</f>
        <v>Одн</v>
      </c>
      <c r="D251" s="29" t="str">
        <f>Текущий!D250</f>
        <v>Санболи - Нусхи</v>
      </c>
      <c r="E251" s="29">
        <f>ROUND(Текущий!J250,0)</f>
        <v>17</v>
      </c>
      <c r="F251" s="29" t="str">
        <f>Текущий!E250</f>
        <v>6,7</v>
      </c>
      <c r="G251" s="16">
        <f>IF(Текущий!K250="-",Текущий!K250,ROUND(Текущий!K250,0))</f>
        <v>29</v>
      </c>
      <c r="H251" s="29" t="str">
        <f>IF(ROUND(Текущий!I250,0)=0,"-",ROUND(Текущий!I250,0))</f>
        <v>-</v>
      </c>
      <c r="I251" s="16">
        <f>IF(Предыд!K250="-",Предыд!K250,ROUND(Предыд!K250,0))</f>
        <v>36</v>
      </c>
      <c r="J251" s="29" t="str">
        <f>IF(ROUND(Предыд!I250,0)=0,"-",ROUND(Предыд!I250,0))</f>
        <v>-</v>
      </c>
      <c r="K251" s="30" t="str">
        <f>Текущий!L250</f>
        <v>Просадка</v>
      </c>
      <c r="L251" s="29">
        <f>Текущий!AL250</f>
        <v>83</v>
      </c>
      <c r="M251" s="29">
        <f>Текущий!AM250</f>
        <v>0</v>
      </c>
      <c r="N251" s="29">
        <f>Текущий!AN250</f>
        <v>0</v>
      </c>
      <c r="O251" s="29">
        <f>Текущий!AP250</f>
        <v>0</v>
      </c>
      <c r="P251" s="29">
        <f>Предыд!AL250</f>
        <v>77</v>
      </c>
      <c r="Q251" s="29">
        <f>Предыд!AM250</f>
        <v>1</v>
      </c>
      <c r="R251" s="29">
        <f>Предыд!AN250</f>
        <v>0</v>
      </c>
      <c r="S251" s="29">
        <f>Предыд!AO250</f>
        <v>0</v>
      </c>
      <c r="T251" s="17" t="str">
        <f t="shared" si="3"/>
        <v>-</v>
      </c>
    </row>
    <row r="252" spans="1:20" x14ac:dyDescent="0.25">
      <c r="A252" s="29">
        <f>Текущий!A251</f>
        <v>15</v>
      </c>
      <c r="B252" s="29">
        <f>Текущий!B251</f>
        <v>25001</v>
      </c>
      <c r="C252" s="29" t="str">
        <f>Текущий!C251</f>
        <v>Одн</v>
      </c>
      <c r="D252" s="29" t="str">
        <f>Текущий!D251</f>
        <v>Нусхи - Сельгон</v>
      </c>
      <c r="E252" s="29">
        <f>ROUND(Текущий!J251,0)</f>
        <v>14</v>
      </c>
      <c r="F252" s="29">
        <f>Текущий!E251</f>
        <v>7</v>
      </c>
      <c r="G252" s="16">
        <f>IF(Текущий!K251="-",Текущий!K251,ROUND(Текущий!K251,0))</f>
        <v>27</v>
      </c>
      <c r="H252" s="29" t="str">
        <f>IF(ROUND(Текущий!I251,0)=0,"-",ROUND(Текущий!I251,0))</f>
        <v>-</v>
      </c>
      <c r="I252" s="16">
        <f>IF(Предыд!K251="-",Предыд!K251,ROUND(Предыд!K251,0))</f>
        <v>32</v>
      </c>
      <c r="J252" s="29" t="str">
        <f>IF(ROUND(Предыд!I251,0)=0,"-",ROUND(Предыд!I251,0))</f>
        <v>-</v>
      </c>
      <c r="K252" s="30" t="str">
        <f>Текущий!L251</f>
        <v>Просадка</v>
      </c>
      <c r="L252" s="29">
        <f>Текущий!AL251</f>
        <v>91</v>
      </c>
      <c r="M252" s="29">
        <f>Текущий!AM251</f>
        <v>0</v>
      </c>
      <c r="N252" s="29">
        <f>Текущий!AN251</f>
        <v>0</v>
      </c>
      <c r="O252" s="29">
        <f>Текущий!AP251</f>
        <v>0</v>
      </c>
      <c r="P252" s="29">
        <f>Предыд!AL251</f>
        <v>91</v>
      </c>
      <c r="Q252" s="29">
        <f>Предыд!AM251</f>
        <v>0</v>
      </c>
      <c r="R252" s="29">
        <f>Предыд!AN251</f>
        <v>0</v>
      </c>
      <c r="S252" s="29">
        <f>Предыд!AO251</f>
        <v>0</v>
      </c>
      <c r="T252" s="17" t="str">
        <f t="shared" si="3"/>
        <v>-</v>
      </c>
    </row>
    <row r="253" spans="1:20" x14ac:dyDescent="0.25">
      <c r="A253" s="29">
        <f>Текущий!A252</f>
        <v>15</v>
      </c>
      <c r="B253" s="29">
        <f>Текущий!B252</f>
        <v>25001</v>
      </c>
      <c r="C253" s="29" t="str">
        <f>Текущий!C252</f>
        <v>Одн</v>
      </c>
      <c r="D253" s="29" t="str">
        <f>Текущий!D252</f>
        <v>Сельгон - Разъезд № 18</v>
      </c>
      <c r="E253" s="29">
        <f>ROUND(Текущий!J252,0)</f>
        <v>20</v>
      </c>
      <c r="F253" s="29" t="str">
        <f>Текущий!E252</f>
        <v>7,8</v>
      </c>
      <c r="G253" s="16">
        <f>IF(Текущий!K252="-",Текущий!K252,ROUND(Текущий!K252,0))</f>
        <v>32</v>
      </c>
      <c r="H253" s="29" t="str">
        <f>IF(ROUND(Текущий!I252,0)=0,"-",ROUND(Текущий!I252,0))</f>
        <v>-</v>
      </c>
      <c r="I253" s="16">
        <f>IF(Предыд!K252="-",Предыд!K252,ROUND(Предыд!K252,0))</f>
        <v>36</v>
      </c>
      <c r="J253" s="29" t="str">
        <f>IF(ROUND(Предыд!I252,0)=0,"-",ROUND(Предыд!I252,0))</f>
        <v>-</v>
      </c>
      <c r="K253" s="30" t="str">
        <f>Текущий!L252</f>
        <v>Просадка</v>
      </c>
      <c r="L253" s="29">
        <f>Текущий!AL252</f>
        <v>136</v>
      </c>
      <c r="M253" s="29">
        <f>Текущий!AM252</f>
        <v>0</v>
      </c>
      <c r="N253" s="29">
        <f>Текущий!AN252</f>
        <v>0</v>
      </c>
      <c r="O253" s="29">
        <f>Текущий!AP252</f>
        <v>0</v>
      </c>
      <c r="P253" s="29">
        <f>Предыд!AL252</f>
        <v>109</v>
      </c>
      <c r="Q253" s="29">
        <f>Предыд!AM252</f>
        <v>3</v>
      </c>
      <c r="R253" s="29">
        <f>Предыд!AN252</f>
        <v>0</v>
      </c>
      <c r="S253" s="29">
        <f>Предыд!AO252</f>
        <v>0</v>
      </c>
      <c r="T253" s="17" t="str">
        <f t="shared" si="3"/>
        <v>-</v>
      </c>
    </row>
    <row r="254" spans="1:20" x14ac:dyDescent="0.25">
      <c r="A254" s="29">
        <f>Текущий!A253</f>
        <v>15</v>
      </c>
      <c r="B254" s="29">
        <f>Текущий!B253</f>
        <v>25001</v>
      </c>
      <c r="C254" s="29" t="str">
        <f>Текущий!C253</f>
        <v>Одн</v>
      </c>
      <c r="D254" s="29" t="str">
        <f>Текущий!D253</f>
        <v>Разъезд № 18 - Хевчен</v>
      </c>
      <c r="E254" s="29">
        <f>ROUND(Текущий!J253,0)</f>
        <v>10</v>
      </c>
      <c r="F254" s="29" t="str">
        <f>Текущий!E253</f>
        <v>8,9</v>
      </c>
      <c r="G254" s="16">
        <f>IF(Текущий!K253="-",Текущий!K253,ROUND(Текущий!K253,0))</f>
        <v>31</v>
      </c>
      <c r="H254" s="29" t="str">
        <f>IF(ROUND(Текущий!I253,0)=0,"-",ROUND(Текущий!I253,0))</f>
        <v>-</v>
      </c>
      <c r="I254" s="16">
        <f>IF(Предыд!K253="-",Предыд!K253,ROUND(Предыд!K253,0))</f>
        <v>29</v>
      </c>
      <c r="J254" s="29" t="str">
        <f>IF(ROUND(Предыд!I253,0)=0,"-",ROUND(Предыд!I253,0))</f>
        <v>-</v>
      </c>
      <c r="K254" s="30" t="str">
        <f>Текущий!L253</f>
        <v>Рихтовка</v>
      </c>
      <c r="L254" s="29">
        <f>Текущий!AL253</f>
        <v>65</v>
      </c>
      <c r="M254" s="29">
        <f>Текущий!AM253</f>
        <v>0</v>
      </c>
      <c r="N254" s="29">
        <f>Текущий!AN253</f>
        <v>0</v>
      </c>
      <c r="O254" s="29">
        <f>Текущий!AP253</f>
        <v>0</v>
      </c>
      <c r="P254" s="29">
        <f>Предыд!AL253</f>
        <v>68</v>
      </c>
      <c r="Q254" s="29">
        <f>Предыд!AM253</f>
        <v>0</v>
      </c>
      <c r="R254" s="29">
        <f>Предыд!AN253</f>
        <v>0</v>
      </c>
      <c r="S254" s="29">
        <f>Предыд!AO253</f>
        <v>0</v>
      </c>
      <c r="T254" s="17" t="str">
        <f t="shared" si="3"/>
        <v>+</v>
      </c>
    </row>
    <row r="255" spans="1:20" x14ac:dyDescent="0.25">
      <c r="A255" s="29">
        <f>Текущий!A254</f>
        <v>15</v>
      </c>
      <c r="B255" s="29">
        <f>Текущий!B254</f>
        <v>25001</v>
      </c>
      <c r="C255" s="29" t="str">
        <f>Текущий!C254</f>
        <v>Одн</v>
      </c>
      <c r="D255" s="29" t="str">
        <f>Текущий!D254</f>
        <v>Хевчен - Разъезд № 21</v>
      </c>
      <c r="E255" s="29">
        <f>ROUND(Текущий!J254,0)</f>
        <v>20</v>
      </c>
      <c r="F255" s="29">
        <f>Текущий!E254</f>
        <v>9</v>
      </c>
      <c r="G255" s="16">
        <f>IF(Текущий!K254="-",Текущий!K254,ROUND(Текущий!K254,0))</f>
        <v>34</v>
      </c>
      <c r="H255" s="29" t="str">
        <f>IF(ROUND(Текущий!I254,0)=0,"-",ROUND(Текущий!I254,0))</f>
        <v>-</v>
      </c>
      <c r="I255" s="16">
        <f>IF(Предыд!K254="-",Предыд!K254,ROUND(Предыд!K254,0))</f>
        <v>42</v>
      </c>
      <c r="J255" s="29" t="str">
        <f>IF(ROUND(Предыд!I254,0)=0,"-",ROUND(Предыд!I254,0))</f>
        <v>-</v>
      </c>
      <c r="K255" s="30" t="str">
        <f>Текущий!L254</f>
        <v>Просадка</v>
      </c>
      <c r="L255" s="29">
        <f>Текущий!AL254</f>
        <v>153</v>
      </c>
      <c r="M255" s="29">
        <f>Текущий!AM254</f>
        <v>1</v>
      </c>
      <c r="N255" s="29">
        <f>Текущий!AN254</f>
        <v>0</v>
      </c>
      <c r="O255" s="29">
        <f>Текущий!AP254</f>
        <v>0</v>
      </c>
      <c r="P255" s="29">
        <f>Предыд!AL254</f>
        <v>140</v>
      </c>
      <c r="Q255" s="29">
        <f>Предыд!AM254</f>
        <v>2</v>
      </c>
      <c r="R255" s="29">
        <f>Предыд!AN254</f>
        <v>0</v>
      </c>
      <c r="S255" s="29">
        <f>Предыд!AO254</f>
        <v>0</v>
      </c>
      <c r="T255" s="17" t="str">
        <f t="shared" si="3"/>
        <v>-</v>
      </c>
    </row>
    <row r="256" spans="1:20" x14ac:dyDescent="0.25">
      <c r="A256" s="29">
        <f>Текущий!A255</f>
        <v>15</v>
      </c>
      <c r="B256" s="29">
        <f>Текущий!B255</f>
        <v>25001</v>
      </c>
      <c r="C256" s="29" t="str">
        <f>Текущий!C255</f>
        <v>Одн</v>
      </c>
      <c r="D256" s="29" t="str">
        <f>Текущий!D255</f>
        <v>Разъезд № 21 - Болонь</v>
      </c>
      <c r="E256" s="29">
        <f>ROUND(Текущий!J255,0)</f>
        <v>4</v>
      </c>
      <c r="F256" s="29">
        <f>Текущий!E255</f>
        <v>9</v>
      </c>
      <c r="G256" s="16">
        <f>IF(Текущий!K255="-",Текущий!K255,ROUND(Текущий!K255,0))</f>
        <v>60</v>
      </c>
      <c r="H256" s="29" t="str">
        <f>IF(ROUND(Текущий!I255,0)=0,"-",ROUND(Текущий!I255,0))</f>
        <v>-</v>
      </c>
      <c r="I256" s="16">
        <f>IF(Предыд!K255="-",Предыд!K255,ROUND(Предыд!K255,0))</f>
        <v>33</v>
      </c>
      <c r="J256" s="29" t="str">
        <f>IF(ROUND(Предыд!I255,0)=0,"-",ROUND(Предыд!I255,0))</f>
        <v>-</v>
      </c>
      <c r="K256" s="30" t="str">
        <f>Текущий!L255</f>
        <v>Просадка</v>
      </c>
      <c r="L256" s="29">
        <f>Текущий!AL255</f>
        <v>41</v>
      </c>
      <c r="M256" s="29">
        <f>Текущий!AM255</f>
        <v>1</v>
      </c>
      <c r="N256" s="29">
        <f>Текущий!AN255</f>
        <v>0</v>
      </c>
      <c r="O256" s="29">
        <f>Текущий!AP255</f>
        <v>0</v>
      </c>
      <c r="P256" s="29">
        <f>Предыд!AL255</f>
        <v>36</v>
      </c>
      <c r="Q256" s="29">
        <f>Предыд!AM255</f>
        <v>0</v>
      </c>
      <c r="R256" s="29">
        <f>Предыд!AN255</f>
        <v>0</v>
      </c>
      <c r="S256" s="29">
        <f>Предыд!AO255</f>
        <v>0</v>
      </c>
      <c r="T256" s="17" t="str">
        <f t="shared" si="3"/>
        <v>+</v>
      </c>
    </row>
    <row r="257" spans="1:20" x14ac:dyDescent="0.25">
      <c r="A257" s="29">
        <f>Текущий!A256</f>
        <v>16</v>
      </c>
      <c r="B257" s="29">
        <f>Текущий!B256</f>
        <v>25001</v>
      </c>
      <c r="C257" s="29" t="str">
        <f>Текущий!C256</f>
        <v>Одн</v>
      </c>
      <c r="D257" s="29" t="str">
        <f>Текущий!D256</f>
        <v>Разъезд № 21 - Болонь</v>
      </c>
      <c r="E257" s="29">
        <f>ROUND(Текущий!J256,0)</f>
        <v>13</v>
      </c>
      <c r="F257" s="29">
        <f>Текущий!E256</f>
        <v>1</v>
      </c>
      <c r="G257" s="16">
        <f>IF(Текущий!K256="-",Текущий!K256,ROUND(Текущий!K256,0))</f>
        <v>78</v>
      </c>
      <c r="H257" s="29">
        <f>IF(ROUND(Текущий!I256,0)=0,"-",ROUND(Текущий!I256,0))</f>
        <v>1</v>
      </c>
      <c r="I257" s="16">
        <f>IF(Предыд!K256="-",Предыд!K256,ROUND(Предыд!K256,0))</f>
        <v>105</v>
      </c>
      <c r="J257" s="29">
        <f>IF(ROUND(Предыд!I256,0)=0,"-",ROUND(Предыд!I256,0))</f>
        <v>2</v>
      </c>
      <c r="K257" s="30" t="str">
        <f>Текущий!L256</f>
        <v>Просадка</v>
      </c>
      <c r="L257" s="29">
        <f>Текущий!AL256</f>
        <v>114</v>
      </c>
      <c r="M257" s="29">
        <f>Текущий!AM256</f>
        <v>1</v>
      </c>
      <c r="N257" s="29">
        <f>Текущий!AN256</f>
        <v>1</v>
      </c>
      <c r="O257" s="29">
        <f>Текущий!AP256</f>
        <v>1</v>
      </c>
      <c r="P257" s="29">
        <f>Предыд!AL256</f>
        <v>112</v>
      </c>
      <c r="Q257" s="29">
        <f>Предыд!AM256</f>
        <v>1</v>
      </c>
      <c r="R257" s="29">
        <f>Предыд!AN256</f>
        <v>1</v>
      </c>
      <c r="S257" s="29">
        <f>Предыд!AO256</f>
        <v>1</v>
      </c>
      <c r="T257" s="17" t="str">
        <f t="shared" si="3"/>
        <v>-</v>
      </c>
    </row>
    <row r="258" spans="1:20" x14ac:dyDescent="0.25">
      <c r="A258" s="29">
        <f>Текущий!A257</f>
        <v>16</v>
      </c>
      <c r="B258" s="29">
        <f>Текущий!B257</f>
        <v>25001</v>
      </c>
      <c r="C258" s="29" t="str">
        <f>Текущий!C257</f>
        <v>Одн</v>
      </c>
      <c r="D258" s="29" t="str">
        <f>Текущий!D257</f>
        <v>Болонь - Менгон</v>
      </c>
      <c r="E258" s="29">
        <f>ROUND(Текущий!J257,0)</f>
        <v>17</v>
      </c>
      <c r="F258" s="29" t="str">
        <f>Текущий!E257</f>
        <v>1,2</v>
      </c>
      <c r="G258" s="16">
        <f>IF(Текущий!K257="-",Текущий!K257,ROUND(Текущий!K257,0))</f>
        <v>39</v>
      </c>
      <c r="H258" s="29" t="str">
        <f>IF(ROUND(Текущий!I257,0)=0,"-",ROUND(Текущий!I257,0))</f>
        <v>-</v>
      </c>
      <c r="I258" s="16">
        <f>IF(Предыд!K257="-",Предыд!K257,ROUND(Предыд!K257,0))</f>
        <v>65</v>
      </c>
      <c r="J258" s="29">
        <f>IF(ROUND(Предыд!I257,0)=0,"-",ROUND(Предыд!I257,0))</f>
        <v>1</v>
      </c>
      <c r="K258" s="30" t="str">
        <f>Текущий!L257</f>
        <v>Рихтовка</v>
      </c>
      <c r="L258" s="29">
        <f>Текущий!AL257</f>
        <v>157</v>
      </c>
      <c r="M258" s="29">
        <f>Текущий!AM257</f>
        <v>1</v>
      </c>
      <c r="N258" s="29">
        <f>Текущий!AN257</f>
        <v>0</v>
      </c>
      <c r="O258" s="29">
        <f>Текущий!AP257</f>
        <v>0</v>
      </c>
      <c r="P258" s="29">
        <f>Предыд!AL257</f>
        <v>220</v>
      </c>
      <c r="Q258" s="29">
        <f>Предыд!AM257</f>
        <v>1</v>
      </c>
      <c r="R258" s="29">
        <f>Предыд!AN257</f>
        <v>0</v>
      </c>
      <c r="S258" s="29">
        <f>Предыд!AO257</f>
        <v>2</v>
      </c>
      <c r="T258" s="17" t="str">
        <f t="shared" si="3"/>
        <v>-</v>
      </c>
    </row>
    <row r="259" spans="1:20" x14ac:dyDescent="0.25">
      <c r="A259" s="29">
        <f>Текущий!A258</f>
        <v>16</v>
      </c>
      <c r="B259" s="29">
        <f>Текущий!B258</f>
        <v>25001</v>
      </c>
      <c r="C259" s="29" t="str">
        <f>Текущий!C258</f>
        <v>Одн</v>
      </c>
      <c r="D259" s="29" t="str">
        <f>Текущий!D258</f>
        <v>Менгон - Тейсон</v>
      </c>
      <c r="E259" s="29">
        <f>ROUND(Текущий!J258,0)</f>
        <v>7</v>
      </c>
      <c r="F259" s="29">
        <f>Текущий!E258</f>
        <v>2</v>
      </c>
      <c r="G259" s="16">
        <f>IF(Текущий!K258="-",Текущий!K258,ROUND(Текущий!K258,0))</f>
        <v>43</v>
      </c>
      <c r="H259" s="29" t="str">
        <f>IF(ROUND(Текущий!I258,0)=0,"-",ROUND(Текущий!I258,0))</f>
        <v>-</v>
      </c>
      <c r="I259" s="16">
        <f>IF(Предыд!K258="-",Предыд!K258,ROUND(Предыд!K258,0))</f>
        <v>36</v>
      </c>
      <c r="J259" s="29" t="str">
        <f>IF(ROUND(Предыд!I258,0)=0,"-",ROUND(Предыд!I258,0))</f>
        <v>-</v>
      </c>
      <c r="K259" s="30" t="str">
        <f>Текущий!L258</f>
        <v>Просадка</v>
      </c>
      <c r="L259" s="29">
        <f>Текущий!AL258</f>
        <v>64</v>
      </c>
      <c r="M259" s="29">
        <f>Текущий!AM258</f>
        <v>0</v>
      </c>
      <c r="N259" s="29">
        <f>Текущий!AN258</f>
        <v>0</v>
      </c>
      <c r="O259" s="29">
        <f>Текущий!AP258</f>
        <v>0</v>
      </c>
      <c r="P259" s="29">
        <f>Предыд!AL258</f>
        <v>72</v>
      </c>
      <c r="Q259" s="29">
        <f>Предыд!AM258</f>
        <v>0</v>
      </c>
      <c r="R259" s="29">
        <f>Предыд!AN258</f>
        <v>0</v>
      </c>
      <c r="S259" s="29">
        <f>Предыд!AO258</f>
        <v>0</v>
      </c>
      <c r="T259" s="17" t="str">
        <f t="shared" si="3"/>
        <v>+</v>
      </c>
    </row>
    <row r="260" spans="1:20" x14ac:dyDescent="0.25">
      <c r="A260" s="29">
        <f>Текущий!A259</f>
        <v>16</v>
      </c>
      <c r="B260" s="29">
        <f>Текущий!B259</f>
        <v>25001</v>
      </c>
      <c r="C260" s="29" t="str">
        <f>Текущий!C259</f>
        <v>Одн</v>
      </c>
      <c r="D260" s="29" t="str">
        <f>Текущий!D259</f>
        <v>Тейсон - Эльбан</v>
      </c>
      <c r="E260" s="29">
        <f>ROUND(Текущий!J259,0)</f>
        <v>8</v>
      </c>
      <c r="F260" s="29" t="str">
        <f>Текущий!E259</f>
        <v>2,3</v>
      </c>
      <c r="G260" s="16">
        <f>IF(Текущий!K259="-",Текущий!K259,ROUND(Текущий!K259,0))</f>
        <v>105</v>
      </c>
      <c r="H260" s="29">
        <f>IF(ROUND(Текущий!I259,0)=0,"-",ROUND(Текущий!I259,0))</f>
        <v>1</v>
      </c>
      <c r="I260" s="16">
        <f>IF(Предыд!K259="-",Предыд!K259,ROUND(Предыд!K259,0))</f>
        <v>42</v>
      </c>
      <c r="J260" s="29" t="str">
        <f>IF(ROUND(Предыд!I259,0)=0,"-",ROUND(Предыд!I259,0))</f>
        <v>-</v>
      </c>
      <c r="K260" s="30" t="str">
        <f>Текущий!L259</f>
        <v>Просадка</v>
      </c>
      <c r="L260" s="29">
        <f>Текущий!AL259</f>
        <v>96</v>
      </c>
      <c r="M260" s="29">
        <f>Текущий!AM259</f>
        <v>1</v>
      </c>
      <c r="N260" s="29">
        <f>Текущий!AN259</f>
        <v>1</v>
      </c>
      <c r="O260" s="29">
        <f>Текущий!AP259</f>
        <v>0</v>
      </c>
      <c r="P260" s="29">
        <f>Предыд!AL259</f>
        <v>95</v>
      </c>
      <c r="Q260" s="29">
        <f>Предыд!AM259</f>
        <v>0</v>
      </c>
      <c r="R260" s="29">
        <f>Предыд!AN259</f>
        <v>0</v>
      </c>
      <c r="S260" s="29">
        <f>Предыд!AO259</f>
        <v>0</v>
      </c>
      <c r="T260" s="17" t="str">
        <f t="shared" si="3"/>
        <v>+</v>
      </c>
    </row>
    <row r="261" spans="1:20" x14ac:dyDescent="0.25">
      <c r="A261" s="29">
        <f>Текущий!A260</f>
        <v>16</v>
      </c>
      <c r="B261" s="29">
        <f>Текущий!B260</f>
        <v>25001</v>
      </c>
      <c r="C261" s="29" t="str">
        <f>Текущий!C260</f>
        <v>Одн</v>
      </c>
      <c r="D261" s="29" t="str">
        <f>Текущий!D260</f>
        <v>Эльбан - Подали</v>
      </c>
      <c r="E261" s="29">
        <f>ROUND(Текущий!J260,0)</f>
        <v>20</v>
      </c>
      <c r="F261" s="29" t="str">
        <f>Текущий!E260</f>
        <v>3,4</v>
      </c>
      <c r="G261" s="16">
        <f>IF(Текущий!K260="-",Текущий!K260,ROUND(Текущий!K260,0))</f>
        <v>33</v>
      </c>
      <c r="H261" s="29" t="str">
        <f>IF(ROUND(Текущий!I260,0)=0,"-",ROUND(Текущий!I260,0))</f>
        <v>-</v>
      </c>
      <c r="I261" s="16">
        <f>IF(Предыд!K260="-",Предыд!K260,ROUND(Предыд!K260,0))</f>
        <v>53</v>
      </c>
      <c r="J261" s="29" t="str">
        <f>IF(ROUND(Предыд!I260,0)=0,"-",ROUND(Предыд!I260,0))</f>
        <v>-</v>
      </c>
      <c r="K261" s="30" t="str">
        <f>Текущий!L260</f>
        <v>Просадка</v>
      </c>
      <c r="L261" s="29">
        <f>Текущий!AL260</f>
        <v>202</v>
      </c>
      <c r="M261" s="29">
        <f>Текущий!AM260</f>
        <v>0</v>
      </c>
      <c r="N261" s="29">
        <f>Текущий!AN260</f>
        <v>0</v>
      </c>
      <c r="O261" s="29">
        <f>Текущий!AP260</f>
        <v>0</v>
      </c>
      <c r="P261" s="29">
        <f>Предыд!AL260</f>
        <v>243</v>
      </c>
      <c r="Q261" s="29">
        <f>Предыд!AM260</f>
        <v>2</v>
      </c>
      <c r="R261" s="29">
        <f>Предыд!AN260</f>
        <v>0</v>
      </c>
      <c r="S261" s="29">
        <f>Предыд!AO260</f>
        <v>0</v>
      </c>
      <c r="T261" s="17" t="str">
        <f t="shared" ref="T261:T324" si="4">IF(G261&gt;I261,"+","-")</f>
        <v>-</v>
      </c>
    </row>
    <row r="262" spans="1:20" x14ac:dyDescent="0.25">
      <c r="A262" s="29">
        <f>Текущий!A261</f>
        <v>16</v>
      </c>
      <c r="B262" s="29">
        <f>Текущий!B261</f>
        <v>25001</v>
      </c>
      <c r="C262" s="29" t="str">
        <f>Текущий!C261</f>
        <v>Одн</v>
      </c>
      <c r="D262" s="29" t="str">
        <f>Текущий!D261</f>
        <v>Подали - Разъезд 303 км</v>
      </c>
      <c r="E262" s="29">
        <f>ROUND(Текущий!J261,0)</f>
        <v>7</v>
      </c>
      <c r="F262" s="29">
        <f>Текущий!E261</f>
        <v>4</v>
      </c>
      <c r="G262" s="16">
        <f>IF(Текущий!K261="-",Текущий!K261,ROUND(Текущий!K261,0))</f>
        <v>47</v>
      </c>
      <c r="H262" s="29" t="str">
        <f>IF(ROUND(Текущий!I261,0)=0,"-",ROUND(Текущий!I261,0))</f>
        <v>-</v>
      </c>
      <c r="I262" s="16">
        <f>IF(Предыд!K261="-",Предыд!K261,ROUND(Предыд!K261,0))</f>
        <v>10</v>
      </c>
      <c r="J262" s="29" t="str">
        <f>IF(ROUND(Предыд!I261,0)=0,"-",ROUND(Предыд!I261,0))</f>
        <v>-</v>
      </c>
      <c r="K262" s="30" t="str">
        <f>Текущий!L261</f>
        <v>Сужение</v>
      </c>
      <c r="L262" s="29">
        <f>Текущий!AL261</f>
        <v>38</v>
      </c>
      <c r="M262" s="29">
        <f>Текущий!AM261</f>
        <v>0</v>
      </c>
      <c r="N262" s="29">
        <f>Текущий!AN261</f>
        <v>0</v>
      </c>
      <c r="O262" s="29">
        <f>Текущий!AP261</f>
        <v>0</v>
      </c>
      <c r="P262" s="29">
        <f>Предыд!AL261</f>
        <v>6</v>
      </c>
      <c r="Q262" s="29">
        <f>Предыд!AM261</f>
        <v>0</v>
      </c>
      <c r="R262" s="29">
        <f>Предыд!AN261</f>
        <v>0</v>
      </c>
      <c r="S262" s="29">
        <f>Предыд!AO261</f>
        <v>0</v>
      </c>
      <c r="T262" s="17" t="str">
        <f t="shared" si="4"/>
        <v>+</v>
      </c>
    </row>
    <row r="263" spans="1:20" x14ac:dyDescent="0.25">
      <c r="A263" s="29">
        <f>Текущий!A262</f>
        <v>16</v>
      </c>
      <c r="B263" s="29">
        <f>Текущий!B262</f>
        <v>25001</v>
      </c>
      <c r="C263" s="29" t="str">
        <f>Текущий!C262</f>
        <v>Одн</v>
      </c>
      <c r="D263" s="29" t="str">
        <f>Текущий!D262</f>
        <v>Разъезд 303 км - Мылки</v>
      </c>
      <c r="E263" s="29">
        <f>ROUND(Текущий!J262,0)</f>
        <v>13</v>
      </c>
      <c r="F263" s="29" t="str">
        <f>Текущий!E262</f>
        <v>4,5</v>
      </c>
      <c r="G263" s="16">
        <f>IF(Текущий!K262="-",Текущий!K262,ROUND(Текущий!K262,0))</f>
        <v>12</v>
      </c>
      <c r="H263" s="29" t="str">
        <f>IF(ROUND(Текущий!I262,0)=0,"-",ROUND(Текущий!I262,0))</f>
        <v>-</v>
      </c>
      <c r="I263" s="16">
        <f>IF(Предыд!K262="-",Предыд!K262,ROUND(Предыд!K262,0))</f>
        <v>10</v>
      </c>
      <c r="J263" s="29" t="str">
        <f>IF(ROUND(Предыд!I262,0)=0,"-",ROUND(Предыд!I262,0))</f>
        <v>-</v>
      </c>
      <c r="K263" s="30" t="str">
        <f>Текущий!L262</f>
        <v>Просадка</v>
      </c>
      <c r="L263" s="29">
        <f>Текущий!AL262</f>
        <v>9</v>
      </c>
      <c r="M263" s="29">
        <f>Текущий!AM262</f>
        <v>0</v>
      </c>
      <c r="N263" s="29">
        <f>Текущий!AN262</f>
        <v>0</v>
      </c>
      <c r="O263" s="29">
        <f>Текущий!AP262</f>
        <v>0</v>
      </c>
      <c r="P263" s="29">
        <f>Предыд!AL262</f>
        <v>10</v>
      </c>
      <c r="Q263" s="29">
        <f>Предыд!AM262</f>
        <v>0</v>
      </c>
      <c r="R263" s="29">
        <f>Предыд!AN262</f>
        <v>0</v>
      </c>
      <c r="S263" s="29">
        <f>Предыд!AO262</f>
        <v>0</v>
      </c>
      <c r="T263" s="17" t="str">
        <f t="shared" si="4"/>
        <v>+</v>
      </c>
    </row>
    <row r="264" spans="1:20" x14ac:dyDescent="0.25">
      <c r="A264" s="29">
        <f>Текущий!A263</f>
        <v>16</v>
      </c>
      <c r="B264" s="29">
        <f>Текущий!B263</f>
        <v>25001</v>
      </c>
      <c r="C264" s="29" t="str">
        <f>Текущий!C263</f>
        <v>Одн</v>
      </c>
      <c r="D264" s="29" t="str">
        <f>Текущий!D263</f>
        <v>Мылки - Комсомольск-сорт.</v>
      </c>
      <c r="E264" s="29">
        <f>ROUND(Текущий!J263,0)</f>
        <v>14</v>
      </c>
      <c r="F264" s="29">
        <f>Текущий!E263</f>
        <v>5</v>
      </c>
      <c r="G264" s="16">
        <f>IF(Текущий!K263="-",Текущий!K263,ROUND(Текущий!K263,0))</f>
        <v>18</v>
      </c>
      <c r="H264" s="29" t="str">
        <f>IF(ROUND(Текущий!I263,0)=0,"-",ROUND(Текущий!I263,0))</f>
        <v>-</v>
      </c>
      <c r="I264" s="16">
        <f>IF(Предыд!K263="-",Предыд!K263,ROUND(Предыд!K263,0))</f>
        <v>21</v>
      </c>
      <c r="J264" s="29" t="str">
        <f>IF(ROUND(Предыд!I263,0)=0,"-",ROUND(Предыд!I263,0))</f>
        <v>-</v>
      </c>
      <c r="K264" s="30" t="str">
        <f>Текущий!L263</f>
        <v>Уровень</v>
      </c>
      <c r="L264" s="29">
        <f>Текущий!AL263</f>
        <v>56</v>
      </c>
      <c r="M264" s="29">
        <f>Текущий!AM263</f>
        <v>0</v>
      </c>
      <c r="N264" s="29">
        <f>Текущий!AN263</f>
        <v>0</v>
      </c>
      <c r="O264" s="29">
        <f>Текущий!AP263</f>
        <v>0</v>
      </c>
      <c r="P264" s="29">
        <f>Предыд!AL263</f>
        <v>59</v>
      </c>
      <c r="Q264" s="29">
        <f>Предыд!AM263</f>
        <v>0</v>
      </c>
      <c r="R264" s="29">
        <f>Предыд!AN263</f>
        <v>0</v>
      </c>
      <c r="S264" s="29">
        <f>Предыд!AO263</f>
        <v>0</v>
      </c>
      <c r="T264" s="17" t="str">
        <f t="shared" si="4"/>
        <v>-</v>
      </c>
    </row>
    <row r="265" spans="1:20" x14ac:dyDescent="0.25">
      <c r="A265" s="29">
        <f>Текущий!A264</f>
        <v>16</v>
      </c>
      <c r="B265" s="29">
        <f>Текущий!B264</f>
        <v>25001</v>
      </c>
      <c r="C265" s="29" t="str">
        <f>Текущий!C264</f>
        <v>н</v>
      </c>
      <c r="D265" s="29" t="str">
        <f>Текущий!D264</f>
        <v>ст. Комсомольск-сорт.</v>
      </c>
      <c r="E265" s="29">
        <f>ROUND(Текущий!J264,0)</f>
        <v>0</v>
      </c>
      <c r="F265" s="29">
        <f>Текущий!E264</f>
        <v>0</v>
      </c>
      <c r="G265" s="16" t="str">
        <f>IF(Текущий!K264="-",Текущий!K264,ROUND(Текущий!K264,0))</f>
        <v>-</v>
      </c>
      <c r="H265" s="29" t="str">
        <f>IF(ROUND(Текущий!I264,0)=0,"-",ROUND(Текущий!I264,0))</f>
        <v>-</v>
      </c>
      <c r="I265" s="16">
        <f>IF(Предыд!K264="-",Предыд!K264,ROUND(Предыд!K264,0))</f>
        <v>19</v>
      </c>
      <c r="J265" s="29" t="str">
        <f>IF(ROUND(Предыд!I264,0)=0,"-",ROUND(Предыд!I264,0))</f>
        <v>-</v>
      </c>
      <c r="K265" s="30" t="str">
        <f>Текущий!L264</f>
        <v>Рихтовка</v>
      </c>
      <c r="L265" s="29">
        <f>Текущий!AL264</f>
        <v>0</v>
      </c>
      <c r="M265" s="29">
        <f>Текущий!AM264</f>
        <v>0</v>
      </c>
      <c r="N265" s="29">
        <f>Текущий!AN264</f>
        <v>0</v>
      </c>
      <c r="O265" s="29">
        <f>Текущий!AP264</f>
        <v>0</v>
      </c>
      <c r="P265" s="29">
        <f>Предыд!AL264</f>
        <v>34</v>
      </c>
      <c r="Q265" s="29">
        <f>Предыд!AM264</f>
        <v>0</v>
      </c>
      <c r="R265" s="29">
        <f>Предыд!AN264</f>
        <v>0</v>
      </c>
      <c r="S265" s="29">
        <f>Предыд!AO264</f>
        <v>0</v>
      </c>
      <c r="T265" s="17" t="str">
        <f t="shared" si="4"/>
        <v>+</v>
      </c>
    </row>
    <row r="266" spans="1:20" x14ac:dyDescent="0.25">
      <c r="A266" s="29">
        <f>Текущий!A265</f>
        <v>16</v>
      </c>
      <c r="B266" s="29">
        <f>Текущий!B265</f>
        <v>25001</v>
      </c>
      <c r="C266" s="29" t="str">
        <f>Текущий!C265</f>
        <v>н</v>
      </c>
      <c r="D266" s="29" t="str">
        <f>Текущий!D265</f>
        <v>Комсомольск-сорт. - Комсомольск-на-Амуре</v>
      </c>
      <c r="E266" s="29">
        <f>ROUND(Текущий!J265,0)</f>
        <v>0</v>
      </c>
      <c r="F266" s="29">
        <f>Текущий!E265</f>
        <v>0</v>
      </c>
      <c r="G266" s="16" t="str">
        <f>IF(Текущий!K265="-",Текущий!K265,ROUND(Текущий!K265,0))</f>
        <v>-</v>
      </c>
      <c r="H266" s="29" t="str">
        <f>IF(ROUND(Текущий!I265,0)=0,"-",ROUND(Текущий!I265,0))</f>
        <v>-</v>
      </c>
      <c r="I266" s="16">
        <f>IF(Предыд!K265="-",Предыд!K265,ROUND(Предыд!K265,0))</f>
        <v>29</v>
      </c>
      <c r="J266" s="29" t="str">
        <f>IF(ROUND(Предыд!I265,0)=0,"-",ROUND(Предыд!I265,0))</f>
        <v>-</v>
      </c>
      <c r="K266" s="30" t="str">
        <f>Текущий!L265</f>
        <v>Рихтовка</v>
      </c>
      <c r="L266" s="29">
        <f>Текущий!AL265</f>
        <v>0</v>
      </c>
      <c r="M266" s="29">
        <f>Текущий!AM265</f>
        <v>0</v>
      </c>
      <c r="N266" s="29">
        <f>Текущий!AN265</f>
        <v>0</v>
      </c>
      <c r="O266" s="29">
        <f>Текущий!AP265</f>
        <v>0</v>
      </c>
      <c r="P266" s="29">
        <f>Предыд!AL265</f>
        <v>71</v>
      </c>
      <c r="Q266" s="29">
        <f>Предыд!AM265</f>
        <v>0</v>
      </c>
      <c r="R266" s="29">
        <f>Предыд!AN265</f>
        <v>0</v>
      </c>
      <c r="S266" s="29">
        <f>Предыд!AO265</f>
        <v>0</v>
      </c>
      <c r="T266" s="17" t="str">
        <f t="shared" si="4"/>
        <v>+</v>
      </c>
    </row>
    <row r="267" spans="1:20" x14ac:dyDescent="0.25">
      <c r="A267" s="29">
        <f>Текущий!A266</f>
        <v>16</v>
      </c>
      <c r="B267" s="29">
        <f>Текущий!B266</f>
        <v>25001</v>
      </c>
      <c r="C267" s="29" t="str">
        <f>Текущий!C266</f>
        <v>н</v>
      </c>
      <c r="D267" s="29" t="str">
        <f>Текущий!D266</f>
        <v>ст. Комсомольск-на-Амуре</v>
      </c>
      <c r="E267" s="29">
        <f>ROUND(Текущий!J266,0)</f>
        <v>2</v>
      </c>
      <c r="F267" s="29">
        <f>Текущий!E266</f>
        <v>9</v>
      </c>
      <c r="G267" s="16">
        <f>IF(Текущий!K266="-",Текущий!K266,ROUND(Текущий!K266,0))</f>
        <v>14</v>
      </c>
      <c r="H267" s="29" t="str">
        <f>IF(ROUND(Текущий!I266,0)=0,"-",ROUND(Текущий!I266,0))</f>
        <v>-</v>
      </c>
      <c r="I267" s="16">
        <f>IF(Предыд!K266="-",Предыд!K266,ROUND(Предыд!K266,0))</f>
        <v>26</v>
      </c>
      <c r="J267" s="29" t="str">
        <f>IF(ROUND(Предыд!I266,0)=0,"-",ROUND(Предыд!I266,0))</f>
        <v>-</v>
      </c>
      <c r="K267" s="30" t="str">
        <f>Текущий!L266</f>
        <v>Рихтовка</v>
      </c>
      <c r="L267" s="29">
        <f>Текущий!AL266</f>
        <v>12</v>
      </c>
      <c r="M267" s="29">
        <f>Текущий!AM266</f>
        <v>0</v>
      </c>
      <c r="N267" s="29">
        <f>Текущий!AN266</f>
        <v>0</v>
      </c>
      <c r="O267" s="29">
        <f>Текущий!AP266</f>
        <v>0</v>
      </c>
      <c r="P267" s="29">
        <f>Предыд!AL266</f>
        <v>20</v>
      </c>
      <c r="Q267" s="29">
        <f>Предыд!AM266</f>
        <v>0</v>
      </c>
      <c r="R267" s="29">
        <f>Предыд!AN266</f>
        <v>0</v>
      </c>
      <c r="S267" s="29">
        <f>Предыд!AO266</f>
        <v>0</v>
      </c>
      <c r="T267" s="17" t="str">
        <f t="shared" si="4"/>
        <v>-</v>
      </c>
    </row>
    <row r="268" spans="1:20" x14ac:dyDescent="0.25">
      <c r="A268" s="29">
        <f>Текущий!A267</f>
        <v>16</v>
      </c>
      <c r="B268" s="29">
        <f>Текущий!B267</f>
        <v>25001</v>
      </c>
      <c r="C268" s="29" t="str">
        <f>Текущий!C267</f>
        <v>ч</v>
      </c>
      <c r="D268" s="29" t="str">
        <f>Текущий!D267</f>
        <v>ст. Комсомольск-сорт.</v>
      </c>
      <c r="E268" s="29">
        <f>ROUND(Текущий!J267,0)</f>
        <v>8</v>
      </c>
      <c r="F268" s="29" t="str">
        <f>Текущий!E267</f>
        <v>5,6,7</v>
      </c>
      <c r="G268" s="16">
        <f>IF(Текущий!K267="-",Текущий!K267,ROUND(Текущий!K267,0))</f>
        <v>27</v>
      </c>
      <c r="H268" s="29" t="str">
        <f>IF(ROUND(Текущий!I267,0)=0,"-",ROUND(Текущий!I267,0))</f>
        <v>-</v>
      </c>
      <c r="I268" s="16">
        <f>IF(Предыд!K267="-",Предыд!K267,ROUND(Предыд!K267,0))</f>
        <v>22</v>
      </c>
      <c r="J268" s="29" t="str">
        <f>IF(ROUND(Предыд!I267,0)=0,"-",ROUND(Предыд!I267,0))</f>
        <v>-</v>
      </c>
      <c r="K268" s="30" t="str">
        <f>Текущий!L267</f>
        <v>Рихтовка</v>
      </c>
      <c r="L268" s="29">
        <f>Текущий!AL267</f>
        <v>48</v>
      </c>
      <c r="M268" s="29">
        <f>Текущий!AM267</f>
        <v>0</v>
      </c>
      <c r="N268" s="29">
        <f>Текущий!AN267</f>
        <v>0</v>
      </c>
      <c r="O268" s="29">
        <f>Текущий!AP267</f>
        <v>0</v>
      </c>
      <c r="P268" s="29">
        <f>Предыд!AL267</f>
        <v>42</v>
      </c>
      <c r="Q268" s="29">
        <f>Предыд!AM267</f>
        <v>0</v>
      </c>
      <c r="R268" s="29">
        <f>Предыд!AN267</f>
        <v>0</v>
      </c>
      <c r="S268" s="29">
        <f>Предыд!AO267</f>
        <v>0</v>
      </c>
      <c r="T268" s="17" t="str">
        <f t="shared" si="4"/>
        <v>+</v>
      </c>
    </row>
    <row r="269" spans="1:20" x14ac:dyDescent="0.25">
      <c r="A269" s="29">
        <f>Текущий!A268</f>
        <v>16</v>
      </c>
      <c r="B269" s="29">
        <f>Текущий!B268</f>
        <v>25001</v>
      </c>
      <c r="C269" s="29" t="str">
        <f>Текущий!C268</f>
        <v>ч</v>
      </c>
      <c r="D269" s="29" t="str">
        <f>Текущий!D268</f>
        <v>Комсомольск-сорт. - Комсомольск-на-Амуре</v>
      </c>
      <c r="E269" s="29">
        <f>ROUND(Текущий!J268,0)</f>
        <v>11</v>
      </c>
      <c r="F269" s="29" t="str">
        <f>Текущий!E268</f>
        <v>7,8,9</v>
      </c>
      <c r="G269" s="16">
        <f>IF(Текущий!K268="-",Текущий!K268,ROUND(Текущий!K268,0))</f>
        <v>19</v>
      </c>
      <c r="H269" s="29" t="str">
        <f>IF(ROUND(Текущий!I268,0)=0,"-",ROUND(Текущий!I268,0))</f>
        <v>-</v>
      </c>
      <c r="I269" s="16">
        <f>IF(Предыд!K268="-",Предыд!K268,ROUND(Предыд!K268,0))</f>
        <v>16</v>
      </c>
      <c r="J269" s="29" t="str">
        <f>IF(ROUND(Предыд!I268,0)=0,"-",ROUND(Предыд!I268,0))</f>
        <v>-</v>
      </c>
      <c r="K269" s="30" t="str">
        <f>Текущий!L268</f>
        <v>Рихтовка</v>
      </c>
      <c r="L269" s="29">
        <f>Текущий!AL268</f>
        <v>58</v>
      </c>
      <c r="M269" s="29">
        <f>Текущий!AM268</f>
        <v>0</v>
      </c>
      <c r="N269" s="29">
        <f>Текущий!AN268</f>
        <v>0</v>
      </c>
      <c r="O269" s="29">
        <f>Текущий!AP268</f>
        <v>0</v>
      </c>
      <c r="P269" s="29">
        <f>Предыд!AL268</f>
        <v>52</v>
      </c>
      <c r="Q269" s="29">
        <f>Предыд!AM268</f>
        <v>0</v>
      </c>
      <c r="R269" s="29">
        <f>Предыд!AN268</f>
        <v>0</v>
      </c>
      <c r="S269" s="29">
        <f>Предыд!AO268</f>
        <v>0</v>
      </c>
      <c r="T269" s="17" t="str">
        <f t="shared" si="4"/>
        <v>+</v>
      </c>
    </row>
    <row r="270" spans="1:20" x14ac:dyDescent="0.25">
      <c r="A270" s="29">
        <f>Текущий!A269</f>
        <v>16</v>
      </c>
      <c r="B270" s="29">
        <f>Текущий!B269</f>
        <v>25001</v>
      </c>
      <c r="C270" s="29" t="str">
        <f>Текущий!C269</f>
        <v>д</v>
      </c>
      <c r="D270" s="29" t="str">
        <f>Текущий!D269</f>
        <v>Комсомольск-на-Амуре - Дземги</v>
      </c>
      <c r="E270" s="29">
        <f>ROUND(Текущий!J269,0)</f>
        <v>0</v>
      </c>
      <c r="F270" s="29">
        <f>Текущий!E269</f>
        <v>0</v>
      </c>
      <c r="G270" s="16" t="str">
        <f>IF(Текущий!K269="-",Текущий!K269,ROUND(Текущий!K269,0))</f>
        <v>-</v>
      </c>
      <c r="H270" s="29" t="str">
        <f>IF(ROUND(Текущий!I269,0)=0,"-",ROUND(Текущий!I269,0))</f>
        <v>-</v>
      </c>
      <c r="I270" s="16">
        <f>IF(Предыд!K269="-",Предыд!K269,ROUND(Предыд!K269,0))</f>
        <v>39</v>
      </c>
      <c r="J270" s="29" t="str">
        <f>IF(ROUND(Предыд!I269,0)=0,"-",ROUND(Предыд!I269,0))</f>
        <v>-</v>
      </c>
      <c r="K270" s="30" t="str">
        <f>Текущий!L269</f>
        <v>Рихтовка</v>
      </c>
      <c r="L270" s="29">
        <f>Текущий!AL269</f>
        <v>0</v>
      </c>
      <c r="M270" s="29">
        <f>Текущий!AM269</f>
        <v>0</v>
      </c>
      <c r="N270" s="29">
        <f>Текущий!AN269</f>
        <v>0</v>
      </c>
      <c r="O270" s="29">
        <f>Текущий!AP269</f>
        <v>0</v>
      </c>
      <c r="P270" s="29">
        <f>Предыд!AL269</f>
        <v>47</v>
      </c>
      <c r="Q270" s="29">
        <f>Предыд!AM269</f>
        <v>0</v>
      </c>
      <c r="R270" s="29">
        <f>Предыд!AN269</f>
        <v>0</v>
      </c>
      <c r="S270" s="29">
        <f>Предыд!AO269</f>
        <v>0</v>
      </c>
      <c r="T270" s="17" t="str">
        <f t="shared" si="4"/>
        <v>+</v>
      </c>
    </row>
    <row r="271" spans="1:20" x14ac:dyDescent="0.25">
      <c r="A271" s="29">
        <f>Текущий!A270</f>
        <v>16</v>
      </c>
      <c r="B271" s="29">
        <f>Текущий!B270</f>
        <v>25001</v>
      </c>
      <c r="C271" s="29" t="str">
        <f>Текущий!C270</f>
        <v>д</v>
      </c>
      <c r="D271" s="29" t="str">
        <f>Текущий!D270</f>
        <v>ст. Дземги</v>
      </c>
      <c r="E271" s="29">
        <f>ROUND(Текущий!J270,0)</f>
        <v>0</v>
      </c>
      <c r="F271" s="29">
        <f>Текущий!E270</f>
        <v>0</v>
      </c>
      <c r="G271" s="16" t="str">
        <f>IF(Текущий!K270="-",Текущий!K270,ROUND(Текущий!K270,0))</f>
        <v>-</v>
      </c>
      <c r="H271" s="29" t="str">
        <f>IF(ROUND(Текущий!I270,0)=0,"-",ROUND(Текущий!I270,0))</f>
        <v>-</v>
      </c>
      <c r="I271" s="16">
        <f>IF(Предыд!K270="-",Предыд!K270,ROUND(Предыд!K270,0))</f>
        <v>10</v>
      </c>
      <c r="J271" s="29" t="str">
        <f>IF(ROUND(Предыд!I270,0)=0,"-",ROUND(Предыд!I270,0))</f>
        <v>-</v>
      </c>
      <c r="K271" s="30" t="str">
        <f>Текущий!L270</f>
        <v>Рихтовка</v>
      </c>
      <c r="L271" s="29">
        <f>Текущий!AL270</f>
        <v>0</v>
      </c>
      <c r="M271" s="29">
        <f>Текущий!AM270</f>
        <v>0</v>
      </c>
      <c r="N271" s="29">
        <f>Текущий!AN270</f>
        <v>0</v>
      </c>
      <c r="O271" s="29">
        <f>Текущий!AP270</f>
        <v>0</v>
      </c>
      <c r="P271" s="29">
        <f>Предыд!AL270</f>
        <v>5</v>
      </c>
      <c r="Q271" s="29">
        <f>Предыд!AM270</f>
        <v>0</v>
      </c>
      <c r="R271" s="29">
        <f>Предыд!AN270</f>
        <v>0</v>
      </c>
      <c r="S271" s="29">
        <f>Предыд!AO270</f>
        <v>0</v>
      </c>
      <c r="T271" s="17" t="str">
        <f t="shared" si="4"/>
        <v>+</v>
      </c>
    </row>
    <row r="272" spans="1:20" x14ac:dyDescent="0.25">
      <c r="A272" s="29">
        <f>Текущий!A271</f>
        <v>16</v>
      </c>
      <c r="B272" s="29">
        <f>Текущий!B271</f>
        <v>24605</v>
      </c>
      <c r="C272" s="29" t="str">
        <f>Текущий!C271</f>
        <v>пс</v>
      </c>
      <c r="D272" s="29" t="str">
        <f>Текущий!D271</f>
        <v>ст. Комсомольск-сорт.</v>
      </c>
      <c r="E272" s="29">
        <f>ROUND(Текущий!J271,0)</f>
        <v>0</v>
      </c>
      <c r="F272" s="29">
        <f>Текущий!E271</f>
        <v>0</v>
      </c>
      <c r="G272" s="16" t="str">
        <f>IF(Текущий!K271="-",Текущий!K271,ROUND(Текущий!K271,0))</f>
        <v>-</v>
      </c>
      <c r="H272" s="29" t="str">
        <f>IF(ROUND(Текущий!I271,0)=0,"-",ROUND(Текущий!I271,0))</f>
        <v>-</v>
      </c>
      <c r="I272" s="16" t="str">
        <f>IF(Предыд!K271="-",Предыд!K271,ROUND(Предыд!K271,0))</f>
        <v>-</v>
      </c>
      <c r="J272" s="29" t="str">
        <f>IF(ROUND(Предыд!I271,0)=0,"-",ROUND(Предыд!I271,0))</f>
        <v>-</v>
      </c>
      <c r="K272" s="30" t="str">
        <f>Текущий!L271</f>
        <v>Рихтовка</v>
      </c>
      <c r="L272" s="29">
        <f>Текущий!AL271</f>
        <v>0</v>
      </c>
      <c r="M272" s="29">
        <f>Текущий!AM271</f>
        <v>0</v>
      </c>
      <c r="N272" s="29">
        <f>Текущий!AN271</f>
        <v>0</v>
      </c>
      <c r="O272" s="29">
        <f>Текущий!AP271</f>
        <v>0</v>
      </c>
      <c r="P272" s="29">
        <f>Предыд!AL271</f>
        <v>0</v>
      </c>
      <c r="Q272" s="29">
        <f>Предыд!AM271</f>
        <v>0</v>
      </c>
      <c r="R272" s="29">
        <f>Предыд!AN271</f>
        <v>0</v>
      </c>
      <c r="S272" s="29">
        <f>Предыд!AO271</f>
        <v>0</v>
      </c>
      <c r="T272" s="17" t="str">
        <f t="shared" si="4"/>
        <v>-</v>
      </c>
    </row>
    <row r="273" spans="1:20" x14ac:dyDescent="0.25">
      <c r="A273" s="29">
        <f>Текущий!A272</f>
        <v>16</v>
      </c>
      <c r="B273" s="29">
        <f>Текущий!B272</f>
        <v>24605</v>
      </c>
      <c r="C273" s="29">
        <f>Текущий!C272</f>
        <v>1</v>
      </c>
      <c r="D273" s="29" t="str">
        <f>Текущий!D272</f>
        <v>Комсомольск-сорт. - Амурский</v>
      </c>
      <c r="E273" s="29">
        <f>ROUND(Текущий!J272,0)</f>
        <v>0</v>
      </c>
      <c r="F273" s="29">
        <f>Текущий!E272</f>
        <v>0</v>
      </c>
      <c r="G273" s="16" t="str">
        <f>IF(Текущий!K272="-",Текущий!K272,ROUND(Текущий!K272,0))</f>
        <v>-</v>
      </c>
      <c r="H273" s="29" t="str">
        <f>IF(ROUND(Текущий!I272,0)=0,"-",ROUND(Текущий!I272,0))</f>
        <v>-</v>
      </c>
      <c r="I273" s="16" t="str">
        <f>IF(Предыд!K272="-",Предыд!K272,ROUND(Предыд!K272,0))</f>
        <v>-</v>
      </c>
      <c r="J273" s="29" t="str">
        <f>IF(ROUND(Предыд!I272,0)=0,"-",ROUND(Предыд!I272,0))</f>
        <v>-</v>
      </c>
      <c r="K273" s="30" t="str">
        <f>Текущий!L272</f>
        <v>Рихтовка</v>
      </c>
      <c r="L273" s="29">
        <f>Текущий!AL272</f>
        <v>0</v>
      </c>
      <c r="M273" s="29">
        <f>Текущий!AM272</f>
        <v>0</v>
      </c>
      <c r="N273" s="29">
        <f>Текущий!AN272</f>
        <v>0</v>
      </c>
      <c r="O273" s="29">
        <f>Текущий!AP272</f>
        <v>0</v>
      </c>
      <c r="P273" s="29">
        <f>Предыд!AL272</f>
        <v>0</v>
      </c>
      <c r="Q273" s="29">
        <f>Предыд!AM272</f>
        <v>0</v>
      </c>
      <c r="R273" s="29">
        <f>Предыд!AN272</f>
        <v>0</v>
      </c>
      <c r="S273" s="29">
        <f>Предыд!AO272</f>
        <v>0</v>
      </c>
      <c r="T273" s="17" t="str">
        <f t="shared" si="4"/>
        <v>-</v>
      </c>
    </row>
    <row r="274" spans="1:20" x14ac:dyDescent="0.25">
      <c r="A274" s="29">
        <f>Текущий!A273</f>
        <v>16</v>
      </c>
      <c r="B274" s="29">
        <f>Текущий!B273</f>
        <v>24605</v>
      </c>
      <c r="C274" s="29">
        <f>Текущий!C273</f>
        <v>1</v>
      </c>
      <c r="D274" s="29" t="str">
        <f>Текущий!D273</f>
        <v>ст. Амурский</v>
      </c>
      <c r="E274" s="29">
        <f>ROUND(Текущий!J273,0)</f>
        <v>0</v>
      </c>
      <c r="F274" s="29">
        <f>Текущий!E273</f>
        <v>0</v>
      </c>
      <c r="G274" s="16" t="str">
        <f>IF(Текущий!K273="-",Текущий!K273,ROUND(Текущий!K273,0))</f>
        <v>-</v>
      </c>
      <c r="H274" s="29" t="str">
        <f>IF(ROUND(Текущий!I273,0)=0,"-",ROUND(Текущий!I273,0))</f>
        <v>-</v>
      </c>
      <c r="I274" s="16" t="str">
        <f>IF(Предыд!K273="-",Предыд!K273,ROUND(Предыд!K273,0))</f>
        <v>-</v>
      </c>
      <c r="J274" s="29" t="str">
        <f>IF(ROUND(Предыд!I273,0)=0,"-",ROUND(Предыд!I273,0))</f>
        <v>-</v>
      </c>
      <c r="K274" s="30" t="str">
        <f>Текущий!L273</f>
        <v>Рихтовка</v>
      </c>
      <c r="L274" s="29">
        <f>Текущий!AL273</f>
        <v>0</v>
      </c>
      <c r="M274" s="29">
        <f>Текущий!AM273</f>
        <v>0</v>
      </c>
      <c r="N274" s="29">
        <f>Текущий!AN273</f>
        <v>0</v>
      </c>
      <c r="O274" s="29">
        <f>Текущий!AP273</f>
        <v>0</v>
      </c>
      <c r="P274" s="29">
        <f>Предыд!AL273</f>
        <v>0</v>
      </c>
      <c r="Q274" s="29">
        <f>Предыд!AM273</f>
        <v>0</v>
      </c>
      <c r="R274" s="29">
        <f>Предыд!AN273</f>
        <v>0</v>
      </c>
      <c r="S274" s="29">
        <f>Предыд!AO273</f>
        <v>0</v>
      </c>
      <c r="T274" s="17" t="str">
        <f t="shared" si="4"/>
        <v>-</v>
      </c>
    </row>
    <row r="275" spans="1:20" x14ac:dyDescent="0.25">
      <c r="A275" s="29">
        <f>Текущий!A274</f>
        <v>16</v>
      </c>
      <c r="B275" s="29">
        <f>Текущий!B274</f>
        <v>24605</v>
      </c>
      <c r="C275" s="29">
        <f>Текущий!C274</f>
        <v>1</v>
      </c>
      <c r="D275" s="29" t="str">
        <f>Текущий!D274</f>
        <v>Амурский - Пивань</v>
      </c>
      <c r="E275" s="29">
        <f>ROUND(Текущий!J274,0)</f>
        <v>0</v>
      </c>
      <c r="F275" s="29">
        <f>Текущий!E274</f>
        <v>0</v>
      </c>
      <c r="G275" s="16" t="str">
        <f>IF(Текущий!K274="-",Текущий!K274,ROUND(Текущий!K274,0))</f>
        <v>-</v>
      </c>
      <c r="H275" s="29" t="str">
        <f>IF(ROUND(Текущий!I274,0)=0,"-",ROUND(Текущий!I274,0))</f>
        <v>-</v>
      </c>
      <c r="I275" s="16" t="str">
        <f>IF(Предыд!K274="-",Предыд!K274,ROUND(Предыд!K274,0))</f>
        <v>-</v>
      </c>
      <c r="J275" s="29" t="str">
        <f>IF(ROUND(Предыд!I274,0)=0,"-",ROUND(Предыд!I274,0))</f>
        <v>-</v>
      </c>
      <c r="K275" s="30" t="str">
        <f>Текущий!L274</f>
        <v>Рихтовка</v>
      </c>
      <c r="L275" s="29">
        <f>Текущий!AL274</f>
        <v>0</v>
      </c>
      <c r="M275" s="29">
        <f>Текущий!AM274</f>
        <v>0</v>
      </c>
      <c r="N275" s="29">
        <f>Текущий!AN274</f>
        <v>0</v>
      </c>
      <c r="O275" s="29">
        <f>Текущий!AP274</f>
        <v>0</v>
      </c>
      <c r="P275" s="29">
        <f>Предыд!AL274</f>
        <v>0</v>
      </c>
      <c r="Q275" s="29">
        <f>Предыд!AM274</f>
        <v>0</v>
      </c>
      <c r="R275" s="29">
        <f>Предыд!AN274</f>
        <v>0</v>
      </c>
      <c r="S275" s="29">
        <f>Предыд!AO274</f>
        <v>0</v>
      </c>
      <c r="T275" s="17" t="str">
        <f t="shared" si="4"/>
        <v>-</v>
      </c>
    </row>
    <row r="276" spans="1:20" x14ac:dyDescent="0.25">
      <c r="A276" s="29">
        <f>Текущий!A275</f>
        <v>16</v>
      </c>
      <c r="B276" s="29">
        <f>Текущий!B275</f>
        <v>24605</v>
      </c>
      <c r="C276" s="29">
        <f>Текущий!C275</f>
        <v>2</v>
      </c>
      <c r="D276" s="29" t="str">
        <f>Текущий!D275</f>
        <v>ст. Пивань</v>
      </c>
      <c r="E276" s="29">
        <f>ROUND(Текущий!J275,0)</f>
        <v>0</v>
      </c>
      <c r="F276" s="29">
        <f>Текущий!E275</f>
        <v>0</v>
      </c>
      <c r="G276" s="16" t="str">
        <f>IF(Текущий!K275="-",Текущий!K275,ROUND(Текущий!K275,0))</f>
        <v>-</v>
      </c>
      <c r="H276" s="29" t="str">
        <f>IF(ROUND(Текущий!I275,0)=0,"-",ROUND(Текущий!I275,0))</f>
        <v>-</v>
      </c>
      <c r="I276" s="16" t="str">
        <f>IF(Предыд!K275="-",Предыд!K275,ROUND(Предыд!K275,0))</f>
        <v>-</v>
      </c>
      <c r="J276" s="29" t="str">
        <f>IF(ROUND(Предыд!I275,0)=0,"-",ROUND(Предыд!I275,0))</f>
        <v>-</v>
      </c>
      <c r="K276" s="30" t="str">
        <f>Текущий!L275</f>
        <v>Рихтовка</v>
      </c>
      <c r="L276" s="29">
        <f>Текущий!AL275</f>
        <v>0</v>
      </c>
      <c r="M276" s="29">
        <f>Текущий!AM275</f>
        <v>0</v>
      </c>
      <c r="N276" s="29">
        <f>Текущий!AN275</f>
        <v>0</v>
      </c>
      <c r="O276" s="29">
        <f>Текущий!AP275</f>
        <v>0</v>
      </c>
      <c r="P276" s="29">
        <f>Предыд!AL275</f>
        <v>0</v>
      </c>
      <c r="Q276" s="29">
        <f>Предыд!AM275</f>
        <v>0</v>
      </c>
      <c r="R276" s="29">
        <f>Предыд!AN275</f>
        <v>0</v>
      </c>
      <c r="S276" s="29">
        <f>Предыд!AO275</f>
        <v>0</v>
      </c>
      <c r="T276" s="17" t="str">
        <f t="shared" si="4"/>
        <v>-</v>
      </c>
    </row>
    <row r="277" spans="1:20" x14ac:dyDescent="0.25">
      <c r="A277" s="29">
        <f>Текущий!A276</f>
        <v>16</v>
      </c>
      <c r="B277" s="29">
        <f>Текущий!B276</f>
        <v>24606</v>
      </c>
      <c r="C277" s="29">
        <f>Текущий!C276</f>
        <v>2</v>
      </c>
      <c r="D277" s="29" t="str">
        <f>Текущий!D276</f>
        <v>Пивань - Блокпост 9 км</v>
      </c>
      <c r="E277" s="29">
        <f>ROUND(Текущий!J276,0)</f>
        <v>9</v>
      </c>
      <c r="F277" s="29">
        <f>Текущий!E276</f>
        <v>9</v>
      </c>
      <c r="G277" s="16">
        <f>IF(Текущий!K276="-",Текущий!K276,ROUND(Текущий!K276,0))</f>
        <v>89</v>
      </c>
      <c r="H277" s="29" t="str">
        <f>IF(ROUND(Текущий!I276,0)=0,"-",ROUND(Текущий!I276,0))</f>
        <v>-</v>
      </c>
      <c r="I277" s="16">
        <f>IF(Предыд!K276="-",Предыд!K276,ROUND(Предыд!K276,0))</f>
        <v>58</v>
      </c>
      <c r="J277" s="29" t="str">
        <f>IF(ROUND(Предыд!I276,0)=0,"-",ROUND(Предыд!I276,0))</f>
        <v>-</v>
      </c>
      <c r="K277" s="30" t="str">
        <f>Текущий!L276</f>
        <v>Уровень</v>
      </c>
      <c r="L277" s="29">
        <f>Текущий!AL276</f>
        <v>162</v>
      </c>
      <c r="M277" s="29">
        <f>Текущий!AM276</f>
        <v>2</v>
      </c>
      <c r="N277" s="29">
        <f>Текущий!AN276</f>
        <v>0</v>
      </c>
      <c r="O277" s="29">
        <f>Текущий!AP276</f>
        <v>0</v>
      </c>
      <c r="P277" s="29">
        <f>Предыд!AL276</f>
        <v>83</v>
      </c>
      <c r="Q277" s="29">
        <f>Предыд!AM276</f>
        <v>0</v>
      </c>
      <c r="R277" s="29">
        <f>Предыд!AN276</f>
        <v>0</v>
      </c>
      <c r="S277" s="29">
        <f>Предыд!AO276</f>
        <v>0</v>
      </c>
      <c r="T277" s="17" t="str">
        <f t="shared" si="4"/>
        <v>+</v>
      </c>
    </row>
    <row r="278" spans="1:20" x14ac:dyDescent="0.25">
      <c r="A278" s="29">
        <f>Текущий!A277</f>
        <v>16</v>
      </c>
      <c r="B278" s="29">
        <f>Текущий!B277</f>
        <v>24606</v>
      </c>
      <c r="C278" s="29">
        <f>Текущий!C277</f>
        <v>1</v>
      </c>
      <c r="D278" s="29" t="str">
        <f>Текущий!D277</f>
        <v>Пивань - Блокпост 9 км</v>
      </c>
      <c r="E278" s="29">
        <f>ROUND(Текущий!J277,0)</f>
        <v>0</v>
      </c>
      <c r="F278" s="29">
        <f>Текущий!E277</f>
        <v>9</v>
      </c>
      <c r="G278" s="16">
        <f>IF(Текущий!K277="-",Текущий!K277,ROUND(Текущий!K277,0))</f>
        <v>40</v>
      </c>
      <c r="H278" s="29" t="str">
        <f>IF(ROUND(Текущий!I277,0)=0,"-",ROUND(Текущий!I277,0))</f>
        <v>-</v>
      </c>
      <c r="I278" s="16">
        <f>IF(Предыд!K277="-",Предыд!K277,ROUND(Предыд!K277,0))</f>
        <v>23</v>
      </c>
      <c r="J278" s="29" t="str">
        <f>IF(ROUND(Предыд!I277,0)=0,"-",ROUND(Предыд!I277,0))</f>
        <v>-</v>
      </c>
      <c r="K278" s="30" t="str">
        <f>Текущий!L277</f>
        <v>Уровень</v>
      </c>
      <c r="L278" s="29">
        <f>Текущий!AL277</f>
        <v>5</v>
      </c>
      <c r="M278" s="29">
        <f>Текущий!AM277</f>
        <v>0</v>
      </c>
      <c r="N278" s="29">
        <f>Текущий!AN277</f>
        <v>0</v>
      </c>
      <c r="O278" s="29">
        <f>Текущий!AP277</f>
        <v>0</v>
      </c>
      <c r="P278" s="29">
        <f>Предыд!AL277</f>
        <v>45</v>
      </c>
      <c r="Q278" s="29">
        <f>Предыд!AM277</f>
        <v>0</v>
      </c>
      <c r="R278" s="29">
        <f>Предыд!AN277</f>
        <v>0</v>
      </c>
      <c r="S278" s="29">
        <f>Предыд!AO277</f>
        <v>0</v>
      </c>
      <c r="T278" s="17" t="str">
        <f t="shared" si="4"/>
        <v>+</v>
      </c>
    </row>
    <row r="279" spans="1:20" x14ac:dyDescent="0.25">
      <c r="A279" s="29">
        <f>Текущий!A278</f>
        <v>16</v>
      </c>
      <c r="B279" s="29">
        <f>Текущий!B278</f>
        <v>24606</v>
      </c>
      <c r="C279" s="29">
        <f>Текущий!C278</f>
        <v>1</v>
      </c>
      <c r="D279" s="29" t="str">
        <f>Текущий!D278</f>
        <v>Блокпост 9 км - Кумтэ</v>
      </c>
      <c r="E279" s="29">
        <f>ROUND(Текущий!J278,0)</f>
        <v>10</v>
      </c>
      <c r="F279" s="29">
        <f>Текущий!E278</f>
        <v>9</v>
      </c>
      <c r="G279" s="16">
        <f>IF(Текущий!K278="-",Текущий!K278,ROUND(Текущий!K278,0))</f>
        <v>95</v>
      </c>
      <c r="H279" s="29" t="str">
        <f>IF(ROUND(Текущий!I278,0)=0,"-",ROUND(Текущий!I278,0))</f>
        <v>-</v>
      </c>
      <c r="I279" s="16">
        <f>IF(Предыд!K278="-",Предыд!K278,ROUND(Предыд!K278,0))</f>
        <v>34</v>
      </c>
      <c r="J279" s="29" t="str">
        <f>IF(ROUND(Предыд!I278,0)=0,"-",ROUND(Предыд!I278,0))</f>
        <v>-</v>
      </c>
      <c r="K279" s="30" t="str">
        <f>Текущий!L278</f>
        <v>Уширение</v>
      </c>
      <c r="L279" s="29">
        <f>Текущий!AL278</f>
        <v>171</v>
      </c>
      <c r="M279" s="29">
        <f>Текущий!AM278</f>
        <v>0</v>
      </c>
      <c r="N279" s="29">
        <f>Текущий!AN278</f>
        <v>0</v>
      </c>
      <c r="O279" s="29">
        <f>Текущий!AP278</f>
        <v>0</v>
      </c>
      <c r="P279" s="29">
        <f>Предыд!AL278</f>
        <v>69</v>
      </c>
      <c r="Q279" s="29">
        <f>Предыд!AM278</f>
        <v>0</v>
      </c>
      <c r="R279" s="29">
        <f>Предыд!AN278</f>
        <v>0</v>
      </c>
      <c r="S279" s="29">
        <f>Предыд!AO278</f>
        <v>0</v>
      </c>
      <c r="T279" s="17" t="str">
        <f t="shared" si="4"/>
        <v>+</v>
      </c>
    </row>
    <row r="280" spans="1:20" x14ac:dyDescent="0.25">
      <c r="A280" s="29">
        <f>Текущий!A279</f>
        <v>16</v>
      </c>
      <c r="B280" s="29">
        <f>Текущий!B279</f>
        <v>24606</v>
      </c>
      <c r="C280" s="29">
        <f>Текущий!C279</f>
        <v>1</v>
      </c>
      <c r="D280" s="29" t="str">
        <f>Текущий!D279</f>
        <v>Кумтэ - Гайтер</v>
      </c>
      <c r="E280" s="29">
        <f>ROUND(Текущий!J279,0)</f>
        <v>10</v>
      </c>
      <c r="F280" s="29">
        <f>Текущий!E279</f>
        <v>9</v>
      </c>
      <c r="G280" s="16">
        <f>IF(Текущий!K279="-",Текущий!K279,ROUND(Текущий!K279,0))</f>
        <v>141</v>
      </c>
      <c r="H280" s="29">
        <f>IF(ROUND(Текущий!I279,0)=0,"-",ROUND(Текущий!I279,0))</f>
        <v>1</v>
      </c>
      <c r="I280" s="16">
        <f>IF(Предыд!K279="-",Предыд!K279,ROUND(Предыд!K279,0))</f>
        <v>92</v>
      </c>
      <c r="J280" s="29" t="str">
        <f>IF(ROUND(Предыд!I279,0)=0,"-",ROUND(Предыд!I279,0))</f>
        <v>-</v>
      </c>
      <c r="K280" s="30" t="str">
        <f>Текущий!L279</f>
        <v>Уширение</v>
      </c>
      <c r="L280" s="29">
        <f>Текущий!AL279</f>
        <v>570</v>
      </c>
      <c r="M280" s="29">
        <f>Текущий!AM279</f>
        <v>17</v>
      </c>
      <c r="N280" s="29">
        <f>Текущий!AN279</f>
        <v>0</v>
      </c>
      <c r="O280" s="29">
        <f>Текущий!AP279</f>
        <v>1</v>
      </c>
      <c r="P280" s="29">
        <f>Предыд!AL279</f>
        <v>398</v>
      </c>
      <c r="Q280" s="29">
        <f>Предыд!AM279</f>
        <v>2</v>
      </c>
      <c r="R280" s="29">
        <f>Предыд!AN279</f>
        <v>0</v>
      </c>
      <c r="S280" s="29">
        <f>Предыд!AO279</f>
        <v>0</v>
      </c>
      <c r="T280" s="17" t="str">
        <f t="shared" si="4"/>
        <v>+</v>
      </c>
    </row>
    <row r="281" spans="1:20" x14ac:dyDescent="0.25">
      <c r="A281" s="29">
        <f>Текущий!A280</f>
        <v>16</v>
      </c>
      <c r="B281" s="29">
        <f>Текущий!B280</f>
        <v>24606</v>
      </c>
      <c r="C281" s="29">
        <f>Текущий!C280</f>
        <v>1</v>
      </c>
      <c r="D281" s="29" t="str">
        <f>Текущий!D280</f>
        <v>Гайтер - Картель</v>
      </c>
      <c r="E281" s="29">
        <f>ROUND(Текущий!J280,0)</f>
        <v>12</v>
      </c>
      <c r="F281" s="29">
        <f>Текущий!E280</f>
        <v>9</v>
      </c>
      <c r="G281" s="16">
        <f>IF(Текущий!K280="-",Текущий!K280,ROUND(Текущий!K280,0))</f>
        <v>53</v>
      </c>
      <c r="H281" s="29" t="str">
        <f>IF(ROUND(Текущий!I280,0)=0,"-",ROUND(Текущий!I280,0))</f>
        <v>-</v>
      </c>
      <c r="I281" s="16">
        <f>IF(Предыд!K280="-",Предыд!K280,ROUND(Предыд!K280,0))</f>
        <v>20</v>
      </c>
      <c r="J281" s="29" t="str">
        <f>IF(ROUND(Предыд!I280,0)=0,"-",ROUND(Предыд!I280,0))</f>
        <v>-</v>
      </c>
      <c r="K281" s="30" t="str">
        <f>Текущий!L280</f>
        <v>Уровень</v>
      </c>
      <c r="L281" s="29">
        <f>Текущий!AL280</f>
        <v>181</v>
      </c>
      <c r="M281" s="29">
        <f>Текущий!AM280</f>
        <v>0</v>
      </c>
      <c r="N281" s="29">
        <f>Текущий!AN280</f>
        <v>0</v>
      </c>
      <c r="O281" s="29">
        <f>Текущий!AP280</f>
        <v>0</v>
      </c>
      <c r="P281" s="29">
        <f>Предыд!AL280</f>
        <v>59</v>
      </c>
      <c r="Q281" s="29">
        <f>Предыд!AM280</f>
        <v>0</v>
      </c>
      <c r="R281" s="29">
        <f>Предыд!AN280</f>
        <v>0</v>
      </c>
      <c r="S281" s="29">
        <f>Предыд!AO280</f>
        <v>0</v>
      </c>
      <c r="T281" s="17" t="str">
        <f t="shared" si="4"/>
        <v>+</v>
      </c>
    </row>
    <row r="282" spans="1:20" x14ac:dyDescent="0.25">
      <c r="A282" s="29">
        <f>Текущий!A281</f>
        <v>16</v>
      </c>
      <c r="B282" s="29">
        <f>Текущий!B281</f>
        <v>24606</v>
      </c>
      <c r="C282" s="29">
        <f>Текущий!C281</f>
        <v>1</v>
      </c>
      <c r="D282" s="29" t="str">
        <f>Текущий!D281</f>
        <v>Картель - Селихин</v>
      </c>
      <c r="E282" s="29">
        <f>ROUND(Текущий!J281,0)</f>
        <v>11</v>
      </c>
      <c r="F282" s="29">
        <f>Текущий!E281</f>
        <v>9</v>
      </c>
      <c r="G282" s="16">
        <f>IF(Текущий!K281="-",Текущий!K281,ROUND(Текущий!K281,0))</f>
        <v>57</v>
      </c>
      <c r="H282" s="29" t="str">
        <f>IF(ROUND(Текущий!I281,0)=0,"-",ROUND(Текущий!I281,0))</f>
        <v>-</v>
      </c>
      <c r="I282" s="16">
        <f>IF(Предыд!K281="-",Предыд!K281,ROUND(Предыд!K281,0))</f>
        <v>42</v>
      </c>
      <c r="J282" s="29" t="str">
        <f>IF(ROUND(Предыд!I281,0)=0,"-",ROUND(Предыд!I281,0))</f>
        <v>-</v>
      </c>
      <c r="K282" s="30" t="str">
        <f>Текущий!L281</f>
        <v>Уровень</v>
      </c>
      <c r="L282" s="29">
        <f>Текущий!AL281</f>
        <v>188</v>
      </c>
      <c r="M282" s="29">
        <f>Текущий!AM281</f>
        <v>0</v>
      </c>
      <c r="N282" s="29">
        <f>Текущий!AN281</f>
        <v>0</v>
      </c>
      <c r="O282" s="29">
        <f>Текущий!AP281</f>
        <v>0</v>
      </c>
      <c r="P282" s="29">
        <f>Предыд!AL281</f>
        <v>72</v>
      </c>
      <c r="Q282" s="29">
        <f>Предыд!AM281</f>
        <v>1</v>
      </c>
      <c r="R282" s="29">
        <f>Предыд!AN281</f>
        <v>0</v>
      </c>
      <c r="S282" s="29">
        <f>Предыд!AO281</f>
        <v>0</v>
      </c>
      <c r="T282" s="17" t="str">
        <f t="shared" si="4"/>
        <v>+</v>
      </c>
    </row>
    <row r="283" spans="1:20" x14ac:dyDescent="0.25">
      <c r="A283" s="29">
        <f>Текущий!A282</f>
        <v>16</v>
      </c>
      <c r="B283" s="29">
        <f>Текущий!B282</f>
        <v>24606</v>
      </c>
      <c r="C283" s="29">
        <f>Текущий!C282</f>
        <v>1</v>
      </c>
      <c r="D283" s="29" t="str">
        <f>Текущий!D282</f>
        <v>Селихин - Эльдиган</v>
      </c>
      <c r="E283" s="29">
        <f>ROUND(Текущий!J282,0)</f>
        <v>11</v>
      </c>
      <c r="F283" s="29">
        <f>Текущий!E282</f>
        <v>9</v>
      </c>
      <c r="G283" s="16">
        <f>IF(Текущий!K282="-",Текущий!K282,ROUND(Текущий!K282,0))</f>
        <v>107</v>
      </c>
      <c r="H283" s="29" t="str">
        <f>IF(ROUND(Текущий!I282,0)=0,"-",ROUND(Текущий!I282,0))</f>
        <v>-</v>
      </c>
      <c r="I283" s="16">
        <f>IF(Предыд!K282="-",Предыд!K282,ROUND(Предыд!K282,0))</f>
        <v>75</v>
      </c>
      <c r="J283" s="29" t="str">
        <f>IF(ROUND(Предыд!I282,0)=0,"-",ROUND(Предыд!I282,0))</f>
        <v>-</v>
      </c>
      <c r="K283" s="30" t="str">
        <f>Текущий!L282</f>
        <v>Уширение</v>
      </c>
      <c r="L283" s="29">
        <f>Текущий!AL282</f>
        <v>277</v>
      </c>
      <c r="M283" s="29">
        <f>Текущий!AM282</f>
        <v>0</v>
      </c>
      <c r="N283" s="29">
        <f>Текущий!AN282</f>
        <v>0</v>
      </c>
      <c r="O283" s="29">
        <f>Текущий!AP282</f>
        <v>0</v>
      </c>
      <c r="P283" s="29">
        <f>Предыд!AL282</f>
        <v>149</v>
      </c>
      <c r="Q283" s="29">
        <f>Предыд!AM282</f>
        <v>1</v>
      </c>
      <c r="R283" s="29">
        <f>Предыд!AN282</f>
        <v>0</v>
      </c>
      <c r="S283" s="29">
        <f>Предыд!AO282</f>
        <v>0</v>
      </c>
      <c r="T283" s="17" t="str">
        <f t="shared" si="4"/>
        <v>+</v>
      </c>
    </row>
    <row r="284" spans="1:20" x14ac:dyDescent="0.25">
      <c r="A284" s="29">
        <f>Текущий!A283</f>
        <v>16</v>
      </c>
      <c r="B284" s="29">
        <f>Текущий!B283</f>
        <v>24606</v>
      </c>
      <c r="C284" s="29">
        <f>Текущий!C283</f>
        <v>1</v>
      </c>
      <c r="D284" s="29" t="str">
        <f>Текущий!D283</f>
        <v>Эльдиган - Тудур</v>
      </c>
      <c r="E284" s="29">
        <f>ROUND(Текущий!J283,0)</f>
        <v>10</v>
      </c>
      <c r="F284" s="29">
        <f>Текущий!E283</f>
        <v>9</v>
      </c>
      <c r="G284" s="16">
        <f>IF(Текущий!K283="-",Текущий!K283,ROUND(Текущий!K283,0))</f>
        <v>139</v>
      </c>
      <c r="H284" s="29" t="str">
        <f>IF(ROUND(Текущий!I283,0)=0,"-",ROUND(Текущий!I283,0))</f>
        <v>-</v>
      </c>
      <c r="I284" s="16">
        <f>IF(Предыд!K283="-",Предыд!K283,ROUND(Предыд!K283,0))</f>
        <v>70</v>
      </c>
      <c r="J284" s="29" t="str">
        <f>IF(ROUND(Предыд!I283,0)=0,"-",ROUND(Предыд!I283,0))</f>
        <v>-</v>
      </c>
      <c r="K284" s="30" t="str">
        <f>Текущий!L283</f>
        <v>Просадка</v>
      </c>
      <c r="L284" s="29">
        <f>Текущий!AL283</f>
        <v>222</v>
      </c>
      <c r="M284" s="29">
        <f>Текущий!AM283</f>
        <v>3</v>
      </c>
      <c r="N284" s="29">
        <f>Текущий!AN283</f>
        <v>0</v>
      </c>
      <c r="O284" s="29">
        <f>Текущий!AP283</f>
        <v>0</v>
      </c>
      <c r="P284" s="29">
        <f>Предыд!AL283</f>
        <v>127</v>
      </c>
      <c r="Q284" s="29">
        <f>Предыд!AM283</f>
        <v>0</v>
      </c>
      <c r="R284" s="29">
        <f>Предыд!AN283</f>
        <v>0</v>
      </c>
      <c r="S284" s="29">
        <f>Предыд!AO283</f>
        <v>0</v>
      </c>
      <c r="T284" s="17" t="str">
        <f t="shared" si="4"/>
        <v>+</v>
      </c>
    </row>
    <row r="285" spans="1:20" x14ac:dyDescent="0.25">
      <c r="A285" s="29">
        <f>Текущий!A284</f>
        <v>16</v>
      </c>
      <c r="B285" s="29">
        <f>Текущий!B284</f>
        <v>24606</v>
      </c>
      <c r="C285" s="29">
        <f>Текущий!C284</f>
        <v>1</v>
      </c>
      <c r="D285" s="29" t="str">
        <f>Текущий!D284</f>
        <v>Тудур - Пони</v>
      </c>
      <c r="E285" s="29">
        <f>ROUND(Текущий!J284,0)</f>
        <v>8</v>
      </c>
      <c r="F285" s="29">
        <f>Текущий!E284</f>
        <v>9</v>
      </c>
      <c r="G285" s="16">
        <f>IF(Текущий!K284="-",Текущий!K284,ROUND(Текущий!K284,0))</f>
        <v>111</v>
      </c>
      <c r="H285" s="29" t="str">
        <f>IF(ROUND(Текущий!I284,0)=0,"-",ROUND(Текущий!I284,0))</f>
        <v>-</v>
      </c>
      <c r="I285" s="16">
        <f>IF(Предыд!K284="-",Предыд!K284,ROUND(Предыд!K284,0))</f>
        <v>40</v>
      </c>
      <c r="J285" s="29" t="str">
        <f>IF(ROUND(Предыд!I284,0)=0,"-",ROUND(Предыд!I284,0))</f>
        <v>-</v>
      </c>
      <c r="K285" s="30" t="str">
        <f>Текущий!L284</f>
        <v>Уровень</v>
      </c>
      <c r="L285" s="29">
        <f>Текущий!AL284</f>
        <v>239</v>
      </c>
      <c r="M285" s="29">
        <f>Текущий!AM284</f>
        <v>2</v>
      </c>
      <c r="N285" s="29">
        <f>Текущий!AN284</f>
        <v>0</v>
      </c>
      <c r="O285" s="29">
        <f>Текущий!AP284</f>
        <v>0</v>
      </c>
      <c r="P285" s="29">
        <f>Предыд!AL284</f>
        <v>112</v>
      </c>
      <c r="Q285" s="29">
        <f>Предыд!AM284</f>
        <v>0</v>
      </c>
      <c r="R285" s="29">
        <f>Предыд!AN284</f>
        <v>0</v>
      </c>
      <c r="S285" s="29">
        <f>Предыд!AO284</f>
        <v>0</v>
      </c>
      <c r="T285" s="17" t="str">
        <f t="shared" si="4"/>
        <v>+</v>
      </c>
    </row>
    <row r="286" spans="1:20" x14ac:dyDescent="0.25">
      <c r="A286" s="29">
        <f>Текущий!A285</f>
        <v>16</v>
      </c>
      <c r="B286" s="29">
        <f>Текущий!B285</f>
        <v>24606</v>
      </c>
      <c r="C286" s="29">
        <f>Текущий!C285</f>
        <v>1</v>
      </c>
      <c r="D286" s="29" t="str">
        <f>Текущий!D285</f>
        <v>Пони - Кун</v>
      </c>
      <c r="E286" s="29">
        <f>ROUND(Текущий!J285,0)</f>
        <v>10</v>
      </c>
      <c r="F286" s="29">
        <f>Текущий!E285</f>
        <v>9</v>
      </c>
      <c r="G286" s="16">
        <f>IF(Текущий!K285="-",Текущий!K285,ROUND(Текущий!K285,0))</f>
        <v>130</v>
      </c>
      <c r="H286" s="29">
        <f>IF(ROUND(Текущий!I285,0)=0,"-",ROUND(Текущий!I285,0))</f>
        <v>1</v>
      </c>
      <c r="I286" s="16">
        <f>IF(Предыд!K285="-",Предыд!K285,ROUND(Предыд!K285,0))</f>
        <v>39</v>
      </c>
      <c r="J286" s="29" t="str">
        <f>IF(ROUND(Предыд!I285,0)=0,"-",ROUND(Предыд!I285,0))</f>
        <v>-</v>
      </c>
      <c r="K286" s="30" t="str">
        <f>Текущий!L285</f>
        <v>Уширение</v>
      </c>
      <c r="L286" s="29">
        <f>Текущий!AL285</f>
        <v>268</v>
      </c>
      <c r="M286" s="29">
        <f>Текущий!AM285</f>
        <v>15</v>
      </c>
      <c r="N286" s="29">
        <f>Текущий!AN285</f>
        <v>0</v>
      </c>
      <c r="O286" s="29">
        <f>Текущий!AP285</f>
        <v>1</v>
      </c>
      <c r="P286" s="29">
        <f>Предыд!AL285</f>
        <v>115</v>
      </c>
      <c r="Q286" s="29">
        <f>Предыд!AM285</f>
        <v>0</v>
      </c>
      <c r="R286" s="29">
        <f>Предыд!AN285</f>
        <v>0</v>
      </c>
      <c r="S286" s="29">
        <f>Предыд!AO285</f>
        <v>0</v>
      </c>
      <c r="T286" s="17" t="str">
        <f t="shared" si="4"/>
        <v>+</v>
      </c>
    </row>
    <row r="287" spans="1:20" x14ac:dyDescent="0.25">
      <c r="A287" s="29">
        <f>Текущий!A286</f>
        <v>16</v>
      </c>
      <c r="B287" s="29">
        <f>Текущий!B286</f>
        <v>24606</v>
      </c>
      <c r="C287" s="29">
        <f>Текущий!C286</f>
        <v>2</v>
      </c>
      <c r="D287" s="29" t="str">
        <f>Текущий!D286</f>
        <v>Пони - Кун</v>
      </c>
      <c r="E287" s="29">
        <f>ROUND(Текущий!J286,0)</f>
        <v>0</v>
      </c>
      <c r="F287" s="29">
        <f>Текущий!E286</f>
        <v>0</v>
      </c>
      <c r="G287" s="16" t="str">
        <f>IF(Текущий!K286="-",Текущий!K286,ROUND(Текущий!K286,0))</f>
        <v>-</v>
      </c>
      <c r="H287" s="29" t="str">
        <f>IF(ROUND(Текущий!I286,0)=0,"-",ROUND(Текущий!I286,0))</f>
        <v>-</v>
      </c>
      <c r="I287" s="16">
        <f>IF(Предыд!K286="-",Предыд!K286,ROUND(Предыд!K286,0))</f>
        <v>44</v>
      </c>
      <c r="J287" s="29" t="str">
        <f>IF(ROUND(Предыд!I286,0)=0,"-",ROUND(Предыд!I286,0))</f>
        <v>-</v>
      </c>
      <c r="K287" s="30" t="str">
        <f>Текущий!L286</f>
        <v>Рихтовка</v>
      </c>
      <c r="L287" s="29">
        <f>Текущий!AL286</f>
        <v>0</v>
      </c>
      <c r="M287" s="29">
        <f>Текущий!AM286</f>
        <v>0</v>
      </c>
      <c r="N287" s="29">
        <f>Текущий!AN286</f>
        <v>0</v>
      </c>
      <c r="O287" s="29">
        <f>Текущий!AP286</f>
        <v>0</v>
      </c>
      <c r="P287" s="29">
        <f>Предыд!AL286</f>
        <v>128</v>
      </c>
      <c r="Q287" s="29">
        <f>Предыд!AM286</f>
        <v>1</v>
      </c>
      <c r="R287" s="29">
        <f>Предыд!AN286</f>
        <v>0</v>
      </c>
      <c r="S287" s="29">
        <f>Предыд!AO286</f>
        <v>0</v>
      </c>
      <c r="T287" s="17" t="str">
        <f t="shared" si="4"/>
        <v>+</v>
      </c>
    </row>
    <row r="288" spans="1:20" x14ac:dyDescent="0.25">
      <c r="A288" s="29">
        <f>Текущий!A287</f>
        <v>16</v>
      </c>
      <c r="B288" s="29">
        <f>Текущий!B287</f>
        <v>24606</v>
      </c>
      <c r="C288" s="29">
        <f>Текущий!C287</f>
        <v>1</v>
      </c>
      <c r="D288" s="29" t="str">
        <f>Текущий!D287</f>
        <v>Кун - Хумма</v>
      </c>
      <c r="E288" s="29">
        <f>ROUND(Текущий!J287,0)</f>
        <v>2</v>
      </c>
      <c r="F288" s="29">
        <f>Текущий!E287</f>
        <v>9</v>
      </c>
      <c r="G288" s="16">
        <f>IF(Текущий!K287="-",Текущий!K287,ROUND(Текущий!K287,0))</f>
        <v>150</v>
      </c>
      <c r="H288" s="29" t="str">
        <f>IF(ROUND(Текущий!I287,0)=0,"-",ROUND(Текущий!I287,0))</f>
        <v>-</v>
      </c>
      <c r="I288" s="16">
        <f>IF(Предыд!K287="-",Предыд!K287,ROUND(Предыд!K287,0))</f>
        <v>95</v>
      </c>
      <c r="J288" s="29" t="str">
        <f>IF(ROUND(Предыд!I287,0)=0,"-",ROUND(Предыд!I287,0))</f>
        <v>-</v>
      </c>
      <c r="K288" s="30" t="str">
        <f>Текущий!L287</f>
        <v>Уровень</v>
      </c>
      <c r="L288" s="29">
        <f>Текущий!AL287</f>
        <v>38</v>
      </c>
      <c r="M288" s="29">
        <f>Текущий!AM287</f>
        <v>0</v>
      </c>
      <c r="N288" s="29">
        <f>Текущий!AN287</f>
        <v>0</v>
      </c>
      <c r="O288" s="29">
        <f>Текущий!AP287</f>
        <v>0</v>
      </c>
      <c r="P288" s="29">
        <f>Предыд!AL287</f>
        <v>21</v>
      </c>
      <c r="Q288" s="29">
        <f>Предыд!AM287</f>
        <v>0</v>
      </c>
      <c r="R288" s="29">
        <f>Предыд!AN287</f>
        <v>0</v>
      </c>
      <c r="S288" s="29">
        <f>Предыд!AO287</f>
        <v>0</v>
      </c>
      <c r="T288" s="17" t="str">
        <f t="shared" si="4"/>
        <v>+</v>
      </c>
    </row>
    <row r="289" spans="1:20" x14ac:dyDescent="0.25">
      <c r="A289" s="29">
        <f>Текущий!A288</f>
        <v>18</v>
      </c>
      <c r="B289" s="29">
        <f>Текущий!B288</f>
        <v>24606</v>
      </c>
      <c r="C289" s="29">
        <f>Текущий!C288</f>
        <v>1</v>
      </c>
      <c r="D289" s="29" t="str">
        <f>Текущий!D288</f>
        <v>Кун - Хумма</v>
      </c>
      <c r="E289" s="29">
        <f>ROUND(Текущий!J288,0)</f>
        <v>8</v>
      </c>
      <c r="F289" s="29">
        <f>Текущий!E288</f>
        <v>9</v>
      </c>
      <c r="G289" s="16">
        <f>IF(Текущий!K288="-",Текущий!K288,ROUND(Текущий!K288,0))</f>
        <v>54</v>
      </c>
      <c r="H289" s="29" t="str">
        <f>IF(ROUND(Текущий!I288,0)=0,"-",ROUND(Текущий!I288,0))</f>
        <v>-</v>
      </c>
      <c r="I289" s="16">
        <f>IF(Предыд!K288="-",Предыд!K288,ROUND(Предыд!K288,0))</f>
        <v>53</v>
      </c>
      <c r="J289" s="29" t="str">
        <f>IF(ROUND(Предыд!I288,0)=0,"-",ROUND(Предыд!I288,0))</f>
        <v>-</v>
      </c>
      <c r="K289" s="30" t="str">
        <f>Текущий!L288</f>
        <v>Перекос</v>
      </c>
      <c r="L289" s="29">
        <f>Текущий!AL288</f>
        <v>72</v>
      </c>
      <c r="M289" s="29">
        <f>Текущий!AM288</f>
        <v>0</v>
      </c>
      <c r="N289" s="29">
        <f>Текущий!AN288</f>
        <v>0</v>
      </c>
      <c r="O289" s="29">
        <f>Текущий!AP288</f>
        <v>0</v>
      </c>
      <c r="P289" s="29">
        <f>Предыд!AL288</f>
        <v>145</v>
      </c>
      <c r="Q289" s="29">
        <f>Предыд!AM288</f>
        <v>0</v>
      </c>
      <c r="R289" s="29">
        <f>Предыд!AN288</f>
        <v>0</v>
      </c>
      <c r="S289" s="29">
        <f>Предыд!AO288</f>
        <v>0</v>
      </c>
      <c r="T289" s="17" t="str">
        <f t="shared" si="4"/>
        <v>+</v>
      </c>
    </row>
    <row r="290" spans="1:20" x14ac:dyDescent="0.25">
      <c r="A290" s="29">
        <f>Текущий!A289</f>
        <v>18</v>
      </c>
      <c r="B290" s="29">
        <f>Текущий!B289</f>
        <v>24606</v>
      </c>
      <c r="C290" s="29">
        <f>Текущий!C289</f>
        <v>1</v>
      </c>
      <c r="D290" s="29" t="str">
        <f>Текущий!D289</f>
        <v>Хумма - Гурское</v>
      </c>
      <c r="E290" s="29">
        <f>ROUND(Текущий!J289,0)</f>
        <v>8</v>
      </c>
      <c r="F290" s="29">
        <f>Текущий!E289</f>
        <v>9</v>
      </c>
      <c r="G290" s="16">
        <f>IF(Текущий!K289="-",Текущий!K289,ROUND(Текущий!K289,0))</f>
        <v>36</v>
      </c>
      <c r="H290" s="29" t="str">
        <f>IF(ROUND(Текущий!I289,0)=0,"-",ROUND(Текущий!I289,0))</f>
        <v>-</v>
      </c>
      <c r="I290" s="16">
        <f>IF(Предыд!K289="-",Предыд!K289,ROUND(Предыд!K289,0))</f>
        <v>25</v>
      </c>
      <c r="J290" s="29" t="str">
        <f>IF(ROUND(Предыд!I289,0)=0,"-",ROUND(Предыд!I289,0))</f>
        <v>-</v>
      </c>
      <c r="K290" s="30" t="str">
        <f>Текущий!L289</f>
        <v>Уровень</v>
      </c>
      <c r="L290" s="29">
        <f>Текущий!AL289</f>
        <v>72</v>
      </c>
      <c r="M290" s="29">
        <f>Текущий!AM289</f>
        <v>0</v>
      </c>
      <c r="N290" s="29">
        <f>Текущий!AN289</f>
        <v>0</v>
      </c>
      <c r="O290" s="29">
        <f>Текущий!AP289</f>
        <v>0</v>
      </c>
      <c r="P290" s="29">
        <f>Предыд!AL289</f>
        <v>44</v>
      </c>
      <c r="Q290" s="29">
        <f>Предыд!AM289</f>
        <v>0</v>
      </c>
      <c r="R290" s="29">
        <f>Предыд!AN289</f>
        <v>0</v>
      </c>
      <c r="S290" s="29">
        <f>Предыд!AO289</f>
        <v>0</v>
      </c>
      <c r="T290" s="17" t="str">
        <f t="shared" si="4"/>
        <v>+</v>
      </c>
    </row>
    <row r="291" spans="1:20" x14ac:dyDescent="0.25">
      <c r="A291" s="29">
        <f>Текущий!A290</f>
        <v>18</v>
      </c>
      <c r="B291" s="29">
        <f>Текущий!B290</f>
        <v>24606</v>
      </c>
      <c r="C291" s="29">
        <f>Текущий!C290</f>
        <v>1</v>
      </c>
      <c r="D291" s="29" t="str">
        <f>Текущий!D290</f>
        <v>Гурское - Почепта</v>
      </c>
      <c r="E291" s="29">
        <f>ROUND(Текущий!J290,0)</f>
        <v>12</v>
      </c>
      <c r="F291" s="29">
        <f>Текущий!E290</f>
        <v>9</v>
      </c>
      <c r="G291" s="16">
        <f>IF(Текущий!K290="-",Текущий!K290,ROUND(Текущий!K290,0))</f>
        <v>74</v>
      </c>
      <c r="H291" s="29" t="str">
        <f>IF(ROUND(Текущий!I290,0)=0,"-",ROUND(Текущий!I290,0))</f>
        <v>-</v>
      </c>
      <c r="I291" s="16">
        <f>IF(Предыд!K290="-",Предыд!K290,ROUND(Предыд!K290,0))</f>
        <v>43</v>
      </c>
      <c r="J291" s="29" t="str">
        <f>IF(ROUND(Предыд!I290,0)=0,"-",ROUND(Предыд!I290,0))</f>
        <v>-</v>
      </c>
      <c r="K291" s="30" t="str">
        <f>Текущий!L290</f>
        <v>Просадка</v>
      </c>
      <c r="L291" s="29">
        <f>Текущий!AL290</f>
        <v>153</v>
      </c>
      <c r="M291" s="29">
        <f>Текущий!AM290</f>
        <v>1</v>
      </c>
      <c r="N291" s="29">
        <f>Текущий!AN290</f>
        <v>0</v>
      </c>
      <c r="O291" s="29">
        <f>Текущий!AP290</f>
        <v>0</v>
      </c>
      <c r="P291" s="29">
        <f>Предыд!AL290</f>
        <v>80</v>
      </c>
      <c r="Q291" s="29">
        <f>Предыд!AM290</f>
        <v>0</v>
      </c>
      <c r="R291" s="29">
        <f>Предыд!AN290</f>
        <v>0</v>
      </c>
      <c r="S291" s="29">
        <f>Предыд!AO290</f>
        <v>0</v>
      </c>
      <c r="T291" s="17" t="str">
        <f t="shared" si="4"/>
        <v>+</v>
      </c>
    </row>
    <row r="292" spans="1:20" x14ac:dyDescent="0.25">
      <c r="A292" s="29">
        <f>Текущий!A291</f>
        <v>18</v>
      </c>
      <c r="B292" s="29">
        <f>Текущий!B291</f>
        <v>24606</v>
      </c>
      <c r="C292" s="29">
        <f>Текущий!C291</f>
        <v>1</v>
      </c>
      <c r="D292" s="29" t="str">
        <f>Текущий!D291</f>
        <v>Почепта - Сагджему</v>
      </c>
      <c r="E292" s="29">
        <f>ROUND(Текущий!J291,0)</f>
        <v>7</v>
      </c>
      <c r="F292" s="29">
        <f>Текущий!E291</f>
        <v>9</v>
      </c>
      <c r="G292" s="16">
        <f>IF(Текущий!K291="-",Текущий!K291,ROUND(Текущий!K291,0))</f>
        <v>67</v>
      </c>
      <c r="H292" s="29" t="str">
        <f>IF(ROUND(Текущий!I291,0)=0,"-",ROUND(Текущий!I291,0))</f>
        <v>-</v>
      </c>
      <c r="I292" s="16">
        <f>IF(Предыд!K291="-",Предыд!K291,ROUND(Предыд!K291,0))</f>
        <v>10</v>
      </c>
      <c r="J292" s="29" t="str">
        <f>IF(ROUND(Предыд!I291,0)=0,"-",ROUND(Предыд!I291,0))</f>
        <v>-</v>
      </c>
      <c r="K292" s="30" t="str">
        <f>Текущий!L291</f>
        <v>Уровень</v>
      </c>
      <c r="L292" s="29">
        <f>Текущий!AL291</f>
        <v>112</v>
      </c>
      <c r="M292" s="29">
        <f>Текущий!AM291</f>
        <v>1</v>
      </c>
      <c r="N292" s="29">
        <f>Текущий!AN291</f>
        <v>0</v>
      </c>
      <c r="O292" s="29">
        <f>Текущий!AP291</f>
        <v>0</v>
      </c>
      <c r="P292" s="29">
        <f>Предыд!AL291</f>
        <v>19</v>
      </c>
      <c r="Q292" s="29">
        <f>Предыд!AM291</f>
        <v>0</v>
      </c>
      <c r="R292" s="29">
        <f>Предыд!AN291</f>
        <v>0</v>
      </c>
      <c r="S292" s="29">
        <f>Предыд!AO291</f>
        <v>0</v>
      </c>
      <c r="T292" s="17" t="str">
        <f t="shared" si="4"/>
        <v>+</v>
      </c>
    </row>
    <row r="293" spans="1:20" x14ac:dyDescent="0.25">
      <c r="A293" s="29">
        <f>Текущий!A292</f>
        <v>18</v>
      </c>
      <c r="B293" s="29">
        <f>Текущий!B292</f>
        <v>24606</v>
      </c>
      <c r="C293" s="29">
        <f>Текущий!C292</f>
        <v>1</v>
      </c>
      <c r="D293" s="29" t="str">
        <f>Текущий!D292</f>
        <v>Сагджему - Уктур</v>
      </c>
      <c r="E293" s="29">
        <f>ROUND(Текущий!J292,0)</f>
        <v>7</v>
      </c>
      <c r="F293" s="29">
        <f>Текущий!E292</f>
        <v>9</v>
      </c>
      <c r="G293" s="16">
        <f>IF(Текущий!K292="-",Текущий!K292,ROUND(Текущий!K292,0))</f>
        <v>43</v>
      </c>
      <c r="H293" s="29" t="str">
        <f>IF(ROUND(Текущий!I292,0)=0,"-",ROUND(Текущий!I292,0))</f>
        <v>-</v>
      </c>
      <c r="I293" s="16">
        <f>IF(Предыд!K292="-",Предыд!K292,ROUND(Предыд!K292,0))</f>
        <v>10</v>
      </c>
      <c r="J293" s="29" t="str">
        <f>IF(ROUND(Предыд!I292,0)=0,"-",ROUND(Предыд!I292,0))</f>
        <v>-</v>
      </c>
      <c r="K293" s="30" t="str">
        <f>Текущий!L292</f>
        <v>Уровень</v>
      </c>
      <c r="L293" s="29">
        <f>Текущий!AL292</f>
        <v>63</v>
      </c>
      <c r="M293" s="29">
        <f>Текущий!AM292</f>
        <v>1</v>
      </c>
      <c r="N293" s="29">
        <f>Текущий!AN292</f>
        <v>0</v>
      </c>
      <c r="O293" s="29">
        <f>Текущий!AP292</f>
        <v>0</v>
      </c>
      <c r="P293" s="29">
        <f>Предыд!AL292</f>
        <v>21</v>
      </c>
      <c r="Q293" s="29">
        <f>Предыд!AM292</f>
        <v>0</v>
      </c>
      <c r="R293" s="29">
        <f>Предыд!AN292</f>
        <v>0</v>
      </c>
      <c r="S293" s="29">
        <f>Предыд!AO292</f>
        <v>0</v>
      </c>
      <c r="T293" s="17" t="str">
        <f t="shared" si="4"/>
        <v>+</v>
      </c>
    </row>
    <row r="294" spans="1:20" x14ac:dyDescent="0.25">
      <c r="A294" s="29">
        <f>Текущий!A293</f>
        <v>18</v>
      </c>
      <c r="B294" s="29">
        <f>Текущий!B293</f>
        <v>24606</v>
      </c>
      <c r="C294" s="29">
        <f>Текущий!C293</f>
        <v>1</v>
      </c>
      <c r="D294" s="29" t="str">
        <f>Текущий!D293</f>
        <v>Уктур - Аксака</v>
      </c>
      <c r="E294" s="29">
        <f>ROUND(Текущий!J293,0)</f>
        <v>9</v>
      </c>
      <c r="F294" s="29">
        <f>Текущий!E293</f>
        <v>9</v>
      </c>
      <c r="G294" s="16">
        <f>IF(Текущий!K293="-",Текущий!K293,ROUND(Текущий!K293,0))</f>
        <v>30</v>
      </c>
      <c r="H294" s="29" t="str">
        <f>IF(ROUND(Текущий!I293,0)=0,"-",ROUND(Текущий!I293,0))</f>
        <v>-</v>
      </c>
      <c r="I294" s="16">
        <f>IF(Предыд!K293="-",Предыд!K293,ROUND(Предыд!K293,0))</f>
        <v>36</v>
      </c>
      <c r="J294" s="29" t="str">
        <f>IF(ROUND(Предыд!I293,0)=0,"-",ROUND(Предыд!I293,0))</f>
        <v>-</v>
      </c>
      <c r="K294" s="30" t="str">
        <f>Текущий!L293</f>
        <v>Уровень</v>
      </c>
      <c r="L294" s="29">
        <f>Текущий!AL293</f>
        <v>79</v>
      </c>
      <c r="M294" s="29">
        <f>Текущий!AM293</f>
        <v>0</v>
      </c>
      <c r="N294" s="29">
        <f>Текущий!AN293</f>
        <v>0</v>
      </c>
      <c r="O294" s="29">
        <f>Текущий!AP293</f>
        <v>0</v>
      </c>
      <c r="P294" s="29">
        <f>Предыд!AL293</f>
        <v>31</v>
      </c>
      <c r="Q294" s="29">
        <f>Предыд!AM293</f>
        <v>1</v>
      </c>
      <c r="R294" s="29">
        <f>Предыд!AN293</f>
        <v>0</v>
      </c>
      <c r="S294" s="29">
        <f>Предыд!AO293</f>
        <v>0</v>
      </c>
      <c r="T294" s="17" t="str">
        <f t="shared" si="4"/>
        <v>-</v>
      </c>
    </row>
    <row r="295" spans="1:20" x14ac:dyDescent="0.25">
      <c r="A295" s="29">
        <f>Текущий!A294</f>
        <v>18</v>
      </c>
      <c r="B295" s="29">
        <f>Текущий!B294</f>
        <v>24606</v>
      </c>
      <c r="C295" s="29">
        <f>Текущий!C294</f>
        <v>1</v>
      </c>
      <c r="D295" s="29" t="str">
        <f>Текущий!D294</f>
        <v>Аксака - Галицкий</v>
      </c>
      <c r="E295" s="29">
        <f>ROUND(Текущий!J294,0)</f>
        <v>7</v>
      </c>
      <c r="F295" s="29">
        <f>Текущий!E294</f>
        <v>9</v>
      </c>
      <c r="G295" s="16">
        <f>IF(Текущий!K294="-",Текущий!K294,ROUND(Текущий!K294,0))</f>
        <v>71</v>
      </c>
      <c r="H295" s="29" t="str">
        <f>IF(ROUND(Текущий!I294,0)=0,"-",ROUND(Текущий!I294,0))</f>
        <v>-</v>
      </c>
      <c r="I295" s="16">
        <f>IF(Предыд!K294="-",Предыд!K294,ROUND(Предыд!K294,0))</f>
        <v>27</v>
      </c>
      <c r="J295" s="29" t="str">
        <f>IF(ROUND(Предыд!I294,0)=0,"-",ROUND(Предыд!I294,0))</f>
        <v>-</v>
      </c>
      <c r="K295" s="30" t="str">
        <f>Текущий!L294</f>
        <v>Перекос</v>
      </c>
      <c r="L295" s="29">
        <f>Текущий!AL294</f>
        <v>87</v>
      </c>
      <c r="M295" s="29">
        <f>Текущий!AM294</f>
        <v>2</v>
      </c>
      <c r="N295" s="29">
        <f>Текущий!AN294</f>
        <v>0</v>
      </c>
      <c r="O295" s="29">
        <f>Текущий!AP294</f>
        <v>0</v>
      </c>
      <c r="P295" s="29">
        <f>Предыд!AL294</f>
        <v>27</v>
      </c>
      <c r="Q295" s="29">
        <f>Предыд!AM294</f>
        <v>0</v>
      </c>
      <c r="R295" s="29">
        <f>Предыд!AN294</f>
        <v>0</v>
      </c>
      <c r="S295" s="29">
        <f>Предыд!AO294</f>
        <v>0</v>
      </c>
      <c r="T295" s="17" t="str">
        <f t="shared" si="4"/>
        <v>+</v>
      </c>
    </row>
    <row r="296" spans="1:20" x14ac:dyDescent="0.25">
      <c r="A296" s="29">
        <f>Текущий!A295</f>
        <v>18</v>
      </c>
      <c r="B296" s="29">
        <f>Текущий!B295</f>
        <v>24606</v>
      </c>
      <c r="C296" s="29">
        <f>Текущий!C295</f>
        <v>1</v>
      </c>
      <c r="D296" s="29" t="str">
        <f>Текущий!D295</f>
        <v>Галицкий - Кенай</v>
      </c>
      <c r="E296" s="29">
        <f>ROUND(Текущий!J295,0)</f>
        <v>8</v>
      </c>
      <c r="F296" s="29">
        <f>Текущий!E295</f>
        <v>9</v>
      </c>
      <c r="G296" s="16">
        <f>IF(Текущий!K295="-",Текущий!K295,ROUND(Текущий!K295,0))</f>
        <v>74</v>
      </c>
      <c r="H296" s="29" t="str">
        <f>IF(ROUND(Текущий!I295,0)=0,"-",ROUND(Текущий!I295,0))</f>
        <v>-</v>
      </c>
      <c r="I296" s="16">
        <f>IF(Предыд!K295="-",Предыд!K295,ROUND(Предыд!K295,0))</f>
        <v>14</v>
      </c>
      <c r="J296" s="29" t="str">
        <f>IF(ROUND(Предыд!I295,0)=0,"-",ROUND(Предыд!I295,0))</f>
        <v>-</v>
      </c>
      <c r="K296" s="30" t="str">
        <f>Текущий!L295</f>
        <v>Уширение</v>
      </c>
      <c r="L296" s="29">
        <f>Текущий!AL295</f>
        <v>152</v>
      </c>
      <c r="M296" s="29">
        <f>Текущий!AM295</f>
        <v>0</v>
      </c>
      <c r="N296" s="29">
        <f>Текущий!AN295</f>
        <v>0</v>
      </c>
      <c r="O296" s="29">
        <f>Текущий!AP295</f>
        <v>0</v>
      </c>
      <c r="P296" s="29">
        <f>Предыд!AL295</f>
        <v>16</v>
      </c>
      <c r="Q296" s="29">
        <f>Предыд!AM295</f>
        <v>0</v>
      </c>
      <c r="R296" s="29">
        <f>Предыд!AN295</f>
        <v>0</v>
      </c>
      <c r="S296" s="29">
        <f>Предыд!AO295</f>
        <v>0</v>
      </c>
      <c r="T296" s="17" t="str">
        <f t="shared" si="4"/>
        <v>+</v>
      </c>
    </row>
    <row r="297" spans="1:20" x14ac:dyDescent="0.25">
      <c r="A297" s="29">
        <f>Текущий!A296</f>
        <v>18</v>
      </c>
      <c r="B297" s="29">
        <f>Текущий!B296</f>
        <v>24606</v>
      </c>
      <c r="C297" s="29">
        <f>Текущий!C296</f>
        <v>1</v>
      </c>
      <c r="D297" s="29" t="str">
        <f>Текущий!D296</f>
        <v>Кенай - Удоми</v>
      </c>
      <c r="E297" s="29">
        <f>ROUND(Текущий!J296,0)</f>
        <v>11</v>
      </c>
      <c r="F297" s="29">
        <f>Текущий!E296</f>
        <v>9</v>
      </c>
      <c r="G297" s="16">
        <f>IF(Текущий!K296="-",Текущий!K296,ROUND(Текущий!K296,0))</f>
        <v>43</v>
      </c>
      <c r="H297" s="29" t="str">
        <f>IF(ROUND(Текущий!I296,0)=0,"-",ROUND(Текущий!I296,0))</f>
        <v>-</v>
      </c>
      <c r="I297" s="16">
        <f>IF(Предыд!K296="-",Предыд!K296,ROUND(Предыд!K296,0))</f>
        <v>16</v>
      </c>
      <c r="J297" s="29" t="str">
        <f>IF(ROUND(Предыд!I296,0)=0,"-",ROUND(Предыд!I296,0))</f>
        <v>-</v>
      </c>
      <c r="K297" s="30" t="str">
        <f>Текущий!L296</f>
        <v>Уровень</v>
      </c>
      <c r="L297" s="29">
        <f>Текущий!AL296</f>
        <v>104</v>
      </c>
      <c r="M297" s="29">
        <f>Текущий!AM296</f>
        <v>0</v>
      </c>
      <c r="N297" s="29">
        <f>Текущий!AN296</f>
        <v>0</v>
      </c>
      <c r="O297" s="29">
        <f>Текущий!AP296</f>
        <v>0</v>
      </c>
      <c r="P297" s="29">
        <f>Предыд!AL296</f>
        <v>25</v>
      </c>
      <c r="Q297" s="29">
        <f>Предыд!AM296</f>
        <v>0</v>
      </c>
      <c r="R297" s="29">
        <f>Предыд!AN296</f>
        <v>0</v>
      </c>
      <c r="S297" s="29">
        <f>Предыд!AO296</f>
        <v>0</v>
      </c>
      <c r="T297" s="17" t="str">
        <f t="shared" si="4"/>
        <v>+</v>
      </c>
    </row>
    <row r="298" spans="1:20" x14ac:dyDescent="0.25">
      <c r="A298" s="29">
        <f>Текущий!A297</f>
        <v>18</v>
      </c>
      <c r="B298" s="29">
        <f>Текущий!B297</f>
        <v>24606</v>
      </c>
      <c r="C298" s="29">
        <f>Текущий!C297</f>
        <v>1</v>
      </c>
      <c r="D298" s="29" t="str">
        <f>Текущий!D297</f>
        <v>Удоми - Оунэ</v>
      </c>
      <c r="E298" s="29">
        <f>ROUND(Текущий!J297,0)</f>
        <v>9</v>
      </c>
      <c r="F298" s="29">
        <f>Текущий!E297</f>
        <v>9</v>
      </c>
      <c r="G298" s="16">
        <f>IF(Текущий!K297="-",Текущий!K297,ROUND(Текущий!K297,0))</f>
        <v>30</v>
      </c>
      <c r="H298" s="29" t="str">
        <f>IF(ROUND(Текущий!I297,0)=0,"-",ROUND(Текущий!I297,0))</f>
        <v>-</v>
      </c>
      <c r="I298" s="16">
        <f>IF(Предыд!K297="-",Предыд!K297,ROUND(Предыд!K297,0))</f>
        <v>39</v>
      </c>
      <c r="J298" s="29" t="str">
        <f>IF(ROUND(Предыд!I297,0)=0,"-",ROUND(Предыд!I297,0))</f>
        <v>-</v>
      </c>
      <c r="K298" s="30" t="str">
        <f>Текущий!L297</f>
        <v>Уровень</v>
      </c>
      <c r="L298" s="29">
        <f>Текущий!AL297</f>
        <v>73</v>
      </c>
      <c r="M298" s="29">
        <f>Текущий!AM297</f>
        <v>0</v>
      </c>
      <c r="N298" s="29">
        <f>Текущий!AN297</f>
        <v>0</v>
      </c>
      <c r="O298" s="29">
        <f>Текущий!AP297</f>
        <v>0</v>
      </c>
      <c r="P298" s="29">
        <f>Предыд!AL297</f>
        <v>66</v>
      </c>
      <c r="Q298" s="29">
        <f>Предыд!AM297</f>
        <v>0</v>
      </c>
      <c r="R298" s="29">
        <f>Предыд!AN297</f>
        <v>0</v>
      </c>
      <c r="S298" s="29">
        <f>Предыд!AO297</f>
        <v>0</v>
      </c>
      <c r="T298" s="17" t="str">
        <f t="shared" si="4"/>
        <v>-</v>
      </c>
    </row>
    <row r="299" spans="1:20" x14ac:dyDescent="0.25">
      <c r="A299" s="29">
        <f>Текущий!A298</f>
        <v>18</v>
      </c>
      <c r="B299" s="29">
        <f>Текущий!B298</f>
        <v>24606</v>
      </c>
      <c r="C299" s="29">
        <f>Текущий!C298</f>
        <v>1</v>
      </c>
      <c r="D299" s="29" t="str">
        <f>Текущий!D298</f>
        <v>Оунэ - Косграмбо</v>
      </c>
      <c r="E299" s="29">
        <f>ROUND(Текущий!J298,0)</f>
        <v>6</v>
      </c>
      <c r="F299" s="29">
        <f>Текущий!E298</f>
        <v>9</v>
      </c>
      <c r="G299" s="16">
        <f>IF(Текущий!K298="-",Текущий!K298,ROUND(Текущий!K298,0))</f>
        <v>72</v>
      </c>
      <c r="H299" s="29" t="str">
        <f>IF(ROUND(Текущий!I298,0)=0,"-",ROUND(Текущий!I298,0))</f>
        <v>-</v>
      </c>
      <c r="I299" s="16">
        <f>IF(Предыд!K298="-",Предыд!K298,ROUND(Предыд!K298,0))</f>
        <v>30</v>
      </c>
      <c r="J299" s="29" t="str">
        <f>IF(ROUND(Предыд!I298,0)=0,"-",ROUND(Предыд!I298,0))</f>
        <v>-</v>
      </c>
      <c r="K299" s="30" t="str">
        <f>Текущий!L298</f>
        <v>Уровень</v>
      </c>
      <c r="L299" s="29">
        <f>Текущий!AL298</f>
        <v>60</v>
      </c>
      <c r="M299" s="29">
        <f>Текущий!AM298</f>
        <v>0</v>
      </c>
      <c r="N299" s="29">
        <f>Текущий!AN298</f>
        <v>0</v>
      </c>
      <c r="O299" s="29">
        <f>Текущий!AP298</f>
        <v>0</v>
      </c>
      <c r="P299" s="29">
        <f>Предыд!AL298</f>
        <v>26</v>
      </c>
      <c r="Q299" s="29">
        <f>Предыд!AM298</f>
        <v>0</v>
      </c>
      <c r="R299" s="29">
        <f>Предыд!AN298</f>
        <v>0</v>
      </c>
      <c r="S299" s="29">
        <f>Предыд!AO298</f>
        <v>0</v>
      </c>
      <c r="T299" s="17" t="str">
        <f t="shared" si="4"/>
        <v>+</v>
      </c>
    </row>
    <row r="300" spans="1:20" x14ac:dyDescent="0.25">
      <c r="A300" s="29">
        <f>Текущий!A299</f>
        <v>18</v>
      </c>
      <c r="B300" s="29">
        <f>Текущий!B299</f>
        <v>24606</v>
      </c>
      <c r="C300" s="29">
        <f>Текущий!C299</f>
        <v>1</v>
      </c>
      <c r="D300" s="29" t="str">
        <f>Текущий!D299</f>
        <v>Косграмбо - Откосная</v>
      </c>
      <c r="E300" s="29">
        <f>ROUND(Текущий!J299,0)</f>
        <v>7</v>
      </c>
      <c r="F300" s="29">
        <f>Текущий!E299</f>
        <v>9</v>
      </c>
      <c r="G300" s="16">
        <f>IF(Текущий!K299="-",Текущий!K299,ROUND(Текущий!K299,0))</f>
        <v>86</v>
      </c>
      <c r="H300" s="29" t="str">
        <f>IF(ROUND(Текущий!I299,0)=0,"-",ROUND(Текущий!I299,0))</f>
        <v>-</v>
      </c>
      <c r="I300" s="16">
        <f>IF(Предыд!K299="-",Предыд!K299,ROUND(Предыд!K299,0))</f>
        <v>31</v>
      </c>
      <c r="J300" s="29" t="str">
        <f>IF(ROUND(Предыд!I299,0)=0,"-",ROUND(Предыд!I299,0))</f>
        <v>-</v>
      </c>
      <c r="K300" s="30" t="str">
        <f>Текущий!L299</f>
        <v>Уровень</v>
      </c>
      <c r="L300" s="29">
        <f>Текущий!AL299</f>
        <v>114</v>
      </c>
      <c r="M300" s="29">
        <f>Текущий!AM299</f>
        <v>0</v>
      </c>
      <c r="N300" s="29">
        <f>Текущий!AN299</f>
        <v>0</v>
      </c>
      <c r="O300" s="29">
        <f>Текущий!AP299</f>
        <v>0</v>
      </c>
      <c r="P300" s="29">
        <f>Предыд!AL299</f>
        <v>37</v>
      </c>
      <c r="Q300" s="29">
        <f>Предыд!AM299</f>
        <v>0</v>
      </c>
      <c r="R300" s="29">
        <f>Предыд!AN299</f>
        <v>0</v>
      </c>
      <c r="S300" s="29">
        <f>Предыд!AO299</f>
        <v>0</v>
      </c>
      <c r="T300" s="17" t="str">
        <f t="shared" si="4"/>
        <v>+</v>
      </c>
    </row>
    <row r="301" spans="1:20" x14ac:dyDescent="0.25">
      <c r="A301" s="29">
        <f>Текущий!A300</f>
        <v>18</v>
      </c>
      <c r="B301" s="29">
        <f>Текущий!B300</f>
        <v>24606</v>
      </c>
      <c r="C301" s="29">
        <f>Текущий!C300</f>
        <v>1</v>
      </c>
      <c r="D301" s="29" t="str">
        <f>Текущий!D300</f>
        <v>Откосная - Кузнецовский</v>
      </c>
      <c r="E301" s="29">
        <f>ROUND(Текущий!J300,0)</f>
        <v>8</v>
      </c>
      <c r="F301" s="29">
        <f>Текущий!E300</f>
        <v>9</v>
      </c>
      <c r="G301" s="16">
        <f>IF(Текущий!K300="-",Текущий!K300,ROUND(Текущий!K300,0))</f>
        <v>65</v>
      </c>
      <c r="H301" s="29" t="str">
        <f>IF(ROUND(Текущий!I300,0)=0,"-",ROUND(Текущий!I300,0))</f>
        <v>-</v>
      </c>
      <c r="I301" s="16">
        <f>IF(Предыд!K300="-",Предыд!K300,ROUND(Предыд!K300,0))</f>
        <v>36</v>
      </c>
      <c r="J301" s="29" t="str">
        <f>IF(ROUND(Предыд!I300,0)=0,"-",ROUND(Предыд!I300,0))</f>
        <v>-</v>
      </c>
      <c r="K301" s="30" t="str">
        <f>Текущий!L300</f>
        <v>Рихтовка</v>
      </c>
      <c r="L301" s="29">
        <f>Текущий!AL300</f>
        <v>82</v>
      </c>
      <c r="M301" s="29">
        <f>Текущий!AM300</f>
        <v>0</v>
      </c>
      <c r="N301" s="29">
        <f>Текущий!AN300</f>
        <v>0</v>
      </c>
      <c r="O301" s="29">
        <f>Текущий!AP300</f>
        <v>0</v>
      </c>
      <c r="P301" s="29">
        <f>Предыд!AL300</f>
        <v>55</v>
      </c>
      <c r="Q301" s="29">
        <f>Предыд!AM300</f>
        <v>0</v>
      </c>
      <c r="R301" s="29">
        <f>Предыд!AN300</f>
        <v>0</v>
      </c>
      <c r="S301" s="29">
        <f>Предыд!AO300</f>
        <v>0</v>
      </c>
      <c r="T301" s="17" t="str">
        <f t="shared" si="4"/>
        <v>+</v>
      </c>
    </row>
    <row r="302" spans="1:20" x14ac:dyDescent="0.25">
      <c r="A302" s="29">
        <f>Текущий!A301</f>
        <v>18</v>
      </c>
      <c r="B302" s="29">
        <f>Текущий!B301</f>
        <v>24606</v>
      </c>
      <c r="C302" s="29">
        <f>Текущий!C301</f>
        <v>1</v>
      </c>
      <c r="D302" s="29" t="str">
        <f>Текущий!D301</f>
        <v>Кузнецовский - Соллу</v>
      </c>
      <c r="E302" s="29">
        <f>ROUND(Текущий!J301,0)</f>
        <v>6</v>
      </c>
      <c r="F302" s="29">
        <f>Текущий!E301</f>
        <v>9</v>
      </c>
      <c r="G302" s="16">
        <f>IF(Текущий!K301="-",Текущий!K301,ROUND(Текущий!K301,0))</f>
        <v>95</v>
      </c>
      <c r="H302" s="29" t="str">
        <f>IF(ROUND(Текущий!I301,0)=0,"-",ROUND(Текущий!I301,0))</f>
        <v>-</v>
      </c>
      <c r="I302" s="16">
        <f>IF(Предыд!K301="-",Предыд!K301,ROUND(Предыд!K301,0))</f>
        <v>40</v>
      </c>
      <c r="J302" s="29" t="str">
        <f>IF(ROUND(Предыд!I301,0)=0,"-",ROUND(Предыд!I301,0))</f>
        <v>-</v>
      </c>
      <c r="K302" s="30" t="str">
        <f>Текущий!L301</f>
        <v>Рихтовка</v>
      </c>
      <c r="L302" s="29">
        <f>Текущий!AL301</f>
        <v>59</v>
      </c>
      <c r="M302" s="29">
        <f>Текущий!AM301</f>
        <v>1</v>
      </c>
      <c r="N302" s="29">
        <f>Текущий!AN301</f>
        <v>0</v>
      </c>
      <c r="O302" s="29">
        <f>Текущий!AP301</f>
        <v>0</v>
      </c>
      <c r="P302" s="29">
        <f>Предыд!AL301</f>
        <v>41</v>
      </c>
      <c r="Q302" s="29">
        <f>Предыд!AM301</f>
        <v>0</v>
      </c>
      <c r="R302" s="29">
        <f>Предыд!AN301</f>
        <v>0</v>
      </c>
      <c r="S302" s="29">
        <f>Предыд!AO301</f>
        <v>0</v>
      </c>
      <c r="T302" s="17" t="str">
        <f t="shared" si="4"/>
        <v>+</v>
      </c>
    </row>
    <row r="303" spans="1:20" x14ac:dyDescent="0.25">
      <c r="A303" s="29">
        <f>Текущий!A302</f>
        <v>18</v>
      </c>
      <c r="B303" s="29">
        <f>Текущий!B302</f>
        <v>24606</v>
      </c>
      <c r="C303" s="29">
        <f>Текущий!C302</f>
        <v>1</v>
      </c>
      <c r="D303" s="29" t="str">
        <f>Текущий!D302</f>
        <v>Соллу - Высокогорная</v>
      </c>
      <c r="E303" s="29">
        <f>ROUND(Текущий!J302,0)</f>
        <v>10</v>
      </c>
      <c r="F303" s="29">
        <f>Текущий!E302</f>
        <v>9</v>
      </c>
      <c r="G303" s="16">
        <f>IF(Текущий!K302="-",Текущий!K302,ROUND(Текущий!K302,0))</f>
        <v>54</v>
      </c>
      <c r="H303" s="29" t="str">
        <f>IF(ROUND(Текущий!I302,0)=0,"-",ROUND(Текущий!I302,0))</f>
        <v>-</v>
      </c>
      <c r="I303" s="16">
        <f>IF(Предыд!K302="-",Предыд!K302,ROUND(Предыд!K302,0))</f>
        <v>34</v>
      </c>
      <c r="J303" s="29" t="str">
        <f>IF(ROUND(Предыд!I302,0)=0,"-",ROUND(Предыд!I302,0))</f>
        <v>-</v>
      </c>
      <c r="K303" s="30" t="str">
        <f>Текущий!L302</f>
        <v>Уровень</v>
      </c>
      <c r="L303" s="29">
        <f>Текущий!AL302</f>
        <v>115</v>
      </c>
      <c r="M303" s="29">
        <f>Текущий!AM302</f>
        <v>2</v>
      </c>
      <c r="N303" s="29">
        <f>Текущий!AN302</f>
        <v>0</v>
      </c>
      <c r="O303" s="29">
        <f>Текущий!AP302</f>
        <v>0</v>
      </c>
      <c r="P303" s="29">
        <f>Предыд!AL302</f>
        <v>96</v>
      </c>
      <c r="Q303" s="29">
        <f>Предыд!AM302</f>
        <v>0</v>
      </c>
      <c r="R303" s="29">
        <f>Предыд!AN302</f>
        <v>0</v>
      </c>
      <c r="S303" s="29">
        <f>Предыд!AO302</f>
        <v>0</v>
      </c>
      <c r="T303" s="17" t="str">
        <f t="shared" si="4"/>
        <v>+</v>
      </c>
    </row>
    <row r="304" spans="1:20" x14ac:dyDescent="0.25">
      <c r="A304" s="29">
        <f>Текущий!A303</f>
        <v>18</v>
      </c>
      <c r="B304" s="29">
        <f>Текущий!B303</f>
        <v>24606</v>
      </c>
      <c r="C304" s="29">
        <f>Текущий!C303</f>
        <v>1</v>
      </c>
      <c r="D304" s="29" t="str">
        <f>Текущий!D303</f>
        <v>Высокогорная - Дакка</v>
      </c>
      <c r="E304" s="29">
        <f>ROUND(Текущий!J303,0)</f>
        <v>8</v>
      </c>
      <c r="F304" s="29">
        <f>Текущий!E303</f>
        <v>9</v>
      </c>
      <c r="G304" s="16">
        <f>IF(Текущий!K303="-",Текущий!K303,ROUND(Текущий!K303,0))</f>
        <v>46</v>
      </c>
      <c r="H304" s="29" t="str">
        <f>IF(ROUND(Текущий!I303,0)=0,"-",ROUND(Текущий!I303,0))</f>
        <v>-</v>
      </c>
      <c r="I304" s="16">
        <f>IF(Предыд!K303="-",Предыд!K303,ROUND(Предыд!K303,0))</f>
        <v>29</v>
      </c>
      <c r="J304" s="29" t="str">
        <f>IF(ROUND(Предыд!I303,0)=0,"-",ROUND(Предыд!I303,0))</f>
        <v>-</v>
      </c>
      <c r="K304" s="30" t="str">
        <f>Текущий!L303</f>
        <v>Уровень</v>
      </c>
      <c r="L304" s="29">
        <f>Текущий!AL303</f>
        <v>92</v>
      </c>
      <c r="M304" s="29">
        <f>Текущий!AM303</f>
        <v>2</v>
      </c>
      <c r="N304" s="29">
        <f>Текущий!AN303</f>
        <v>0</v>
      </c>
      <c r="O304" s="29">
        <f>Текущий!AP303</f>
        <v>0</v>
      </c>
      <c r="P304" s="29">
        <f>Предыд!AL303</f>
        <v>50</v>
      </c>
      <c r="Q304" s="29">
        <f>Предыд!AM303</f>
        <v>0</v>
      </c>
      <c r="R304" s="29">
        <f>Предыд!AN303</f>
        <v>0</v>
      </c>
      <c r="S304" s="29">
        <f>Предыд!AO303</f>
        <v>0</v>
      </c>
      <c r="T304" s="17" t="str">
        <f t="shared" si="4"/>
        <v>+</v>
      </c>
    </row>
    <row r="305" spans="1:20" x14ac:dyDescent="0.25">
      <c r="A305" s="29">
        <f>Текущий!A304</f>
        <v>18</v>
      </c>
      <c r="B305" s="29">
        <f>Текущий!B304</f>
        <v>24606</v>
      </c>
      <c r="C305" s="29">
        <f>Текущий!C304</f>
        <v>1</v>
      </c>
      <c r="D305" s="29" t="str">
        <f>Текущий!D304</f>
        <v>Дакка - Датта</v>
      </c>
      <c r="E305" s="29">
        <f>ROUND(Текущий!J304,0)</f>
        <v>12</v>
      </c>
      <c r="F305" s="29">
        <f>Текущий!E304</f>
        <v>9</v>
      </c>
      <c r="G305" s="16">
        <f>IF(Текущий!K304="-",Текущий!K304,ROUND(Текущий!K304,0))</f>
        <v>86</v>
      </c>
      <c r="H305" s="29" t="str">
        <f>IF(ROUND(Текущий!I304,0)=0,"-",ROUND(Текущий!I304,0))</f>
        <v>-</v>
      </c>
      <c r="I305" s="16">
        <f>IF(Предыд!K304="-",Предыд!K304,ROUND(Предыд!K304,0))</f>
        <v>23</v>
      </c>
      <c r="J305" s="29" t="str">
        <f>IF(ROUND(Предыд!I304,0)=0,"-",ROUND(Предыд!I304,0))</f>
        <v>-</v>
      </c>
      <c r="K305" s="30" t="str">
        <f>Текущий!L304</f>
        <v>Уровень</v>
      </c>
      <c r="L305" s="29">
        <f>Текущий!AL304</f>
        <v>175</v>
      </c>
      <c r="M305" s="29">
        <f>Текущий!AM304</f>
        <v>0</v>
      </c>
      <c r="N305" s="29">
        <f>Текущий!AN304</f>
        <v>0</v>
      </c>
      <c r="O305" s="29">
        <f>Текущий!AP304</f>
        <v>0</v>
      </c>
      <c r="P305" s="29">
        <f>Предыд!AL304</f>
        <v>61</v>
      </c>
      <c r="Q305" s="29">
        <f>Предыд!AM304</f>
        <v>0</v>
      </c>
      <c r="R305" s="29">
        <f>Предыд!AN304</f>
        <v>0</v>
      </c>
      <c r="S305" s="29">
        <f>Предыд!AO304</f>
        <v>0</v>
      </c>
      <c r="T305" s="17" t="str">
        <f t="shared" si="4"/>
        <v>+</v>
      </c>
    </row>
    <row r="306" spans="1:20" x14ac:dyDescent="0.25">
      <c r="A306" s="29">
        <f>Текущий!A305</f>
        <v>18</v>
      </c>
      <c r="B306" s="29">
        <f>Текущий!B305</f>
        <v>24606</v>
      </c>
      <c r="C306" s="29">
        <f>Текущий!C305</f>
        <v>1</v>
      </c>
      <c r="D306" s="29" t="str">
        <f>Текущий!D305</f>
        <v>Датта - Хокайти</v>
      </c>
      <c r="E306" s="29">
        <f>ROUND(Текущий!J305,0)</f>
        <v>10</v>
      </c>
      <c r="F306" s="29">
        <f>Текущий!E305</f>
        <v>9</v>
      </c>
      <c r="G306" s="16">
        <f>IF(Текущий!K305="-",Текущий!K305,ROUND(Текущий!K305,0))</f>
        <v>73</v>
      </c>
      <c r="H306" s="29" t="str">
        <f>IF(ROUND(Текущий!I305,0)=0,"-",ROUND(Текущий!I305,0))</f>
        <v>-</v>
      </c>
      <c r="I306" s="16">
        <f>IF(Предыд!K305="-",Предыд!K305,ROUND(Предыд!K305,0))</f>
        <v>39</v>
      </c>
      <c r="J306" s="29" t="str">
        <f>IF(ROUND(Предыд!I305,0)=0,"-",ROUND(Предыд!I305,0))</f>
        <v>-</v>
      </c>
      <c r="K306" s="30" t="str">
        <f>Текущий!L305</f>
        <v>Уширение</v>
      </c>
      <c r="L306" s="29">
        <f>Текущий!AL305</f>
        <v>143</v>
      </c>
      <c r="M306" s="29">
        <f>Текущий!AM305</f>
        <v>12</v>
      </c>
      <c r="N306" s="29">
        <f>Текущий!AN305</f>
        <v>0</v>
      </c>
      <c r="O306" s="29">
        <f>Текущий!AP305</f>
        <v>0</v>
      </c>
      <c r="P306" s="29">
        <f>Предыд!AL305</f>
        <v>65</v>
      </c>
      <c r="Q306" s="29">
        <f>Предыд!AM305</f>
        <v>0</v>
      </c>
      <c r="R306" s="29">
        <f>Предыд!AN305</f>
        <v>0</v>
      </c>
      <c r="S306" s="29">
        <f>Предыд!AO305</f>
        <v>0</v>
      </c>
      <c r="T306" s="17" t="str">
        <f t="shared" si="4"/>
        <v>+</v>
      </c>
    </row>
    <row r="307" spans="1:20" x14ac:dyDescent="0.25">
      <c r="A307" s="29">
        <f>Текущий!A306</f>
        <v>18</v>
      </c>
      <c r="B307" s="29">
        <f>Текущий!B306</f>
        <v>24606</v>
      </c>
      <c r="C307" s="29">
        <f>Текущий!C306</f>
        <v>1</v>
      </c>
      <c r="D307" s="29" t="str">
        <f>Текущий!D306</f>
        <v>Хокайти - Кенада</v>
      </c>
      <c r="E307" s="29">
        <f>ROUND(Текущий!J306,0)</f>
        <v>11</v>
      </c>
      <c r="F307" s="29">
        <f>Текущий!E306</f>
        <v>9</v>
      </c>
      <c r="G307" s="16">
        <f>IF(Текущий!K306="-",Текущий!K306,ROUND(Текущий!K306,0))</f>
        <v>121</v>
      </c>
      <c r="H307" s="29">
        <f>IF(ROUND(Текущий!I306,0)=0,"-",ROUND(Текущий!I306,0))</f>
        <v>1</v>
      </c>
      <c r="I307" s="16">
        <f>IF(Предыд!K306="-",Предыд!K306,ROUND(Предыд!K306,0))</f>
        <v>45</v>
      </c>
      <c r="J307" s="29" t="str">
        <f>IF(ROUND(Предыд!I306,0)=0,"-",ROUND(Предыд!I306,0))</f>
        <v>-</v>
      </c>
      <c r="K307" s="30" t="str">
        <f>Текущий!L306</f>
        <v>Уширение</v>
      </c>
      <c r="L307" s="29">
        <f>Текущий!AL306</f>
        <v>162</v>
      </c>
      <c r="M307" s="29">
        <f>Текущий!AM306</f>
        <v>17</v>
      </c>
      <c r="N307" s="29">
        <f>Текущий!AN306</f>
        <v>3</v>
      </c>
      <c r="O307" s="29">
        <f>Текущий!AP306</f>
        <v>0</v>
      </c>
      <c r="P307" s="29">
        <f>Предыд!AL306</f>
        <v>86</v>
      </c>
      <c r="Q307" s="29">
        <f>Предыд!AM306</f>
        <v>0</v>
      </c>
      <c r="R307" s="29">
        <f>Предыд!AN306</f>
        <v>0</v>
      </c>
      <c r="S307" s="29">
        <f>Предыд!AO306</f>
        <v>0</v>
      </c>
      <c r="T307" s="17" t="str">
        <f t="shared" si="4"/>
        <v>+</v>
      </c>
    </row>
    <row r="308" spans="1:20" x14ac:dyDescent="0.25">
      <c r="A308" s="29">
        <f>Текущий!A307</f>
        <v>18</v>
      </c>
      <c r="B308" s="29">
        <f>Текущий!B307</f>
        <v>24606</v>
      </c>
      <c r="C308" s="29">
        <f>Текущий!C307</f>
        <v>1</v>
      </c>
      <c r="D308" s="29" t="str">
        <f>Текущий!D307</f>
        <v>Кенада - Джигдаси</v>
      </c>
      <c r="E308" s="29">
        <f>ROUND(Текущий!J307,0)</f>
        <v>13</v>
      </c>
      <c r="F308" s="29">
        <f>Текущий!E307</f>
        <v>9</v>
      </c>
      <c r="G308" s="16">
        <f>IF(Текущий!K307="-",Текущий!K307,ROUND(Текущий!K307,0))</f>
        <v>143</v>
      </c>
      <c r="H308" s="29">
        <f>IF(ROUND(Текущий!I307,0)=0,"-",ROUND(Текущий!I307,0))</f>
        <v>1</v>
      </c>
      <c r="I308" s="16">
        <f>IF(Предыд!K307="-",Предыд!K307,ROUND(Предыд!K307,0))</f>
        <v>63</v>
      </c>
      <c r="J308" s="29" t="str">
        <f>IF(ROUND(Предыд!I307,0)=0,"-",ROUND(Предыд!I307,0))</f>
        <v>-</v>
      </c>
      <c r="K308" s="30" t="str">
        <f>Текущий!L307</f>
        <v>Уширение</v>
      </c>
      <c r="L308" s="29">
        <f>Текущий!AL307</f>
        <v>181</v>
      </c>
      <c r="M308" s="29">
        <f>Текущий!AM307</f>
        <v>10</v>
      </c>
      <c r="N308" s="29">
        <f>Текущий!AN307</f>
        <v>1</v>
      </c>
      <c r="O308" s="29">
        <f>Текущий!AP307</f>
        <v>0</v>
      </c>
      <c r="P308" s="29">
        <f>Предыд!AL307</f>
        <v>167</v>
      </c>
      <c r="Q308" s="29">
        <f>Предыд!AM307</f>
        <v>2</v>
      </c>
      <c r="R308" s="29">
        <f>Предыд!AN307</f>
        <v>0</v>
      </c>
      <c r="S308" s="29">
        <f>Предыд!AO307</f>
        <v>0</v>
      </c>
      <c r="T308" s="17" t="str">
        <f t="shared" si="4"/>
        <v>+</v>
      </c>
    </row>
    <row r="309" spans="1:20" x14ac:dyDescent="0.25">
      <c r="A309" s="29">
        <f>Текущий!A308</f>
        <v>18</v>
      </c>
      <c r="B309" s="29">
        <f>Текущий!B308</f>
        <v>24606</v>
      </c>
      <c r="C309" s="29">
        <f>Текущий!C308</f>
        <v>1</v>
      </c>
      <c r="D309" s="29" t="str">
        <f>Текущий!D308</f>
        <v>Джигдаси - Кото</v>
      </c>
      <c r="E309" s="29">
        <f>ROUND(Текущий!J308,0)</f>
        <v>14</v>
      </c>
      <c r="F309" s="29">
        <f>Текущий!E308</f>
        <v>9</v>
      </c>
      <c r="G309" s="16">
        <f>IF(Текущий!K308="-",Текущий!K308,ROUND(Текущий!K308,0))</f>
        <v>124</v>
      </c>
      <c r="H309" s="29" t="str">
        <f>IF(ROUND(Текущий!I308,0)=0,"-",ROUND(Текущий!I308,0))</f>
        <v>-</v>
      </c>
      <c r="I309" s="16">
        <f>IF(Предыд!K308="-",Предыд!K308,ROUND(Предыд!K308,0))</f>
        <v>61</v>
      </c>
      <c r="J309" s="29" t="str">
        <f>IF(ROUND(Предыд!I308,0)=0,"-",ROUND(Предыд!I308,0))</f>
        <v>-</v>
      </c>
      <c r="K309" s="30" t="str">
        <f>Текущий!L308</f>
        <v>Уширение</v>
      </c>
      <c r="L309" s="29">
        <f>Текущий!AL308</f>
        <v>298</v>
      </c>
      <c r="M309" s="29">
        <f>Текущий!AM308</f>
        <v>14</v>
      </c>
      <c r="N309" s="29">
        <f>Текущий!AN308</f>
        <v>0</v>
      </c>
      <c r="O309" s="29">
        <f>Текущий!AP308</f>
        <v>0</v>
      </c>
      <c r="P309" s="29">
        <f>Предыд!AL308</f>
        <v>199</v>
      </c>
      <c r="Q309" s="29">
        <f>Предыд!AM308</f>
        <v>3</v>
      </c>
      <c r="R309" s="29">
        <f>Предыд!AN308</f>
        <v>0</v>
      </c>
      <c r="S309" s="29">
        <f>Предыд!AO308</f>
        <v>0</v>
      </c>
      <c r="T309" s="17" t="str">
        <f t="shared" si="4"/>
        <v>+</v>
      </c>
    </row>
    <row r="310" spans="1:20" x14ac:dyDescent="0.25">
      <c r="A310" s="29">
        <f>Текущий!A309</f>
        <v>18</v>
      </c>
      <c r="B310" s="29">
        <f>Текущий!B309</f>
        <v>24606</v>
      </c>
      <c r="C310" s="29">
        <f>Текущий!C309</f>
        <v>1</v>
      </c>
      <c r="D310" s="29" t="str">
        <f>Текущий!D309</f>
        <v>Кото - Инау</v>
      </c>
      <c r="E310" s="29">
        <f>ROUND(Текущий!J309,0)</f>
        <v>7</v>
      </c>
      <c r="F310" s="29">
        <f>Текущий!E309</f>
        <v>9</v>
      </c>
      <c r="G310" s="16">
        <f>IF(Текущий!K309="-",Текущий!K309,ROUND(Текущий!K309,0))</f>
        <v>56</v>
      </c>
      <c r="H310" s="29" t="str">
        <f>IF(ROUND(Текущий!I309,0)=0,"-",ROUND(Текущий!I309,0))</f>
        <v>-</v>
      </c>
      <c r="I310" s="16">
        <f>IF(Предыд!K309="-",Предыд!K309,ROUND(Предыд!K309,0))</f>
        <v>31</v>
      </c>
      <c r="J310" s="29" t="str">
        <f>IF(ROUND(Предыд!I309,0)=0,"-",ROUND(Предыд!I309,0))</f>
        <v>-</v>
      </c>
      <c r="K310" s="30" t="str">
        <f>Текущий!L309</f>
        <v>Просадка</v>
      </c>
      <c r="L310" s="29">
        <f>Текущий!AL309</f>
        <v>56</v>
      </c>
      <c r="M310" s="29">
        <f>Текущий!AM309</f>
        <v>1</v>
      </c>
      <c r="N310" s="29">
        <f>Текущий!AN309</f>
        <v>0</v>
      </c>
      <c r="O310" s="29">
        <f>Текущий!AP309</f>
        <v>0</v>
      </c>
      <c r="P310" s="29">
        <f>Предыд!AL309</f>
        <v>33</v>
      </c>
      <c r="Q310" s="29">
        <f>Предыд!AM309</f>
        <v>0</v>
      </c>
      <c r="R310" s="29">
        <f>Предыд!AN309</f>
        <v>0</v>
      </c>
      <c r="S310" s="29">
        <f>Предыд!AO309</f>
        <v>0</v>
      </c>
      <c r="T310" s="17" t="str">
        <f t="shared" si="4"/>
        <v>+</v>
      </c>
    </row>
    <row r="311" spans="1:20" x14ac:dyDescent="0.25">
      <c r="A311" s="29">
        <f>Текущий!A310</f>
        <v>18</v>
      </c>
      <c r="B311" s="29">
        <f>Текущий!B310</f>
        <v>24606</v>
      </c>
      <c r="C311" s="29">
        <f>Текущий!C310</f>
        <v>1</v>
      </c>
      <c r="D311" s="29" t="str">
        <f>Текущий!D310</f>
        <v>Инау - Тулучи</v>
      </c>
      <c r="E311" s="29">
        <f>ROUND(Текущий!J310,0)</f>
        <v>9</v>
      </c>
      <c r="F311" s="29">
        <f>Текущий!E310</f>
        <v>9</v>
      </c>
      <c r="G311" s="16">
        <f>IF(Текущий!K310="-",Текущий!K310,ROUND(Текущий!K310,0))</f>
        <v>58</v>
      </c>
      <c r="H311" s="29" t="str">
        <f>IF(ROUND(Текущий!I310,0)=0,"-",ROUND(Текущий!I310,0))</f>
        <v>-</v>
      </c>
      <c r="I311" s="16">
        <f>IF(Предыд!K310="-",Предыд!K310,ROUND(Предыд!K310,0))</f>
        <v>20</v>
      </c>
      <c r="J311" s="29" t="str">
        <f>IF(ROUND(Предыд!I310,0)=0,"-",ROUND(Предыд!I310,0))</f>
        <v>-</v>
      </c>
      <c r="K311" s="30" t="str">
        <f>Текущий!L310</f>
        <v>Уровень</v>
      </c>
      <c r="L311" s="29">
        <f>Текущий!AL310</f>
        <v>74</v>
      </c>
      <c r="M311" s="29">
        <f>Текущий!AM310</f>
        <v>0</v>
      </c>
      <c r="N311" s="29">
        <f>Текущий!AN310</f>
        <v>0</v>
      </c>
      <c r="O311" s="29">
        <f>Текущий!AP310</f>
        <v>0</v>
      </c>
      <c r="P311" s="29">
        <f>Предыд!AL310</f>
        <v>19</v>
      </c>
      <c r="Q311" s="29">
        <f>Предыд!AM310</f>
        <v>0</v>
      </c>
      <c r="R311" s="29">
        <f>Предыд!AN310</f>
        <v>0</v>
      </c>
      <c r="S311" s="29">
        <f>Предыд!AO310</f>
        <v>0</v>
      </c>
      <c r="T311" s="17" t="str">
        <f t="shared" si="4"/>
        <v>+</v>
      </c>
    </row>
    <row r="312" spans="1:20" x14ac:dyDescent="0.25">
      <c r="A312" s="29">
        <f>Текущий!A311</f>
        <v>18</v>
      </c>
      <c r="B312" s="29">
        <f>Текущий!B311</f>
        <v>24606</v>
      </c>
      <c r="C312" s="29">
        <f>Текущий!C311</f>
        <v>1</v>
      </c>
      <c r="D312" s="29" t="str">
        <f>Текущий!D311</f>
        <v>Тулучи - Акур</v>
      </c>
      <c r="E312" s="29">
        <f>ROUND(Текущий!J311,0)</f>
        <v>14</v>
      </c>
      <c r="F312" s="29">
        <f>Текущий!E311</f>
        <v>9</v>
      </c>
      <c r="G312" s="16">
        <f>IF(Текущий!K311="-",Текущий!K311,ROUND(Текущий!K311,0))</f>
        <v>54</v>
      </c>
      <c r="H312" s="29" t="str">
        <f>IF(ROUND(Текущий!I311,0)=0,"-",ROUND(Текущий!I311,0))</f>
        <v>-</v>
      </c>
      <c r="I312" s="16">
        <f>IF(Предыд!K311="-",Предыд!K311,ROUND(Предыд!K311,0))</f>
        <v>29</v>
      </c>
      <c r="J312" s="29" t="str">
        <f>IF(ROUND(Предыд!I311,0)=0,"-",ROUND(Предыд!I311,0))</f>
        <v>-</v>
      </c>
      <c r="K312" s="30" t="str">
        <f>Текущий!L311</f>
        <v>Уровень</v>
      </c>
      <c r="L312" s="29">
        <f>Текущий!AL311</f>
        <v>150</v>
      </c>
      <c r="M312" s="29">
        <f>Текущий!AM311</f>
        <v>0</v>
      </c>
      <c r="N312" s="29">
        <f>Текущий!AN311</f>
        <v>0</v>
      </c>
      <c r="O312" s="29">
        <f>Текущий!AP311</f>
        <v>0</v>
      </c>
      <c r="P312" s="29">
        <f>Предыд!AL311</f>
        <v>78</v>
      </c>
      <c r="Q312" s="29">
        <f>Предыд!AM311</f>
        <v>0</v>
      </c>
      <c r="R312" s="29">
        <f>Предыд!AN311</f>
        <v>0</v>
      </c>
      <c r="S312" s="29">
        <f>Предыд!AO311</f>
        <v>0</v>
      </c>
      <c r="T312" s="17" t="str">
        <f t="shared" si="4"/>
        <v>+</v>
      </c>
    </row>
    <row r="313" spans="1:20" x14ac:dyDescent="0.25">
      <c r="A313" s="29">
        <f>Текущий!A312</f>
        <v>18</v>
      </c>
      <c r="B313" s="29">
        <f>Текущий!B312</f>
        <v>24606</v>
      </c>
      <c r="C313" s="29">
        <f>Текущий!C312</f>
        <v>1</v>
      </c>
      <c r="D313" s="29" t="str">
        <f>Текущий!D312</f>
        <v>Акур - Разъезд 323 км</v>
      </c>
      <c r="E313" s="29">
        <f>ROUND(Текущий!J312,0)</f>
        <v>6</v>
      </c>
      <c r="F313" s="29">
        <f>Текущий!E312</f>
        <v>9</v>
      </c>
      <c r="G313" s="16">
        <f>IF(Текущий!K312="-",Текущий!K312,ROUND(Текущий!K312,0))</f>
        <v>53</v>
      </c>
      <c r="H313" s="29" t="str">
        <f>IF(ROUND(Текущий!I312,0)=0,"-",ROUND(Текущий!I312,0))</f>
        <v>-</v>
      </c>
      <c r="I313" s="16">
        <f>IF(Предыд!K312="-",Предыд!K312,ROUND(Предыд!K312,0))</f>
        <v>97</v>
      </c>
      <c r="J313" s="29">
        <f>IF(ROUND(Предыд!I312,0)=0,"-",ROUND(Предыд!I312,0))</f>
        <v>1</v>
      </c>
      <c r="K313" s="30" t="str">
        <f>Текущий!L312</f>
        <v>Просадка</v>
      </c>
      <c r="L313" s="29">
        <f>Текущий!AL312</f>
        <v>56</v>
      </c>
      <c r="M313" s="29">
        <f>Текущий!AM312</f>
        <v>0</v>
      </c>
      <c r="N313" s="29">
        <f>Текущий!AN312</f>
        <v>0</v>
      </c>
      <c r="O313" s="29">
        <f>Текущий!AP312</f>
        <v>0</v>
      </c>
      <c r="P313" s="29">
        <f>Предыд!AL312</f>
        <v>26</v>
      </c>
      <c r="Q313" s="29">
        <f>Предыд!AM312</f>
        <v>0</v>
      </c>
      <c r="R313" s="29">
        <f>Предыд!AN312</f>
        <v>1</v>
      </c>
      <c r="S313" s="29">
        <f>Предыд!AO312</f>
        <v>0</v>
      </c>
      <c r="T313" s="17" t="str">
        <f t="shared" si="4"/>
        <v>-</v>
      </c>
    </row>
    <row r="314" spans="1:20" x14ac:dyDescent="0.25">
      <c r="A314" s="29">
        <f>Текущий!A313</f>
        <v>18</v>
      </c>
      <c r="B314" s="29">
        <f>Текущий!B313</f>
        <v>24606</v>
      </c>
      <c r="C314" s="29">
        <f>Текущий!C313</f>
        <v>1</v>
      </c>
      <c r="D314" s="29" t="str">
        <f>Текущий!D313</f>
        <v>Разъезд 323 км - Людю</v>
      </c>
      <c r="E314" s="29">
        <f>ROUND(Текущий!J313,0)</f>
        <v>10</v>
      </c>
      <c r="F314" s="29">
        <f>Текущий!E313</f>
        <v>9</v>
      </c>
      <c r="G314" s="16">
        <f>IF(Текущий!K313="-",Текущий!K313,ROUND(Текущий!K313,0))</f>
        <v>84</v>
      </c>
      <c r="H314" s="29" t="str">
        <f>IF(ROUND(Текущий!I313,0)=0,"-",ROUND(Текущий!I313,0))</f>
        <v>-</v>
      </c>
      <c r="I314" s="16">
        <f>IF(Предыд!K313="-",Предыд!K313,ROUND(Предыд!K313,0))</f>
        <v>19</v>
      </c>
      <c r="J314" s="29" t="str">
        <f>IF(ROUND(Предыд!I313,0)=0,"-",ROUND(Предыд!I313,0))</f>
        <v>-</v>
      </c>
      <c r="K314" s="30" t="str">
        <f>Текущий!L313</f>
        <v>Просадка</v>
      </c>
      <c r="L314" s="29">
        <f>Текущий!AL313</f>
        <v>101</v>
      </c>
      <c r="M314" s="29">
        <f>Текущий!AM313</f>
        <v>0</v>
      </c>
      <c r="N314" s="29">
        <f>Текущий!AN313</f>
        <v>0</v>
      </c>
      <c r="O314" s="29">
        <f>Текущий!AP313</f>
        <v>0</v>
      </c>
      <c r="P314" s="29">
        <f>Предыд!AL313</f>
        <v>28</v>
      </c>
      <c r="Q314" s="29">
        <f>Предыд!AM313</f>
        <v>0</v>
      </c>
      <c r="R314" s="29">
        <f>Предыд!AN313</f>
        <v>0</v>
      </c>
      <c r="S314" s="29">
        <f>Предыд!AO313</f>
        <v>0</v>
      </c>
      <c r="T314" s="17" t="str">
        <f t="shared" si="4"/>
        <v>+</v>
      </c>
    </row>
    <row r="315" spans="1:20" x14ac:dyDescent="0.25">
      <c r="A315" s="29">
        <f>Текущий!A314</f>
        <v>18</v>
      </c>
      <c r="B315" s="29">
        <f>Текущий!B314</f>
        <v>24607</v>
      </c>
      <c r="C315" s="29">
        <f>Текущий!C314</f>
        <v>1</v>
      </c>
      <c r="D315" s="29" t="str">
        <f>Текущий!D314</f>
        <v>Новый Кузнецовский - Блокпост 197 км</v>
      </c>
      <c r="E315" s="29">
        <f>ROUND(Текущий!J314,0)</f>
        <v>0</v>
      </c>
      <c r="F315" s="29">
        <f>Текущий!E314</f>
        <v>0</v>
      </c>
      <c r="G315" s="16" t="str">
        <f>IF(Текущий!K314="-",Текущий!K314,ROUND(Текущий!K314,0))</f>
        <v>-</v>
      </c>
      <c r="H315" s="29" t="str">
        <f>IF(ROUND(Текущий!I314,0)=0,"-",ROUND(Текущий!I314,0))</f>
        <v>-</v>
      </c>
      <c r="I315" s="16" t="str">
        <f>IF(Предыд!K314="-",Предыд!K314,ROUND(Предыд!K314,0))</f>
        <v>-</v>
      </c>
      <c r="J315" s="29" t="str">
        <f>IF(ROUND(Предыд!I314,0)=0,"-",ROUND(Предыд!I314,0))</f>
        <v>-</v>
      </c>
      <c r="K315" s="30" t="str">
        <f>Текущий!L314</f>
        <v>Рихтовка</v>
      </c>
      <c r="L315" s="29">
        <f>Текущий!AL314</f>
        <v>0</v>
      </c>
      <c r="M315" s="29">
        <f>Текущий!AM314</f>
        <v>0</v>
      </c>
      <c r="N315" s="29">
        <f>Текущий!AN314</f>
        <v>0</v>
      </c>
      <c r="O315" s="29">
        <f>Текущий!AP314</f>
        <v>0</v>
      </c>
      <c r="P315" s="29">
        <f>Предыд!AL314</f>
        <v>0</v>
      </c>
      <c r="Q315" s="29">
        <f>Предыд!AM314</f>
        <v>0</v>
      </c>
      <c r="R315" s="29">
        <f>Предыд!AN314</f>
        <v>0</v>
      </c>
      <c r="S315" s="29">
        <f>Предыд!AO314</f>
        <v>0</v>
      </c>
      <c r="T315" s="17" t="str">
        <f t="shared" si="4"/>
        <v>-</v>
      </c>
    </row>
    <row r="316" spans="1:20" x14ac:dyDescent="0.25">
      <c r="A316" s="29">
        <f>Текущий!A315</f>
        <v>18</v>
      </c>
      <c r="B316" s="29">
        <f>Текущий!B315</f>
        <v>24607</v>
      </c>
      <c r="C316" s="29">
        <f>Текущий!C315</f>
        <v>1</v>
      </c>
      <c r="D316" s="29" t="str">
        <f>Текущий!D315</f>
        <v>Мули - Высокогорная</v>
      </c>
      <c r="E316" s="29">
        <f>ROUND(Текущий!J315,0)</f>
        <v>0</v>
      </c>
      <c r="F316" s="29">
        <f>Текущий!E315</f>
        <v>0</v>
      </c>
      <c r="G316" s="16" t="str">
        <f>IF(Текущий!K315="-",Текущий!K315,ROUND(Текущий!K315,0))</f>
        <v>-</v>
      </c>
      <c r="H316" s="29" t="str">
        <f>IF(ROUND(Текущий!I315,0)=0,"-",ROUND(Текущий!I315,0))</f>
        <v>-</v>
      </c>
      <c r="I316" s="16" t="str">
        <f>IF(Предыд!K315="-",Предыд!K315,ROUND(Предыд!K315,0))</f>
        <v>-</v>
      </c>
      <c r="J316" s="29" t="str">
        <f>IF(ROUND(Предыд!I315,0)=0,"-",ROUND(Предыд!I315,0))</f>
        <v>-</v>
      </c>
      <c r="K316" s="30" t="str">
        <f>Текущий!L315</f>
        <v>Рихтовка</v>
      </c>
      <c r="L316" s="29">
        <f>Текущий!AL315</f>
        <v>0</v>
      </c>
      <c r="M316" s="29">
        <f>Текущий!AM315</f>
        <v>0</v>
      </c>
      <c r="N316" s="29">
        <f>Текущий!AN315</f>
        <v>0</v>
      </c>
      <c r="O316" s="29">
        <f>Текущий!AP315</f>
        <v>0</v>
      </c>
      <c r="P316" s="29">
        <f>Предыд!AL315</f>
        <v>0</v>
      </c>
      <c r="Q316" s="29">
        <f>Предыд!AM315</f>
        <v>0</v>
      </c>
      <c r="R316" s="29">
        <f>Предыд!AN315</f>
        <v>0</v>
      </c>
      <c r="S316" s="29">
        <f>Предыд!AO315</f>
        <v>0</v>
      </c>
      <c r="T316" s="17" t="str">
        <f t="shared" si="4"/>
        <v>-</v>
      </c>
    </row>
    <row r="317" spans="1:20" x14ac:dyDescent="0.25">
      <c r="A317" s="29">
        <f>Текущий!A316</f>
        <v>18</v>
      </c>
      <c r="B317" s="29">
        <f>Текущий!B316</f>
        <v>24607</v>
      </c>
      <c r="C317" s="29">
        <f>Текущий!C316</f>
        <v>2</v>
      </c>
      <c r="D317" s="29" t="str">
        <f>Текущий!D316</f>
        <v>Оунэ - Новый Кузнецовский</v>
      </c>
      <c r="E317" s="29">
        <f>ROUND(Текущий!J316,0)</f>
        <v>11</v>
      </c>
      <c r="F317" s="29">
        <f>Текущий!E316</f>
        <v>9</v>
      </c>
      <c r="G317" s="16">
        <f>IF(Текущий!K316="-",Текущий!K316,ROUND(Текущий!K316,0))</f>
        <v>52</v>
      </c>
      <c r="H317" s="29" t="str">
        <f>IF(ROUND(Текущий!I316,0)=0,"-",ROUND(Текущий!I316,0))</f>
        <v>-</v>
      </c>
      <c r="I317" s="16">
        <f>IF(Предыд!K316="-",Предыд!K316,ROUND(Предыд!K316,0))</f>
        <v>22</v>
      </c>
      <c r="J317" s="29" t="str">
        <f>IF(ROUND(Предыд!I316,0)=0,"-",ROUND(Предыд!I316,0))</f>
        <v>-</v>
      </c>
      <c r="K317" s="30" t="str">
        <f>Текущий!L316</f>
        <v>Уровень</v>
      </c>
      <c r="L317" s="29">
        <f>Текущий!AL316</f>
        <v>71</v>
      </c>
      <c r="M317" s="29">
        <f>Текущий!AM316</f>
        <v>0</v>
      </c>
      <c r="N317" s="29">
        <f>Текущий!AN316</f>
        <v>0</v>
      </c>
      <c r="O317" s="29">
        <f>Текущий!AP316</f>
        <v>0</v>
      </c>
      <c r="P317" s="29">
        <f>Предыд!AL316</f>
        <v>38</v>
      </c>
      <c r="Q317" s="29">
        <f>Предыд!AM316</f>
        <v>0</v>
      </c>
      <c r="R317" s="29">
        <f>Предыд!AN316</f>
        <v>0</v>
      </c>
      <c r="S317" s="29">
        <f>Предыд!AO316</f>
        <v>0</v>
      </c>
      <c r="T317" s="17" t="str">
        <f t="shared" si="4"/>
        <v>+</v>
      </c>
    </row>
    <row r="318" spans="1:20" x14ac:dyDescent="0.25">
      <c r="A318" s="29">
        <f>Текущий!A317</f>
        <v>18</v>
      </c>
      <c r="B318" s="29">
        <f>Текущий!B317</f>
        <v>24607</v>
      </c>
      <c r="C318" s="29">
        <f>Текущий!C317</f>
        <v>2</v>
      </c>
      <c r="D318" s="29" t="str">
        <f>Текущий!D317</f>
        <v>Новый Кузнецовский - Блокпост 197 км</v>
      </c>
      <c r="E318" s="29">
        <f>ROUND(Текущий!J317,0)</f>
        <v>6</v>
      </c>
      <c r="F318" s="29">
        <f>Текущий!E317</f>
        <v>9</v>
      </c>
      <c r="G318" s="16">
        <f>IF(Текущий!K317="-",Текущий!K317,ROUND(Текущий!K317,0))</f>
        <v>20</v>
      </c>
      <c r="H318" s="29" t="str">
        <f>IF(ROUND(Текущий!I317,0)=0,"-",ROUND(Текущий!I317,0))</f>
        <v>-</v>
      </c>
      <c r="I318" s="16">
        <f>IF(Предыд!K317="-",Предыд!K317,ROUND(Предыд!K317,0))</f>
        <v>10</v>
      </c>
      <c r="J318" s="29" t="str">
        <f>IF(ROUND(Предыд!I317,0)=0,"-",ROUND(Предыд!I317,0))</f>
        <v>-</v>
      </c>
      <c r="K318" s="30" t="str">
        <f>Текущий!L317</f>
        <v>Просадка</v>
      </c>
      <c r="L318" s="29">
        <f>Текущий!AL317</f>
        <v>20</v>
      </c>
      <c r="M318" s="29">
        <f>Текущий!AM317</f>
        <v>0</v>
      </c>
      <c r="N318" s="29">
        <f>Текущий!AN317</f>
        <v>0</v>
      </c>
      <c r="O318" s="29">
        <f>Текущий!AP317</f>
        <v>0</v>
      </c>
      <c r="P318" s="29">
        <f>Предыд!AL317</f>
        <v>8</v>
      </c>
      <c r="Q318" s="29">
        <f>Предыд!AM317</f>
        <v>0</v>
      </c>
      <c r="R318" s="29">
        <f>Предыд!AN317</f>
        <v>0</v>
      </c>
      <c r="S318" s="29">
        <f>Предыд!AO317</f>
        <v>0</v>
      </c>
      <c r="T318" s="17" t="str">
        <f t="shared" si="4"/>
        <v>+</v>
      </c>
    </row>
    <row r="319" spans="1:20" x14ac:dyDescent="0.25">
      <c r="A319" s="29">
        <f>Текущий!A318</f>
        <v>18</v>
      </c>
      <c r="B319" s="29">
        <f>Текущий!B318</f>
        <v>24607</v>
      </c>
      <c r="C319" s="29">
        <f>Текущий!C318</f>
        <v>2</v>
      </c>
      <c r="D319" s="29" t="str">
        <f>Текущий!D318</f>
        <v>Блокпост 197 км - Мули</v>
      </c>
      <c r="E319" s="29">
        <f>ROUND(Текущий!J318,0)</f>
        <v>5</v>
      </c>
      <c r="F319" s="29">
        <f>Текущий!E318</f>
        <v>9</v>
      </c>
      <c r="G319" s="16">
        <f>IF(Текущий!K318="-",Текущий!K318,ROUND(Текущий!K318,0))</f>
        <v>10</v>
      </c>
      <c r="H319" s="29" t="str">
        <f>IF(ROUND(Текущий!I318,0)=0,"-",ROUND(Текущий!I318,0))</f>
        <v>-</v>
      </c>
      <c r="I319" s="16">
        <f>IF(Предыд!K318="-",Предыд!K318,ROUND(Предыд!K318,0))</f>
        <v>16</v>
      </c>
      <c r="J319" s="29" t="str">
        <f>IF(ROUND(Предыд!I318,0)=0,"-",ROUND(Предыд!I318,0))</f>
        <v>-</v>
      </c>
      <c r="K319" s="30" t="str">
        <f>Текущий!L318</f>
        <v>Уровень</v>
      </c>
      <c r="L319" s="29">
        <f>Текущий!AL318</f>
        <v>11</v>
      </c>
      <c r="M319" s="29">
        <f>Текущий!AM318</f>
        <v>0</v>
      </c>
      <c r="N319" s="29">
        <f>Текущий!AN318</f>
        <v>0</v>
      </c>
      <c r="O319" s="29">
        <f>Текущий!AP318</f>
        <v>0</v>
      </c>
      <c r="P319" s="29">
        <f>Предыд!AL318</f>
        <v>9</v>
      </c>
      <c r="Q319" s="29">
        <f>Предыд!AM318</f>
        <v>0</v>
      </c>
      <c r="R319" s="29">
        <f>Предыд!AN318</f>
        <v>0</v>
      </c>
      <c r="S319" s="29">
        <f>Предыд!AO318</f>
        <v>0</v>
      </c>
      <c r="T319" s="17" t="str">
        <f t="shared" si="4"/>
        <v>-</v>
      </c>
    </row>
    <row r="320" spans="1:20" x14ac:dyDescent="0.25">
      <c r="A320" s="29">
        <f>Текущий!A319</f>
        <v>18</v>
      </c>
      <c r="B320" s="29">
        <f>Текущий!B319</f>
        <v>24607</v>
      </c>
      <c r="C320" s="29">
        <f>Текущий!C319</f>
        <v>2</v>
      </c>
      <c r="D320" s="29" t="str">
        <f>Текущий!D319</f>
        <v>Мули - Высокогорная</v>
      </c>
      <c r="E320" s="29">
        <f>ROUND(Текущий!J319,0)</f>
        <v>6</v>
      </c>
      <c r="F320" s="29">
        <f>Текущий!E319</f>
        <v>9</v>
      </c>
      <c r="G320" s="16">
        <f>IF(Текущий!K319="-",Текущий!K319,ROUND(Текущий!K319,0))</f>
        <v>48</v>
      </c>
      <c r="H320" s="29" t="str">
        <f>IF(ROUND(Текущий!I319,0)=0,"-",ROUND(Текущий!I319,0))</f>
        <v>-</v>
      </c>
      <c r="I320" s="16">
        <f>IF(Предыд!K319="-",Предыд!K319,ROUND(Предыд!K319,0))</f>
        <v>10</v>
      </c>
      <c r="J320" s="29" t="str">
        <f>IF(ROUND(Предыд!I319,0)=0,"-",ROUND(Предыд!I319,0))</f>
        <v>-</v>
      </c>
      <c r="K320" s="30" t="str">
        <f>Текущий!L319</f>
        <v>Уровень</v>
      </c>
      <c r="L320" s="29">
        <f>Текущий!AL319</f>
        <v>39</v>
      </c>
      <c r="M320" s="29">
        <f>Текущий!AM319</f>
        <v>0</v>
      </c>
      <c r="N320" s="29">
        <f>Текущий!AN319</f>
        <v>0</v>
      </c>
      <c r="O320" s="29">
        <f>Текущий!AP319</f>
        <v>0</v>
      </c>
      <c r="P320" s="29">
        <f>Предыд!AL319</f>
        <v>12</v>
      </c>
      <c r="Q320" s="29">
        <f>Предыд!AM319</f>
        <v>0</v>
      </c>
      <c r="R320" s="29">
        <f>Предыд!AN319</f>
        <v>0</v>
      </c>
      <c r="S320" s="29">
        <f>Предыд!AO319</f>
        <v>0</v>
      </c>
      <c r="T320" s="17" t="str">
        <f t="shared" si="4"/>
        <v>+</v>
      </c>
    </row>
    <row r="321" spans="1:20" x14ac:dyDescent="0.25">
      <c r="A321" s="29">
        <f>Текущий!A320</f>
        <v>18</v>
      </c>
      <c r="B321" s="29">
        <f>Текущий!B320</f>
        <v>24607</v>
      </c>
      <c r="C321" s="29">
        <f>Текущий!C320</f>
        <v>3</v>
      </c>
      <c r="D321" s="29" t="str">
        <f>Текущий!D320</f>
        <v>ст. Высокогорная</v>
      </c>
      <c r="E321" s="29">
        <f>ROUND(Текущий!J320,0)</f>
        <v>0</v>
      </c>
      <c r="F321" s="29">
        <f>Текущий!E320</f>
        <v>0</v>
      </c>
      <c r="G321" s="16" t="str">
        <f>IF(Текущий!K320="-",Текущий!K320,ROUND(Текущий!K320,0))</f>
        <v>-</v>
      </c>
      <c r="H321" s="29" t="str">
        <f>IF(ROUND(Текущий!I320,0)=0,"-",ROUND(Текущий!I320,0))</f>
        <v>-</v>
      </c>
      <c r="I321" s="16" t="str">
        <f>IF(Предыд!K320="-",Предыд!K320,ROUND(Предыд!K320,0))</f>
        <v>-</v>
      </c>
      <c r="J321" s="29" t="str">
        <f>IF(ROUND(Предыд!I320,0)=0,"-",ROUND(Предыд!I320,0))</f>
        <v>-</v>
      </c>
      <c r="K321" s="30" t="str">
        <f>Текущий!L320</f>
        <v>Рихтовка</v>
      </c>
      <c r="L321" s="29">
        <f>Текущий!AL320</f>
        <v>0</v>
      </c>
      <c r="M321" s="29">
        <f>Текущий!AM320</f>
        <v>0</v>
      </c>
      <c r="N321" s="29">
        <f>Текущий!AN320</f>
        <v>0</v>
      </c>
      <c r="O321" s="29">
        <f>Текущий!AP320</f>
        <v>0</v>
      </c>
      <c r="P321" s="29">
        <f>Предыд!AL320</f>
        <v>0</v>
      </c>
      <c r="Q321" s="29">
        <f>Предыд!AM320</f>
        <v>0</v>
      </c>
      <c r="R321" s="29">
        <f>Предыд!AN320</f>
        <v>0</v>
      </c>
      <c r="S321" s="29">
        <f>Предыд!AO320</f>
        <v>0</v>
      </c>
      <c r="T321" s="17" t="str">
        <f t="shared" si="4"/>
        <v>-</v>
      </c>
    </row>
    <row r="322" spans="1:20" x14ac:dyDescent="0.25">
      <c r="A322" s="29">
        <f>Текущий!A321</f>
        <v>19</v>
      </c>
      <c r="B322" s="29">
        <f>Текущий!B321</f>
        <v>24606</v>
      </c>
      <c r="C322" s="29">
        <f>Текущий!C321</f>
        <v>1</v>
      </c>
      <c r="D322" s="29" t="str">
        <f>Текущий!D321</f>
        <v>Людю - Тумнин</v>
      </c>
      <c r="E322" s="29">
        <f>ROUND(Текущий!J321,0)</f>
        <v>7</v>
      </c>
      <c r="F322" s="29">
        <f>Текущий!E321</f>
        <v>9</v>
      </c>
      <c r="G322" s="16">
        <f>IF(Текущий!K321="-",Текущий!K321,ROUND(Текущий!K321,0))</f>
        <v>83</v>
      </c>
      <c r="H322" s="29" t="str">
        <f>IF(ROUND(Текущий!I321,0)=0,"-",ROUND(Текущий!I321,0))</f>
        <v>-</v>
      </c>
      <c r="I322" s="16">
        <f>IF(Предыд!K321="-",Предыд!K321,ROUND(Предыд!K321,0))</f>
        <v>47</v>
      </c>
      <c r="J322" s="29" t="str">
        <f>IF(ROUND(Предыд!I321,0)=0,"-",ROUND(Предыд!I321,0))</f>
        <v>-</v>
      </c>
      <c r="K322" s="30" t="str">
        <f>Текущий!L321</f>
        <v>Уровень</v>
      </c>
      <c r="L322" s="29">
        <f>Текущий!AL321</f>
        <v>148</v>
      </c>
      <c r="M322" s="29">
        <f>Текущий!AM321</f>
        <v>1</v>
      </c>
      <c r="N322" s="29">
        <f>Текущий!AN321</f>
        <v>0</v>
      </c>
      <c r="O322" s="29">
        <f>Текущий!AP321</f>
        <v>0</v>
      </c>
      <c r="P322" s="29">
        <f>Предыд!AL321</f>
        <v>74</v>
      </c>
      <c r="Q322" s="29">
        <f>Предыд!AM321</f>
        <v>1</v>
      </c>
      <c r="R322" s="29">
        <f>Предыд!AN321</f>
        <v>0</v>
      </c>
      <c r="S322" s="29">
        <f>Предыд!AO321</f>
        <v>0</v>
      </c>
      <c r="T322" s="17" t="str">
        <f t="shared" si="4"/>
        <v>+</v>
      </c>
    </row>
    <row r="323" spans="1:20" x14ac:dyDescent="0.25">
      <c r="A323" s="29">
        <f>Текущий!A322</f>
        <v>19</v>
      </c>
      <c r="B323" s="29">
        <f>Текущий!B322</f>
        <v>24606</v>
      </c>
      <c r="C323" s="29">
        <f>Текущий!C322</f>
        <v>1</v>
      </c>
      <c r="D323" s="29" t="str">
        <f>Текущий!D322</f>
        <v>Тумнин - Дайчи</v>
      </c>
      <c r="E323" s="29">
        <f>ROUND(Текущий!J322,0)</f>
        <v>13</v>
      </c>
      <c r="F323" s="29">
        <f>Текущий!E322</f>
        <v>9</v>
      </c>
      <c r="G323" s="16">
        <f>IF(Текущий!K322="-",Текущий!K322,ROUND(Текущий!K322,0))</f>
        <v>67</v>
      </c>
      <c r="H323" s="29" t="str">
        <f>IF(ROUND(Текущий!I322,0)=0,"-",ROUND(Текущий!I322,0))</f>
        <v>-</v>
      </c>
      <c r="I323" s="16">
        <f>IF(Предыд!K322="-",Предыд!K322,ROUND(Предыд!K322,0))</f>
        <v>26</v>
      </c>
      <c r="J323" s="29" t="str">
        <f>IF(ROUND(Предыд!I322,0)=0,"-",ROUND(Предыд!I322,0))</f>
        <v>-</v>
      </c>
      <c r="K323" s="30" t="str">
        <f>Текущий!L322</f>
        <v>Уровень</v>
      </c>
      <c r="L323" s="29">
        <f>Текущий!AL322</f>
        <v>235</v>
      </c>
      <c r="M323" s="29">
        <f>Текущий!AM322</f>
        <v>2</v>
      </c>
      <c r="N323" s="29">
        <f>Текущий!AN322</f>
        <v>0</v>
      </c>
      <c r="O323" s="29">
        <f>Текущий!AP322</f>
        <v>0</v>
      </c>
      <c r="P323" s="29">
        <f>Предыд!AL322</f>
        <v>76</v>
      </c>
      <c r="Q323" s="29">
        <f>Предыд!AM322</f>
        <v>0</v>
      </c>
      <c r="R323" s="29">
        <f>Предыд!AN322</f>
        <v>0</v>
      </c>
      <c r="S323" s="29">
        <f>Предыд!AO322</f>
        <v>0</v>
      </c>
      <c r="T323" s="17" t="str">
        <f t="shared" si="4"/>
        <v>+</v>
      </c>
    </row>
    <row r="324" spans="1:20" x14ac:dyDescent="0.25">
      <c r="A324" s="29">
        <f>Текущий!A323</f>
        <v>19</v>
      </c>
      <c r="B324" s="29">
        <f>Текущий!B323</f>
        <v>24606</v>
      </c>
      <c r="C324" s="29">
        <f>Текущий!C323</f>
        <v>1</v>
      </c>
      <c r="D324" s="29" t="str">
        <f>Текущий!D323</f>
        <v>Дайчи - Хуту</v>
      </c>
      <c r="E324" s="29">
        <f>ROUND(Текущий!J323,0)</f>
        <v>12</v>
      </c>
      <c r="F324" s="29">
        <f>Текущий!E323</f>
        <v>9</v>
      </c>
      <c r="G324" s="16">
        <f>IF(Текущий!K323="-",Текущий!K323,ROUND(Текущий!K323,0))</f>
        <v>49</v>
      </c>
      <c r="H324" s="29" t="str">
        <f>IF(ROUND(Текущий!I323,0)=0,"-",ROUND(Текущий!I323,0))</f>
        <v>-</v>
      </c>
      <c r="I324" s="16">
        <f>IF(Предыд!K323="-",Предыд!K323,ROUND(Предыд!K323,0))</f>
        <v>72</v>
      </c>
      <c r="J324" s="29" t="str">
        <f>IF(ROUND(Предыд!I323,0)=0,"-",ROUND(Предыд!I323,0))</f>
        <v>-</v>
      </c>
      <c r="K324" s="30" t="str">
        <f>Текущий!L323</f>
        <v>Уровень</v>
      </c>
      <c r="L324" s="29">
        <f>Текущий!AL323</f>
        <v>203</v>
      </c>
      <c r="M324" s="29">
        <f>Текущий!AM323</f>
        <v>0</v>
      </c>
      <c r="N324" s="29">
        <f>Текущий!AN323</f>
        <v>0</v>
      </c>
      <c r="O324" s="29">
        <f>Текущий!AP323</f>
        <v>0</v>
      </c>
      <c r="P324" s="29">
        <f>Предыд!AL323</f>
        <v>137</v>
      </c>
      <c r="Q324" s="29">
        <f>Предыд!AM323</f>
        <v>3</v>
      </c>
      <c r="R324" s="29">
        <f>Предыд!AN323</f>
        <v>0</v>
      </c>
      <c r="S324" s="29">
        <f>Предыд!AO323</f>
        <v>0</v>
      </c>
      <c r="T324" s="17" t="str">
        <f t="shared" si="4"/>
        <v>-</v>
      </c>
    </row>
    <row r="325" spans="1:20" x14ac:dyDescent="0.25">
      <c r="A325" s="29">
        <f>Текущий!A324</f>
        <v>19</v>
      </c>
      <c r="B325" s="29">
        <f>Текущий!B324</f>
        <v>24606</v>
      </c>
      <c r="C325" s="29">
        <f>Текущий!C324</f>
        <v>1</v>
      </c>
      <c r="D325" s="29" t="str">
        <f>Текущий!D324</f>
        <v>Хуту - Имбо</v>
      </c>
      <c r="E325" s="29">
        <f>ROUND(Текущий!J324,0)</f>
        <v>10</v>
      </c>
      <c r="F325" s="29">
        <f>Текущий!E324</f>
        <v>9</v>
      </c>
      <c r="G325" s="16">
        <f>IF(Текущий!K324="-",Текущий!K324,ROUND(Текущий!K324,0))</f>
        <v>103</v>
      </c>
      <c r="H325" s="29" t="str">
        <f>IF(ROUND(Текущий!I324,0)=0,"-",ROUND(Текущий!I324,0))</f>
        <v>-</v>
      </c>
      <c r="I325" s="16">
        <f>IF(Предыд!K324="-",Предыд!K324,ROUND(Предыд!K324,0))</f>
        <v>56</v>
      </c>
      <c r="J325" s="29" t="str">
        <f>IF(ROUND(Предыд!I324,0)=0,"-",ROUND(Предыд!I324,0))</f>
        <v>-</v>
      </c>
      <c r="K325" s="30" t="str">
        <f>Текущий!L324</f>
        <v>Просадка</v>
      </c>
      <c r="L325" s="29">
        <f>Текущий!AL324</f>
        <v>246</v>
      </c>
      <c r="M325" s="29">
        <f>Текущий!AM324</f>
        <v>1</v>
      </c>
      <c r="N325" s="29">
        <f>Текущий!AN324</f>
        <v>0</v>
      </c>
      <c r="O325" s="29">
        <f>Текущий!AP324</f>
        <v>0</v>
      </c>
      <c r="P325" s="29">
        <f>Предыд!AL324</f>
        <v>106</v>
      </c>
      <c r="Q325" s="29">
        <f>Предыд!AM324</f>
        <v>2</v>
      </c>
      <c r="R325" s="29">
        <f>Предыд!AN324</f>
        <v>0</v>
      </c>
      <c r="S325" s="29">
        <f>Предыд!AO324</f>
        <v>0</v>
      </c>
      <c r="T325" s="17" t="str">
        <f t="shared" ref="T325:T388" si="5">IF(G325&gt;I325,"+","-")</f>
        <v>+</v>
      </c>
    </row>
    <row r="326" spans="1:20" x14ac:dyDescent="0.25">
      <c r="A326" s="29">
        <f>Текущий!A325</f>
        <v>19</v>
      </c>
      <c r="B326" s="29">
        <f>Текущий!B325</f>
        <v>24606</v>
      </c>
      <c r="C326" s="29">
        <f>Текущий!C325</f>
        <v>1</v>
      </c>
      <c r="D326" s="29" t="str">
        <f>Текущий!D325</f>
        <v>Имбо - Усть-Орочи</v>
      </c>
      <c r="E326" s="29">
        <f>ROUND(Текущий!J325,0)</f>
        <v>1</v>
      </c>
      <c r="F326" s="29">
        <f>Текущий!E325</f>
        <v>9</v>
      </c>
      <c r="G326" s="16">
        <f>IF(Текущий!K325="-",Текущий!K325,ROUND(Текущий!K325,0))</f>
        <v>126</v>
      </c>
      <c r="H326" s="29" t="str">
        <f>IF(ROUND(Текущий!I325,0)=0,"-",ROUND(Текущий!I325,0))</f>
        <v>-</v>
      </c>
      <c r="I326" s="16">
        <f>IF(Предыд!K325="-",Предыд!K325,ROUND(Предыд!K325,0))</f>
        <v>28</v>
      </c>
      <c r="J326" s="29" t="str">
        <f>IF(ROUND(Предыд!I325,0)=0,"-",ROUND(Предыд!I325,0))</f>
        <v>-</v>
      </c>
      <c r="K326" s="30" t="str">
        <f>Текущий!L325</f>
        <v>Перекос</v>
      </c>
      <c r="L326" s="29">
        <f>Текущий!AL325</f>
        <v>18</v>
      </c>
      <c r="M326" s="29">
        <f>Текущий!AM325</f>
        <v>0</v>
      </c>
      <c r="N326" s="29">
        <f>Текущий!AN325</f>
        <v>0</v>
      </c>
      <c r="O326" s="29">
        <f>Текущий!AP325</f>
        <v>0</v>
      </c>
      <c r="P326" s="29">
        <f>Предыд!AL325</f>
        <v>25</v>
      </c>
      <c r="Q326" s="29">
        <f>Предыд!AM325</f>
        <v>0</v>
      </c>
      <c r="R326" s="29">
        <f>Предыд!AN325</f>
        <v>0</v>
      </c>
      <c r="S326" s="29">
        <f>Предыд!AO325</f>
        <v>0</v>
      </c>
      <c r="T326" s="17" t="str">
        <f t="shared" si="5"/>
        <v>+</v>
      </c>
    </row>
    <row r="327" spans="1:20" x14ac:dyDescent="0.25">
      <c r="A327" s="29">
        <f>Текущий!A326</f>
        <v>19</v>
      </c>
      <c r="B327" s="29">
        <f>Текущий!B326</f>
        <v>24606</v>
      </c>
      <c r="C327" s="29">
        <f>Текущий!C326</f>
        <v>1</v>
      </c>
      <c r="D327" s="29" t="str">
        <f>Текущий!D326</f>
        <v>Усть-Орочи - Чепсары</v>
      </c>
      <c r="E327" s="29">
        <f>ROUND(Текущий!J326,0)</f>
        <v>10</v>
      </c>
      <c r="F327" s="29">
        <f>Текущий!E326</f>
        <v>9</v>
      </c>
      <c r="G327" s="16">
        <f>IF(Текущий!K326="-",Текущий!K326,ROUND(Текущий!K326,0))</f>
        <v>62</v>
      </c>
      <c r="H327" s="29" t="str">
        <f>IF(ROUND(Текущий!I326,0)=0,"-",ROUND(Текущий!I326,0))</f>
        <v>-</v>
      </c>
      <c r="I327" s="16">
        <f>IF(Предыд!K326="-",Предыд!K326,ROUND(Предыд!K326,0))</f>
        <v>45</v>
      </c>
      <c r="J327" s="29" t="str">
        <f>IF(ROUND(Предыд!I326,0)=0,"-",ROUND(Предыд!I326,0))</f>
        <v>-</v>
      </c>
      <c r="K327" s="30" t="str">
        <f>Текущий!L326</f>
        <v>Перекос</v>
      </c>
      <c r="L327" s="29">
        <f>Текущий!AL326</f>
        <v>112</v>
      </c>
      <c r="M327" s="29">
        <f>Текущий!AM326</f>
        <v>0</v>
      </c>
      <c r="N327" s="29">
        <f>Текущий!AN326</f>
        <v>0</v>
      </c>
      <c r="O327" s="29">
        <f>Текущий!AP326</f>
        <v>0</v>
      </c>
      <c r="P327" s="29">
        <f>Предыд!AL326</f>
        <v>51</v>
      </c>
      <c r="Q327" s="29">
        <f>Предыд!AM326</f>
        <v>0</v>
      </c>
      <c r="R327" s="29">
        <f>Предыд!AN326</f>
        <v>0</v>
      </c>
      <c r="S327" s="29">
        <f>Предыд!AO326</f>
        <v>0</v>
      </c>
      <c r="T327" s="17" t="str">
        <f t="shared" si="5"/>
        <v>+</v>
      </c>
    </row>
    <row r="328" spans="1:20" x14ac:dyDescent="0.25">
      <c r="A328" s="29">
        <f>Текущий!A327</f>
        <v>19</v>
      </c>
      <c r="B328" s="29">
        <f>Текущий!B327</f>
        <v>24606</v>
      </c>
      <c r="C328" s="29">
        <f>Текущий!C327</f>
        <v>1</v>
      </c>
      <c r="D328" s="29" t="str">
        <f>Текущий!D327</f>
        <v>Чепсары - Монгохто</v>
      </c>
      <c r="E328" s="29">
        <f>ROUND(Текущий!J327,0)</f>
        <v>7</v>
      </c>
      <c r="F328" s="29">
        <f>Текущий!E327</f>
        <v>9</v>
      </c>
      <c r="G328" s="16">
        <f>IF(Текущий!K327="-",Текущий!K327,ROUND(Текущий!K327,0))</f>
        <v>87</v>
      </c>
      <c r="H328" s="29" t="str">
        <f>IF(ROUND(Текущий!I327,0)=0,"-",ROUND(Текущий!I327,0))</f>
        <v>-</v>
      </c>
      <c r="I328" s="16">
        <f>IF(Предыд!K327="-",Предыд!K327,ROUND(Предыд!K327,0))</f>
        <v>36</v>
      </c>
      <c r="J328" s="29" t="str">
        <f>IF(ROUND(Предыд!I327,0)=0,"-",ROUND(Предыд!I327,0))</f>
        <v>-</v>
      </c>
      <c r="K328" s="30" t="str">
        <f>Текущий!L327</f>
        <v>Уровень</v>
      </c>
      <c r="L328" s="29">
        <f>Текущий!AL327</f>
        <v>91</v>
      </c>
      <c r="M328" s="29">
        <f>Текущий!AM327</f>
        <v>1</v>
      </c>
      <c r="N328" s="29">
        <f>Текущий!AN327</f>
        <v>0</v>
      </c>
      <c r="O328" s="29">
        <f>Текущий!AP327</f>
        <v>0</v>
      </c>
      <c r="P328" s="29">
        <f>Предыд!AL327</f>
        <v>54</v>
      </c>
      <c r="Q328" s="29">
        <f>Предыд!AM327</f>
        <v>0</v>
      </c>
      <c r="R328" s="29">
        <f>Предыд!AN327</f>
        <v>0</v>
      </c>
      <c r="S328" s="29">
        <f>Предыд!AO327</f>
        <v>0</v>
      </c>
      <c r="T328" s="17" t="str">
        <f t="shared" si="5"/>
        <v>+</v>
      </c>
    </row>
    <row r="329" spans="1:20" x14ac:dyDescent="0.25">
      <c r="A329" s="29">
        <f>Текущий!A328</f>
        <v>19</v>
      </c>
      <c r="B329" s="29">
        <f>Текущий!B328</f>
        <v>24606</v>
      </c>
      <c r="C329" s="29">
        <f>Текущий!C328</f>
        <v>1</v>
      </c>
      <c r="D329" s="29" t="str">
        <f>Текущий!D328</f>
        <v>Монгохто - Ландыши</v>
      </c>
      <c r="E329" s="29">
        <f>ROUND(Текущий!J328,0)</f>
        <v>0</v>
      </c>
      <c r="F329" s="29">
        <f>Текущий!E328</f>
        <v>0</v>
      </c>
      <c r="G329" s="16" t="str">
        <f>IF(Текущий!K328="-",Текущий!K328,ROUND(Текущий!K328,0))</f>
        <v>-</v>
      </c>
      <c r="H329" s="29" t="str">
        <f>IF(ROUND(Текущий!I328,0)=0,"-",ROUND(Текущий!I328,0))</f>
        <v>-</v>
      </c>
      <c r="I329" s="16">
        <f>IF(Предыд!K328="-",Предыд!K328,ROUND(Предыд!K328,0))</f>
        <v>34</v>
      </c>
      <c r="J329" s="29" t="str">
        <f>IF(ROUND(Предыд!I328,0)=0,"-",ROUND(Предыд!I328,0))</f>
        <v>-</v>
      </c>
      <c r="K329" s="30" t="str">
        <f>Текущий!L328</f>
        <v>Рихтовка</v>
      </c>
      <c r="L329" s="29">
        <f>Текущий!AL328</f>
        <v>0</v>
      </c>
      <c r="M329" s="29">
        <f>Текущий!AM328</f>
        <v>0</v>
      </c>
      <c r="N329" s="29">
        <f>Текущий!AN328</f>
        <v>0</v>
      </c>
      <c r="O329" s="29">
        <f>Текущий!AP328</f>
        <v>0</v>
      </c>
      <c r="P329" s="29">
        <f>Предыд!AL328</f>
        <v>23</v>
      </c>
      <c r="Q329" s="29">
        <f>Предыд!AM328</f>
        <v>0</v>
      </c>
      <c r="R329" s="29">
        <f>Предыд!AN328</f>
        <v>0</v>
      </c>
      <c r="S329" s="29">
        <f>Предыд!AO328</f>
        <v>0</v>
      </c>
      <c r="T329" s="17" t="str">
        <f t="shared" si="5"/>
        <v>+</v>
      </c>
    </row>
    <row r="330" spans="1:20" x14ac:dyDescent="0.25">
      <c r="A330" s="29">
        <f>Текущий!A329</f>
        <v>19</v>
      </c>
      <c r="B330" s="29">
        <f>Текущий!B329</f>
        <v>24606</v>
      </c>
      <c r="C330" s="29">
        <f>Текущий!C329</f>
        <v>2</v>
      </c>
      <c r="D330" s="29" t="str">
        <f>Текущий!D329</f>
        <v>Монгохто - Ландыши</v>
      </c>
      <c r="E330" s="29">
        <f>ROUND(Текущий!J329,0)</f>
        <v>6</v>
      </c>
      <c r="F330" s="29">
        <f>Текущий!E329</f>
        <v>9</v>
      </c>
      <c r="G330" s="16">
        <f>IF(Текущий!K329="-",Текущий!K329,ROUND(Текущий!K329,0))</f>
        <v>20</v>
      </c>
      <c r="H330" s="29" t="str">
        <f>IF(ROUND(Текущий!I329,0)=0,"-",ROUND(Текущий!I329,0))</f>
        <v>-</v>
      </c>
      <c r="I330" s="16">
        <f>IF(Предыд!K329="-",Предыд!K329,ROUND(Предыд!K329,0))</f>
        <v>10</v>
      </c>
      <c r="J330" s="29" t="str">
        <f>IF(ROUND(Предыд!I329,0)=0,"-",ROUND(Предыд!I329,0))</f>
        <v>-</v>
      </c>
      <c r="K330" s="30" t="str">
        <f>Текущий!L329</f>
        <v>Уровень</v>
      </c>
      <c r="L330" s="29">
        <f>Текущий!AL329</f>
        <v>14</v>
      </c>
      <c r="M330" s="29">
        <f>Текущий!AM329</f>
        <v>0</v>
      </c>
      <c r="N330" s="29">
        <f>Текущий!AN329</f>
        <v>0</v>
      </c>
      <c r="O330" s="29">
        <f>Текущий!AP329</f>
        <v>0</v>
      </c>
      <c r="P330" s="29">
        <f>Предыд!AL329</f>
        <v>6</v>
      </c>
      <c r="Q330" s="29">
        <f>Предыд!AM329</f>
        <v>0</v>
      </c>
      <c r="R330" s="29">
        <f>Предыд!AN329</f>
        <v>0</v>
      </c>
      <c r="S330" s="29">
        <f>Предыд!AO329</f>
        <v>0</v>
      </c>
      <c r="T330" s="17" t="str">
        <f t="shared" si="5"/>
        <v>+</v>
      </c>
    </row>
    <row r="331" spans="1:20" x14ac:dyDescent="0.25">
      <c r="A331" s="29">
        <f>Текущий!A330</f>
        <v>19</v>
      </c>
      <c r="B331" s="29">
        <f>Текущий!B330</f>
        <v>77777</v>
      </c>
      <c r="C331" s="29">
        <f>Текущий!C330</f>
        <v>1</v>
      </c>
      <c r="D331" s="29" t="str">
        <f>Текущий!D330</f>
        <v>Ландыши - Брусничный</v>
      </c>
      <c r="E331" s="29">
        <f>ROUND(Текущий!J330,0)</f>
        <v>0</v>
      </c>
      <c r="F331" s="29">
        <f>Текущий!E330</f>
        <v>0</v>
      </c>
      <c r="G331" s="16" t="str">
        <f>IF(Текущий!K330="-",Текущий!K330,ROUND(Текущий!K330,0))</f>
        <v>-</v>
      </c>
      <c r="H331" s="29" t="str">
        <f>IF(ROUND(Текущий!I330,0)=0,"-",ROUND(Текущий!I330,0))</f>
        <v>-</v>
      </c>
      <c r="I331" s="16" t="str">
        <f>IF(Предыд!K330="-",Предыд!K330,ROUND(Предыд!K330,0))</f>
        <v>-</v>
      </c>
      <c r="J331" s="29" t="str">
        <f>IF(ROUND(Предыд!I330,0)=0,"-",ROUND(Предыд!I330,0))</f>
        <v>-</v>
      </c>
      <c r="K331" s="30" t="str">
        <f>Текущий!L330</f>
        <v>Рихтовка</v>
      </c>
      <c r="L331" s="29">
        <f>Текущий!AL330</f>
        <v>0</v>
      </c>
      <c r="M331" s="29">
        <f>Текущий!AM330</f>
        <v>0</v>
      </c>
      <c r="N331" s="29">
        <f>Текущий!AN330</f>
        <v>0</v>
      </c>
      <c r="O331" s="29">
        <f>Текущий!AP330</f>
        <v>0</v>
      </c>
      <c r="P331" s="29">
        <f>Предыд!AL330</f>
        <v>0</v>
      </c>
      <c r="Q331" s="29">
        <f>Предыд!AM330</f>
        <v>0</v>
      </c>
      <c r="R331" s="29">
        <f>Предыд!AN330</f>
        <v>0</v>
      </c>
      <c r="S331" s="29">
        <f>Предыд!AO330</f>
        <v>0</v>
      </c>
      <c r="T331" s="17" t="str">
        <f t="shared" si="5"/>
        <v>-</v>
      </c>
    </row>
    <row r="332" spans="1:20" x14ac:dyDescent="0.25">
      <c r="A332" s="29">
        <f>Текущий!A331</f>
        <v>19</v>
      </c>
      <c r="B332" s="29">
        <f>Текущий!B331</f>
        <v>24606</v>
      </c>
      <c r="C332" s="29">
        <f>Текущий!C331</f>
        <v>1</v>
      </c>
      <c r="D332" s="29" t="str">
        <f>Текущий!D331</f>
        <v>Ландыши - Дюанка</v>
      </c>
      <c r="E332" s="29">
        <f>ROUND(Текущий!J331,0)</f>
        <v>8</v>
      </c>
      <c r="F332" s="29">
        <f>Текущий!E331</f>
        <v>9</v>
      </c>
      <c r="G332" s="16">
        <f>IF(Текущий!K331="-",Текущий!K331,ROUND(Текущий!K331,0))</f>
        <v>225</v>
      </c>
      <c r="H332" s="29">
        <f>IF(ROUND(Текущий!I331,0)=0,"-",ROUND(Текущий!I331,0))</f>
        <v>2</v>
      </c>
      <c r="I332" s="16">
        <f>IF(Предыд!K331="-",Предыд!K331,ROUND(Предыд!K331,0))</f>
        <v>122</v>
      </c>
      <c r="J332" s="29" t="str">
        <f>IF(ROUND(Предыд!I331,0)=0,"-",ROUND(Предыд!I331,0))</f>
        <v>-</v>
      </c>
      <c r="K332" s="30" t="str">
        <f>Текущий!L331</f>
        <v>Перекос</v>
      </c>
      <c r="L332" s="29">
        <f>Текущий!AL331</f>
        <v>228</v>
      </c>
      <c r="M332" s="29">
        <f>Текущий!AM331</f>
        <v>9</v>
      </c>
      <c r="N332" s="29">
        <f>Текущий!AN331</f>
        <v>5</v>
      </c>
      <c r="O332" s="29">
        <f>Текущий!AP331</f>
        <v>0</v>
      </c>
      <c r="P332" s="29">
        <f>Предыд!AL331</f>
        <v>380</v>
      </c>
      <c r="Q332" s="29">
        <f>Предыд!AM331</f>
        <v>3</v>
      </c>
      <c r="R332" s="29">
        <f>Предыд!AN331</f>
        <v>0</v>
      </c>
      <c r="S332" s="29">
        <f>Предыд!AO331</f>
        <v>0</v>
      </c>
      <c r="T332" s="17" t="str">
        <f t="shared" si="5"/>
        <v>+</v>
      </c>
    </row>
    <row r="333" spans="1:20" x14ac:dyDescent="0.25">
      <c r="A333" s="29">
        <f>Текущий!A332</f>
        <v>19</v>
      </c>
      <c r="B333" s="29">
        <f>Текущий!B332</f>
        <v>24606</v>
      </c>
      <c r="C333" s="29">
        <f>Текущий!C332</f>
        <v>1</v>
      </c>
      <c r="D333" s="29" t="str">
        <f>Текущий!D332</f>
        <v>Дюанка - Токи</v>
      </c>
      <c r="E333" s="29">
        <f>ROUND(Текущий!J332,0)</f>
        <v>11</v>
      </c>
      <c r="F333" s="29">
        <f>Текущий!E332</f>
        <v>9</v>
      </c>
      <c r="G333" s="16">
        <f>IF(Текущий!K332="-",Текущий!K332,ROUND(Текущий!K332,0))</f>
        <v>78</v>
      </c>
      <c r="H333" s="29">
        <f>IF(ROUND(Текущий!I332,0)=0,"-",ROUND(Текущий!I332,0))</f>
        <v>1</v>
      </c>
      <c r="I333" s="16">
        <f>IF(Предыд!K332="-",Предыд!K332,ROUND(Предыд!K332,0))</f>
        <v>41</v>
      </c>
      <c r="J333" s="29" t="str">
        <f>IF(ROUND(Предыд!I332,0)=0,"-",ROUND(Предыд!I332,0))</f>
        <v>-</v>
      </c>
      <c r="K333" s="30" t="str">
        <f>Текущий!L332</f>
        <v>Уширение</v>
      </c>
      <c r="L333" s="29">
        <f>Текущий!AL332</f>
        <v>77</v>
      </c>
      <c r="M333" s="29">
        <f>Текущий!AM332</f>
        <v>1</v>
      </c>
      <c r="N333" s="29">
        <f>Текущий!AN332</f>
        <v>0</v>
      </c>
      <c r="O333" s="29">
        <f>Текущий!AP332</f>
        <v>0</v>
      </c>
      <c r="P333" s="29">
        <f>Предыд!AL332</f>
        <v>63</v>
      </c>
      <c r="Q333" s="29">
        <f>Предыд!AM332</f>
        <v>1</v>
      </c>
      <c r="R333" s="29">
        <f>Предыд!AN332</f>
        <v>0</v>
      </c>
      <c r="S333" s="29">
        <f>Предыд!AO332</f>
        <v>0</v>
      </c>
      <c r="T333" s="17" t="str">
        <f t="shared" si="5"/>
        <v>+</v>
      </c>
    </row>
    <row r="334" spans="1:20" x14ac:dyDescent="0.25">
      <c r="A334" s="29">
        <f>Текущий!A333</f>
        <v>19</v>
      </c>
      <c r="B334" s="29">
        <f>Текущий!B333</f>
        <v>24606</v>
      </c>
      <c r="C334" s="29">
        <f>Текущий!C333</f>
        <v>1</v>
      </c>
      <c r="D334" s="29" t="str">
        <f>Текущий!D333</f>
        <v>Токи - Ванино-Порт</v>
      </c>
      <c r="E334" s="29">
        <f>ROUND(Текущий!J333,0)</f>
        <v>6</v>
      </c>
      <c r="F334" s="29">
        <f>Текущий!E333</f>
        <v>9</v>
      </c>
      <c r="G334" s="16">
        <f>IF(Текущий!K333="-",Текущий!K333,ROUND(Текущий!K333,0))</f>
        <v>25</v>
      </c>
      <c r="H334" s="29" t="str">
        <f>IF(ROUND(Текущий!I333,0)=0,"-",ROUND(Текущий!I333,0))</f>
        <v>-</v>
      </c>
      <c r="I334" s="16">
        <f>IF(Предыд!K333="-",Предыд!K333,ROUND(Предыд!K333,0))</f>
        <v>20</v>
      </c>
      <c r="J334" s="29" t="str">
        <f>IF(ROUND(Предыд!I333,0)=0,"-",ROUND(Предыд!I333,0))</f>
        <v>-</v>
      </c>
      <c r="K334" s="30" t="str">
        <f>Текущий!L333</f>
        <v>Рихтовка</v>
      </c>
      <c r="L334" s="29">
        <f>Текущий!AL333</f>
        <v>23</v>
      </c>
      <c r="M334" s="29">
        <f>Текущий!AM333</f>
        <v>0</v>
      </c>
      <c r="N334" s="29">
        <f>Текущий!AN333</f>
        <v>0</v>
      </c>
      <c r="O334" s="29">
        <f>Текущий!AP333</f>
        <v>0</v>
      </c>
      <c r="P334" s="29">
        <f>Предыд!AL333</f>
        <v>17</v>
      </c>
      <c r="Q334" s="29">
        <f>Предыд!AM333</f>
        <v>0</v>
      </c>
      <c r="R334" s="29">
        <f>Предыд!AN333</f>
        <v>0</v>
      </c>
      <c r="S334" s="29">
        <f>Предыд!AO333</f>
        <v>0</v>
      </c>
      <c r="T334" s="17" t="str">
        <f t="shared" si="5"/>
        <v>+</v>
      </c>
    </row>
    <row r="335" spans="1:20" x14ac:dyDescent="0.25">
      <c r="A335" s="29">
        <f>Текущий!A334</f>
        <v>19</v>
      </c>
      <c r="B335" s="29">
        <f>Текущий!B334</f>
        <v>24606</v>
      </c>
      <c r="C335" s="29">
        <f>Текущий!C334</f>
        <v>1</v>
      </c>
      <c r="D335" s="29" t="str">
        <f>Текущий!D334</f>
        <v>Ванино-Порт - Ванино-Грузовой</v>
      </c>
      <c r="E335" s="29">
        <f>ROUND(Текущий!J334,0)</f>
        <v>4</v>
      </c>
      <c r="F335" s="29">
        <f>Текущий!E334</f>
        <v>9</v>
      </c>
      <c r="G335" s="16">
        <f>IF(Текущий!K334="-",Текущий!K334,ROUND(Текущий!K334,0))</f>
        <v>33</v>
      </c>
      <c r="H335" s="29" t="str">
        <f>IF(ROUND(Текущий!I334,0)=0,"-",ROUND(Текущий!I334,0))</f>
        <v>-</v>
      </c>
      <c r="I335" s="16">
        <f>IF(Предыд!K334="-",Предыд!K334,ROUND(Предыд!K334,0))</f>
        <v>10</v>
      </c>
      <c r="J335" s="29" t="str">
        <f>IF(ROUND(Предыд!I334,0)=0,"-",ROUND(Предыд!I334,0))</f>
        <v>-</v>
      </c>
      <c r="K335" s="30" t="str">
        <f>Текущий!L334</f>
        <v>Уровень</v>
      </c>
      <c r="L335" s="29">
        <f>Текущий!AL334</f>
        <v>20</v>
      </c>
      <c r="M335" s="29">
        <f>Текущий!AM334</f>
        <v>0</v>
      </c>
      <c r="N335" s="29">
        <f>Текущий!AN334</f>
        <v>0</v>
      </c>
      <c r="O335" s="29">
        <f>Текущий!AP334</f>
        <v>0</v>
      </c>
      <c r="P335" s="29">
        <f>Предыд!AL334</f>
        <v>9</v>
      </c>
      <c r="Q335" s="29">
        <f>Предыд!AM334</f>
        <v>0</v>
      </c>
      <c r="R335" s="29">
        <f>Предыд!AN334</f>
        <v>0</v>
      </c>
      <c r="S335" s="29">
        <f>Предыд!AO334</f>
        <v>0</v>
      </c>
      <c r="T335" s="17" t="str">
        <f t="shared" si="5"/>
        <v>+</v>
      </c>
    </row>
    <row r="336" spans="1:20" x14ac:dyDescent="0.25">
      <c r="A336" s="29">
        <f>Текущий!A335</f>
        <v>19</v>
      </c>
      <c r="B336" s="29">
        <f>Текущий!B335</f>
        <v>24606</v>
      </c>
      <c r="C336" s="29">
        <f>Текущий!C335</f>
        <v>1</v>
      </c>
      <c r="D336" s="29" t="str">
        <f>Текущий!D335</f>
        <v>Ванино-Грузовой - Советская гавань-Сорт.</v>
      </c>
      <c r="E336" s="29">
        <f>ROUND(Текущий!J335,0)</f>
        <v>8</v>
      </c>
      <c r="F336" s="29">
        <f>Текущий!E335</f>
        <v>9</v>
      </c>
      <c r="G336" s="16">
        <f>IF(Текущий!K335="-",Текущий!K335,ROUND(Текущий!K335,0))</f>
        <v>20</v>
      </c>
      <c r="H336" s="29" t="str">
        <f>IF(ROUND(Текущий!I335,0)=0,"-",ROUND(Текущий!I335,0))</f>
        <v>-</v>
      </c>
      <c r="I336" s="16">
        <f>IF(Предыд!K335="-",Предыд!K335,ROUND(Предыд!K335,0))</f>
        <v>39</v>
      </c>
      <c r="J336" s="29" t="str">
        <f>IF(ROUND(Предыд!I335,0)=0,"-",ROUND(Предыд!I335,0))</f>
        <v>-</v>
      </c>
      <c r="K336" s="30" t="str">
        <f>Текущий!L335</f>
        <v>Перекос</v>
      </c>
      <c r="L336" s="29">
        <f>Текущий!AL335</f>
        <v>30</v>
      </c>
      <c r="M336" s="29">
        <f>Текущий!AM335</f>
        <v>0</v>
      </c>
      <c r="N336" s="29">
        <f>Текущий!AN335</f>
        <v>0</v>
      </c>
      <c r="O336" s="29">
        <f>Текущий!AP335</f>
        <v>0</v>
      </c>
      <c r="P336" s="29">
        <f>Предыд!AL335</f>
        <v>46</v>
      </c>
      <c r="Q336" s="29">
        <f>Предыд!AM335</f>
        <v>0</v>
      </c>
      <c r="R336" s="29">
        <f>Предыд!AN335</f>
        <v>0</v>
      </c>
      <c r="S336" s="29">
        <f>Предыд!AO335</f>
        <v>0</v>
      </c>
      <c r="T336" s="17" t="str">
        <f t="shared" si="5"/>
        <v>-</v>
      </c>
    </row>
    <row r="337" spans="1:20" x14ac:dyDescent="0.25">
      <c r="A337" s="29">
        <f>Текущий!A336</f>
        <v>19</v>
      </c>
      <c r="B337" s="29">
        <f>Текущий!B336</f>
        <v>24606</v>
      </c>
      <c r="C337" s="29">
        <f>Текущий!C336</f>
        <v>1</v>
      </c>
      <c r="D337" s="29" t="str">
        <f>Текущий!D336</f>
        <v>Советская гавань-Сорт. - Десна</v>
      </c>
      <c r="E337" s="29">
        <f>ROUND(Текущий!J336,0)</f>
        <v>0</v>
      </c>
      <c r="F337" s="29">
        <f>Текущий!E336</f>
        <v>0</v>
      </c>
      <c r="G337" s="16" t="str">
        <f>IF(Текущий!K336="-",Текущий!K336,ROUND(Текущий!K336,0))</f>
        <v>-</v>
      </c>
      <c r="H337" s="29" t="str">
        <f>IF(ROUND(Текущий!I336,0)=0,"-",ROUND(Текущий!I336,0))</f>
        <v>-</v>
      </c>
      <c r="I337" s="16">
        <f>IF(Предыд!K336="-",Предыд!K336,ROUND(Предыд!K336,0))</f>
        <v>33</v>
      </c>
      <c r="J337" s="29" t="str">
        <f>IF(ROUND(Предыд!I336,0)=0,"-",ROUND(Предыд!I336,0))</f>
        <v>-</v>
      </c>
      <c r="K337" s="30" t="str">
        <f>Текущий!L336</f>
        <v>Рихтовка</v>
      </c>
      <c r="L337" s="29">
        <f>Текущий!AL336</f>
        <v>0</v>
      </c>
      <c r="M337" s="29">
        <f>Текущий!AM336</f>
        <v>0</v>
      </c>
      <c r="N337" s="29">
        <f>Текущий!AN336</f>
        <v>0</v>
      </c>
      <c r="O337" s="29">
        <f>Текущий!AP336</f>
        <v>0</v>
      </c>
      <c r="P337" s="29">
        <f>Предыд!AL336</f>
        <v>62</v>
      </c>
      <c r="Q337" s="29">
        <f>Предыд!AM336</f>
        <v>0</v>
      </c>
      <c r="R337" s="29">
        <f>Предыд!AN336</f>
        <v>0</v>
      </c>
      <c r="S337" s="29">
        <f>Предыд!AO336</f>
        <v>0</v>
      </c>
      <c r="T337" s="17" t="str">
        <f t="shared" si="5"/>
        <v>+</v>
      </c>
    </row>
    <row r="338" spans="1:20" x14ac:dyDescent="0.25">
      <c r="A338" s="29">
        <f>Текущий!A337</f>
        <v>19</v>
      </c>
      <c r="B338" s="29">
        <f>Текущий!B337</f>
        <v>24606</v>
      </c>
      <c r="C338" s="29">
        <f>Текущий!C337</f>
        <v>1</v>
      </c>
      <c r="D338" s="29" t="str">
        <f>Текущий!D337</f>
        <v>Десна - Мыс Мария</v>
      </c>
      <c r="E338" s="29">
        <f>ROUND(Текущий!J337,0)</f>
        <v>0</v>
      </c>
      <c r="F338" s="29">
        <f>Текущий!E337</f>
        <v>0</v>
      </c>
      <c r="G338" s="16" t="str">
        <f>IF(Текущий!K337="-",Текущий!K337,ROUND(Текущий!K337,0))</f>
        <v>-</v>
      </c>
      <c r="H338" s="29" t="str">
        <f>IF(ROUND(Текущий!I337,0)=0,"-",ROUND(Текущий!I337,0))</f>
        <v>-</v>
      </c>
      <c r="I338" s="16">
        <f>IF(Предыд!K337="-",Предыд!K337,ROUND(Предыд!K337,0))</f>
        <v>29</v>
      </c>
      <c r="J338" s="29" t="str">
        <f>IF(ROUND(Предыд!I337,0)=0,"-",ROUND(Предыд!I337,0))</f>
        <v>-</v>
      </c>
      <c r="K338" s="30" t="str">
        <f>Текущий!L337</f>
        <v>Рихтовка</v>
      </c>
      <c r="L338" s="29">
        <f>Текущий!AL337</f>
        <v>0</v>
      </c>
      <c r="M338" s="29">
        <f>Текущий!AM337</f>
        <v>0</v>
      </c>
      <c r="N338" s="29">
        <f>Текущий!AN337</f>
        <v>0</v>
      </c>
      <c r="O338" s="29">
        <f>Текущий!AP337</f>
        <v>0</v>
      </c>
      <c r="P338" s="29">
        <f>Предыд!AL337</f>
        <v>38</v>
      </c>
      <c r="Q338" s="29">
        <f>Предыд!AM337</f>
        <v>0</v>
      </c>
      <c r="R338" s="29">
        <f>Предыд!AN337</f>
        <v>0</v>
      </c>
      <c r="S338" s="29">
        <f>Предыд!AO337</f>
        <v>0</v>
      </c>
      <c r="T338" s="17" t="str">
        <f t="shared" si="5"/>
        <v>+</v>
      </c>
    </row>
    <row r="339" spans="1:20" x14ac:dyDescent="0.25">
      <c r="A339" s="29">
        <f>Текущий!A338</f>
        <v>19</v>
      </c>
      <c r="B339" s="29">
        <f>Текущий!B338</f>
        <v>24606</v>
      </c>
      <c r="C339" s="29">
        <f>Текущий!C338</f>
        <v>1</v>
      </c>
      <c r="D339" s="29" t="str">
        <f>Текущий!D338</f>
        <v>Мыс Мария - Советская гавань-город</v>
      </c>
      <c r="E339" s="29">
        <f>ROUND(Текущий!J338,0)</f>
        <v>0</v>
      </c>
      <c r="F339" s="29">
        <f>Текущий!E338</f>
        <v>0</v>
      </c>
      <c r="G339" s="16" t="str">
        <f>IF(Текущий!K338="-",Текущий!K338,ROUND(Текущий!K338,0))</f>
        <v>-</v>
      </c>
      <c r="H339" s="29" t="str">
        <f>IF(ROUND(Текущий!I338,0)=0,"-",ROUND(Текущий!I338,0))</f>
        <v>-</v>
      </c>
      <c r="I339" s="16">
        <f>IF(Предыд!K338="-",Предыд!K338,ROUND(Предыд!K338,0))</f>
        <v>30</v>
      </c>
      <c r="J339" s="29" t="str">
        <f>IF(ROUND(Предыд!I338,0)=0,"-",ROUND(Предыд!I338,0))</f>
        <v>-</v>
      </c>
      <c r="K339" s="30" t="str">
        <f>Текущий!L338</f>
        <v>Рихтовка</v>
      </c>
      <c r="L339" s="29">
        <f>Текущий!AL338</f>
        <v>0</v>
      </c>
      <c r="M339" s="29">
        <f>Текущий!AM338</f>
        <v>0</v>
      </c>
      <c r="N339" s="29">
        <f>Текущий!AN338</f>
        <v>0</v>
      </c>
      <c r="O339" s="29">
        <f>Текущий!AP338</f>
        <v>0</v>
      </c>
      <c r="P339" s="29">
        <f>Предыд!AL338</f>
        <v>12</v>
      </c>
      <c r="Q339" s="29">
        <f>Предыд!AM338</f>
        <v>0</v>
      </c>
      <c r="R339" s="29">
        <f>Предыд!AN338</f>
        <v>0</v>
      </c>
      <c r="S339" s="29">
        <f>Предыд!AO338</f>
        <v>0</v>
      </c>
      <c r="T339" s="17" t="str">
        <f t="shared" si="5"/>
        <v>+</v>
      </c>
    </row>
    <row r="340" spans="1:20" x14ac:dyDescent="0.25">
      <c r="A340" s="29">
        <f>Текущий!A339</f>
        <v>19</v>
      </c>
      <c r="B340" s="29">
        <f>Текущий!B339</f>
        <v>24606</v>
      </c>
      <c r="C340" s="29">
        <f>Текущий!C339</f>
        <v>1</v>
      </c>
      <c r="D340" s="29" t="str">
        <f>Текущий!D339</f>
        <v>Советская гавань-город - Граница напр.</v>
      </c>
      <c r="E340" s="29">
        <f>ROUND(Текущий!J339,0)</f>
        <v>0</v>
      </c>
      <c r="F340" s="29">
        <f>Текущий!E339</f>
        <v>0</v>
      </c>
      <c r="G340" s="16" t="str">
        <f>IF(Текущий!K339="-",Текущий!K339,ROUND(Текущий!K339,0))</f>
        <v>-</v>
      </c>
      <c r="H340" s="29" t="str">
        <f>IF(ROUND(Текущий!I339,0)=0,"-",ROUND(Текущий!I339,0))</f>
        <v>-</v>
      </c>
      <c r="I340" s="16">
        <f>IF(Предыд!K339="-",Предыд!K339,ROUND(Предыд!K339,0))</f>
        <v>10</v>
      </c>
      <c r="J340" s="29" t="str">
        <f>IF(ROUND(Предыд!I339,0)=0,"-",ROUND(Предыд!I339,0))</f>
        <v>-</v>
      </c>
      <c r="K340" s="30" t="str">
        <f>Текущий!L339</f>
        <v>Рихтовка</v>
      </c>
      <c r="L340" s="29">
        <f>Текущий!AL339</f>
        <v>0</v>
      </c>
      <c r="M340" s="29">
        <f>Текущий!AM339</f>
        <v>0</v>
      </c>
      <c r="N340" s="29">
        <f>Текущий!AN339</f>
        <v>0</v>
      </c>
      <c r="O340" s="29">
        <f>Текущий!AP339</f>
        <v>0</v>
      </c>
      <c r="P340" s="29">
        <f>Предыд!AL339</f>
        <v>2</v>
      </c>
      <c r="Q340" s="29">
        <f>Предыд!AM339</f>
        <v>0</v>
      </c>
      <c r="R340" s="29">
        <f>Предыд!AN339</f>
        <v>0</v>
      </c>
      <c r="S340" s="29">
        <f>Предыд!AO339</f>
        <v>0</v>
      </c>
      <c r="T340" s="17" t="str">
        <f t="shared" si="5"/>
        <v>+</v>
      </c>
    </row>
    <row r="341" spans="1:20" x14ac:dyDescent="0.25">
      <c r="A341" s="29">
        <f>Текущий!A340</f>
        <v>19</v>
      </c>
      <c r="B341" s="29">
        <f>Текущий!B340</f>
        <v>24646</v>
      </c>
      <c r="C341" s="29">
        <f>Текущий!C340</f>
        <v>1</v>
      </c>
      <c r="D341" s="29" t="str">
        <f>Текущий!D340</f>
        <v>Ванино-Грузовой - Ванино Новый Район</v>
      </c>
      <c r="E341" s="29">
        <f>ROUND(Текущий!J340,0)</f>
        <v>0</v>
      </c>
      <c r="F341" s="29">
        <f>Текущий!E340</f>
        <v>0</v>
      </c>
      <c r="G341" s="16" t="str">
        <f>IF(Текущий!K340="-",Текущий!K340,ROUND(Текущий!K340,0))</f>
        <v>-</v>
      </c>
      <c r="H341" s="29" t="str">
        <f>IF(ROUND(Текущий!I340,0)=0,"-",ROUND(Текущий!I340,0))</f>
        <v>-</v>
      </c>
      <c r="I341" s="16" t="str">
        <f>IF(Предыд!K340="-",Предыд!K340,ROUND(Предыд!K340,0))</f>
        <v>-</v>
      </c>
      <c r="J341" s="29" t="str">
        <f>IF(ROUND(Предыд!I340,0)=0,"-",ROUND(Предыд!I340,0))</f>
        <v>-</v>
      </c>
      <c r="K341" s="30" t="str">
        <f>Текущий!L340</f>
        <v>Рихтовка</v>
      </c>
      <c r="L341" s="29">
        <f>Текущий!AL340</f>
        <v>0</v>
      </c>
      <c r="M341" s="29">
        <f>Текущий!AM340</f>
        <v>0</v>
      </c>
      <c r="N341" s="29">
        <f>Текущий!AN340</f>
        <v>0</v>
      </c>
      <c r="O341" s="29">
        <f>Текущий!AP340</f>
        <v>0</v>
      </c>
      <c r="P341" s="29">
        <f>Предыд!AL340</f>
        <v>0</v>
      </c>
      <c r="Q341" s="29">
        <f>Предыд!AM340</f>
        <v>0</v>
      </c>
      <c r="R341" s="29">
        <f>Предыд!AN340</f>
        <v>0</v>
      </c>
      <c r="S341" s="29">
        <f>Предыд!AO340</f>
        <v>0</v>
      </c>
      <c r="T341" s="17" t="str">
        <f t="shared" si="5"/>
        <v>-</v>
      </c>
    </row>
    <row r="342" spans="1:20" x14ac:dyDescent="0.25">
      <c r="A342" s="29">
        <f>Текущий!A341</f>
        <v>19</v>
      </c>
      <c r="B342" s="29">
        <f>Текущий!B341</f>
        <v>24646</v>
      </c>
      <c r="C342" s="29">
        <f>Текущий!C341</f>
        <v>1</v>
      </c>
      <c r="D342" s="29" t="str">
        <f>Текущий!D341</f>
        <v>Токи - Ванино-Порт</v>
      </c>
      <c r="E342" s="29">
        <f>ROUND(Текущий!J341,0)</f>
        <v>0</v>
      </c>
      <c r="F342" s="29">
        <f>Текущий!E341</f>
        <v>0</v>
      </c>
      <c r="G342" s="16" t="str">
        <f>IF(Текущий!K341="-",Текущий!K341,ROUND(Текущий!K341,0))</f>
        <v>-</v>
      </c>
      <c r="H342" s="29" t="str">
        <f>IF(ROUND(Текущий!I341,0)=0,"-",ROUND(Текущий!I341,0))</f>
        <v>-</v>
      </c>
      <c r="I342" s="16" t="str">
        <f>IF(Предыд!K341="-",Предыд!K341,ROUND(Предыд!K341,0))</f>
        <v>-</v>
      </c>
      <c r="J342" s="29" t="str">
        <f>IF(ROUND(Предыд!I341,0)=0,"-",ROUND(Предыд!I341,0))</f>
        <v>-</v>
      </c>
      <c r="K342" s="30" t="str">
        <f>Текущий!L341</f>
        <v>Рихтовка</v>
      </c>
      <c r="L342" s="29">
        <f>Текущий!AL341</f>
        <v>0</v>
      </c>
      <c r="M342" s="29">
        <f>Текущий!AM341</f>
        <v>0</v>
      </c>
      <c r="N342" s="29">
        <f>Текущий!AN341</f>
        <v>0</v>
      </c>
      <c r="O342" s="29">
        <f>Текущий!AP341</f>
        <v>0</v>
      </c>
      <c r="P342" s="29">
        <f>Предыд!AL341</f>
        <v>0</v>
      </c>
      <c r="Q342" s="29">
        <f>Предыд!AM341</f>
        <v>0</v>
      </c>
      <c r="R342" s="29">
        <f>Предыд!AN341</f>
        <v>0</v>
      </c>
      <c r="S342" s="29">
        <f>Предыд!AO341</f>
        <v>0</v>
      </c>
      <c r="T342" s="17" t="str">
        <f t="shared" si="5"/>
        <v>-</v>
      </c>
    </row>
    <row r="343" spans="1:20" x14ac:dyDescent="0.25">
      <c r="A343" s="29">
        <f>Текущий!A342</f>
        <v>19</v>
      </c>
      <c r="B343" s="29">
        <f>Текущий!B342</f>
        <v>24646</v>
      </c>
      <c r="C343" s="29">
        <f>Текущий!C342</f>
        <v>1</v>
      </c>
      <c r="D343" s="29" t="str">
        <f>Текущий!D342</f>
        <v>Ванино-Порт - Ванино-Грузовой</v>
      </c>
      <c r="E343" s="29">
        <f>ROUND(Текущий!J342,0)</f>
        <v>0</v>
      </c>
      <c r="F343" s="29">
        <f>Текущий!E342</f>
        <v>0</v>
      </c>
      <c r="G343" s="16" t="str">
        <f>IF(Текущий!K342="-",Текущий!K342,ROUND(Текущий!K342,0))</f>
        <v>-</v>
      </c>
      <c r="H343" s="29" t="str">
        <f>IF(ROUND(Текущий!I342,0)=0,"-",ROUND(Текущий!I342,0))</f>
        <v>-</v>
      </c>
      <c r="I343" s="16" t="str">
        <f>IF(Предыд!K342="-",Предыд!K342,ROUND(Предыд!K342,0))</f>
        <v>-</v>
      </c>
      <c r="J343" s="29" t="str">
        <f>IF(ROUND(Предыд!I342,0)=0,"-",ROUND(Предыд!I342,0))</f>
        <v>-</v>
      </c>
      <c r="K343" s="30" t="str">
        <f>Текущий!L342</f>
        <v>Рихтовка</v>
      </c>
      <c r="L343" s="29">
        <f>Текущий!AL342</f>
        <v>0</v>
      </c>
      <c r="M343" s="29">
        <f>Текущий!AM342</f>
        <v>0</v>
      </c>
      <c r="N343" s="29">
        <f>Текущий!AN342</f>
        <v>0</v>
      </c>
      <c r="O343" s="29">
        <f>Текущий!AP342</f>
        <v>0</v>
      </c>
      <c r="P343" s="29">
        <f>Предыд!AL342</f>
        <v>0</v>
      </c>
      <c r="Q343" s="29">
        <f>Предыд!AM342</f>
        <v>0</v>
      </c>
      <c r="R343" s="29">
        <f>Предыд!AN342</f>
        <v>0</v>
      </c>
      <c r="S343" s="29">
        <f>Предыд!AO342</f>
        <v>0</v>
      </c>
      <c r="T343" s="17" t="str">
        <f t="shared" si="5"/>
        <v>-</v>
      </c>
    </row>
    <row r="344" spans="1:20" x14ac:dyDescent="0.25">
      <c r="A344" s="29">
        <f>Текущий!A343</f>
        <v>5</v>
      </c>
      <c r="B344" s="29">
        <f>Текущий!B343</f>
        <v>13808</v>
      </c>
      <c r="C344" s="29">
        <f>Текущий!C343</f>
        <v>1</v>
      </c>
      <c r="D344" s="29" t="str">
        <f>Текущий!D343</f>
        <v>Биробиджан I - Икура</v>
      </c>
      <c r="E344" s="29">
        <f>ROUND(Текущий!J343,0)</f>
        <v>0</v>
      </c>
      <c r="F344" s="29">
        <f>Текущий!E343</f>
        <v>0</v>
      </c>
      <c r="G344" s="16" t="str">
        <f>IF(Текущий!K343="-",Текущий!K343,ROUND(Текущий!K343,0))</f>
        <v>-</v>
      </c>
      <c r="H344" s="29" t="str">
        <f>IF(ROUND(Текущий!I343,0)=0,"-",ROUND(Текущий!I343,0))</f>
        <v>-</v>
      </c>
      <c r="I344" s="16" t="str">
        <f>IF(Предыд!K343="-",Предыд!K343,ROUND(Предыд!K343,0))</f>
        <v>-</v>
      </c>
      <c r="J344" s="29" t="str">
        <f>IF(ROUND(Предыд!I343,0)=0,"-",ROUND(Предыд!I343,0))</f>
        <v>-</v>
      </c>
      <c r="K344" s="30" t="str">
        <f>Текущий!L343</f>
        <v>Рихтовка</v>
      </c>
      <c r="L344" s="29">
        <f>Текущий!AL343</f>
        <v>0</v>
      </c>
      <c r="M344" s="29">
        <f>Текущий!AM343</f>
        <v>0</v>
      </c>
      <c r="N344" s="29">
        <f>Текущий!AN343</f>
        <v>0</v>
      </c>
      <c r="O344" s="29">
        <f>Текущий!AP343</f>
        <v>0</v>
      </c>
      <c r="P344" s="29">
        <f>Предыд!AL343</f>
        <v>0</v>
      </c>
      <c r="Q344" s="29">
        <f>Предыд!AM343</f>
        <v>0</v>
      </c>
      <c r="R344" s="29">
        <f>Предыд!AN343</f>
        <v>0</v>
      </c>
      <c r="S344" s="29">
        <f>Предыд!AO343</f>
        <v>0</v>
      </c>
      <c r="T344" s="17" t="str">
        <f t="shared" si="5"/>
        <v>-</v>
      </c>
    </row>
    <row r="345" spans="1:20" x14ac:dyDescent="0.25">
      <c r="A345" s="29">
        <f>Текущий!A344</f>
        <v>5</v>
      </c>
      <c r="B345" s="29">
        <f>Текущий!B344</f>
        <v>13808</v>
      </c>
      <c r="C345" s="29">
        <f>Текущий!C344</f>
        <v>1</v>
      </c>
      <c r="D345" s="29" t="str">
        <f>Текущий!D344</f>
        <v>Икура - Аур</v>
      </c>
      <c r="E345" s="29">
        <f>ROUND(Текущий!J344,0)</f>
        <v>0</v>
      </c>
      <c r="F345" s="29">
        <f>Текущий!E344</f>
        <v>0</v>
      </c>
      <c r="G345" s="16" t="str">
        <f>IF(Текущий!K344="-",Текущий!K344,ROUND(Текущий!K344,0))</f>
        <v>-</v>
      </c>
      <c r="H345" s="29" t="str">
        <f>IF(ROUND(Текущий!I344,0)=0,"-",ROUND(Текущий!I344,0))</f>
        <v>-</v>
      </c>
      <c r="I345" s="16" t="str">
        <f>IF(Предыд!K344="-",Предыд!K344,ROUND(Предыд!K344,0))</f>
        <v>-</v>
      </c>
      <c r="J345" s="29" t="str">
        <f>IF(ROUND(Предыд!I344,0)=0,"-",ROUND(Предыд!I344,0))</f>
        <v>-</v>
      </c>
      <c r="K345" s="30" t="str">
        <f>Текущий!L344</f>
        <v>Рихтовка</v>
      </c>
      <c r="L345" s="29">
        <f>Текущий!AL344</f>
        <v>0</v>
      </c>
      <c r="M345" s="29">
        <f>Текущий!AM344</f>
        <v>0</v>
      </c>
      <c r="N345" s="29">
        <f>Текущий!AN344</f>
        <v>0</v>
      </c>
      <c r="O345" s="29">
        <f>Текущий!AP344</f>
        <v>0</v>
      </c>
      <c r="P345" s="29">
        <f>Предыд!AL344</f>
        <v>0</v>
      </c>
      <c r="Q345" s="29">
        <f>Предыд!AM344</f>
        <v>0</v>
      </c>
      <c r="R345" s="29">
        <f>Предыд!AN344</f>
        <v>0</v>
      </c>
      <c r="S345" s="29">
        <f>Предыд!AO344</f>
        <v>0</v>
      </c>
      <c r="T345" s="17" t="str">
        <f t="shared" si="5"/>
        <v>-</v>
      </c>
    </row>
    <row r="346" spans="1:20" x14ac:dyDescent="0.25">
      <c r="A346" s="29">
        <f>Текущий!A345</f>
        <v>5</v>
      </c>
      <c r="B346" s="29">
        <f>Текущий!B345</f>
        <v>13808</v>
      </c>
      <c r="C346" s="29">
        <f>Текущий!C345</f>
        <v>1</v>
      </c>
      <c r="D346" s="29" t="str">
        <f>Текущий!D345</f>
        <v>Аур - Ин</v>
      </c>
      <c r="E346" s="29">
        <f>ROUND(Текущий!J345,0)</f>
        <v>0</v>
      </c>
      <c r="F346" s="29">
        <f>Текущий!E345</f>
        <v>0</v>
      </c>
      <c r="G346" s="16" t="str">
        <f>IF(Текущий!K345="-",Текущий!K345,ROUND(Текущий!K345,0))</f>
        <v>-</v>
      </c>
      <c r="H346" s="29" t="str">
        <f>IF(ROUND(Текущий!I345,0)=0,"-",ROUND(Текущий!I345,0))</f>
        <v>-</v>
      </c>
      <c r="I346" s="16" t="str">
        <f>IF(Предыд!K345="-",Предыд!K345,ROUND(Предыд!K345,0))</f>
        <v>-</v>
      </c>
      <c r="J346" s="29" t="str">
        <f>IF(ROUND(Предыд!I345,0)=0,"-",ROUND(Предыд!I345,0))</f>
        <v>-</v>
      </c>
      <c r="K346" s="30" t="str">
        <f>Текущий!L345</f>
        <v>Рихтовка</v>
      </c>
      <c r="L346" s="29">
        <f>Текущий!AL345</f>
        <v>0</v>
      </c>
      <c r="M346" s="29">
        <f>Текущий!AM345</f>
        <v>0</v>
      </c>
      <c r="N346" s="29">
        <f>Текущий!AN345</f>
        <v>0</v>
      </c>
      <c r="O346" s="29">
        <f>Текущий!AP345</f>
        <v>0</v>
      </c>
      <c r="P346" s="29">
        <f>Предыд!AL345</f>
        <v>0</v>
      </c>
      <c r="Q346" s="29">
        <f>Предыд!AM345</f>
        <v>0</v>
      </c>
      <c r="R346" s="29">
        <f>Предыд!AN345</f>
        <v>0</v>
      </c>
      <c r="S346" s="29">
        <f>Предыд!AO345</f>
        <v>0</v>
      </c>
      <c r="T346" s="17" t="str">
        <f t="shared" si="5"/>
        <v>-</v>
      </c>
    </row>
    <row r="347" spans="1:20" x14ac:dyDescent="0.25">
      <c r="A347" s="29">
        <f>Текущий!A346</f>
        <v>5</v>
      </c>
      <c r="B347" s="29">
        <f>Текущий!B346</f>
        <v>13808</v>
      </c>
      <c r="C347" s="29">
        <f>Текущий!C346</f>
        <v>1</v>
      </c>
      <c r="D347" s="29" t="str">
        <f>Текущий!D346</f>
        <v>Ин - Ольгохта</v>
      </c>
      <c r="E347" s="29">
        <f>ROUND(Текущий!J346,0)</f>
        <v>0</v>
      </c>
      <c r="F347" s="29">
        <f>Текущий!E346</f>
        <v>0</v>
      </c>
      <c r="G347" s="16" t="str">
        <f>IF(Текущий!K346="-",Текущий!K346,ROUND(Текущий!K346,0))</f>
        <v>-</v>
      </c>
      <c r="H347" s="29" t="str">
        <f>IF(ROUND(Текущий!I346,0)=0,"-",ROUND(Текущий!I346,0))</f>
        <v>-</v>
      </c>
      <c r="I347" s="16" t="str">
        <f>IF(Предыд!K346="-",Предыд!K346,ROUND(Предыд!K346,0))</f>
        <v>-</v>
      </c>
      <c r="J347" s="29" t="str">
        <f>IF(ROUND(Предыд!I346,0)=0,"-",ROUND(Предыд!I346,0))</f>
        <v>-</v>
      </c>
      <c r="K347" s="30" t="str">
        <f>Текущий!L346</f>
        <v>Рихтовка</v>
      </c>
      <c r="L347" s="29">
        <f>Текущий!AL346</f>
        <v>0</v>
      </c>
      <c r="M347" s="29">
        <f>Текущий!AM346</f>
        <v>0</v>
      </c>
      <c r="N347" s="29">
        <f>Текущий!AN346</f>
        <v>0</v>
      </c>
      <c r="O347" s="29">
        <f>Текущий!AP346</f>
        <v>0</v>
      </c>
      <c r="P347" s="29">
        <f>Предыд!AL346</f>
        <v>0</v>
      </c>
      <c r="Q347" s="29">
        <f>Предыд!AM346</f>
        <v>0</v>
      </c>
      <c r="R347" s="29">
        <f>Предыд!AN346</f>
        <v>0</v>
      </c>
      <c r="S347" s="29">
        <f>Предыд!AO346</f>
        <v>0</v>
      </c>
      <c r="T347" s="17" t="str">
        <f t="shared" si="5"/>
        <v>-</v>
      </c>
    </row>
    <row r="348" spans="1:20" x14ac:dyDescent="0.25">
      <c r="A348" s="29">
        <f>Текущий!A347</f>
        <v>5</v>
      </c>
      <c r="B348" s="29">
        <f>Текущий!B347</f>
        <v>13808</v>
      </c>
      <c r="C348" s="29">
        <f>Текущий!C347</f>
        <v>1</v>
      </c>
      <c r="D348" s="29" t="str">
        <f>Текущий!D347</f>
        <v>Ольгохта - Волочаевка I</v>
      </c>
      <c r="E348" s="29">
        <f>ROUND(Текущий!J347,0)</f>
        <v>0</v>
      </c>
      <c r="F348" s="29">
        <f>Текущий!E347</f>
        <v>0</v>
      </c>
      <c r="G348" s="16" t="str">
        <f>IF(Текущий!K347="-",Текущий!K347,ROUND(Текущий!K347,0))</f>
        <v>-</v>
      </c>
      <c r="H348" s="29" t="str">
        <f>IF(ROUND(Текущий!I347,0)=0,"-",ROUND(Текущий!I347,0))</f>
        <v>-</v>
      </c>
      <c r="I348" s="16" t="str">
        <f>IF(Предыд!K347="-",Предыд!K347,ROUND(Предыд!K347,0))</f>
        <v>-</v>
      </c>
      <c r="J348" s="29" t="str">
        <f>IF(ROUND(Предыд!I347,0)=0,"-",ROUND(Предыд!I347,0))</f>
        <v>-</v>
      </c>
      <c r="K348" s="30" t="str">
        <f>Текущий!L347</f>
        <v>Рихтовка</v>
      </c>
      <c r="L348" s="29">
        <f>Текущий!AL347</f>
        <v>0</v>
      </c>
      <c r="M348" s="29">
        <f>Текущий!AM347</f>
        <v>0</v>
      </c>
      <c r="N348" s="29">
        <f>Текущий!AN347</f>
        <v>0</v>
      </c>
      <c r="O348" s="29">
        <f>Текущий!AP347</f>
        <v>0</v>
      </c>
      <c r="P348" s="29">
        <f>Предыд!AL347</f>
        <v>0</v>
      </c>
      <c r="Q348" s="29">
        <f>Предыд!AM347</f>
        <v>0</v>
      </c>
      <c r="R348" s="29">
        <f>Предыд!AN347</f>
        <v>0</v>
      </c>
      <c r="S348" s="29">
        <f>Предыд!AO347</f>
        <v>0</v>
      </c>
      <c r="T348" s="17" t="str">
        <f t="shared" si="5"/>
        <v>-</v>
      </c>
    </row>
    <row r="349" spans="1:20" x14ac:dyDescent="0.25">
      <c r="A349" s="29">
        <f>Текущий!A348</f>
        <v>5</v>
      </c>
      <c r="B349" s="29">
        <f>Текущий!B348</f>
        <v>13808</v>
      </c>
      <c r="C349" s="29">
        <f>Текущий!C348</f>
        <v>1</v>
      </c>
      <c r="D349" s="29" t="str">
        <f>Текущий!D348</f>
        <v>Волочаевка I - Тунгусский</v>
      </c>
      <c r="E349" s="29">
        <f>ROUND(Текущий!J348,0)</f>
        <v>0</v>
      </c>
      <c r="F349" s="29">
        <f>Текущий!E348</f>
        <v>0</v>
      </c>
      <c r="G349" s="16" t="str">
        <f>IF(Текущий!K348="-",Текущий!K348,ROUND(Текущий!K348,0))</f>
        <v>-</v>
      </c>
      <c r="H349" s="29" t="str">
        <f>IF(ROUND(Текущий!I348,0)=0,"-",ROUND(Текущий!I348,0))</f>
        <v>-</v>
      </c>
      <c r="I349" s="16" t="str">
        <f>IF(Предыд!K348="-",Предыд!K348,ROUND(Предыд!K348,0))</f>
        <v>-</v>
      </c>
      <c r="J349" s="29" t="str">
        <f>IF(ROUND(Предыд!I348,0)=0,"-",ROUND(Предыд!I348,0))</f>
        <v>-</v>
      </c>
      <c r="K349" s="30" t="str">
        <f>Текущий!L348</f>
        <v>Рихтовка</v>
      </c>
      <c r="L349" s="29">
        <f>Текущий!AL348</f>
        <v>0</v>
      </c>
      <c r="M349" s="29">
        <f>Текущий!AM348</f>
        <v>0</v>
      </c>
      <c r="N349" s="29">
        <f>Текущий!AN348</f>
        <v>0</v>
      </c>
      <c r="O349" s="29">
        <f>Текущий!AP348</f>
        <v>0</v>
      </c>
      <c r="P349" s="29">
        <f>Предыд!AL348</f>
        <v>0</v>
      </c>
      <c r="Q349" s="29">
        <f>Предыд!AM348</f>
        <v>0</v>
      </c>
      <c r="R349" s="29">
        <f>Предыд!AN348</f>
        <v>0</v>
      </c>
      <c r="S349" s="29">
        <f>Предыд!AO348</f>
        <v>0</v>
      </c>
      <c r="T349" s="17" t="str">
        <f t="shared" si="5"/>
        <v>-</v>
      </c>
    </row>
    <row r="350" spans="1:20" x14ac:dyDescent="0.25">
      <c r="A350" s="29">
        <f>Текущий!A349</f>
        <v>5</v>
      </c>
      <c r="B350" s="29">
        <f>Текущий!B349</f>
        <v>13808</v>
      </c>
      <c r="C350" s="29">
        <f>Текущий!C349</f>
        <v>1</v>
      </c>
      <c r="D350" s="29" t="str">
        <f>Текущий!D349</f>
        <v>Тунгусский - Дежневка</v>
      </c>
      <c r="E350" s="29">
        <f>ROUND(Текущий!J349,0)</f>
        <v>0</v>
      </c>
      <c r="F350" s="29">
        <f>Текущий!E349</f>
        <v>0</v>
      </c>
      <c r="G350" s="16" t="str">
        <f>IF(Текущий!K349="-",Текущий!K349,ROUND(Текущий!K349,0))</f>
        <v>-</v>
      </c>
      <c r="H350" s="29" t="str">
        <f>IF(ROUND(Текущий!I349,0)=0,"-",ROUND(Текущий!I349,0))</f>
        <v>-</v>
      </c>
      <c r="I350" s="16" t="str">
        <f>IF(Предыд!K349="-",Предыд!K349,ROUND(Предыд!K349,0))</f>
        <v>-</v>
      </c>
      <c r="J350" s="29" t="str">
        <f>IF(ROUND(Предыд!I349,0)=0,"-",ROUND(Предыд!I349,0))</f>
        <v>-</v>
      </c>
      <c r="K350" s="30" t="str">
        <f>Текущий!L349</f>
        <v>Рихтовка</v>
      </c>
      <c r="L350" s="29">
        <f>Текущий!AL349</f>
        <v>0</v>
      </c>
      <c r="M350" s="29">
        <f>Текущий!AM349</f>
        <v>0</v>
      </c>
      <c r="N350" s="29">
        <f>Текущий!AN349</f>
        <v>0</v>
      </c>
      <c r="O350" s="29">
        <f>Текущий!AP349</f>
        <v>0</v>
      </c>
      <c r="P350" s="29">
        <f>Предыд!AL349</f>
        <v>0</v>
      </c>
      <c r="Q350" s="29">
        <f>Предыд!AM349</f>
        <v>0</v>
      </c>
      <c r="R350" s="29">
        <f>Предыд!AN349</f>
        <v>0</v>
      </c>
      <c r="S350" s="29">
        <f>Предыд!AO349</f>
        <v>0</v>
      </c>
      <c r="T350" s="17" t="str">
        <f t="shared" si="5"/>
        <v>-</v>
      </c>
    </row>
    <row r="351" spans="1:20" x14ac:dyDescent="0.25">
      <c r="A351" s="29">
        <f>Текущий!A350</f>
        <v>5</v>
      </c>
      <c r="B351" s="29">
        <f>Текущий!B350</f>
        <v>13808</v>
      </c>
      <c r="C351" s="29">
        <f>Текущий!C350</f>
        <v>1</v>
      </c>
      <c r="D351" s="29" t="str">
        <f>Текущий!D350</f>
        <v>Дежневка - Николаевка</v>
      </c>
      <c r="E351" s="29">
        <f>ROUND(Текущий!J350,0)</f>
        <v>0</v>
      </c>
      <c r="F351" s="29">
        <f>Текущий!E350</f>
        <v>0</v>
      </c>
      <c r="G351" s="16" t="str">
        <f>IF(Текущий!K350="-",Текущий!K350,ROUND(Текущий!K350,0))</f>
        <v>-</v>
      </c>
      <c r="H351" s="29" t="str">
        <f>IF(ROUND(Текущий!I350,0)=0,"-",ROUND(Текущий!I350,0))</f>
        <v>-</v>
      </c>
      <c r="I351" s="16" t="str">
        <f>IF(Предыд!K350="-",Предыд!K350,ROUND(Предыд!K350,0))</f>
        <v>-</v>
      </c>
      <c r="J351" s="29" t="str">
        <f>IF(ROUND(Предыд!I350,0)=0,"-",ROUND(Предыд!I350,0))</f>
        <v>-</v>
      </c>
      <c r="K351" s="30" t="str">
        <f>Текущий!L350</f>
        <v>Рихтовка</v>
      </c>
      <c r="L351" s="29">
        <f>Текущий!AL350</f>
        <v>0</v>
      </c>
      <c r="M351" s="29">
        <f>Текущий!AM350</f>
        <v>0</v>
      </c>
      <c r="N351" s="29">
        <f>Текущий!AN350</f>
        <v>0</v>
      </c>
      <c r="O351" s="29">
        <f>Текущий!AP350</f>
        <v>0</v>
      </c>
      <c r="P351" s="29">
        <f>Предыд!AL350</f>
        <v>0</v>
      </c>
      <c r="Q351" s="29">
        <f>Предыд!AM350</f>
        <v>0</v>
      </c>
      <c r="R351" s="29">
        <f>Предыд!AN350</f>
        <v>0</v>
      </c>
      <c r="S351" s="29">
        <f>Предыд!AO350</f>
        <v>0</v>
      </c>
      <c r="T351" s="17" t="str">
        <f t="shared" si="5"/>
        <v>-</v>
      </c>
    </row>
    <row r="352" spans="1:20" x14ac:dyDescent="0.25">
      <c r="A352" s="29">
        <f>Текущий!A351</f>
        <v>5</v>
      </c>
      <c r="B352" s="29">
        <f>Текущий!B351</f>
        <v>13808</v>
      </c>
      <c r="C352" s="29">
        <f>Текущий!C351</f>
        <v>1</v>
      </c>
      <c r="D352" s="29" t="str">
        <f>Текущий!D351</f>
        <v>Николаевка - Приамурская</v>
      </c>
      <c r="E352" s="29">
        <f>ROUND(Текущий!J351,0)</f>
        <v>0</v>
      </c>
      <c r="F352" s="29">
        <f>Текущий!E351</f>
        <v>0</v>
      </c>
      <c r="G352" s="16" t="str">
        <f>IF(Текущий!K351="-",Текущий!K351,ROUND(Текущий!K351,0))</f>
        <v>-</v>
      </c>
      <c r="H352" s="29" t="str">
        <f>IF(ROUND(Текущий!I351,0)=0,"-",ROUND(Текущий!I351,0))</f>
        <v>-</v>
      </c>
      <c r="I352" s="16" t="str">
        <f>IF(Предыд!K351="-",Предыд!K351,ROUND(Предыд!K351,0))</f>
        <v>-</v>
      </c>
      <c r="J352" s="29" t="str">
        <f>IF(ROUND(Предыд!I351,0)=0,"-",ROUND(Предыд!I351,0))</f>
        <v>-</v>
      </c>
      <c r="K352" s="30" t="str">
        <f>Текущий!L351</f>
        <v>Рихтовка</v>
      </c>
      <c r="L352" s="29">
        <f>Текущий!AL351</f>
        <v>0</v>
      </c>
      <c r="M352" s="29">
        <f>Текущий!AM351</f>
        <v>0</v>
      </c>
      <c r="N352" s="29">
        <f>Текущий!AN351</f>
        <v>0</v>
      </c>
      <c r="O352" s="29">
        <f>Текущий!AP351</f>
        <v>0</v>
      </c>
      <c r="P352" s="29">
        <f>Предыд!AL351</f>
        <v>0</v>
      </c>
      <c r="Q352" s="29">
        <f>Предыд!AM351</f>
        <v>0</v>
      </c>
      <c r="R352" s="29">
        <f>Предыд!AN351</f>
        <v>0</v>
      </c>
      <c r="S352" s="29">
        <f>Предыд!AO351</f>
        <v>0</v>
      </c>
      <c r="T352" s="17" t="str">
        <f t="shared" si="5"/>
        <v>-</v>
      </c>
    </row>
    <row r="353" spans="1:20" x14ac:dyDescent="0.25">
      <c r="A353" s="29">
        <f>Текущий!A352</f>
        <v>5</v>
      </c>
      <c r="B353" s="29">
        <f>Текущий!B352</f>
        <v>13808</v>
      </c>
      <c r="C353" s="29">
        <f>Текущий!C352</f>
        <v>1</v>
      </c>
      <c r="D353" s="29" t="str">
        <f>Текущий!D352</f>
        <v>Приамурская - Пост-Покровский</v>
      </c>
      <c r="E353" s="29">
        <f>ROUND(Текущий!J352,0)</f>
        <v>0</v>
      </c>
      <c r="F353" s="29">
        <f>Текущий!E352</f>
        <v>0</v>
      </c>
      <c r="G353" s="16" t="str">
        <f>IF(Текущий!K352="-",Текущий!K352,ROUND(Текущий!K352,0))</f>
        <v>-</v>
      </c>
      <c r="H353" s="29" t="str">
        <f>IF(ROUND(Текущий!I352,0)=0,"-",ROUND(Текущий!I352,0))</f>
        <v>-</v>
      </c>
      <c r="I353" s="16" t="str">
        <f>IF(Предыд!K352="-",Предыд!K352,ROUND(Предыд!K352,0))</f>
        <v>-</v>
      </c>
      <c r="J353" s="29" t="str">
        <f>IF(ROUND(Предыд!I352,0)=0,"-",ROUND(Предыд!I352,0))</f>
        <v>-</v>
      </c>
      <c r="K353" s="30" t="str">
        <f>Текущий!L352</f>
        <v>Рихтовка</v>
      </c>
      <c r="L353" s="29">
        <f>Текущий!AL352</f>
        <v>0</v>
      </c>
      <c r="M353" s="29">
        <f>Текущий!AM352</f>
        <v>0</v>
      </c>
      <c r="N353" s="29">
        <f>Текущий!AN352</f>
        <v>0</v>
      </c>
      <c r="O353" s="29">
        <f>Текущий!AP352</f>
        <v>0</v>
      </c>
      <c r="P353" s="29">
        <f>Предыд!AL352</f>
        <v>0</v>
      </c>
      <c r="Q353" s="29">
        <f>Предыд!AM352</f>
        <v>0</v>
      </c>
      <c r="R353" s="29">
        <f>Предыд!AN352</f>
        <v>0</v>
      </c>
      <c r="S353" s="29">
        <f>Предыд!AO352</f>
        <v>0</v>
      </c>
      <c r="T353" s="17" t="str">
        <f t="shared" si="5"/>
        <v>-</v>
      </c>
    </row>
    <row r="354" spans="1:20" x14ac:dyDescent="0.25">
      <c r="A354" s="29">
        <f>Текущий!A353</f>
        <v>5</v>
      </c>
      <c r="B354" s="29">
        <f>Текущий!B353</f>
        <v>13808</v>
      </c>
      <c r="C354" s="29">
        <f>Текущий!C353</f>
        <v>1</v>
      </c>
      <c r="D354" s="29" t="str">
        <f>Текущий!D353</f>
        <v>Пост-Покровский - Амур</v>
      </c>
      <c r="E354" s="29">
        <f>ROUND(Текущий!J353,0)</f>
        <v>0</v>
      </c>
      <c r="F354" s="29">
        <f>Текущий!E353</f>
        <v>0</v>
      </c>
      <c r="G354" s="16" t="str">
        <f>IF(Текущий!K353="-",Текущий!K353,ROUND(Текущий!K353,0))</f>
        <v>-</v>
      </c>
      <c r="H354" s="29" t="str">
        <f>IF(ROUND(Текущий!I353,0)=0,"-",ROUND(Текущий!I353,0))</f>
        <v>-</v>
      </c>
      <c r="I354" s="16" t="str">
        <f>IF(Предыд!K353="-",Предыд!K353,ROUND(Предыд!K353,0))</f>
        <v>-</v>
      </c>
      <c r="J354" s="29" t="str">
        <f>IF(ROUND(Предыд!I353,0)=0,"-",ROUND(Предыд!I353,0))</f>
        <v>-</v>
      </c>
      <c r="K354" s="30" t="str">
        <f>Текущий!L353</f>
        <v>Рихтовка</v>
      </c>
      <c r="L354" s="29">
        <f>Текущий!AL353</f>
        <v>0</v>
      </c>
      <c r="M354" s="29">
        <f>Текущий!AM353</f>
        <v>0</v>
      </c>
      <c r="N354" s="29">
        <f>Текущий!AN353</f>
        <v>0</v>
      </c>
      <c r="O354" s="29">
        <f>Текущий!AP353</f>
        <v>0</v>
      </c>
      <c r="P354" s="29">
        <f>Предыд!AL353</f>
        <v>0</v>
      </c>
      <c r="Q354" s="29">
        <f>Предыд!AM353</f>
        <v>0</v>
      </c>
      <c r="R354" s="29">
        <f>Предыд!AN353</f>
        <v>0</v>
      </c>
      <c r="S354" s="29">
        <f>Предыд!AO353</f>
        <v>0</v>
      </c>
      <c r="T354" s="17" t="str">
        <f t="shared" si="5"/>
        <v>-</v>
      </c>
    </row>
    <row r="355" spans="1:20" x14ac:dyDescent="0.25">
      <c r="A355" s="29">
        <f>Текущий!A354</f>
        <v>5</v>
      </c>
      <c r="B355" s="29">
        <f>Текущий!B354</f>
        <v>13808</v>
      </c>
      <c r="C355" s="29">
        <f>Текущий!C354</f>
        <v>1</v>
      </c>
      <c r="D355" s="29" t="str">
        <f>Текущий!D354</f>
        <v>Амур - Хабаровск I</v>
      </c>
      <c r="E355" s="29">
        <f>ROUND(Текущий!J354,0)</f>
        <v>0</v>
      </c>
      <c r="F355" s="29">
        <f>Текущий!E354</f>
        <v>0</v>
      </c>
      <c r="G355" s="16" t="str">
        <f>IF(Текущий!K354="-",Текущий!K354,ROUND(Текущий!K354,0))</f>
        <v>-</v>
      </c>
      <c r="H355" s="29" t="str">
        <f>IF(ROUND(Текущий!I354,0)=0,"-",ROUND(Текущий!I354,0))</f>
        <v>-</v>
      </c>
      <c r="I355" s="16" t="str">
        <f>IF(Предыд!K354="-",Предыд!K354,ROUND(Предыд!K354,0))</f>
        <v>-</v>
      </c>
      <c r="J355" s="29" t="str">
        <f>IF(ROUND(Предыд!I354,0)=0,"-",ROUND(Предыд!I354,0))</f>
        <v>-</v>
      </c>
      <c r="K355" s="30" t="str">
        <f>Текущий!L354</f>
        <v>Рихтовка</v>
      </c>
      <c r="L355" s="29">
        <f>Текущий!AL354</f>
        <v>0</v>
      </c>
      <c r="M355" s="29">
        <f>Текущий!AM354</f>
        <v>0</v>
      </c>
      <c r="N355" s="29">
        <f>Текущий!AN354</f>
        <v>0</v>
      </c>
      <c r="O355" s="29">
        <f>Текущий!AP354</f>
        <v>0</v>
      </c>
      <c r="P355" s="29">
        <f>Предыд!AL354</f>
        <v>0</v>
      </c>
      <c r="Q355" s="29">
        <f>Предыд!AM354</f>
        <v>0</v>
      </c>
      <c r="R355" s="29">
        <f>Предыд!AN354</f>
        <v>0</v>
      </c>
      <c r="S355" s="29">
        <f>Предыд!AO354</f>
        <v>0</v>
      </c>
      <c r="T355" s="17" t="str">
        <f t="shared" si="5"/>
        <v>-</v>
      </c>
    </row>
    <row r="356" spans="1:20" x14ac:dyDescent="0.25">
      <c r="A356" s="29">
        <f>Текущий!A355</f>
        <v>5</v>
      </c>
      <c r="B356" s="29">
        <f>Текущий!B355</f>
        <v>13808</v>
      </c>
      <c r="C356" s="29">
        <f>Текущий!C355</f>
        <v>2</v>
      </c>
      <c r="D356" s="29" t="str">
        <f>Текущий!D355</f>
        <v>Биробиджан I - Икура</v>
      </c>
      <c r="E356" s="29">
        <f>ROUND(Текущий!J355,0)</f>
        <v>0</v>
      </c>
      <c r="F356" s="29">
        <f>Текущий!E355</f>
        <v>0</v>
      </c>
      <c r="G356" s="16" t="str">
        <f>IF(Текущий!K355="-",Текущий!K355,ROUND(Текущий!K355,0))</f>
        <v>-</v>
      </c>
      <c r="H356" s="29" t="str">
        <f>IF(ROUND(Текущий!I355,0)=0,"-",ROUND(Текущий!I355,0))</f>
        <v>-</v>
      </c>
      <c r="I356" s="16" t="str">
        <f>IF(Предыд!K355="-",Предыд!K355,ROUND(Предыд!K355,0))</f>
        <v>-</v>
      </c>
      <c r="J356" s="29" t="str">
        <f>IF(ROUND(Предыд!I355,0)=0,"-",ROUND(Предыд!I355,0))</f>
        <v>-</v>
      </c>
      <c r="K356" s="30" t="str">
        <f>Текущий!L355</f>
        <v>Рихтовка</v>
      </c>
      <c r="L356" s="29">
        <f>Текущий!AL355</f>
        <v>0</v>
      </c>
      <c r="M356" s="29">
        <f>Текущий!AM355</f>
        <v>0</v>
      </c>
      <c r="N356" s="29">
        <f>Текущий!AN355</f>
        <v>0</v>
      </c>
      <c r="O356" s="29">
        <f>Текущий!AP355</f>
        <v>0</v>
      </c>
      <c r="P356" s="29">
        <f>Предыд!AL355</f>
        <v>0</v>
      </c>
      <c r="Q356" s="29">
        <f>Предыд!AM355</f>
        <v>0</v>
      </c>
      <c r="R356" s="29">
        <f>Предыд!AN355</f>
        <v>0</v>
      </c>
      <c r="S356" s="29">
        <f>Предыд!AO355</f>
        <v>0</v>
      </c>
      <c r="T356" s="17" t="str">
        <f t="shared" si="5"/>
        <v>-</v>
      </c>
    </row>
    <row r="357" spans="1:20" x14ac:dyDescent="0.25">
      <c r="A357" s="29">
        <f>Текущий!A356</f>
        <v>5</v>
      </c>
      <c r="B357" s="29">
        <f>Текущий!B356</f>
        <v>13808</v>
      </c>
      <c r="C357" s="29">
        <f>Текущий!C356</f>
        <v>2</v>
      </c>
      <c r="D357" s="29" t="str">
        <f>Текущий!D356</f>
        <v>Икура - Аур</v>
      </c>
      <c r="E357" s="29">
        <f>ROUND(Текущий!J356,0)</f>
        <v>0</v>
      </c>
      <c r="F357" s="29">
        <f>Текущий!E356</f>
        <v>0</v>
      </c>
      <c r="G357" s="16" t="str">
        <f>IF(Текущий!K356="-",Текущий!K356,ROUND(Текущий!K356,0))</f>
        <v>-</v>
      </c>
      <c r="H357" s="29" t="str">
        <f>IF(ROUND(Текущий!I356,0)=0,"-",ROUND(Текущий!I356,0))</f>
        <v>-</v>
      </c>
      <c r="I357" s="16" t="str">
        <f>IF(Предыд!K356="-",Предыд!K356,ROUND(Предыд!K356,0))</f>
        <v>-</v>
      </c>
      <c r="J357" s="29" t="str">
        <f>IF(ROUND(Предыд!I356,0)=0,"-",ROUND(Предыд!I356,0))</f>
        <v>-</v>
      </c>
      <c r="K357" s="30" t="str">
        <f>Текущий!L356</f>
        <v>Рихтовка</v>
      </c>
      <c r="L357" s="29">
        <f>Текущий!AL356</f>
        <v>0</v>
      </c>
      <c r="M357" s="29">
        <f>Текущий!AM356</f>
        <v>0</v>
      </c>
      <c r="N357" s="29">
        <f>Текущий!AN356</f>
        <v>0</v>
      </c>
      <c r="O357" s="29">
        <f>Текущий!AP356</f>
        <v>0</v>
      </c>
      <c r="P357" s="29">
        <f>Предыд!AL356</f>
        <v>0</v>
      </c>
      <c r="Q357" s="29">
        <f>Предыд!AM356</f>
        <v>0</v>
      </c>
      <c r="R357" s="29">
        <f>Предыд!AN356</f>
        <v>0</v>
      </c>
      <c r="S357" s="29">
        <f>Предыд!AO356</f>
        <v>0</v>
      </c>
      <c r="T357" s="17" t="str">
        <f t="shared" si="5"/>
        <v>-</v>
      </c>
    </row>
    <row r="358" spans="1:20" x14ac:dyDescent="0.25">
      <c r="A358" s="29">
        <f>Текущий!A357</f>
        <v>5</v>
      </c>
      <c r="B358" s="29">
        <f>Текущий!B357</f>
        <v>13808</v>
      </c>
      <c r="C358" s="29">
        <f>Текущий!C357</f>
        <v>2</v>
      </c>
      <c r="D358" s="29" t="str">
        <f>Текущий!D357</f>
        <v>Аур - Ин</v>
      </c>
      <c r="E358" s="29">
        <f>ROUND(Текущий!J357,0)</f>
        <v>0</v>
      </c>
      <c r="F358" s="29">
        <f>Текущий!E357</f>
        <v>0</v>
      </c>
      <c r="G358" s="16" t="str">
        <f>IF(Текущий!K357="-",Текущий!K357,ROUND(Текущий!K357,0))</f>
        <v>-</v>
      </c>
      <c r="H358" s="29" t="str">
        <f>IF(ROUND(Текущий!I357,0)=0,"-",ROUND(Текущий!I357,0))</f>
        <v>-</v>
      </c>
      <c r="I358" s="16" t="str">
        <f>IF(Предыд!K357="-",Предыд!K357,ROUND(Предыд!K357,0))</f>
        <v>-</v>
      </c>
      <c r="J358" s="29" t="str">
        <f>IF(ROUND(Предыд!I357,0)=0,"-",ROUND(Предыд!I357,0))</f>
        <v>-</v>
      </c>
      <c r="K358" s="30" t="str">
        <f>Текущий!L357</f>
        <v>Рихтовка</v>
      </c>
      <c r="L358" s="29">
        <f>Текущий!AL357</f>
        <v>0</v>
      </c>
      <c r="M358" s="29">
        <f>Текущий!AM357</f>
        <v>0</v>
      </c>
      <c r="N358" s="29">
        <f>Текущий!AN357</f>
        <v>0</v>
      </c>
      <c r="O358" s="29">
        <f>Текущий!AP357</f>
        <v>0</v>
      </c>
      <c r="P358" s="29">
        <f>Предыд!AL357</f>
        <v>0</v>
      </c>
      <c r="Q358" s="29">
        <f>Предыд!AM357</f>
        <v>0</v>
      </c>
      <c r="R358" s="29">
        <f>Предыд!AN357</f>
        <v>0</v>
      </c>
      <c r="S358" s="29">
        <f>Предыд!AO357</f>
        <v>0</v>
      </c>
      <c r="T358" s="17" t="str">
        <f t="shared" si="5"/>
        <v>-</v>
      </c>
    </row>
    <row r="359" spans="1:20" x14ac:dyDescent="0.25">
      <c r="A359" s="29">
        <f>Текущий!A358</f>
        <v>5</v>
      </c>
      <c r="B359" s="29">
        <f>Текущий!B358</f>
        <v>13808</v>
      </c>
      <c r="C359" s="29">
        <f>Текущий!C358</f>
        <v>2</v>
      </c>
      <c r="D359" s="29" t="str">
        <f>Текущий!D358</f>
        <v>Ин - Ольгохта</v>
      </c>
      <c r="E359" s="29">
        <f>ROUND(Текущий!J358,0)</f>
        <v>0</v>
      </c>
      <c r="F359" s="29">
        <f>Текущий!E358</f>
        <v>0</v>
      </c>
      <c r="G359" s="16" t="str">
        <f>IF(Текущий!K358="-",Текущий!K358,ROUND(Текущий!K358,0))</f>
        <v>-</v>
      </c>
      <c r="H359" s="29" t="str">
        <f>IF(ROUND(Текущий!I358,0)=0,"-",ROUND(Текущий!I358,0))</f>
        <v>-</v>
      </c>
      <c r="I359" s="16" t="str">
        <f>IF(Предыд!K358="-",Предыд!K358,ROUND(Предыд!K358,0))</f>
        <v>-</v>
      </c>
      <c r="J359" s="29" t="str">
        <f>IF(ROUND(Предыд!I358,0)=0,"-",ROUND(Предыд!I358,0))</f>
        <v>-</v>
      </c>
      <c r="K359" s="30" t="str">
        <f>Текущий!L358</f>
        <v>Рихтовка</v>
      </c>
      <c r="L359" s="29">
        <f>Текущий!AL358</f>
        <v>0</v>
      </c>
      <c r="M359" s="29">
        <f>Текущий!AM358</f>
        <v>0</v>
      </c>
      <c r="N359" s="29">
        <f>Текущий!AN358</f>
        <v>0</v>
      </c>
      <c r="O359" s="29">
        <f>Текущий!AP358</f>
        <v>0</v>
      </c>
      <c r="P359" s="29">
        <f>Предыд!AL358</f>
        <v>0</v>
      </c>
      <c r="Q359" s="29">
        <f>Предыд!AM358</f>
        <v>0</v>
      </c>
      <c r="R359" s="29">
        <f>Предыд!AN358</f>
        <v>0</v>
      </c>
      <c r="S359" s="29">
        <f>Предыд!AO358</f>
        <v>0</v>
      </c>
      <c r="T359" s="17" t="str">
        <f t="shared" si="5"/>
        <v>-</v>
      </c>
    </row>
    <row r="360" spans="1:20" x14ac:dyDescent="0.25">
      <c r="A360" s="29">
        <f>Текущий!A359</f>
        <v>5</v>
      </c>
      <c r="B360" s="29">
        <f>Текущий!B359</f>
        <v>13808</v>
      </c>
      <c r="C360" s="29">
        <f>Текущий!C359</f>
        <v>2</v>
      </c>
      <c r="D360" s="29" t="str">
        <f>Текущий!D359</f>
        <v>Ольгохта - Волочаевка I</v>
      </c>
      <c r="E360" s="29">
        <f>ROUND(Текущий!J359,0)</f>
        <v>0</v>
      </c>
      <c r="F360" s="29">
        <f>Текущий!E359</f>
        <v>0</v>
      </c>
      <c r="G360" s="16" t="str">
        <f>IF(Текущий!K359="-",Текущий!K359,ROUND(Текущий!K359,0))</f>
        <v>-</v>
      </c>
      <c r="H360" s="29" t="str">
        <f>IF(ROUND(Текущий!I359,0)=0,"-",ROUND(Текущий!I359,0))</f>
        <v>-</v>
      </c>
      <c r="I360" s="16" t="str">
        <f>IF(Предыд!K359="-",Предыд!K359,ROUND(Предыд!K359,0))</f>
        <v>-</v>
      </c>
      <c r="J360" s="29" t="str">
        <f>IF(ROUND(Предыд!I359,0)=0,"-",ROUND(Предыд!I359,0))</f>
        <v>-</v>
      </c>
      <c r="K360" s="30" t="str">
        <f>Текущий!L359</f>
        <v>Рихтовка</v>
      </c>
      <c r="L360" s="29">
        <f>Текущий!AL359</f>
        <v>0</v>
      </c>
      <c r="M360" s="29">
        <f>Текущий!AM359</f>
        <v>0</v>
      </c>
      <c r="N360" s="29">
        <f>Текущий!AN359</f>
        <v>0</v>
      </c>
      <c r="O360" s="29">
        <f>Текущий!AP359</f>
        <v>0</v>
      </c>
      <c r="P360" s="29">
        <f>Предыд!AL359</f>
        <v>0</v>
      </c>
      <c r="Q360" s="29">
        <f>Предыд!AM359</f>
        <v>0</v>
      </c>
      <c r="R360" s="29">
        <f>Предыд!AN359</f>
        <v>0</v>
      </c>
      <c r="S360" s="29">
        <f>Предыд!AO359</f>
        <v>0</v>
      </c>
      <c r="T360" s="17" t="str">
        <f t="shared" si="5"/>
        <v>-</v>
      </c>
    </row>
    <row r="361" spans="1:20" x14ac:dyDescent="0.25">
      <c r="A361" s="29">
        <f>Текущий!A360</f>
        <v>5</v>
      </c>
      <c r="B361" s="29">
        <f>Текущий!B360</f>
        <v>13808</v>
      </c>
      <c r="C361" s="29">
        <f>Текущий!C360</f>
        <v>2</v>
      </c>
      <c r="D361" s="29" t="str">
        <f>Текущий!D360</f>
        <v>Волочаевка I - Тунгусский</v>
      </c>
      <c r="E361" s="29">
        <f>ROUND(Текущий!J360,0)</f>
        <v>0</v>
      </c>
      <c r="F361" s="29">
        <f>Текущий!E360</f>
        <v>0</v>
      </c>
      <c r="G361" s="16" t="str">
        <f>IF(Текущий!K360="-",Текущий!K360,ROUND(Текущий!K360,0))</f>
        <v>-</v>
      </c>
      <c r="H361" s="29" t="str">
        <f>IF(ROUND(Текущий!I360,0)=0,"-",ROUND(Текущий!I360,0))</f>
        <v>-</v>
      </c>
      <c r="I361" s="16" t="str">
        <f>IF(Предыд!K360="-",Предыд!K360,ROUND(Предыд!K360,0))</f>
        <v>-</v>
      </c>
      <c r="J361" s="29" t="str">
        <f>IF(ROUND(Предыд!I360,0)=0,"-",ROUND(Предыд!I360,0))</f>
        <v>-</v>
      </c>
      <c r="K361" s="30" t="str">
        <f>Текущий!L360</f>
        <v>Рихтовка</v>
      </c>
      <c r="L361" s="29">
        <f>Текущий!AL360</f>
        <v>0</v>
      </c>
      <c r="M361" s="29">
        <f>Текущий!AM360</f>
        <v>0</v>
      </c>
      <c r="N361" s="29">
        <f>Текущий!AN360</f>
        <v>0</v>
      </c>
      <c r="O361" s="29">
        <f>Текущий!AP360</f>
        <v>0</v>
      </c>
      <c r="P361" s="29">
        <f>Предыд!AL360</f>
        <v>0</v>
      </c>
      <c r="Q361" s="29">
        <f>Предыд!AM360</f>
        <v>0</v>
      </c>
      <c r="R361" s="29">
        <f>Предыд!AN360</f>
        <v>0</v>
      </c>
      <c r="S361" s="29">
        <f>Предыд!AO360</f>
        <v>0</v>
      </c>
      <c r="T361" s="17" t="str">
        <f t="shared" si="5"/>
        <v>-</v>
      </c>
    </row>
    <row r="362" spans="1:20" x14ac:dyDescent="0.25">
      <c r="A362" s="29">
        <f>Текущий!A361</f>
        <v>5</v>
      </c>
      <c r="B362" s="29">
        <f>Текущий!B361</f>
        <v>13808</v>
      </c>
      <c r="C362" s="29">
        <f>Текущий!C361</f>
        <v>2</v>
      </c>
      <c r="D362" s="29" t="str">
        <f>Текущий!D361</f>
        <v>Тунгусский - Дежневка</v>
      </c>
      <c r="E362" s="29">
        <f>ROUND(Текущий!J361,0)</f>
        <v>0</v>
      </c>
      <c r="F362" s="29">
        <f>Текущий!E361</f>
        <v>0</v>
      </c>
      <c r="G362" s="16" t="str">
        <f>IF(Текущий!K361="-",Текущий!K361,ROUND(Текущий!K361,0))</f>
        <v>-</v>
      </c>
      <c r="H362" s="29" t="str">
        <f>IF(ROUND(Текущий!I361,0)=0,"-",ROUND(Текущий!I361,0))</f>
        <v>-</v>
      </c>
      <c r="I362" s="16" t="str">
        <f>IF(Предыд!K361="-",Предыд!K361,ROUND(Предыд!K361,0))</f>
        <v>-</v>
      </c>
      <c r="J362" s="29" t="str">
        <f>IF(ROUND(Предыд!I361,0)=0,"-",ROUND(Предыд!I361,0))</f>
        <v>-</v>
      </c>
      <c r="K362" s="30" t="str">
        <f>Текущий!L361</f>
        <v>Рихтовка</v>
      </c>
      <c r="L362" s="29">
        <f>Текущий!AL361</f>
        <v>0</v>
      </c>
      <c r="M362" s="29">
        <f>Текущий!AM361</f>
        <v>0</v>
      </c>
      <c r="N362" s="29">
        <f>Текущий!AN361</f>
        <v>0</v>
      </c>
      <c r="O362" s="29">
        <f>Текущий!AP361</f>
        <v>0</v>
      </c>
      <c r="P362" s="29">
        <f>Предыд!AL361</f>
        <v>0</v>
      </c>
      <c r="Q362" s="29">
        <f>Предыд!AM361</f>
        <v>0</v>
      </c>
      <c r="R362" s="29">
        <f>Предыд!AN361</f>
        <v>0</v>
      </c>
      <c r="S362" s="29">
        <f>Предыд!AO361</f>
        <v>0</v>
      </c>
      <c r="T362" s="17" t="str">
        <f t="shared" si="5"/>
        <v>-</v>
      </c>
    </row>
    <row r="363" spans="1:20" x14ac:dyDescent="0.25">
      <c r="A363" s="29">
        <f>Текущий!A362</f>
        <v>5</v>
      </c>
      <c r="B363" s="29">
        <f>Текущий!B362</f>
        <v>13808</v>
      </c>
      <c r="C363" s="29">
        <f>Текущий!C362</f>
        <v>2</v>
      </c>
      <c r="D363" s="29" t="str">
        <f>Текущий!D362</f>
        <v>Дежневка - Николаевка</v>
      </c>
      <c r="E363" s="29">
        <f>ROUND(Текущий!J362,0)</f>
        <v>0</v>
      </c>
      <c r="F363" s="29">
        <f>Текущий!E362</f>
        <v>0</v>
      </c>
      <c r="G363" s="16" t="str">
        <f>IF(Текущий!K362="-",Текущий!K362,ROUND(Текущий!K362,0))</f>
        <v>-</v>
      </c>
      <c r="H363" s="29" t="str">
        <f>IF(ROUND(Текущий!I362,0)=0,"-",ROUND(Текущий!I362,0))</f>
        <v>-</v>
      </c>
      <c r="I363" s="16" t="str">
        <f>IF(Предыд!K362="-",Предыд!K362,ROUND(Предыд!K362,0))</f>
        <v>-</v>
      </c>
      <c r="J363" s="29" t="str">
        <f>IF(ROUND(Предыд!I362,0)=0,"-",ROUND(Предыд!I362,0))</f>
        <v>-</v>
      </c>
      <c r="K363" s="30" t="str">
        <f>Текущий!L362</f>
        <v>Рихтовка</v>
      </c>
      <c r="L363" s="29">
        <f>Текущий!AL362</f>
        <v>0</v>
      </c>
      <c r="M363" s="29">
        <f>Текущий!AM362</f>
        <v>0</v>
      </c>
      <c r="N363" s="29">
        <f>Текущий!AN362</f>
        <v>0</v>
      </c>
      <c r="O363" s="29">
        <f>Текущий!AP362</f>
        <v>0</v>
      </c>
      <c r="P363" s="29">
        <f>Предыд!AL362</f>
        <v>0</v>
      </c>
      <c r="Q363" s="29">
        <f>Предыд!AM362</f>
        <v>0</v>
      </c>
      <c r="R363" s="29">
        <f>Предыд!AN362</f>
        <v>0</v>
      </c>
      <c r="S363" s="29">
        <f>Предыд!AO362</f>
        <v>0</v>
      </c>
      <c r="T363" s="17" t="str">
        <f t="shared" si="5"/>
        <v>-</v>
      </c>
    </row>
    <row r="364" spans="1:20" x14ac:dyDescent="0.25">
      <c r="A364" s="29">
        <f>Текущий!A363</f>
        <v>5</v>
      </c>
      <c r="B364" s="29">
        <f>Текущий!B363</f>
        <v>13808</v>
      </c>
      <c r="C364" s="29">
        <f>Текущий!C363</f>
        <v>2</v>
      </c>
      <c r="D364" s="29" t="str">
        <f>Текущий!D363</f>
        <v>Николаевка - Приамурская</v>
      </c>
      <c r="E364" s="29">
        <f>ROUND(Текущий!J363,0)</f>
        <v>0</v>
      </c>
      <c r="F364" s="29">
        <f>Текущий!E363</f>
        <v>0</v>
      </c>
      <c r="G364" s="16" t="str">
        <f>IF(Текущий!K363="-",Текущий!K363,ROUND(Текущий!K363,0))</f>
        <v>-</v>
      </c>
      <c r="H364" s="29" t="str">
        <f>IF(ROUND(Текущий!I363,0)=0,"-",ROUND(Текущий!I363,0))</f>
        <v>-</v>
      </c>
      <c r="I364" s="16" t="str">
        <f>IF(Предыд!K363="-",Предыд!K363,ROUND(Предыд!K363,0))</f>
        <v>-</v>
      </c>
      <c r="J364" s="29" t="str">
        <f>IF(ROUND(Предыд!I363,0)=0,"-",ROUND(Предыд!I363,0))</f>
        <v>-</v>
      </c>
      <c r="K364" s="30" t="str">
        <f>Текущий!L363</f>
        <v>Рихтовка</v>
      </c>
      <c r="L364" s="29">
        <f>Текущий!AL363</f>
        <v>0</v>
      </c>
      <c r="M364" s="29">
        <f>Текущий!AM363</f>
        <v>0</v>
      </c>
      <c r="N364" s="29">
        <f>Текущий!AN363</f>
        <v>0</v>
      </c>
      <c r="O364" s="29">
        <f>Текущий!AP363</f>
        <v>0</v>
      </c>
      <c r="P364" s="29">
        <f>Предыд!AL363</f>
        <v>0</v>
      </c>
      <c r="Q364" s="29">
        <f>Предыд!AM363</f>
        <v>0</v>
      </c>
      <c r="R364" s="29">
        <f>Предыд!AN363</f>
        <v>0</v>
      </c>
      <c r="S364" s="29">
        <f>Предыд!AO363</f>
        <v>0</v>
      </c>
      <c r="T364" s="17" t="str">
        <f t="shared" si="5"/>
        <v>-</v>
      </c>
    </row>
    <row r="365" spans="1:20" x14ac:dyDescent="0.25">
      <c r="A365" s="29">
        <f>Текущий!A364</f>
        <v>5</v>
      </c>
      <c r="B365" s="29">
        <f>Текущий!B364</f>
        <v>13808</v>
      </c>
      <c r="C365" s="29">
        <f>Текущий!C364</f>
        <v>2</v>
      </c>
      <c r="D365" s="29" t="str">
        <f>Текущий!D364</f>
        <v>Приамурская - Пост-Покровский</v>
      </c>
      <c r="E365" s="29">
        <f>ROUND(Текущий!J364,0)</f>
        <v>0</v>
      </c>
      <c r="F365" s="29">
        <f>Текущий!E364</f>
        <v>0</v>
      </c>
      <c r="G365" s="16" t="str">
        <f>IF(Текущий!K364="-",Текущий!K364,ROUND(Текущий!K364,0))</f>
        <v>-</v>
      </c>
      <c r="H365" s="29" t="str">
        <f>IF(ROUND(Текущий!I364,0)=0,"-",ROUND(Текущий!I364,0))</f>
        <v>-</v>
      </c>
      <c r="I365" s="16" t="str">
        <f>IF(Предыд!K364="-",Предыд!K364,ROUND(Предыд!K364,0))</f>
        <v>-</v>
      </c>
      <c r="J365" s="29" t="str">
        <f>IF(ROUND(Предыд!I364,0)=0,"-",ROUND(Предыд!I364,0))</f>
        <v>-</v>
      </c>
      <c r="K365" s="30" t="str">
        <f>Текущий!L364</f>
        <v>Рихтовка</v>
      </c>
      <c r="L365" s="29">
        <f>Текущий!AL364</f>
        <v>0</v>
      </c>
      <c r="M365" s="29">
        <f>Текущий!AM364</f>
        <v>0</v>
      </c>
      <c r="N365" s="29">
        <f>Текущий!AN364</f>
        <v>0</v>
      </c>
      <c r="O365" s="29">
        <f>Текущий!AP364</f>
        <v>0</v>
      </c>
      <c r="P365" s="29">
        <f>Предыд!AL364</f>
        <v>0</v>
      </c>
      <c r="Q365" s="29">
        <f>Предыд!AM364</f>
        <v>0</v>
      </c>
      <c r="R365" s="29">
        <f>Предыд!AN364</f>
        <v>0</v>
      </c>
      <c r="S365" s="29">
        <f>Предыд!AO364</f>
        <v>0</v>
      </c>
      <c r="T365" s="17" t="str">
        <f t="shared" si="5"/>
        <v>-</v>
      </c>
    </row>
    <row r="366" spans="1:20" x14ac:dyDescent="0.25">
      <c r="A366" s="29">
        <f>Текущий!A365</f>
        <v>5</v>
      </c>
      <c r="B366" s="29">
        <f>Текущий!B365</f>
        <v>13808</v>
      </c>
      <c r="C366" s="29">
        <f>Текущий!C365</f>
        <v>2</v>
      </c>
      <c r="D366" s="29" t="str">
        <f>Текущий!D365</f>
        <v>Пост-Покровский - Амур</v>
      </c>
      <c r="E366" s="29">
        <f>ROUND(Текущий!J365,0)</f>
        <v>0</v>
      </c>
      <c r="F366" s="29">
        <f>Текущий!E365</f>
        <v>0</v>
      </c>
      <c r="G366" s="16" t="str">
        <f>IF(Текущий!K365="-",Текущий!K365,ROUND(Текущий!K365,0))</f>
        <v>-</v>
      </c>
      <c r="H366" s="29" t="str">
        <f>IF(ROUND(Текущий!I365,0)=0,"-",ROUND(Текущий!I365,0))</f>
        <v>-</v>
      </c>
      <c r="I366" s="16" t="str">
        <f>IF(Предыд!K365="-",Предыд!K365,ROUND(Предыд!K365,0))</f>
        <v>-</v>
      </c>
      <c r="J366" s="29" t="str">
        <f>IF(ROUND(Предыд!I365,0)=0,"-",ROUND(Предыд!I365,0))</f>
        <v>-</v>
      </c>
      <c r="K366" s="30" t="str">
        <f>Текущий!L365</f>
        <v>Рихтовка</v>
      </c>
      <c r="L366" s="29">
        <f>Текущий!AL365</f>
        <v>0</v>
      </c>
      <c r="M366" s="29">
        <f>Текущий!AM365</f>
        <v>0</v>
      </c>
      <c r="N366" s="29">
        <f>Текущий!AN365</f>
        <v>0</v>
      </c>
      <c r="O366" s="29">
        <f>Текущий!AP365</f>
        <v>0</v>
      </c>
      <c r="P366" s="29">
        <f>Предыд!AL365</f>
        <v>0</v>
      </c>
      <c r="Q366" s="29">
        <f>Предыд!AM365</f>
        <v>0</v>
      </c>
      <c r="R366" s="29">
        <f>Предыд!AN365</f>
        <v>0</v>
      </c>
      <c r="S366" s="29">
        <f>Предыд!AO365</f>
        <v>0</v>
      </c>
      <c r="T366" s="17" t="str">
        <f t="shared" si="5"/>
        <v>-</v>
      </c>
    </row>
    <row r="367" spans="1:20" x14ac:dyDescent="0.25">
      <c r="A367" s="29">
        <f>Текущий!A366</f>
        <v>5</v>
      </c>
      <c r="B367" s="29">
        <f>Текущий!B366</f>
        <v>13808</v>
      </c>
      <c r="C367" s="29">
        <f>Текущий!C366</f>
        <v>2</v>
      </c>
      <c r="D367" s="29" t="str">
        <f>Текущий!D366</f>
        <v>Амур - Хабаровск I</v>
      </c>
      <c r="E367" s="29">
        <f>ROUND(Текущий!J366,0)</f>
        <v>0</v>
      </c>
      <c r="F367" s="29">
        <f>Текущий!E366</f>
        <v>0</v>
      </c>
      <c r="G367" s="16" t="str">
        <f>IF(Текущий!K366="-",Текущий!K366,ROUND(Текущий!K366,0))</f>
        <v>-</v>
      </c>
      <c r="H367" s="29" t="str">
        <f>IF(ROUND(Текущий!I366,0)=0,"-",ROUND(Текущий!I366,0))</f>
        <v>-</v>
      </c>
      <c r="I367" s="16" t="str">
        <f>IF(Предыд!K366="-",Предыд!K366,ROUND(Предыд!K366,0))</f>
        <v>-</v>
      </c>
      <c r="J367" s="29" t="str">
        <f>IF(ROUND(Предыд!I366,0)=0,"-",ROUND(Предыд!I366,0))</f>
        <v>-</v>
      </c>
      <c r="K367" s="30" t="str">
        <f>Текущий!L366</f>
        <v>Рихтовка</v>
      </c>
      <c r="L367" s="29">
        <f>Текущий!AL366</f>
        <v>0</v>
      </c>
      <c r="M367" s="29">
        <f>Текущий!AM366</f>
        <v>0</v>
      </c>
      <c r="N367" s="29">
        <f>Текущий!AN366</f>
        <v>0</v>
      </c>
      <c r="O367" s="29">
        <f>Текущий!AP366</f>
        <v>0</v>
      </c>
      <c r="P367" s="29">
        <f>Предыд!AL366</f>
        <v>0</v>
      </c>
      <c r="Q367" s="29">
        <f>Предыд!AM366</f>
        <v>0</v>
      </c>
      <c r="R367" s="29">
        <f>Предыд!AN366</f>
        <v>0</v>
      </c>
      <c r="S367" s="29">
        <f>Предыд!AO366</f>
        <v>0</v>
      </c>
      <c r="T367" s="17" t="str">
        <f t="shared" si="5"/>
        <v>-</v>
      </c>
    </row>
    <row r="368" spans="1:20" x14ac:dyDescent="0.25">
      <c r="A368" s="29">
        <f>Текущий!A367</f>
        <v>5</v>
      </c>
      <c r="B368" s="29">
        <f>Текущий!B367</f>
        <v>13808</v>
      </c>
      <c r="C368" s="29" t="str">
        <f>Текущий!C367</f>
        <v>Одн</v>
      </c>
      <c r="D368" s="29" t="str">
        <f>Текущий!D367</f>
        <v>Пост-Покровский - Хабаровск I</v>
      </c>
      <c r="E368" s="29">
        <f>ROUND(Текущий!J367,0)</f>
        <v>0</v>
      </c>
      <c r="F368" s="29">
        <f>Текущий!E367</f>
        <v>0</v>
      </c>
      <c r="G368" s="16" t="str">
        <f>IF(Текущий!K367="-",Текущий!K367,ROUND(Текущий!K367,0))</f>
        <v>-</v>
      </c>
      <c r="H368" s="29" t="str">
        <f>IF(ROUND(Текущий!I367,0)=0,"-",ROUND(Текущий!I367,0))</f>
        <v>-</v>
      </c>
      <c r="I368" s="16" t="str">
        <f>IF(Предыд!K367="-",Предыд!K367,ROUND(Предыд!K367,0))</f>
        <v>-</v>
      </c>
      <c r="J368" s="29" t="str">
        <f>IF(ROUND(Предыд!I367,0)=0,"-",ROUND(Предыд!I367,0))</f>
        <v>-</v>
      </c>
      <c r="K368" s="30" t="str">
        <f>Текущий!L367</f>
        <v>Рихтовка</v>
      </c>
      <c r="L368" s="29">
        <f>Текущий!AL367</f>
        <v>0</v>
      </c>
      <c r="M368" s="29">
        <f>Текущий!AM367</f>
        <v>0</v>
      </c>
      <c r="N368" s="29">
        <f>Текущий!AN367</f>
        <v>0</v>
      </c>
      <c r="O368" s="29">
        <f>Текущий!AP367</f>
        <v>0</v>
      </c>
      <c r="P368" s="29">
        <f>Предыд!AL367</f>
        <v>0</v>
      </c>
      <c r="Q368" s="29">
        <f>Предыд!AM367</f>
        <v>0</v>
      </c>
      <c r="R368" s="29">
        <f>Предыд!AN367</f>
        <v>0</v>
      </c>
      <c r="S368" s="29">
        <f>Предыд!AO367</f>
        <v>0</v>
      </c>
      <c r="T368" s="17" t="str">
        <f t="shared" si="5"/>
        <v>-</v>
      </c>
    </row>
    <row r="369" spans="1:20" x14ac:dyDescent="0.25">
      <c r="A369" s="29">
        <f>Текущий!A368</f>
        <v>5</v>
      </c>
      <c r="B369" s="29">
        <f>Текущий!B368</f>
        <v>13877</v>
      </c>
      <c r="C369" s="29" t="str">
        <f>Текущий!C368</f>
        <v>Одн</v>
      </c>
      <c r="D369" s="29" t="str">
        <f>Текущий!D368</f>
        <v>Хабаровск I - Пристань</v>
      </c>
      <c r="E369" s="29">
        <f>ROUND(Текущий!J368,0)</f>
        <v>0</v>
      </c>
      <c r="F369" s="29">
        <f>Текущий!E368</f>
        <v>0</v>
      </c>
      <c r="G369" s="16" t="str">
        <f>IF(Текущий!K368="-",Текущий!K368,ROUND(Текущий!K368,0))</f>
        <v>-</v>
      </c>
      <c r="H369" s="29" t="str">
        <f>IF(ROUND(Текущий!I368,0)=0,"-",ROUND(Текущий!I368,0))</f>
        <v>-</v>
      </c>
      <c r="I369" s="16" t="str">
        <f>IF(Предыд!K368="-",Предыд!K368,ROUND(Предыд!K368,0))</f>
        <v>-</v>
      </c>
      <c r="J369" s="29" t="str">
        <f>IF(ROUND(Предыд!I368,0)=0,"-",ROUND(Предыд!I368,0))</f>
        <v>-</v>
      </c>
      <c r="K369" s="30" t="str">
        <f>Текущий!L368</f>
        <v>Рихтовка</v>
      </c>
      <c r="L369" s="29">
        <f>Текущий!AL368</f>
        <v>0</v>
      </c>
      <c r="M369" s="29">
        <f>Текущий!AM368</f>
        <v>0</v>
      </c>
      <c r="N369" s="29">
        <f>Текущий!AN368</f>
        <v>0</v>
      </c>
      <c r="O369" s="29">
        <f>Текущий!AP368</f>
        <v>0</v>
      </c>
      <c r="P369" s="29">
        <f>Предыд!AL368</f>
        <v>0</v>
      </c>
      <c r="Q369" s="29">
        <f>Предыд!AM368</f>
        <v>0</v>
      </c>
      <c r="R369" s="29">
        <f>Предыд!AN368</f>
        <v>0</v>
      </c>
      <c r="S369" s="29">
        <f>Предыд!AO368</f>
        <v>0</v>
      </c>
      <c r="T369" s="17" t="str">
        <f t="shared" si="5"/>
        <v>-</v>
      </c>
    </row>
    <row r="370" spans="1:20" x14ac:dyDescent="0.25">
      <c r="A370" s="29">
        <f>Текущий!A369</f>
        <v>5</v>
      </c>
      <c r="B370" s="29">
        <f>Текущий!B369</f>
        <v>13878</v>
      </c>
      <c r="C370" s="29">
        <f>Текущий!C369</f>
        <v>1</v>
      </c>
      <c r="D370" s="29" t="str">
        <f>Текущий!D369</f>
        <v>Хабаровск I - ТЭЦ</v>
      </c>
      <c r="E370" s="29">
        <f>ROUND(Текущий!J369,0)</f>
        <v>0</v>
      </c>
      <c r="F370" s="29">
        <f>Текущий!E369</f>
        <v>0</v>
      </c>
      <c r="G370" s="16" t="str">
        <f>IF(Текущий!K369="-",Текущий!K369,ROUND(Текущий!K369,0))</f>
        <v>-</v>
      </c>
      <c r="H370" s="29" t="str">
        <f>IF(ROUND(Текущий!I369,0)=0,"-",ROUND(Текущий!I369,0))</f>
        <v>-</v>
      </c>
      <c r="I370" s="16" t="str">
        <f>IF(Предыд!K369="-",Предыд!K369,ROUND(Предыд!K369,0))</f>
        <v>-</v>
      </c>
      <c r="J370" s="29" t="str">
        <f>IF(ROUND(Предыд!I369,0)=0,"-",ROUND(Предыд!I369,0))</f>
        <v>-</v>
      </c>
      <c r="K370" s="30" t="str">
        <f>Текущий!L369</f>
        <v>Рихтовка</v>
      </c>
      <c r="L370" s="29">
        <f>Текущий!AL369</f>
        <v>0</v>
      </c>
      <c r="M370" s="29">
        <f>Текущий!AM369</f>
        <v>0</v>
      </c>
      <c r="N370" s="29">
        <f>Текущий!AN369</f>
        <v>0</v>
      </c>
      <c r="O370" s="29">
        <f>Текущий!AP369</f>
        <v>0</v>
      </c>
      <c r="P370" s="29">
        <f>Предыд!AL369</f>
        <v>0</v>
      </c>
      <c r="Q370" s="29">
        <f>Предыд!AM369</f>
        <v>0</v>
      </c>
      <c r="R370" s="29">
        <f>Предыд!AN369</f>
        <v>0</v>
      </c>
      <c r="S370" s="29">
        <f>Предыд!AO369</f>
        <v>0</v>
      </c>
      <c r="T370" s="17" t="str">
        <f t="shared" si="5"/>
        <v>-</v>
      </c>
    </row>
    <row r="371" spans="1:20" x14ac:dyDescent="0.25">
      <c r="A371" s="29">
        <f>Текущий!A370</f>
        <v>5</v>
      </c>
      <c r="B371" s="29">
        <f>Текущий!B370</f>
        <v>13808</v>
      </c>
      <c r="C371" s="29">
        <f>Текущий!C370</f>
        <v>1</v>
      </c>
      <c r="D371" s="29" t="str">
        <f>Текущий!D370</f>
        <v>Хабаровск I - Хабаровск II</v>
      </c>
      <c r="E371" s="29">
        <f>ROUND(Текущий!J370,0)</f>
        <v>0</v>
      </c>
      <c r="F371" s="29">
        <f>Текущий!E370</f>
        <v>0</v>
      </c>
      <c r="G371" s="16" t="str">
        <f>IF(Текущий!K370="-",Текущий!K370,ROUND(Текущий!K370,0))</f>
        <v>-</v>
      </c>
      <c r="H371" s="29" t="str">
        <f>IF(ROUND(Текущий!I370,0)=0,"-",ROUND(Текущий!I370,0))</f>
        <v>-</v>
      </c>
      <c r="I371" s="16" t="str">
        <f>IF(Предыд!K370="-",Предыд!K370,ROUND(Предыд!K370,0))</f>
        <v>-</v>
      </c>
      <c r="J371" s="29" t="str">
        <f>IF(ROUND(Предыд!I370,0)=0,"-",ROUND(Предыд!I370,0))</f>
        <v>-</v>
      </c>
      <c r="K371" s="30" t="str">
        <f>Текущий!L370</f>
        <v>Рихтовка</v>
      </c>
      <c r="L371" s="29">
        <f>Текущий!AL370</f>
        <v>0</v>
      </c>
      <c r="M371" s="29">
        <f>Текущий!AM370</f>
        <v>0</v>
      </c>
      <c r="N371" s="29">
        <f>Текущий!AN370</f>
        <v>0</v>
      </c>
      <c r="O371" s="29">
        <f>Текущий!AP370</f>
        <v>0</v>
      </c>
      <c r="P371" s="29">
        <f>Предыд!AL370</f>
        <v>0</v>
      </c>
      <c r="Q371" s="29">
        <f>Предыд!AM370</f>
        <v>0</v>
      </c>
      <c r="R371" s="29">
        <f>Предыд!AN370</f>
        <v>0</v>
      </c>
      <c r="S371" s="29">
        <f>Предыд!AO370</f>
        <v>0</v>
      </c>
      <c r="T371" s="17" t="str">
        <f t="shared" si="5"/>
        <v>-</v>
      </c>
    </row>
    <row r="372" spans="1:20" x14ac:dyDescent="0.25">
      <c r="A372" s="29">
        <f>Текущий!A371</f>
        <v>5</v>
      </c>
      <c r="B372" s="29">
        <f>Текущий!B371</f>
        <v>13808</v>
      </c>
      <c r="C372" s="29">
        <f>Текущий!C371</f>
        <v>2</v>
      </c>
      <c r="D372" s="29" t="str">
        <f>Текущий!D371</f>
        <v>Хабаровск I - Хабаровск II</v>
      </c>
      <c r="E372" s="29">
        <f>ROUND(Текущий!J371,0)</f>
        <v>0</v>
      </c>
      <c r="F372" s="29">
        <f>Текущий!E371</f>
        <v>0</v>
      </c>
      <c r="G372" s="16" t="str">
        <f>IF(Текущий!K371="-",Текущий!K371,ROUND(Текущий!K371,0))</f>
        <v>-</v>
      </c>
      <c r="H372" s="29" t="str">
        <f>IF(ROUND(Текущий!I371,0)=0,"-",ROUND(Текущий!I371,0))</f>
        <v>-</v>
      </c>
      <c r="I372" s="16" t="str">
        <f>IF(Предыд!K371="-",Предыд!K371,ROUND(Предыд!K371,0))</f>
        <v>-</v>
      </c>
      <c r="J372" s="29" t="str">
        <f>IF(ROUND(Предыд!I371,0)=0,"-",ROUND(Предыд!I371,0))</f>
        <v>-</v>
      </c>
      <c r="K372" s="30" t="str">
        <f>Текущий!L371</f>
        <v>Рихтовка</v>
      </c>
      <c r="L372" s="29">
        <f>Текущий!AL371</f>
        <v>0</v>
      </c>
      <c r="M372" s="29">
        <f>Текущий!AM371</f>
        <v>0</v>
      </c>
      <c r="N372" s="29">
        <f>Текущий!AN371</f>
        <v>0</v>
      </c>
      <c r="O372" s="29">
        <f>Текущий!AP371</f>
        <v>0</v>
      </c>
      <c r="P372" s="29">
        <f>Предыд!AL371</f>
        <v>0</v>
      </c>
      <c r="Q372" s="29">
        <f>Предыд!AM371</f>
        <v>0</v>
      </c>
      <c r="R372" s="29">
        <f>Предыд!AN371</f>
        <v>0</v>
      </c>
      <c r="S372" s="29">
        <f>Предыд!AO371</f>
        <v>0</v>
      </c>
      <c r="T372" s="17" t="str">
        <f t="shared" si="5"/>
        <v>-</v>
      </c>
    </row>
    <row r="373" spans="1:20" x14ac:dyDescent="0.25">
      <c r="A373" s="29">
        <f>Текущий!A372</f>
        <v>6</v>
      </c>
      <c r="B373" s="29">
        <f>Текущий!B372</f>
        <v>13809</v>
      </c>
      <c r="C373" s="29">
        <f>Текущий!C372</f>
        <v>1</v>
      </c>
      <c r="D373" s="29" t="str">
        <f>Текущий!D372</f>
        <v>Хабаровск I - Хабаровск II</v>
      </c>
      <c r="E373" s="29">
        <f>ROUND(Текущий!J372,0)</f>
        <v>0</v>
      </c>
      <c r="F373" s="29">
        <f>Текущий!E372</f>
        <v>0</v>
      </c>
      <c r="G373" s="16" t="str">
        <f>IF(Текущий!K372="-",Текущий!K372,ROUND(Текущий!K372,0))</f>
        <v>-</v>
      </c>
      <c r="H373" s="29" t="str">
        <f>IF(ROUND(Текущий!I372,0)=0,"-",ROUND(Текущий!I372,0))</f>
        <v>-</v>
      </c>
      <c r="I373" s="16" t="str">
        <f>IF(Предыд!K372="-",Предыд!K372,ROUND(Предыд!K372,0))</f>
        <v>-</v>
      </c>
      <c r="J373" s="29" t="str">
        <f>IF(ROUND(Предыд!I372,0)=0,"-",ROUND(Предыд!I372,0))</f>
        <v>-</v>
      </c>
      <c r="K373" s="30" t="str">
        <f>Текущий!L372</f>
        <v>Рихтовка</v>
      </c>
      <c r="L373" s="29">
        <f>Текущий!AL372</f>
        <v>0</v>
      </c>
      <c r="M373" s="29">
        <f>Текущий!AM372</f>
        <v>0</v>
      </c>
      <c r="N373" s="29">
        <f>Текущий!AN372</f>
        <v>0</v>
      </c>
      <c r="O373" s="29">
        <f>Текущий!AP372</f>
        <v>0</v>
      </c>
      <c r="P373" s="29">
        <f>Предыд!AL372</f>
        <v>0</v>
      </c>
      <c r="Q373" s="29">
        <f>Предыд!AM372</f>
        <v>0</v>
      </c>
      <c r="R373" s="29">
        <f>Предыд!AN372</f>
        <v>0</v>
      </c>
      <c r="S373" s="29">
        <f>Предыд!AO372</f>
        <v>0</v>
      </c>
      <c r="T373" s="17" t="str">
        <f t="shared" si="5"/>
        <v>-</v>
      </c>
    </row>
    <row r="374" spans="1:20" x14ac:dyDescent="0.25">
      <c r="A374" s="29">
        <f>Текущий!A373</f>
        <v>6</v>
      </c>
      <c r="B374" s="29">
        <f>Текущий!B373</f>
        <v>13809</v>
      </c>
      <c r="C374" s="29">
        <f>Текущий!C373</f>
        <v>2</v>
      </c>
      <c r="D374" s="29" t="str">
        <f>Текущий!D373</f>
        <v>Хабаровск I - Хабаровск II</v>
      </c>
      <c r="E374" s="29">
        <f>ROUND(Текущий!J373,0)</f>
        <v>0</v>
      </c>
      <c r="F374" s="29">
        <f>Текущий!E373</f>
        <v>0</v>
      </c>
      <c r="G374" s="16" t="str">
        <f>IF(Текущий!K373="-",Текущий!K373,ROUND(Текущий!K373,0))</f>
        <v>-</v>
      </c>
      <c r="H374" s="29" t="str">
        <f>IF(ROUND(Текущий!I373,0)=0,"-",ROUND(Текущий!I373,0))</f>
        <v>-</v>
      </c>
      <c r="I374" s="16" t="str">
        <f>IF(Предыд!K373="-",Предыд!K373,ROUND(Предыд!K373,0))</f>
        <v>-</v>
      </c>
      <c r="J374" s="29" t="str">
        <f>IF(ROUND(Предыд!I373,0)=0,"-",ROUND(Предыд!I373,0))</f>
        <v>-</v>
      </c>
      <c r="K374" s="30" t="str">
        <f>Текущий!L373</f>
        <v>Рихтовка</v>
      </c>
      <c r="L374" s="29">
        <f>Текущий!AL373</f>
        <v>0</v>
      </c>
      <c r="M374" s="29">
        <f>Текущий!AM373</f>
        <v>0</v>
      </c>
      <c r="N374" s="29">
        <f>Текущий!AN373</f>
        <v>0</v>
      </c>
      <c r="O374" s="29">
        <f>Текущий!AP373</f>
        <v>0</v>
      </c>
      <c r="P374" s="29">
        <f>Предыд!AL373</f>
        <v>0</v>
      </c>
      <c r="Q374" s="29">
        <f>Предыд!AM373</f>
        <v>0</v>
      </c>
      <c r="R374" s="29">
        <f>Предыд!AN373</f>
        <v>0</v>
      </c>
      <c r="S374" s="29">
        <f>Предыд!AO373</f>
        <v>0</v>
      </c>
      <c r="T374" s="17" t="str">
        <f t="shared" si="5"/>
        <v>-</v>
      </c>
    </row>
    <row r="375" spans="1:20" x14ac:dyDescent="0.25">
      <c r="A375" s="29">
        <f>Текущий!A374</f>
        <v>6</v>
      </c>
      <c r="B375" s="29">
        <f>Текущий!B374</f>
        <v>13809</v>
      </c>
      <c r="C375" s="29">
        <f>Текущий!C374</f>
        <v>1</v>
      </c>
      <c r="D375" s="29" t="str">
        <f>Текущий!D374</f>
        <v>ст. Хабаровск II</v>
      </c>
      <c r="E375" s="29">
        <f>ROUND(Текущий!J374,0)</f>
        <v>0</v>
      </c>
      <c r="F375" s="29">
        <f>Текущий!E374</f>
        <v>0</v>
      </c>
      <c r="G375" s="16" t="str">
        <f>IF(Текущий!K374="-",Текущий!K374,ROUND(Текущий!K374,0))</f>
        <v>-</v>
      </c>
      <c r="H375" s="29" t="str">
        <f>IF(ROUND(Текущий!I374,0)=0,"-",ROUND(Текущий!I374,0))</f>
        <v>-</v>
      </c>
      <c r="I375" s="16" t="str">
        <f>IF(Предыд!K374="-",Предыд!K374,ROUND(Предыд!K374,0))</f>
        <v>-</v>
      </c>
      <c r="J375" s="29" t="str">
        <f>IF(ROUND(Предыд!I374,0)=0,"-",ROUND(Предыд!I374,0))</f>
        <v>-</v>
      </c>
      <c r="K375" s="30" t="str">
        <f>Текущий!L374</f>
        <v>Рихтовка</v>
      </c>
      <c r="L375" s="29">
        <f>Текущий!AL374</f>
        <v>0</v>
      </c>
      <c r="M375" s="29">
        <f>Текущий!AM374</f>
        <v>0</v>
      </c>
      <c r="N375" s="29">
        <f>Текущий!AN374</f>
        <v>0</v>
      </c>
      <c r="O375" s="29">
        <f>Текущий!AP374</f>
        <v>0</v>
      </c>
      <c r="P375" s="29">
        <f>Предыд!AL374</f>
        <v>0</v>
      </c>
      <c r="Q375" s="29">
        <f>Предыд!AM374</f>
        <v>0</v>
      </c>
      <c r="R375" s="29">
        <f>Предыд!AN374</f>
        <v>0</v>
      </c>
      <c r="S375" s="29">
        <f>Предыд!AO374</f>
        <v>0</v>
      </c>
      <c r="T375" s="17" t="str">
        <f t="shared" si="5"/>
        <v>-</v>
      </c>
    </row>
    <row r="376" spans="1:20" x14ac:dyDescent="0.25">
      <c r="A376" s="29">
        <f>Текущий!A375</f>
        <v>6</v>
      </c>
      <c r="B376" s="29">
        <f>Текущий!B375</f>
        <v>13809</v>
      </c>
      <c r="C376" s="29">
        <f>Текущий!C375</f>
        <v>2</v>
      </c>
      <c r="D376" s="29" t="str">
        <f>Текущий!D375</f>
        <v>ст. Хабаровск II</v>
      </c>
      <c r="E376" s="29">
        <f>ROUND(Текущий!J375,0)</f>
        <v>0</v>
      </c>
      <c r="F376" s="29">
        <f>Текущий!E375</f>
        <v>0</v>
      </c>
      <c r="G376" s="16" t="str">
        <f>IF(Текущий!K375="-",Текущий!K375,ROUND(Текущий!K375,0))</f>
        <v>-</v>
      </c>
      <c r="H376" s="29" t="str">
        <f>IF(ROUND(Текущий!I375,0)=0,"-",ROUND(Текущий!I375,0))</f>
        <v>-</v>
      </c>
      <c r="I376" s="16" t="str">
        <f>IF(Предыд!K375="-",Предыд!K375,ROUND(Предыд!K375,0))</f>
        <v>-</v>
      </c>
      <c r="J376" s="29" t="str">
        <f>IF(ROUND(Предыд!I375,0)=0,"-",ROUND(Предыд!I375,0))</f>
        <v>-</v>
      </c>
      <c r="K376" s="30" t="str">
        <f>Текущий!L375</f>
        <v>Рихтовка</v>
      </c>
      <c r="L376" s="29">
        <f>Текущий!AL375</f>
        <v>0</v>
      </c>
      <c r="M376" s="29">
        <f>Текущий!AM375</f>
        <v>0</v>
      </c>
      <c r="N376" s="29">
        <f>Текущий!AN375</f>
        <v>0</v>
      </c>
      <c r="O376" s="29">
        <f>Текущий!AP375</f>
        <v>0</v>
      </c>
      <c r="P376" s="29">
        <f>Предыд!AL375</f>
        <v>0</v>
      </c>
      <c r="Q376" s="29">
        <f>Предыд!AM375</f>
        <v>0</v>
      </c>
      <c r="R376" s="29">
        <f>Предыд!AN375</f>
        <v>0</v>
      </c>
      <c r="S376" s="29">
        <f>Предыд!AO375</f>
        <v>0</v>
      </c>
      <c r="T376" s="17" t="str">
        <f t="shared" si="5"/>
        <v>-</v>
      </c>
    </row>
    <row r="377" spans="1:20" x14ac:dyDescent="0.25">
      <c r="A377" s="29">
        <f>Текущий!A376</f>
        <v>6</v>
      </c>
      <c r="B377" s="29">
        <f>Текущий!B376</f>
        <v>13809</v>
      </c>
      <c r="C377" s="29">
        <f>Текущий!C376</f>
        <v>3</v>
      </c>
      <c r="D377" s="29" t="str">
        <f>Текущий!D376</f>
        <v>ст. Хабаровск II</v>
      </c>
      <c r="E377" s="29">
        <f>ROUND(Текущий!J376,0)</f>
        <v>0</v>
      </c>
      <c r="F377" s="29">
        <f>Текущий!E376</f>
        <v>0</v>
      </c>
      <c r="G377" s="16" t="str">
        <f>IF(Текущий!K376="-",Текущий!K376,ROUND(Текущий!K376,0))</f>
        <v>-</v>
      </c>
      <c r="H377" s="29" t="str">
        <f>IF(ROUND(Текущий!I376,0)=0,"-",ROUND(Текущий!I376,0))</f>
        <v>-</v>
      </c>
      <c r="I377" s="16" t="str">
        <f>IF(Предыд!K376="-",Предыд!K376,ROUND(Предыд!K376,0))</f>
        <v>-</v>
      </c>
      <c r="J377" s="29" t="str">
        <f>IF(ROUND(Предыд!I376,0)=0,"-",ROUND(Предыд!I376,0))</f>
        <v>-</v>
      </c>
      <c r="K377" s="30" t="str">
        <f>Текущий!L376</f>
        <v>Рихтовка</v>
      </c>
      <c r="L377" s="29">
        <f>Текущий!AL376</f>
        <v>0</v>
      </c>
      <c r="M377" s="29">
        <f>Текущий!AM376</f>
        <v>0</v>
      </c>
      <c r="N377" s="29">
        <f>Текущий!AN376</f>
        <v>0</v>
      </c>
      <c r="O377" s="29">
        <f>Текущий!AP376</f>
        <v>0</v>
      </c>
      <c r="P377" s="29">
        <f>Предыд!AL376</f>
        <v>0</v>
      </c>
      <c r="Q377" s="29">
        <f>Предыд!AM376</f>
        <v>0</v>
      </c>
      <c r="R377" s="29">
        <f>Предыд!AN376</f>
        <v>0</v>
      </c>
      <c r="S377" s="29">
        <f>Предыд!AO376</f>
        <v>0</v>
      </c>
      <c r="T377" s="17" t="str">
        <f t="shared" si="5"/>
        <v>-</v>
      </c>
    </row>
    <row r="378" spans="1:20" x14ac:dyDescent="0.25">
      <c r="A378" s="29">
        <f>Текущий!A377</f>
        <v>6</v>
      </c>
      <c r="B378" s="29">
        <f>Текущий!B377</f>
        <v>13809</v>
      </c>
      <c r="C378" s="29">
        <f>Текущий!C377</f>
        <v>1</v>
      </c>
      <c r="D378" s="29" t="str">
        <f>Текущий!D377</f>
        <v>Хабаровск II - Красная Речка</v>
      </c>
      <c r="E378" s="29">
        <f>ROUND(Текущий!J377,0)</f>
        <v>0</v>
      </c>
      <c r="F378" s="29">
        <f>Текущий!E377</f>
        <v>0</v>
      </c>
      <c r="G378" s="16" t="str">
        <f>IF(Текущий!K377="-",Текущий!K377,ROUND(Текущий!K377,0))</f>
        <v>-</v>
      </c>
      <c r="H378" s="29" t="str">
        <f>IF(ROUND(Текущий!I377,0)=0,"-",ROUND(Текущий!I377,0))</f>
        <v>-</v>
      </c>
      <c r="I378" s="16" t="str">
        <f>IF(Предыд!K377="-",Предыд!K377,ROUND(Предыд!K377,0))</f>
        <v>-</v>
      </c>
      <c r="J378" s="29" t="str">
        <f>IF(ROUND(Предыд!I377,0)=0,"-",ROUND(Предыд!I377,0))</f>
        <v>-</v>
      </c>
      <c r="K378" s="30" t="str">
        <f>Текущий!L377</f>
        <v>Рихтовка</v>
      </c>
      <c r="L378" s="29">
        <f>Текущий!AL377</f>
        <v>0</v>
      </c>
      <c r="M378" s="29">
        <f>Текущий!AM377</f>
        <v>0</v>
      </c>
      <c r="N378" s="29">
        <f>Текущий!AN377</f>
        <v>0</v>
      </c>
      <c r="O378" s="29">
        <f>Текущий!AP377</f>
        <v>0</v>
      </c>
      <c r="P378" s="29">
        <f>Предыд!AL377</f>
        <v>0</v>
      </c>
      <c r="Q378" s="29">
        <f>Предыд!AM377</f>
        <v>0</v>
      </c>
      <c r="R378" s="29">
        <f>Предыд!AN377</f>
        <v>0</v>
      </c>
      <c r="S378" s="29">
        <f>Предыд!AO377</f>
        <v>0</v>
      </c>
      <c r="T378" s="17" t="str">
        <f t="shared" si="5"/>
        <v>-</v>
      </c>
    </row>
    <row r="379" spans="1:20" x14ac:dyDescent="0.25">
      <c r="A379" s="29">
        <f>Текущий!A378</f>
        <v>6</v>
      </c>
      <c r="B379" s="29">
        <f>Текущий!B378</f>
        <v>13809</v>
      </c>
      <c r="C379" s="29">
        <f>Текущий!C378</f>
        <v>1</v>
      </c>
      <c r="D379" s="29" t="str">
        <f>Текущий!D378</f>
        <v>Красная Речка - Корфовская</v>
      </c>
      <c r="E379" s="29">
        <f>ROUND(Текущий!J378,0)</f>
        <v>0</v>
      </c>
      <c r="F379" s="29">
        <f>Текущий!E378</f>
        <v>0</v>
      </c>
      <c r="G379" s="16" t="str">
        <f>IF(Текущий!K378="-",Текущий!K378,ROUND(Текущий!K378,0))</f>
        <v>-</v>
      </c>
      <c r="H379" s="29" t="str">
        <f>IF(ROUND(Текущий!I378,0)=0,"-",ROUND(Текущий!I378,0))</f>
        <v>-</v>
      </c>
      <c r="I379" s="16" t="str">
        <f>IF(Предыд!K378="-",Предыд!K378,ROUND(Предыд!K378,0))</f>
        <v>-</v>
      </c>
      <c r="J379" s="29" t="str">
        <f>IF(ROUND(Предыд!I378,0)=0,"-",ROUND(Предыд!I378,0))</f>
        <v>-</v>
      </c>
      <c r="K379" s="30" t="str">
        <f>Текущий!L378</f>
        <v>Рихтовка</v>
      </c>
      <c r="L379" s="29">
        <f>Текущий!AL378</f>
        <v>0</v>
      </c>
      <c r="M379" s="29">
        <f>Текущий!AM378</f>
        <v>0</v>
      </c>
      <c r="N379" s="29">
        <f>Текущий!AN378</f>
        <v>0</v>
      </c>
      <c r="O379" s="29">
        <f>Текущий!AP378</f>
        <v>0</v>
      </c>
      <c r="P379" s="29">
        <f>Предыд!AL378</f>
        <v>0</v>
      </c>
      <c r="Q379" s="29">
        <f>Предыд!AM378</f>
        <v>0</v>
      </c>
      <c r="R379" s="29">
        <f>Предыд!AN378</f>
        <v>0</v>
      </c>
      <c r="S379" s="29">
        <f>Предыд!AO378</f>
        <v>0</v>
      </c>
      <c r="T379" s="17" t="str">
        <f t="shared" si="5"/>
        <v>-</v>
      </c>
    </row>
    <row r="380" spans="1:20" x14ac:dyDescent="0.25">
      <c r="A380" s="29">
        <f>Текущий!A379</f>
        <v>6</v>
      </c>
      <c r="B380" s="29">
        <f>Текущий!B379</f>
        <v>13809</v>
      </c>
      <c r="C380" s="29">
        <f>Текущий!C379</f>
        <v>1</v>
      </c>
      <c r="D380" s="29" t="str">
        <f>Текущий!D379</f>
        <v>Корфовская - Кругликово</v>
      </c>
      <c r="E380" s="29">
        <f>ROUND(Текущий!J379,0)</f>
        <v>0</v>
      </c>
      <c r="F380" s="29">
        <f>Текущий!E379</f>
        <v>0</v>
      </c>
      <c r="G380" s="16" t="str">
        <f>IF(Текущий!K379="-",Текущий!K379,ROUND(Текущий!K379,0))</f>
        <v>-</v>
      </c>
      <c r="H380" s="29" t="str">
        <f>IF(ROUND(Текущий!I379,0)=0,"-",ROUND(Текущий!I379,0))</f>
        <v>-</v>
      </c>
      <c r="I380" s="16" t="str">
        <f>IF(Предыд!K379="-",Предыд!K379,ROUND(Предыд!K379,0))</f>
        <v>-</v>
      </c>
      <c r="J380" s="29" t="str">
        <f>IF(ROUND(Предыд!I379,0)=0,"-",ROUND(Предыд!I379,0))</f>
        <v>-</v>
      </c>
      <c r="K380" s="30" t="str">
        <f>Текущий!L379</f>
        <v>Рихтовка</v>
      </c>
      <c r="L380" s="29">
        <f>Текущий!AL379</f>
        <v>0</v>
      </c>
      <c r="M380" s="29">
        <f>Текущий!AM379</f>
        <v>0</v>
      </c>
      <c r="N380" s="29">
        <f>Текущий!AN379</f>
        <v>0</v>
      </c>
      <c r="O380" s="29">
        <f>Текущий!AP379</f>
        <v>0</v>
      </c>
      <c r="P380" s="29">
        <f>Предыд!AL379</f>
        <v>0</v>
      </c>
      <c r="Q380" s="29">
        <f>Предыд!AM379</f>
        <v>0</v>
      </c>
      <c r="R380" s="29">
        <f>Предыд!AN379</f>
        <v>0</v>
      </c>
      <c r="S380" s="29">
        <f>Предыд!AO379</f>
        <v>0</v>
      </c>
      <c r="T380" s="17" t="str">
        <f t="shared" si="5"/>
        <v>-</v>
      </c>
    </row>
    <row r="381" spans="1:20" x14ac:dyDescent="0.25">
      <c r="A381" s="29">
        <f>Текущий!A380</f>
        <v>6</v>
      </c>
      <c r="B381" s="29">
        <f>Текущий!B380</f>
        <v>13809</v>
      </c>
      <c r="C381" s="29">
        <f>Текущий!C380</f>
        <v>1</v>
      </c>
      <c r="D381" s="29" t="str">
        <f>Текущий!D380</f>
        <v>Кругликово - Верино</v>
      </c>
      <c r="E381" s="29">
        <f>ROUND(Текущий!J380,0)</f>
        <v>0</v>
      </c>
      <c r="F381" s="29">
        <f>Текущий!E380</f>
        <v>0</v>
      </c>
      <c r="G381" s="16" t="str">
        <f>IF(Текущий!K380="-",Текущий!K380,ROUND(Текущий!K380,0))</f>
        <v>-</v>
      </c>
      <c r="H381" s="29" t="str">
        <f>IF(ROUND(Текущий!I380,0)=0,"-",ROUND(Текущий!I380,0))</f>
        <v>-</v>
      </c>
      <c r="I381" s="16" t="str">
        <f>IF(Предыд!K380="-",Предыд!K380,ROUND(Предыд!K380,0))</f>
        <v>-</v>
      </c>
      <c r="J381" s="29" t="str">
        <f>IF(ROUND(Предыд!I380,0)=0,"-",ROUND(Предыд!I380,0))</f>
        <v>-</v>
      </c>
      <c r="K381" s="30" t="str">
        <f>Текущий!L380</f>
        <v>Рихтовка</v>
      </c>
      <c r="L381" s="29">
        <f>Текущий!AL380</f>
        <v>0</v>
      </c>
      <c r="M381" s="29">
        <f>Текущий!AM380</f>
        <v>0</v>
      </c>
      <c r="N381" s="29">
        <f>Текущий!AN380</f>
        <v>0</v>
      </c>
      <c r="O381" s="29">
        <f>Текущий!AP380</f>
        <v>0</v>
      </c>
      <c r="P381" s="29">
        <f>Предыд!AL380</f>
        <v>0</v>
      </c>
      <c r="Q381" s="29">
        <f>Предыд!AM380</f>
        <v>0</v>
      </c>
      <c r="R381" s="29">
        <f>Предыд!AN380</f>
        <v>0</v>
      </c>
      <c r="S381" s="29">
        <f>Предыд!AO380</f>
        <v>0</v>
      </c>
      <c r="T381" s="17" t="str">
        <f t="shared" si="5"/>
        <v>-</v>
      </c>
    </row>
    <row r="382" spans="1:20" x14ac:dyDescent="0.25">
      <c r="A382" s="29">
        <f>Текущий!A381</f>
        <v>6</v>
      </c>
      <c r="B382" s="29">
        <f>Текущий!B381</f>
        <v>13809</v>
      </c>
      <c r="C382" s="29">
        <f>Текущий!C381</f>
        <v>1</v>
      </c>
      <c r="D382" s="29" t="str">
        <f>Текущий!D381</f>
        <v>Верино - Хор</v>
      </c>
      <c r="E382" s="29">
        <f>ROUND(Текущий!J381,0)</f>
        <v>0</v>
      </c>
      <c r="F382" s="29">
        <f>Текущий!E381</f>
        <v>0</v>
      </c>
      <c r="G382" s="16" t="str">
        <f>IF(Текущий!K381="-",Текущий!K381,ROUND(Текущий!K381,0))</f>
        <v>-</v>
      </c>
      <c r="H382" s="29" t="str">
        <f>IF(ROUND(Текущий!I381,0)=0,"-",ROUND(Текущий!I381,0))</f>
        <v>-</v>
      </c>
      <c r="I382" s="16" t="str">
        <f>IF(Предыд!K381="-",Предыд!K381,ROUND(Предыд!K381,0))</f>
        <v>-</v>
      </c>
      <c r="J382" s="29" t="str">
        <f>IF(ROUND(Предыд!I381,0)=0,"-",ROUND(Предыд!I381,0))</f>
        <v>-</v>
      </c>
      <c r="K382" s="30" t="str">
        <f>Текущий!L381</f>
        <v>Рихтовка</v>
      </c>
      <c r="L382" s="29">
        <f>Текущий!AL381</f>
        <v>0</v>
      </c>
      <c r="M382" s="29">
        <f>Текущий!AM381</f>
        <v>0</v>
      </c>
      <c r="N382" s="29">
        <f>Текущий!AN381</f>
        <v>0</v>
      </c>
      <c r="O382" s="29">
        <f>Текущий!AP381</f>
        <v>0</v>
      </c>
      <c r="P382" s="29">
        <f>Предыд!AL381</f>
        <v>0</v>
      </c>
      <c r="Q382" s="29">
        <f>Предыд!AM381</f>
        <v>0</v>
      </c>
      <c r="R382" s="29">
        <f>Предыд!AN381</f>
        <v>0</v>
      </c>
      <c r="S382" s="29">
        <f>Предыд!AO381</f>
        <v>0</v>
      </c>
      <c r="T382" s="17" t="str">
        <f t="shared" si="5"/>
        <v>-</v>
      </c>
    </row>
    <row r="383" spans="1:20" x14ac:dyDescent="0.25">
      <c r="A383" s="29">
        <f>Текущий!A382</f>
        <v>6</v>
      </c>
      <c r="B383" s="29">
        <f>Текущий!B382</f>
        <v>13806</v>
      </c>
      <c r="C383" s="29" t="str">
        <f>Текущий!C382</f>
        <v>неч</v>
      </c>
      <c r="D383" s="29" t="str">
        <f>Текущий!D382</f>
        <v>Хор - Дормидонтовка</v>
      </c>
      <c r="E383" s="29">
        <f>ROUND(Текущий!J382,0)</f>
        <v>0</v>
      </c>
      <c r="F383" s="29">
        <f>Текущий!E382</f>
        <v>0</v>
      </c>
      <c r="G383" s="16" t="str">
        <f>IF(Текущий!K382="-",Текущий!K382,ROUND(Текущий!K382,0))</f>
        <v>-</v>
      </c>
      <c r="H383" s="29" t="str">
        <f>IF(ROUND(Текущий!I382,0)=0,"-",ROUND(Текущий!I382,0))</f>
        <v>-</v>
      </c>
      <c r="I383" s="16" t="str">
        <f>IF(Предыд!K382="-",Предыд!K382,ROUND(Предыд!K382,0))</f>
        <v>-</v>
      </c>
      <c r="J383" s="29" t="str">
        <f>IF(ROUND(Предыд!I382,0)=0,"-",ROUND(Предыд!I382,0))</f>
        <v>-</v>
      </c>
      <c r="K383" s="30" t="str">
        <f>Текущий!L382</f>
        <v>Рихтовка</v>
      </c>
      <c r="L383" s="29">
        <f>Текущий!AL382</f>
        <v>0</v>
      </c>
      <c r="M383" s="29">
        <f>Текущий!AM382</f>
        <v>0</v>
      </c>
      <c r="N383" s="29">
        <f>Текущий!AN382</f>
        <v>0</v>
      </c>
      <c r="O383" s="29">
        <f>Текущий!AP382</f>
        <v>0</v>
      </c>
      <c r="P383" s="29">
        <f>Предыд!AL382</f>
        <v>0</v>
      </c>
      <c r="Q383" s="29">
        <f>Предыд!AM382</f>
        <v>0</v>
      </c>
      <c r="R383" s="29">
        <f>Предыд!AN382</f>
        <v>0</v>
      </c>
      <c r="S383" s="29">
        <f>Предыд!AO382</f>
        <v>0</v>
      </c>
      <c r="T383" s="17" t="str">
        <f t="shared" si="5"/>
        <v>-</v>
      </c>
    </row>
    <row r="384" spans="1:20" x14ac:dyDescent="0.25">
      <c r="A384" s="29">
        <f>Текущий!A383</f>
        <v>6</v>
      </c>
      <c r="B384" s="29">
        <f>Текущий!B383</f>
        <v>13809</v>
      </c>
      <c r="C384" s="29">
        <f>Текущий!C383</f>
        <v>1</v>
      </c>
      <c r="D384" s="29" t="str">
        <f>Текущий!D383</f>
        <v>Хака - Дормидонтовка</v>
      </c>
      <c r="E384" s="29">
        <f>ROUND(Текущий!J383,0)</f>
        <v>0</v>
      </c>
      <c r="F384" s="29">
        <f>Текущий!E383</f>
        <v>0</v>
      </c>
      <c r="G384" s="16" t="str">
        <f>IF(Текущий!K383="-",Текущий!K383,ROUND(Текущий!K383,0))</f>
        <v>-</v>
      </c>
      <c r="H384" s="29" t="str">
        <f>IF(ROUND(Текущий!I383,0)=0,"-",ROUND(Текущий!I383,0))</f>
        <v>-</v>
      </c>
      <c r="I384" s="16" t="str">
        <f>IF(Предыд!K383="-",Предыд!K383,ROUND(Предыд!K383,0))</f>
        <v>-</v>
      </c>
      <c r="J384" s="29" t="str">
        <f>IF(ROUND(Предыд!I383,0)=0,"-",ROUND(Предыд!I383,0))</f>
        <v>-</v>
      </c>
      <c r="K384" s="30" t="str">
        <f>Текущий!L383</f>
        <v>Рихтовка</v>
      </c>
      <c r="L384" s="29">
        <f>Текущий!AL383</f>
        <v>0</v>
      </c>
      <c r="M384" s="29">
        <f>Текущий!AM383</f>
        <v>0</v>
      </c>
      <c r="N384" s="29">
        <f>Текущий!AN383</f>
        <v>0</v>
      </c>
      <c r="O384" s="29">
        <f>Текущий!AP383</f>
        <v>0</v>
      </c>
      <c r="P384" s="29">
        <f>Предыд!AL383</f>
        <v>0</v>
      </c>
      <c r="Q384" s="29">
        <f>Предыд!AM383</f>
        <v>0</v>
      </c>
      <c r="R384" s="29">
        <f>Предыд!AN383</f>
        <v>0</v>
      </c>
      <c r="S384" s="29">
        <f>Предыд!AO383</f>
        <v>0</v>
      </c>
      <c r="T384" s="17" t="str">
        <f t="shared" si="5"/>
        <v>-</v>
      </c>
    </row>
    <row r="385" spans="1:20" x14ac:dyDescent="0.25">
      <c r="A385" s="29">
        <f>Текущий!A384</f>
        <v>6</v>
      </c>
      <c r="B385" s="29">
        <f>Текущий!B384</f>
        <v>13809</v>
      </c>
      <c r="C385" s="29">
        <f>Текущий!C384</f>
        <v>1</v>
      </c>
      <c r="D385" s="29" t="str">
        <f>Текущий!D384</f>
        <v>Дормидонтовка - Красицкий</v>
      </c>
      <c r="E385" s="29">
        <f>ROUND(Текущий!J384,0)</f>
        <v>0</v>
      </c>
      <c r="F385" s="29">
        <f>Текущий!E384</f>
        <v>0</v>
      </c>
      <c r="G385" s="16" t="str">
        <f>IF(Текущий!K384="-",Текущий!K384,ROUND(Текущий!K384,0))</f>
        <v>-</v>
      </c>
      <c r="H385" s="29" t="str">
        <f>IF(ROUND(Текущий!I384,0)=0,"-",ROUND(Текущий!I384,0))</f>
        <v>-</v>
      </c>
      <c r="I385" s="16" t="str">
        <f>IF(Предыд!K384="-",Предыд!K384,ROUND(Предыд!K384,0))</f>
        <v>-</v>
      </c>
      <c r="J385" s="29" t="str">
        <f>IF(ROUND(Предыд!I384,0)=0,"-",ROUND(Предыд!I384,0))</f>
        <v>-</v>
      </c>
      <c r="K385" s="30" t="str">
        <f>Текущий!L384</f>
        <v>Рихтовка</v>
      </c>
      <c r="L385" s="29">
        <f>Текущий!AL384</f>
        <v>0</v>
      </c>
      <c r="M385" s="29">
        <f>Текущий!AM384</f>
        <v>0</v>
      </c>
      <c r="N385" s="29">
        <f>Текущий!AN384</f>
        <v>0</v>
      </c>
      <c r="O385" s="29">
        <f>Текущий!AP384</f>
        <v>0</v>
      </c>
      <c r="P385" s="29">
        <f>Предыд!AL384</f>
        <v>0</v>
      </c>
      <c r="Q385" s="29">
        <f>Предыд!AM384</f>
        <v>0</v>
      </c>
      <c r="R385" s="29">
        <f>Предыд!AN384</f>
        <v>0</v>
      </c>
      <c r="S385" s="29">
        <f>Предыд!AO384</f>
        <v>0</v>
      </c>
      <c r="T385" s="17" t="str">
        <f t="shared" si="5"/>
        <v>-</v>
      </c>
    </row>
    <row r="386" spans="1:20" x14ac:dyDescent="0.25">
      <c r="A386" s="29">
        <f>Текущий!A385</f>
        <v>6</v>
      </c>
      <c r="B386" s="29">
        <f>Текущий!B385</f>
        <v>13809</v>
      </c>
      <c r="C386" s="29">
        <f>Текущий!C385</f>
        <v>1</v>
      </c>
      <c r="D386" s="29" t="str">
        <f>Текущий!D385</f>
        <v>Красицкий - Вяземская</v>
      </c>
      <c r="E386" s="29">
        <f>ROUND(Текущий!J385,0)</f>
        <v>0</v>
      </c>
      <c r="F386" s="29">
        <f>Текущий!E385</f>
        <v>0</v>
      </c>
      <c r="G386" s="16" t="str">
        <f>IF(Текущий!K385="-",Текущий!K385,ROUND(Текущий!K385,0))</f>
        <v>-</v>
      </c>
      <c r="H386" s="29" t="str">
        <f>IF(ROUND(Текущий!I385,0)=0,"-",ROUND(Текущий!I385,0))</f>
        <v>-</v>
      </c>
      <c r="I386" s="16" t="str">
        <f>IF(Предыд!K385="-",Предыд!K385,ROUND(Предыд!K385,0))</f>
        <v>-</v>
      </c>
      <c r="J386" s="29" t="str">
        <f>IF(ROUND(Предыд!I385,0)=0,"-",ROUND(Предыд!I385,0))</f>
        <v>-</v>
      </c>
      <c r="K386" s="30" t="str">
        <f>Текущий!L385</f>
        <v>Рихтовка</v>
      </c>
      <c r="L386" s="29">
        <f>Текущий!AL385</f>
        <v>0</v>
      </c>
      <c r="M386" s="29">
        <f>Текущий!AM385</f>
        <v>0</v>
      </c>
      <c r="N386" s="29">
        <f>Текущий!AN385</f>
        <v>0</v>
      </c>
      <c r="O386" s="29">
        <f>Текущий!AP385</f>
        <v>0</v>
      </c>
      <c r="P386" s="29">
        <f>Предыд!AL385</f>
        <v>0</v>
      </c>
      <c r="Q386" s="29">
        <f>Предыд!AM385</f>
        <v>0</v>
      </c>
      <c r="R386" s="29">
        <f>Предыд!AN385</f>
        <v>0</v>
      </c>
      <c r="S386" s="29">
        <f>Предыд!AO385</f>
        <v>0</v>
      </c>
      <c r="T386" s="17" t="str">
        <f t="shared" si="5"/>
        <v>-</v>
      </c>
    </row>
    <row r="387" spans="1:20" x14ac:dyDescent="0.25">
      <c r="A387" s="29">
        <f>Текущий!A386</f>
        <v>6</v>
      </c>
      <c r="B387" s="29">
        <f>Текущий!B386</f>
        <v>13809</v>
      </c>
      <c r="C387" s="29">
        <f>Текущий!C386</f>
        <v>2</v>
      </c>
      <c r="D387" s="29" t="str">
        <f>Текущий!D386</f>
        <v>Хабаровск II - Красная Речка</v>
      </c>
      <c r="E387" s="29">
        <f>ROUND(Текущий!J386,0)</f>
        <v>0</v>
      </c>
      <c r="F387" s="29">
        <f>Текущий!E386</f>
        <v>0</v>
      </c>
      <c r="G387" s="16" t="str">
        <f>IF(Текущий!K386="-",Текущий!K386,ROUND(Текущий!K386,0))</f>
        <v>-</v>
      </c>
      <c r="H387" s="29" t="str">
        <f>IF(ROUND(Текущий!I386,0)=0,"-",ROUND(Текущий!I386,0))</f>
        <v>-</v>
      </c>
      <c r="I387" s="16" t="str">
        <f>IF(Предыд!K386="-",Предыд!K386,ROUND(Предыд!K386,0))</f>
        <v>-</v>
      </c>
      <c r="J387" s="29" t="str">
        <f>IF(ROUND(Предыд!I386,0)=0,"-",ROUND(Предыд!I386,0))</f>
        <v>-</v>
      </c>
      <c r="K387" s="30" t="str">
        <f>Текущий!L386</f>
        <v>Рихтовка</v>
      </c>
      <c r="L387" s="29">
        <f>Текущий!AL386</f>
        <v>0</v>
      </c>
      <c r="M387" s="29">
        <f>Текущий!AM386</f>
        <v>0</v>
      </c>
      <c r="N387" s="29">
        <f>Текущий!AN386</f>
        <v>0</v>
      </c>
      <c r="O387" s="29">
        <f>Текущий!AP386</f>
        <v>0</v>
      </c>
      <c r="P387" s="29">
        <f>Предыд!AL386</f>
        <v>0</v>
      </c>
      <c r="Q387" s="29">
        <f>Предыд!AM386</f>
        <v>0</v>
      </c>
      <c r="R387" s="29">
        <f>Предыд!AN386</f>
        <v>0</v>
      </c>
      <c r="S387" s="29">
        <f>Предыд!AO386</f>
        <v>0</v>
      </c>
      <c r="T387" s="17" t="str">
        <f t="shared" si="5"/>
        <v>-</v>
      </c>
    </row>
    <row r="388" spans="1:20" x14ac:dyDescent="0.25">
      <c r="A388" s="29">
        <f>Текущий!A387</f>
        <v>6</v>
      </c>
      <c r="B388" s="29">
        <f>Текущий!B387</f>
        <v>13809</v>
      </c>
      <c r="C388" s="29">
        <f>Текущий!C387</f>
        <v>2</v>
      </c>
      <c r="D388" s="29" t="str">
        <f>Текущий!D387</f>
        <v>Красная Речка - Корфовская</v>
      </c>
      <c r="E388" s="29">
        <f>ROUND(Текущий!J387,0)</f>
        <v>0</v>
      </c>
      <c r="F388" s="29">
        <f>Текущий!E387</f>
        <v>0</v>
      </c>
      <c r="G388" s="16" t="str">
        <f>IF(Текущий!K387="-",Текущий!K387,ROUND(Текущий!K387,0))</f>
        <v>-</v>
      </c>
      <c r="H388" s="29" t="str">
        <f>IF(ROUND(Текущий!I387,0)=0,"-",ROUND(Текущий!I387,0))</f>
        <v>-</v>
      </c>
      <c r="I388" s="16" t="str">
        <f>IF(Предыд!K387="-",Предыд!K387,ROUND(Предыд!K387,0))</f>
        <v>-</v>
      </c>
      <c r="J388" s="29" t="str">
        <f>IF(ROUND(Предыд!I387,0)=0,"-",ROUND(Предыд!I387,0))</f>
        <v>-</v>
      </c>
      <c r="K388" s="30" t="str">
        <f>Текущий!L387</f>
        <v>Рихтовка</v>
      </c>
      <c r="L388" s="29">
        <f>Текущий!AL387</f>
        <v>0</v>
      </c>
      <c r="M388" s="29">
        <f>Текущий!AM387</f>
        <v>0</v>
      </c>
      <c r="N388" s="29">
        <f>Текущий!AN387</f>
        <v>0</v>
      </c>
      <c r="O388" s="29">
        <f>Текущий!AP387</f>
        <v>0</v>
      </c>
      <c r="P388" s="29">
        <f>Предыд!AL387</f>
        <v>0</v>
      </c>
      <c r="Q388" s="29">
        <f>Предыд!AM387</f>
        <v>0</v>
      </c>
      <c r="R388" s="29">
        <f>Предыд!AN387</f>
        <v>0</v>
      </c>
      <c r="S388" s="29">
        <f>Предыд!AO387</f>
        <v>0</v>
      </c>
      <c r="T388" s="17" t="str">
        <f t="shared" si="5"/>
        <v>-</v>
      </c>
    </row>
    <row r="389" spans="1:20" x14ac:dyDescent="0.25">
      <c r="A389" s="29">
        <f>Текущий!A388</f>
        <v>6</v>
      </c>
      <c r="B389" s="29">
        <f>Текущий!B388</f>
        <v>13809</v>
      </c>
      <c r="C389" s="29">
        <f>Текущий!C388</f>
        <v>2</v>
      </c>
      <c r="D389" s="29" t="str">
        <f>Текущий!D388</f>
        <v>Корфовская - Кругликово</v>
      </c>
      <c r="E389" s="29">
        <f>ROUND(Текущий!J388,0)</f>
        <v>0</v>
      </c>
      <c r="F389" s="29">
        <f>Текущий!E388</f>
        <v>0</v>
      </c>
      <c r="G389" s="16" t="str">
        <f>IF(Текущий!K388="-",Текущий!K388,ROUND(Текущий!K388,0))</f>
        <v>-</v>
      </c>
      <c r="H389" s="29" t="str">
        <f>IF(ROUND(Текущий!I388,0)=0,"-",ROUND(Текущий!I388,0))</f>
        <v>-</v>
      </c>
      <c r="I389" s="16" t="str">
        <f>IF(Предыд!K388="-",Предыд!K388,ROUND(Предыд!K388,0))</f>
        <v>-</v>
      </c>
      <c r="J389" s="29" t="str">
        <f>IF(ROUND(Предыд!I388,0)=0,"-",ROUND(Предыд!I388,0))</f>
        <v>-</v>
      </c>
      <c r="K389" s="30" t="str">
        <f>Текущий!L388</f>
        <v>Рихтовка</v>
      </c>
      <c r="L389" s="29">
        <f>Текущий!AL388</f>
        <v>0</v>
      </c>
      <c r="M389" s="29">
        <f>Текущий!AM388</f>
        <v>0</v>
      </c>
      <c r="N389" s="29">
        <f>Текущий!AN388</f>
        <v>0</v>
      </c>
      <c r="O389" s="29">
        <f>Текущий!AP388</f>
        <v>0</v>
      </c>
      <c r="P389" s="29">
        <f>Предыд!AL388</f>
        <v>0</v>
      </c>
      <c r="Q389" s="29">
        <f>Предыд!AM388</f>
        <v>0</v>
      </c>
      <c r="R389" s="29">
        <f>Предыд!AN388</f>
        <v>0</v>
      </c>
      <c r="S389" s="29">
        <f>Предыд!AO388</f>
        <v>0</v>
      </c>
      <c r="T389" s="17" t="str">
        <f t="shared" ref="T389:T452" si="6">IF(G389&gt;I389,"+","-")</f>
        <v>-</v>
      </c>
    </row>
    <row r="390" spans="1:20" x14ac:dyDescent="0.25">
      <c r="A390" s="29">
        <f>Текущий!A389</f>
        <v>6</v>
      </c>
      <c r="B390" s="29">
        <f>Текущий!B389</f>
        <v>13809</v>
      </c>
      <c r="C390" s="29">
        <f>Текущий!C389</f>
        <v>2</v>
      </c>
      <c r="D390" s="29" t="str">
        <f>Текущий!D389</f>
        <v>Кругликово - Верино</v>
      </c>
      <c r="E390" s="29">
        <f>ROUND(Текущий!J389,0)</f>
        <v>0</v>
      </c>
      <c r="F390" s="29">
        <f>Текущий!E389</f>
        <v>0</v>
      </c>
      <c r="G390" s="16" t="str">
        <f>IF(Текущий!K389="-",Текущий!K389,ROUND(Текущий!K389,0))</f>
        <v>-</v>
      </c>
      <c r="H390" s="29" t="str">
        <f>IF(ROUND(Текущий!I389,0)=0,"-",ROUND(Текущий!I389,0))</f>
        <v>-</v>
      </c>
      <c r="I390" s="16" t="str">
        <f>IF(Предыд!K389="-",Предыд!K389,ROUND(Предыд!K389,0))</f>
        <v>-</v>
      </c>
      <c r="J390" s="29" t="str">
        <f>IF(ROUND(Предыд!I389,0)=0,"-",ROUND(Предыд!I389,0))</f>
        <v>-</v>
      </c>
      <c r="K390" s="30" t="str">
        <f>Текущий!L389</f>
        <v>Рихтовка</v>
      </c>
      <c r="L390" s="29">
        <f>Текущий!AL389</f>
        <v>0</v>
      </c>
      <c r="M390" s="29">
        <f>Текущий!AM389</f>
        <v>0</v>
      </c>
      <c r="N390" s="29">
        <f>Текущий!AN389</f>
        <v>0</v>
      </c>
      <c r="O390" s="29">
        <f>Текущий!AP389</f>
        <v>0</v>
      </c>
      <c r="P390" s="29">
        <f>Предыд!AL389</f>
        <v>0</v>
      </c>
      <c r="Q390" s="29">
        <f>Предыд!AM389</f>
        <v>0</v>
      </c>
      <c r="R390" s="29">
        <f>Предыд!AN389</f>
        <v>0</v>
      </c>
      <c r="S390" s="29">
        <f>Предыд!AO389</f>
        <v>0</v>
      </c>
      <c r="T390" s="17" t="str">
        <f t="shared" si="6"/>
        <v>-</v>
      </c>
    </row>
    <row r="391" spans="1:20" x14ac:dyDescent="0.25">
      <c r="A391" s="29">
        <f>Текущий!A390</f>
        <v>6</v>
      </c>
      <c r="B391" s="29">
        <f>Текущий!B390</f>
        <v>13809</v>
      </c>
      <c r="C391" s="29">
        <f>Текущий!C390</f>
        <v>2</v>
      </c>
      <c r="D391" s="29" t="str">
        <f>Текущий!D390</f>
        <v>Верино - Хор</v>
      </c>
      <c r="E391" s="29">
        <f>ROUND(Текущий!J390,0)</f>
        <v>0</v>
      </c>
      <c r="F391" s="29">
        <f>Текущий!E390</f>
        <v>0</v>
      </c>
      <c r="G391" s="16" t="str">
        <f>IF(Текущий!K390="-",Текущий!K390,ROUND(Текущий!K390,0))</f>
        <v>-</v>
      </c>
      <c r="H391" s="29" t="str">
        <f>IF(ROUND(Текущий!I390,0)=0,"-",ROUND(Текущий!I390,0))</f>
        <v>-</v>
      </c>
      <c r="I391" s="16" t="str">
        <f>IF(Предыд!K390="-",Предыд!K390,ROUND(Предыд!K390,0))</f>
        <v>-</v>
      </c>
      <c r="J391" s="29" t="str">
        <f>IF(ROUND(Предыд!I390,0)=0,"-",ROUND(Предыд!I390,0))</f>
        <v>-</v>
      </c>
      <c r="K391" s="30" t="str">
        <f>Текущий!L390</f>
        <v>Рихтовка</v>
      </c>
      <c r="L391" s="29">
        <f>Текущий!AL390</f>
        <v>0</v>
      </c>
      <c r="M391" s="29">
        <f>Текущий!AM390</f>
        <v>0</v>
      </c>
      <c r="N391" s="29">
        <f>Текущий!AN390</f>
        <v>0</v>
      </c>
      <c r="O391" s="29">
        <f>Текущий!AP390</f>
        <v>0</v>
      </c>
      <c r="P391" s="29">
        <f>Предыд!AL390</f>
        <v>0</v>
      </c>
      <c r="Q391" s="29">
        <f>Предыд!AM390</f>
        <v>0</v>
      </c>
      <c r="R391" s="29">
        <f>Предыд!AN390</f>
        <v>0</v>
      </c>
      <c r="S391" s="29">
        <f>Предыд!AO390</f>
        <v>0</v>
      </c>
      <c r="T391" s="17" t="str">
        <f t="shared" si="6"/>
        <v>-</v>
      </c>
    </row>
    <row r="392" spans="1:20" x14ac:dyDescent="0.25">
      <c r="A392" s="29">
        <f>Текущий!A391</f>
        <v>6</v>
      </c>
      <c r="B392" s="29">
        <f>Текущий!B391</f>
        <v>13809</v>
      </c>
      <c r="C392" s="29">
        <f>Текущий!C391</f>
        <v>2</v>
      </c>
      <c r="D392" s="29" t="str">
        <f>Текущий!D391</f>
        <v>Хор - Хака</v>
      </c>
      <c r="E392" s="29">
        <f>ROUND(Текущий!J391,0)</f>
        <v>0</v>
      </c>
      <c r="F392" s="29">
        <f>Текущий!E391</f>
        <v>0</v>
      </c>
      <c r="G392" s="16" t="str">
        <f>IF(Текущий!K391="-",Текущий!K391,ROUND(Текущий!K391,0))</f>
        <v>-</v>
      </c>
      <c r="H392" s="29" t="str">
        <f>IF(ROUND(Текущий!I391,0)=0,"-",ROUND(Текущий!I391,0))</f>
        <v>-</v>
      </c>
      <c r="I392" s="16" t="str">
        <f>IF(Предыд!K391="-",Предыд!K391,ROUND(Предыд!K391,0))</f>
        <v>-</v>
      </c>
      <c r="J392" s="29" t="str">
        <f>IF(ROUND(Предыд!I391,0)=0,"-",ROUND(Предыд!I391,0))</f>
        <v>-</v>
      </c>
      <c r="K392" s="30" t="str">
        <f>Текущий!L391</f>
        <v>Рихтовка</v>
      </c>
      <c r="L392" s="29">
        <f>Текущий!AL391</f>
        <v>0</v>
      </c>
      <c r="M392" s="29">
        <f>Текущий!AM391</f>
        <v>0</v>
      </c>
      <c r="N392" s="29">
        <f>Текущий!AN391</f>
        <v>0</v>
      </c>
      <c r="O392" s="29">
        <f>Текущий!AP391</f>
        <v>0</v>
      </c>
      <c r="P392" s="29">
        <f>Предыд!AL391</f>
        <v>0</v>
      </c>
      <c r="Q392" s="29">
        <f>Предыд!AM391</f>
        <v>0</v>
      </c>
      <c r="R392" s="29">
        <f>Предыд!AN391</f>
        <v>0</v>
      </c>
      <c r="S392" s="29">
        <f>Предыд!AO391</f>
        <v>0</v>
      </c>
      <c r="T392" s="17" t="str">
        <f t="shared" si="6"/>
        <v>-</v>
      </c>
    </row>
    <row r="393" spans="1:20" x14ac:dyDescent="0.25">
      <c r="A393" s="29">
        <f>Текущий!A392</f>
        <v>6</v>
      </c>
      <c r="B393" s="29">
        <f>Текущий!B392</f>
        <v>13809</v>
      </c>
      <c r="C393" s="29">
        <f>Текущий!C392</f>
        <v>2</v>
      </c>
      <c r="D393" s="29" t="str">
        <f>Текущий!D392</f>
        <v>Хака - Дормидонтовка</v>
      </c>
      <c r="E393" s="29">
        <f>ROUND(Текущий!J392,0)</f>
        <v>0</v>
      </c>
      <c r="F393" s="29">
        <f>Текущий!E392</f>
        <v>0</v>
      </c>
      <c r="G393" s="16" t="str">
        <f>IF(Текущий!K392="-",Текущий!K392,ROUND(Текущий!K392,0))</f>
        <v>-</v>
      </c>
      <c r="H393" s="29" t="str">
        <f>IF(ROUND(Текущий!I392,0)=0,"-",ROUND(Текущий!I392,0))</f>
        <v>-</v>
      </c>
      <c r="I393" s="16" t="str">
        <f>IF(Предыд!K392="-",Предыд!K392,ROUND(Предыд!K392,0))</f>
        <v>-</v>
      </c>
      <c r="J393" s="29" t="str">
        <f>IF(ROUND(Предыд!I392,0)=0,"-",ROUND(Предыд!I392,0))</f>
        <v>-</v>
      </c>
      <c r="K393" s="30" t="str">
        <f>Текущий!L392</f>
        <v>Рихтовка</v>
      </c>
      <c r="L393" s="29">
        <f>Текущий!AL392</f>
        <v>0</v>
      </c>
      <c r="M393" s="29">
        <f>Текущий!AM392</f>
        <v>0</v>
      </c>
      <c r="N393" s="29">
        <f>Текущий!AN392</f>
        <v>0</v>
      </c>
      <c r="O393" s="29">
        <f>Текущий!AP392</f>
        <v>0</v>
      </c>
      <c r="P393" s="29">
        <f>Предыд!AL392</f>
        <v>0</v>
      </c>
      <c r="Q393" s="29">
        <f>Предыд!AM392</f>
        <v>0</v>
      </c>
      <c r="R393" s="29">
        <f>Предыд!AN392</f>
        <v>0</v>
      </c>
      <c r="S393" s="29">
        <f>Предыд!AO392</f>
        <v>0</v>
      </c>
      <c r="T393" s="17" t="str">
        <f t="shared" si="6"/>
        <v>-</v>
      </c>
    </row>
    <row r="394" spans="1:20" x14ac:dyDescent="0.25">
      <c r="A394" s="29">
        <f>Текущий!A393</f>
        <v>6</v>
      </c>
      <c r="B394" s="29">
        <f>Текущий!B393</f>
        <v>13809</v>
      </c>
      <c r="C394" s="29">
        <f>Текущий!C393</f>
        <v>2</v>
      </c>
      <c r="D394" s="29" t="str">
        <f>Текущий!D393</f>
        <v>Дормидонтовка - Красицкий</v>
      </c>
      <c r="E394" s="29">
        <f>ROUND(Текущий!J393,0)</f>
        <v>0</v>
      </c>
      <c r="F394" s="29">
        <f>Текущий!E393</f>
        <v>0</v>
      </c>
      <c r="G394" s="16" t="str">
        <f>IF(Текущий!K393="-",Текущий!K393,ROUND(Текущий!K393,0))</f>
        <v>-</v>
      </c>
      <c r="H394" s="29" t="str">
        <f>IF(ROUND(Текущий!I393,0)=0,"-",ROUND(Текущий!I393,0))</f>
        <v>-</v>
      </c>
      <c r="I394" s="16" t="str">
        <f>IF(Предыд!K393="-",Предыд!K393,ROUND(Предыд!K393,0))</f>
        <v>-</v>
      </c>
      <c r="J394" s="29" t="str">
        <f>IF(ROUND(Предыд!I393,0)=0,"-",ROUND(Предыд!I393,0))</f>
        <v>-</v>
      </c>
      <c r="K394" s="30" t="str">
        <f>Текущий!L393</f>
        <v>Рихтовка</v>
      </c>
      <c r="L394" s="29">
        <f>Текущий!AL393</f>
        <v>0</v>
      </c>
      <c r="M394" s="29">
        <f>Текущий!AM393</f>
        <v>0</v>
      </c>
      <c r="N394" s="29">
        <f>Текущий!AN393</f>
        <v>0</v>
      </c>
      <c r="O394" s="29">
        <f>Текущий!AP393</f>
        <v>0</v>
      </c>
      <c r="P394" s="29">
        <f>Предыд!AL393</f>
        <v>0</v>
      </c>
      <c r="Q394" s="29">
        <f>Предыд!AM393</f>
        <v>0</v>
      </c>
      <c r="R394" s="29">
        <f>Предыд!AN393</f>
        <v>0</v>
      </c>
      <c r="S394" s="29">
        <f>Предыд!AO393</f>
        <v>0</v>
      </c>
      <c r="T394" s="17" t="str">
        <f t="shared" si="6"/>
        <v>-</v>
      </c>
    </row>
    <row r="395" spans="1:20" x14ac:dyDescent="0.25">
      <c r="A395" s="29">
        <f>Текущий!A394</f>
        <v>6</v>
      </c>
      <c r="B395" s="29">
        <f>Текущий!B394</f>
        <v>13809</v>
      </c>
      <c r="C395" s="29">
        <f>Текущий!C394</f>
        <v>2</v>
      </c>
      <c r="D395" s="29" t="str">
        <f>Текущий!D394</f>
        <v>Красицкий - Вяземская</v>
      </c>
      <c r="E395" s="29">
        <f>ROUND(Текущий!J394,0)</f>
        <v>0</v>
      </c>
      <c r="F395" s="29">
        <f>Текущий!E394</f>
        <v>0</v>
      </c>
      <c r="G395" s="16" t="str">
        <f>IF(Текущий!K394="-",Текущий!K394,ROUND(Текущий!K394,0))</f>
        <v>-</v>
      </c>
      <c r="H395" s="29" t="str">
        <f>IF(ROUND(Текущий!I394,0)=0,"-",ROUND(Текущий!I394,0))</f>
        <v>-</v>
      </c>
      <c r="I395" s="16" t="str">
        <f>IF(Предыд!K394="-",Предыд!K394,ROUND(Предыд!K394,0))</f>
        <v>-</v>
      </c>
      <c r="J395" s="29" t="str">
        <f>IF(ROUND(Предыд!I394,0)=0,"-",ROUND(Предыд!I394,0))</f>
        <v>-</v>
      </c>
      <c r="K395" s="30" t="str">
        <f>Текущий!L394</f>
        <v>Рихтовка</v>
      </c>
      <c r="L395" s="29">
        <f>Текущий!AL394</f>
        <v>0</v>
      </c>
      <c r="M395" s="29">
        <f>Текущий!AM394</f>
        <v>0</v>
      </c>
      <c r="N395" s="29">
        <f>Текущий!AN394</f>
        <v>0</v>
      </c>
      <c r="O395" s="29">
        <f>Текущий!AP394</f>
        <v>0</v>
      </c>
      <c r="P395" s="29">
        <f>Предыд!AL394</f>
        <v>0</v>
      </c>
      <c r="Q395" s="29">
        <f>Предыд!AM394</f>
        <v>0</v>
      </c>
      <c r="R395" s="29">
        <f>Предыд!AN394</f>
        <v>0</v>
      </c>
      <c r="S395" s="29">
        <f>Предыд!AO394</f>
        <v>0</v>
      </c>
      <c r="T395" s="17" t="str">
        <f t="shared" si="6"/>
        <v>-</v>
      </c>
    </row>
    <row r="396" spans="1:20" x14ac:dyDescent="0.25">
      <c r="A396" s="29">
        <f>Текущий!A395</f>
        <v>7</v>
      </c>
      <c r="B396" s="29">
        <f>Текущий!B395</f>
        <v>13809</v>
      </c>
      <c r="C396" s="29">
        <f>Текущий!C395</f>
        <v>1</v>
      </c>
      <c r="D396" s="29" t="str">
        <f>Текущий!D395</f>
        <v>Красицкий - Вяземская</v>
      </c>
      <c r="E396" s="29">
        <f>ROUND(Текущий!J395,0)</f>
        <v>0</v>
      </c>
      <c r="F396" s="29">
        <f>Текущий!E395</f>
        <v>0</v>
      </c>
      <c r="G396" s="16" t="str">
        <f>IF(Текущий!K395="-",Текущий!K395,ROUND(Текущий!K395,0))</f>
        <v>-</v>
      </c>
      <c r="H396" s="29" t="str">
        <f>IF(ROUND(Текущий!I395,0)=0,"-",ROUND(Текущий!I395,0))</f>
        <v>-</v>
      </c>
      <c r="I396" s="16" t="str">
        <f>IF(Предыд!K395="-",Предыд!K395,ROUND(Предыд!K395,0))</f>
        <v>-</v>
      </c>
      <c r="J396" s="29" t="str">
        <f>IF(ROUND(Предыд!I395,0)=0,"-",ROUND(Предыд!I395,0))</f>
        <v>-</v>
      </c>
      <c r="K396" s="30" t="str">
        <f>Текущий!L395</f>
        <v>Рихтовка</v>
      </c>
      <c r="L396" s="29">
        <f>Текущий!AL395</f>
        <v>0</v>
      </c>
      <c r="M396" s="29">
        <f>Текущий!AM395</f>
        <v>0</v>
      </c>
      <c r="N396" s="29">
        <f>Текущий!AN395</f>
        <v>0</v>
      </c>
      <c r="O396" s="29">
        <f>Текущий!AP395</f>
        <v>0</v>
      </c>
      <c r="P396" s="29">
        <f>Предыд!AL395</f>
        <v>0</v>
      </c>
      <c r="Q396" s="29">
        <f>Предыд!AM395</f>
        <v>0</v>
      </c>
      <c r="R396" s="29">
        <f>Предыд!AN395</f>
        <v>0</v>
      </c>
      <c r="S396" s="29">
        <f>Предыд!AO395</f>
        <v>0</v>
      </c>
      <c r="T396" s="17" t="str">
        <f t="shared" si="6"/>
        <v>-</v>
      </c>
    </row>
    <row r="397" spans="1:20" x14ac:dyDescent="0.25">
      <c r="A397" s="29">
        <f>Текущий!A396</f>
        <v>7</v>
      </c>
      <c r="B397" s="29">
        <f>Текущий!B396</f>
        <v>13809</v>
      </c>
      <c r="C397" s="29">
        <f>Текущий!C396</f>
        <v>2</v>
      </c>
      <c r="D397" s="29" t="str">
        <f>Текущий!D396</f>
        <v>Красицкий - Вяземская</v>
      </c>
      <c r="E397" s="29">
        <f>ROUND(Текущий!J396,0)</f>
        <v>0</v>
      </c>
      <c r="F397" s="29">
        <f>Текущий!E396</f>
        <v>0</v>
      </c>
      <c r="G397" s="16" t="str">
        <f>IF(Текущий!K396="-",Текущий!K396,ROUND(Текущий!K396,0))</f>
        <v>-</v>
      </c>
      <c r="H397" s="29" t="str">
        <f>IF(ROUND(Текущий!I396,0)=0,"-",ROUND(Текущий!I396,0))</f>
        <v>-</v>
      </c>
      <c r="I397" s="16" t="str">
        <f>IF(Предыд!K396="-",Предыд!K396,ROUND(Предыд!K396,0))</f>
        <v>-</v>
      </c>
      <c r="J397" s="29" t="str">
        <f>IF(ROUND(Предыд!I396,0)=0,"-",ROUND(Предыд!I396,0))</f>
        <v>-</v>
      </c>
      <c r="K397" s="30" t="str">
        <f>Текущий!L396</f>
        <v>Рихтовка</v>
      </c>
      <c r="L397" s="29">
        <f>Текущий!AL396</f>
        <v>0</v>
      </c>
      <c r="M397" s="29">
        <f>Текущий!AM396</f>
        <v>0</v>
      </c>
      <c r="N397" s="29">
        <f>Текущий!AN396</f>
        <v>0</v>
      </c>
      <c r="O397" s="29">
        <f>Текущий!AP396</f>
        <v>0</v>
      </c>
      <c r="P397" s="29">
        <f>Предыд!AL396</f>
        <v>0</v>
      </c>
      <c r="Q397" s="29">
        <f>Предыд!AM396</f>
        <v>0</v>
      </c>
      <c r="R397" s="29">
        <f>Предыд!AN396</f>
        <v>0</v>
      </c>
      <c r="S397" s="29">
        <f>Предыд!AO396</f>
        <v>0</v>
      </c>
      <c r="T397" s="17" t="str">
        <f t="shared" si="6"/>
        <v>-</v>
      </c>
    </row>
    <row r="398" spans="1:20" x14ac:dyDescent="0.25">
      <c r="A398" s="29">
        <f>Текущий!A397</f>
        <v>7</v>
      </c>
      <c r="B398" s="29">
        <f>Текущий!B397</f>
        <v>13809</v>
      </c>
      <c r="C398" s="29" t="str">
        <f>Текущий!C397</f>
        <v>он</v>
      </c>
      <c r="D398" s="29" t="str">
        <f>Текущий!D397</f>
        <v>ст. Вяземская</v>
      </c>
      <c r="E398" s="29">
        <f>ROUND(Текущий!J397,0)</f>
        <v>0</v>
      </c>
      <c r="F398" s="29">
        <f>Текущий!E397</f>
        <v>0</v>
      </c>
      <c r="G398" s="16" t="str">
        <f>IF(Текущий!K397="-",Текущий!K397,ROUND(Текущий!K397,0))</f>
        <v>-</v>
      </c>
      <c r="H398" s="29" t="str">
        <f>IF(ROUND(Текущий!I397,0)=0,"-",ROUND(Текущий!I397,0))</f>
        <v>-</v>
      </c>
      <c r="I398" s="16" t="str">
        <f>IF(Предыд!K397="-",Предыд!K397,ROUND(Предыд!K397,0))</f>
        <v>-</v>
      </c>
      <c r="J398" s="29" t="str">
        <f>IF(ROUND(Предыд!I397,0)=0,"-",ROUND(Предыд!I397,0))</f>
        <v>-</v>
      </c>
      <c r="K398" s="30" t="str">
        <f>Текущий!L397</f>
        <v>Рихтовка</v>
      </c>
      <c r="L398" s="29">
        <f>Текущий!AL397</f>
        <v>0</v>
      </c>
      <c r="M398" s="29">
        <f>Текущий!AM397</f>
        <v>0</v>
      </c>
      <c r="N398" s="29">
        <f>Текущий!AN397</f>
        <v>0</v>
      </c>
      <c r="O398" s="29">
        <f>Текущий!AP397</f>
        <v>0</v>
      </c>
      <c r="P398" s="29">
        <f>Предыд!AL397</f>
        <v>0</v>
      </c>
      <c r="Q398" s="29">
        <f>Предыд!AM397</f>
        <v>0</v>
      </c>
      <c r="R398" s="29">
        <f>Предыд!AN397</f>
        <v>0</v>
      </c>
      <c r="S398" s="29">
        <f>Предыд!AO397</f>
        <v>0</v>
      </c>
      <c r="T398" s="17" t="str">
        <f t="shared" si="6"/>
        <v>-</v>
      </c>
    </row>
    <row r="399" spans="1:20" x14ac:dyDescent="0.25">
      <c r="A399" s="29">
        <f>Текущий!A398</f>
        <v>7</v>
      </c>
      <c r="B399" s="29">
        <f>Текущий!B398</f>
        <v>13809</v>
      </c>
      <c r="C399" s="29">
        <f>Текущий!C398</f>
        <v>1</v>
      </c>
      <c r="D399" s="29" t="str">
        <f>Текущий!D398</f>
        <v>Вяземская - Аван</v>
      </c>
      <c r="E399" s="29">
        <f>ROUND(Текущий!J398,0)</f>
        <v>0</v>
      </c>
      <c r="F399" s="29">
        <f>Текущий!E398</f>
        <v>0</v>
      </c>
      <c r="G399" s="16" t="str">
        <f>IF(Текущий!K398="-",Текущий!K398,ROUND(Текущий!K398,0))</f>
        <v>-</v>
      </c>
      <c r="H399" s="29" t="str">
        <f>IF(ROUND(Текущий!I398,0)=0,"-",ROUND(Текущий!I398,0))</f>
        <v>-</v>
      </c>
      <c r="I399" s="16" t="str">
        <f>IF(Предыд!K398="-",Предыд!K398,ROUND(Предыд!K398,0))</f>
        <v>-</v>
      </c>
      <c r="J399" s="29" t="str">
        <f>IF(ROUND(Предыд!I398,0)=0,"-",ROUND(Предыд!I398,0))</f>
        <v>-</v>
      </c>
      <c r="K399" s="30" t="str">
        <f>Текущий!L398</f>
        <v>Рихтовка</v>
      </c>
      <c r="L399" s="29">
        <f>Текущий!AL398</f>
        <v>0</v>
      </c>
      <c r="M399" s="29">
        <f>Текущий!AM398</f>
        <v>0</v>
      </c>
      <c r="N399" s="29">
        <f>Текущий!AN398</f>
        <v>0</v>
      </c>
      <c r="O399" s="29">
        <f>Текущий!AP398</f>
        <v>0</v>
      </c>
      <c r="P399" s="29">
        <f>Предыд!AL398</f>
        <v>0</v>
      </c>
      <c r="Q399" s="29">
        <f>Предыд!AM398</f>
        <v>0</v>
      </c>
      <c r="R399" s="29">
        <f>Предыд!AN398</f>
        <v>0</v>
      </c>
      <c r="S399" s="29">
        <f>Предыд!AO398</f>
        <v>0</v>
      </c>
      <c r="T399" s="17" t="str">
        <f t="shared" si="6"/>
        <v>-</v>
      </c>
    </row>
    <row r="400" spans="1:20" x14ac:dyDescent="0.25">
      <c r="A400" s="29">
        <f>Текущий!A399</f>
        <v>7</v>
      </c>
      <c r="B400" s="29">
        <f>Текущий!B399</f>
        <v>13809</v>
      </c>
      <c r="C400" s="29">
        <f>Текущий!C399</f>
        <v>1</v>
      </c>
      <c r="D400" s="29" t="str">
        <f>Текущий!D399</f>
        <v>Аван - Котиково</v>
      </c>
      <c r="E400" s="29">
        <f>ROUND(Текущий!J399,0)</f>
        <v>0</v>
      </c>
      <c r="F400" s="29">
        <f>Текущий!E399</f>
        <v>0</v>
      </c>
      <c r="G400" s="16" t="str">
        <f>IF(Текущий!K399="-",Текущий!K399,ROUND(Текущий!K399,0))</f>
        <v>-</v>
      </c>
      <c r="H400" s="29" t="str">
        <f>IF(ROUND(Текущий!I399,0)=0,"-",ROUND(Текущий!I399,0))</f>
        <v>-</v>
      </c>
      <c r="I400" s="16" t="str">
        <f>IF(Предыд!K399="-",Предыд!K399,ROUND(Предыд!K399,0))</f>
        <v>-</v>
      </c>
      <c r="J400" s="29" t="str">
        <f>IF(ROUND(Предыд!I399,0)=0,"-",ROUND(Предыд!I399,0))</f>
        <v>-</v>
      </c>
      <c r="K400" s="30" t="str">
        <f>Текущий!L399</f>
        <v>Рихтовка</v>
      </c>
      <c r="L400" s="29">
        <f>Текущий!AL399</f>
        <v>0</v>
      </c>
      <c r="M400" s="29">
        <f>Текущий!AM399</f>
        <v>0</v>
      </c>
      <c r="N400" s="29">
        <f>Текущий!AN399</f>
        <v>0</v>
      </c>
      <c r="O400" s="29">
        <f>Текущий!AP399</f>
        <v>0</v>
      </c>
      <c r="P400" s="29">
        <f>Предыд!AL399</f>
        <v>0</v>
      </c>
      <c r="Q400" s="29">
        <f>Предыд!AM399</f>
        <v>0</v>
      </c>
      <c r="R400" s="29">
        <f>Предыд!AN399</f>
        <v>0</v>
      </c>
      <c r="S400" s="29">
        <f>Предыд!AO399</f>
        <v>0</v>
      </c>
      <c r="T400" s="17" t="str">
        <f t="shared" si="6"/>
        <v>-</v>
      </c>
    </row>
    <row r="401" spans="1:20" x14ac:dyDescent="0.25">
      <c r="A401" s="29">
        <f>Текущий!A400</f>
        <v>7</v>
      </c>
      <c r="B401" s="29">
        <f>Текущий!B400</f>
        <v>13809</v>
      </c>
      <c r="C401" s="29">
        <f>Текущий!C400</f>
        <v>1</v>
      </c>
      <c r="D401" s="29" t="str">
        <f>Текущий!D400</f>
        <v>Котиково - Гедике</v>
      </c>
      <c r="E401" s="29">
        <f>ROUND(Текущий!J400,0)</f>
        <v>0</v>
      </c>
      <c r="F401" s="29">
        <f>Текущий!E400</f>
        <v>0</v>
      </c>
      <c r="G401" s="16" t="str">
        <f>IF(Текущий!K400="-",Текущий!K400,ROUND(Текущий!K400,0))</f>
        <v>-</v>
      </c>
      <c r="H401" s="29" t="str">
        <f>IF(ROUND(Текущий!I400,0)=0,"-",ROUND(Текущий!I400,0))</f>
        <v>-</v>
      </c>
      <c r="I401" s="16" t="str">
        <f>IF(Предыд!K400="-",Предыд!K400,ROUND(Предыд!K400,0))</f>
        <v>-</v>
      </c>
      <c r="J401" s="29" t="str">
        <f>IF(ROUND(Предыд!I400,0)=0,"-",ROUND(Предыд!I400,0))</f>
        <v>-</v>
      </c>
      <c r="K401" s="30" t="str">
        <f>Текущий!L400</f>
        <v>Рихтовка</v>
      </c>
      <c r="L401" s="29">
        <f>Текущий!AL400</f>
        <v>0</v>
      </c>
      <c r="M401" s="29">
        <f>Текущий!AM400</f>
        <v>0</v>
      </c>
      <c r="N401" s="29">
        <f>Текущий!AN400</f>
        <v>0</v>
      </c>
      <c r="O401" s="29">
        <f>Текущий!AP400</f>
        <v>0</v>
      </c>
      <c r="P401" s="29">
        <f>Предыд!AL400</f>
        <v>0</v>
      </c>
      <c r="Q401" s="29">
        <f>Предыд!AM400</f>
        <v>0</v>
      </c>
      <c r="R401" s="29">
        <f>Предыд!AN400</f>
        <v>0</v>
      </c>
      <c r="S401" s="29">
        <f>Предыд!AO400</f>
        <v>0</v>
      </c>
      <c r="T401" s="17" t="str">
        <f t="shared" si="6"/>
        <v>-</v>
      </c>
    </row>
    <row r="402" spans="1:20" x14ac:dyDescent="0.25">
      <c r="A402" s="29">
        <f>Текущий!A401</f>
        <v>7</v>
      </c>
      <c r="B402" s="29">
        <f>Текущий!B401</f>
        <v>13809</v>
      </c>
      <c r="C402" s="29">
        <f>Текущий!C401</f>
        <v>1</v>
      </c>
      <c r="D402" s="29" t="str">
        <f>Текущий!D401</f>
        <v>Гедике - Каменушка</v>
      </c>
      <c r="E402" s="29">
        <f>ROUND(Текущий!J401,0)</f>
        <v>0</v>
      </c>
      <c r="F402" s="29">
        <f>Текущий!E401</f>
        <v>0</v>
      </c>
      <c r="G402" s="16" t="str">
        <f>IF(Текущий!K401="-",Текущий!K401,ROUND(Текущий!K401,0))</f>
        <v>-</v>
      </c>
      <c r="H402" s="29" t="str">
        <f>IF(ROUND(Текущий!I401,0)=0,"-",ROUND(Текущий!I401,0))</f>
        <v>-</v>
      </c>
      <c r="I402" s="16" t="str">
        <f>IF(Предыд!K401="-",Предыд!K401,ROUND(Предыд!K401,0))</f>
        <v>-</v>
      </c>
      <c r="J402" s="29" t="str">
        <f>IF(ROUND(Предыд!I401,0)=0,"-",ROUND(Предыд!I401,0))</f>
        <v>-</v>
      </c>
      <c r="K402" s="30" t="str">
        <f>Текущий!L401</f>
        <v>Рихтовка</v>
      </c>
      <c r="L402" s="29">
        <f>Текущий!AL401</f>
        <v>0</v>
      </c>
      <c r="M402" s="29">
        <f>Текущий!AM401</f>
        <v>0</v>
      </c>
      <c r="N402" s="29">
        <f>Текущий!AN401</f>
        <v>0</v>
      </c>
      <c r="O402" s="29">
        <f>Текущий!AP401</f>
        <v>0</v>
      </c>
      <c r="P402" s="29">
        <f>Предыд!AL401</f>
        <v>0</v>
      </c>
      <c r="Q402" s="29">
        <f>Предыд!AM401</f>
        <v>0</v>
      </c>
      <c r="R402" s="29">
        <f>Предыд!AN401</f>
        <v>0</v>
      </c>
      <c r="S402" s="29">
        <f>Предыд!AO401</f>
        <v>0</v>
      </c>
      <c r="T402" s="17" t="str">
        <f t="shared" si="6"/>
        <v>-</v>
      </c>
    </row>
    <row r="403" spans="1:20" x14ac:dyDescent="0.25">
      <c r="A403" s="29">
        <f>Текущий!A402</f>
        <v>7</v>
      </c>
      <c r="B403" s="29">
        <f>Текущий!B402</f>
        <v>13809</v>
      </c>
      <c r="C403" s="29">
        <f>Текущий!C402</f>
        <v>1</v>
      </c>
      <c r="D403" s="29" t="str">
        <f>Текущий!D402</f>
        <v>Каменушка - Розенгартовка</v>
      </c>
      <c r="E403" s="29">
        <f>ROUND(Текущий!J402,0)</f>
        <v>0</v>
      </c>
      <c r="F403" s="29">
        <f>Текущий!E402</f>
        <v>0</v>
      </c>
      <c r="G403" s="16" t="str">
        <f>IF(Текущий!K402="-",Текущий!K402,ROUND(Текущий!K402,0))</f>
        <v>-</v>
      </c>
      <c r="H403" s="29" t="str">
        <f>IF(ROUND(Текущий!I402,0)=0,"-",ROUND(Текущий!I402,0))</f>
        <v>-</v>
      </c>
      <c r="I403" s="16" t="str">
        <f>IF(Предыд!K402="-",Предыд!K402,ROUND(Предыд!K402,0))</f>
        <v>-</v>
      </c>
      <c r="J403" s="29" t="str">
        <f>IF(ROUND(Предыд!I402,0)=0,"-",ROUND(Предыд!I402,0))</f>
        <v>-</v>
      </c>
      <c r="K403" s="30" t="str">
        <f>Текущий!L402</f>
        <v>Рихтовка</v>
      </c>
      <c r="L403" s="29">
        <f>Текущий!AL402</f>
        <v>0</v>
      </c>
      <c r="M403" s="29">
        <f>Текущий!AM402</f>
        <v>0</v>
      </c>
      <c r="N403" s="29">
        <f>Текущий!AN402</f>
        <v>0</v>
      </c>
      <c r="O403" s="29">
        <f>Текущий!AP402</f>
        <v>0</v>
      </c>
      <c r="P403" s="29">
        <f>Предыд!AL402</f>
        <v>0</v>
      </c>
      <c r="Q403" s="29">
        <f>Предыд!AM402</f>
        <v>0</v>
      </c>
      <c r="R403" s="29">
        <f>Предыд!AN402</f>
        <v>0</v>
      </c>
      <c r="S403" s="29">
        <f>Предыд!AO402</f>
        <v>0</v>
      </c>
      <c r="T403" s="17" t="str">
        <f t="shared" si="6"/>
        <v>-</v>
      </c>
    </row>
    <row r="404" spans="1:20" x14ac:dyDescent="0.25">
      <c r="A404" s="29">
        <f>Текущий!A403</f>
        <v>7</v>
      </c>
      <c r="B404" s="29">
        <f>Текущий!B403</f>
        <v>13809</v>
      </c>
      <c r="C404" s="29">
        <f>Текущий!C403</f>
        <v>1</v>
      </c>
      <c r="D404" s="29" t="str">
        <f>Текущий!D403</f>
        <v>Розенгартовка - Бойцово</v>
      </c>
      <c r="E404" s="29">
        <f>ROUND(Текущий!J403,0)</f>
        <v>0</v>
      </c>
      <c r="F404" s="29">
        <f>Текущий!E403</f>
        <v>0</v>
      </c>
      <c r="G404" s="16" t="str">
        <f>IF(Текущий!K403="-",Текущий!K403,ROUND(Текущий!K403,0))</f>
        <v>-</v>
      </c>
      <c r="H404" s="29" t="str">
        <f>IF(ROUND(Текущий!I403,0)=0,"-",ROUND(Текущий!I403,0))</f>
        <v>-</v>
      </c>
      <c r="I404" s="16" t="str">
        <f>IF(Предыд!K403="-",Предыд!K403,ROUND(Предыд!K403,0))</f>
        <v>-</v>
      </c>
      <c r="J404" s="29" t="str">
        <f>IF(ROUND(Предыд!I403,0)=0,"-",ROUND(Предыд!I403,0))</f>
        <v>-</v>
      </c>
      <c r="K404" s="30" t="str">
        <f>Текущий!L403</f>
        <v>Рихтовка</v>
      </c>
      <c r="L404" s="29">
        <f>Текущий!AL403</f>
        <v>0</v>
      </c>
      <c r="M404" s="29">
        <f>Текущий!AM403</f>
        <v>0</v>
      </c>
      <c r="N404" s="29">
        <f>Текущий!AN403</f>
        <v>0</v>
      </c>
      <c r="O404" s="29">
        <f>Текущий!AP403</f>
        <v>0</v>
      </c>
      <c r="P404" s="29">
        <f>Предыд!AL403</f>
        <v>0</v>
      </c>
      <c r="Q404" s="29">
        <f>Предыд!AM403</f>
        <v>0</v>
      </c>
      <c r="R404" s="29">
        <f>Предыд!AN403</f>
        <v>0</v>
      </c>
      <c r="S404" s="29">
        <f>Предыд!AO403</f>
        <v>0</v>
      </c>
      <c r="T404" s="17" t="str">
        <f t="shared" si="6"/>
        <v>-</v>
      </c>
    </row>
    <row r="405" spans="1:20" x14ac:dyDescent="0.25">
      <c r="A405" s="29">
        <f>Текущий!A404</f>
        <v>7</v>
      </c>
      <c r="B405" s="29">
        <f>Текущий!B404</f>
        <v>13809</v>
      </c>
      <c r="C405" s="29">
        <f>Текущий!C404</f>
        <v>1</v>
      </c>
      <c r="D405" s="29" t="str">
        <f>Текущий!D404</f>
        <v>Бойцово - Бикин</v>
      </c>
      <c r="E405" s="29">
        <f>ROUND(Текущий!J404,0)</f>
        <v>0</v>
      </c>
      <c r="F405" s="29">
        <f>Текущий!E404</f>
        <v>0</v>
      </c>
      <c r="G405" s="16" t="str">
        <f>IF(Текущий!K404="-",Текущий!K404,ROUND(Текущий!K404,0))</f>
        <v>-</v>
      </c>
      <c r="H405" s="29" t="str">
        <f>IF(ROUND(Текущий!I404,0)=0,"-",ROUND(Текущий!I404,0))</f>
        <v>-</v>
      </c>
      <c r="I405" s="16" t="str">
        <f>IF(Предыд!K404="-",Предыд!K404,ROUND(Предыд!K404,0))</f>
        <v>-</v>
      </c>
      <c r="J405" s="29" t="str">
        <f>IF(ROUND(Предыд!I404,0)=0,"-",ROUND(Предыд!I404,0))</f>
        <v>-</v>
      </c>
      <c r="K405" s="30" t="str">
        <f>Текущий!L404</f>
        <v>Рихтовка</v>
      </c>
      <c r="L405" s="29">
        <f>Текущий!AL404</f>
        <v>0</v>
      </c>
      <c r="M405" s="29">
        <f>Текущий!AM404</f>
        <v>0</v>
      </c>
      <c r="N405" s="29">
        <f>Текущий!AN404</f>
        <v>0</v>
      </c>
      <c r="O405" s="29">
        <f>Текущий!AP404</f>
        <v>0</v>
      </c>
      <c r="P405" s="29">
        <f>Предыд!AL404</f>
        <v>0</v>
      </c>
      <c r="Q405" s="29">
        <f>Предыд!AM404</f>
        <v>0</v>
      </c>
      <c r="R405" s="29">
        <f>Предыд!AN404</f>
        <v>0</v>
      </c>
      <c r="S405" s="29">
        <f>Предыд!AO404</f>
        <v>0</v>
      </c>
      <c r="T405" s="17" t="str">
        <f t="shared" si="6"/>
        <v>-</v>
      </c>
    </row>
    <row r="406" spans="1:20" x14ac:dyDescent="0.25">
      <c r="A406" s="29">
        <f>Текущий!A405</f>
        <v>7</v>
      </c>
      <c r="B406" s="29">
        <f>Текущий!B405</f>
        <v>13809</v>
      </c>
      <c r="C406" s="29">
        <f>Текущий!C405</f>
        <v>2</v>
      </c>
      <c r="D406" s="29" t="str">
        <f>Текущий!D405</f>
        <v>Вяземская - Аван</v>
      </c>
      <c r="E406" s="29">
        <f>ROUND(Текущий!J405,0)</f>
        <v>0</v>
      </c>
      <c r="F406" s="29">
        <f>Текущий!E405</f>
        <v>0</v>
      </c>
      <c r="G406" s="16" t="str">
        <f>IF(Текущий!K405="-",Текущий!K405,ROUND(Текущий!K405,0))</f>
        <v>-</v>
      </c>
      <c r="H406" s="29" t="str">
        <f>IF(ROUND(Текущий!I405,0)=0,"-",ROUND(Текущий!I405,0))</f>
        <v>-</v>
      </c>
      <c r="I406" s="16" t="str">
        <f>IF(Предыд!K405="-",Предыд!K405,ROUND(Предыд!K405,0))</f>
        <v>-</v>
      </c>
      <c r="J406" s="29" t="str">
        <f>IF(ROUND(Предыд!I405,0)=0,"-",ROUND(Предыд!I405,0))</f>
        <v>-</v>
      </c>
      <c r="K406" s="30" t="str">
        <f>Текущий!L405</f>
        <v>Рихтовка</v>
      </c>
      <c r="L406" s="29">
        <f>Текущий!AL405</f>
        <v>0</v>
      </c>
      <c r="M406" s="29">
        <f>Текущий!AM405</f>
        <v>0</v>
      </c>
      <c r="N406" s="29">
        <f>Текущий!AN405</f>
        <v>0</v>
      </c>
      <c r="O406" s="29">
        <f>Текущий!AP405</f>
        <v>0</v>
      </c>
      <c r="P406" s="29">
        <f>Предыд!AL405</f>
        <v>0</v>
      </c>
      <c r="Q406" s="29">
        <f>Предыд!AM405</f>
        <v>0</v>
      </c>
      <c r="R406" s="29">
        <f>Предыд!AN405</f>
        <v>0</v>
      </c>
      <c r="S406" s="29">
        <f>Предыд!AO405</f>
        <v>0</v>
      </c>
      <c r="T406" s="17" t="str">
        <f t="shared" si="6"/>
        <v>-</v>
      </c>
    </row>
    <row r="407" spans="1:20" x14ac:dyDescent="0.25">
      <c r="A407" s="29">
        <f>Текущий!A406</f>
        <v>7</v>
      </c>
      <c r="B407" s="29">
        <f>Текущий!B406</f>
        <v>13809</v>
      </c>
      <c r="C407" s="29">
        <f>Текущий!C406</f>
        <v>2</v>
      </c>
      <c r="D407" s="29" t="str">
        <f>Текущий!D406</f>
        <v>Аван - Котиково</v>
      </c>
      <c r="E407" s="29">
        <f>ROUND(Текущий!J406,0)</f>
        <v>0</v>
      </c>
      <c r="F407" s="29">
        <f>Текущий!E406</f>
        <v>0</v>
      </c>
      <c r="G407" s="16" t="str">
        <f>IF(Текущий!K406="-",Текущий!K406,ROUND(Текущий!K406,0))</f>
        <v>-</v>
      </c>
      <c r="H407" s="29" t="str">
        <f>IF(ROUND(Текущий!I406,0)=0,"-",ROUND(Текущий!I406,0))</f>
        <v>-</v>
      </c>
      <c r="I407" s="16" t="str">
        <f>IF(Предыд!K406="-",Предыд!K406,ROUND(Предыд!K406,0))</f>
        <v>-</v>
      </c>
      <c r="J407" s="29" t="str">
        <f>IF(ROUND(Предыд!I406,0)=0,"-",ROUND(Предыд!I406,0))</f>
        <v>-</v>
      </c>
      <c r="K407" s="30" t="str">
        <f>Текущий!L406</f>
        <v>Рихтовка</v>
      </c>
      <c r="L407" s="29">
        <f>Текущий!AL406</f>
        <v>0</v>
      </c>
      <c r="M407" s="29">
        <f>Текущий!AM406</f>
        <v>0</v>
      </c>
      <c r="N407" s="29">
        <f>Текущий!AN406</f>
        <v>0</v>
      </c>
      <c r="O407" s="29">
        <f>Текущий!AP406</f>
        <v>0</v>
      </c>
      <c r="P407" s="29">
        <f>Предыд!AL406</f>
        <v>0</v>
      </c>
      <c r="Q407" s="29">
        <f>Предыд!AM406</f>
        <v>0</v>
      </c>
      <c r="R407" s="29">
        <f>Предыд!AN406</f>
        <v>0</v>
      </c>
      <c r="S407" s="29">
        <f>Предыд!AO406</f>
        <v>0</v>
      </c>
      <c r="T407" s="17" t="str">
        <f t="shared" si="6"/>
        <v>-</v>
      </c>
    </row>
    <row r="408" spans="1:20" x14ac:dyDescent="0.25">
      <c r="A408" s="29">
        <f>Текущий!A407</f>
        <v>7</v>
      </c>
      <c r="B408" s="29">
        <f>Текущий!B407</f>
        <v>13809</v>
      </c>
      <c r="C408" s="29">
        <f>Текущий!C407</f>
        <v>2</v>
      </c>
      <c r="D408" s="29" t="str">
        <f>Текущий!D407</f>
        <v>Котиково - Гедике</v>
      </c>
      <c r="E408" s="29">
        <f>ROUND(Текущий!J407,0)</f>
        <v>0</v>
      </c>
      <c r="F408" s="29">
        <f>Текущий!E407</f>
        <v>0</v>
      </c>
      <c r="G408" s="16" t="str">
        <f>IF(Текущий!K407="-",Текущий!K407,ROUND(Текущий!K407,0))</f>
        <v>-</v>
      </c>
      <c r="H408" s="29" t="str">
        <f>IF(ROUND(Текущий!I407,0)=0,"-",ROUND(Текущий!I407,0))</f>
        <v>-</v>
      </c>
      <c r="I408" s="16" t="str">
        <f>IF(Предыд!K407="-",Предыд!K407,ROUND(Предыд!K407,0))</f>
        <v>-</v>
      </c>
      <c r="J408" s="29" t="str">
        <f>IF(ROUND(Предыд!I407,0)=0,"-",ROUND(Предыд!I407,0))</f>
        <v>-</v>
      </c>
      <c r="K408" s="30" t="str">
        <f>Текущий!L407</f>
        <v>Рихтовка</v>
      </c>
      <c r="L408" s="29">
        <f>Текущий!AL407</f>
        <v>0</v>
      </c>
      <c r="M408" s="29">
        <f>Текущий!AM407</f>
        <v>0</v>
      </c>
      <c r="N408" s="29">
        <f>Текущий!AN407</f>
        <v>0</v>
      </c>
      <c r="O408" s="29">
        <f>Текущий!AP407</f>
        <v>0</v>
      </c>
      <c r="P408" s="29">
        <f>Предыд!AL407</f>
        <v>0</v>
      </c>
      <c r="Q408" s="29">
        <f>Предыд!AM407</f>
        <v>0</v>
      </c>
      <c r="R408" s="29">
        <f>Предыд!AN407</f>
        <v>0</v>
      </c>
      <c r="S408" s="29">
        <f>Предыд!AO407</f>
        <v>0</v>
      </c>
      <c r="T408" s="17" t="str">
        <f t="shared" si="6"/>
        <v>-</v>
      </c>
    </row>
    <row r="409" spans="1:20" x14ac:dyDescent="0.25">
      <c r="A409" s="29">
        <f>Текущий!A408</f>
        <v>7</v>
      </c>
      <c r="B409" s="29">
        <f>Текущий!B408</f>
        <v>13809</v>
      </c>
      <c r="C409" s="29">
        <f>Текущий!C408</f>
        <v>2</v>
      </c>
      <c r="D409" s="29" t="str">
        <f>Текущий!D408</f>
        <v>Гедике - Каменушка</v>
      </c>
      <c r="E409" s="29">
        <f>ROUND(Текущий!J408,0)</f>
        <v>0</v>
      </c>
      <c r="F409" s="29">
        <f>Текущий!E408</f>
        <v>0</v>
      </c>
      <c r="G409" s="16" t="str">
        <f>IF(Текущий!K408="-",Текущий!K408,ROUND(Текущий!K408,0))</f>
        <v>-</v>
      </c>
      <c r="H409" s="29" t="str">
        <f>IF(ROUND(Текущий!I408,0)=0,"-",ROUND(Текущий!I408,0))</f>
        <v>-</v>
      </c>
      <c r="I409" s="16" t="str">
        <f>IF(Предыд!K408="-",Предыд!K408,ROUND(Предыд!K408,0))</f>
        <v>-</v>
      </c>
      <c r="J409" s="29" t="str">
        <f>IF(ROUND(Предыд!I408,0)=0,"-",ROUND(Предыд!I408,0))</f>
        <v>-</v>
      </c>
      <c r="K409" s="30" t="str">
        <f>Текущий!L408</f>
        <v>Рихтовка</v>
      </c>
      <c r="L409" s="29">
        <f>Текущий!AL408</f>
        <v>0</v>
      </c>
      <c r="M409" s="29">
        <f>Текущий!AM408</f>
        <v>0</v>
      </c>
      <c r="N409" s="29">
        <f>Текущий!AN408</f>
        <v>0</v>
      </c>
      <c r="O409" s="29">
        <f>Текущий!AP408</f>
        <v>0</v>
      </c>
      <c r="P409" s="29">
        <f>Предыд!AL408</f>
        <v>0</v>
      </c>
      <c r="Q409" s="29">
        <f>Предыд!AM408</f>
        <v>0</v>
      </c>
      <c r="R409" s="29">
        <f>Предыд!AN408</f>
        <v>0</v>
      </c>
      <c r="S409" s="29">
        <f>Предыд!AO408</f>
        <v>0</v>
      </c>
      <c r="T409" s="17" t="str">
        <f t="shared" si="6"/>
        <v>-</v>
      </c>
    </row>
    <row r="410" spans="1:20" x14ac:dyDescent="0.25">
      <c r="A410" s="29">
        <f>Текущий!A409</f>
        <v>7</v>
      </c>
      <c r="B410" s="29">
        <f>Текущий!B409</f>
        <v>13809</v>
      </c>
      <c r="C410" s="29">
        <f>Текущий!C409</f>
        <v>2</v>
      </c>
      <c r="D410" s="29" t="str">
        <f>Текущий!D409</f>
        <v>Каменушка - Розенгартовка</v>
      </c>
      <c r="E410" s="29">
        <f>ROUND(Текущий!J409,0)</f>
        <v>0</v>
      </c>
      <c r="F410" s="29">
        <f>Текущий!E409</f>
        <v>0</v>
      </c>
      <c r="G410" s="16" t="str">
        <f>IF(Текущий!K409="-",Текущий!K409,ROUND(Текущий!K409,0))</f>
        <v>-</v>
      </c>
      <c r="H410" s="29" t="str">
        <f>IF(ROUND(Текущий!I409,0)=0,"-",ROUND(Текущий!I409,0))</f>
        <v>-</v>
      </c>
      <c r="I410" s="16" t="str">
        <f>IF(Предыд!K409="-",Предыд!K409,ROUND(Предыд!K409,0))</f>
        <v>-</v>
      </c>
      <c r="J410" s="29" t="str">
        <f>IF(ROUND(Предыд!I409,0)=0,"-",ROUND(Предыд!I409,0))</f>
        <v>-</v>
      </c>
      <c r="K410" s="30" t="str">
        <f>Текущий!L409</f>
        <v>Рихтовка</v>
      </c>
      <c r="L410" s="29">
        <f>Текущий!AL409</f>
        <v>0</v>
      </c>
      <c r="M410" s="29">
        <f>Текущий!AM409</f>
        <v>0</v>
      </c>
      <c r="N410" s="29">
        <f>Текущий!AN409</f>
        <v>0</v>
      </c>
      <c r="O410" s="29">
        <f>Текущий!AP409</f>
        <v>0</v>
      </c>
      <c r="P410" s="29">
        <f>Предыд!AL409</f>
        <v>0</v>
      </c>
      <c r="Q410" s="29">
        <f>Предыд!AM409</f>
        <v>0</v>
      </c>
      <c r="R410" s="29">
        <f>Предыд!AN409</f>
        <v>0</v>
      </c>
      <c r="S410" s="29">
        <f>Предыд!AO409</f>
        <v>0</v>
      </c>
      <c r="T410" s="17" t="str">
        <f t="shared" si="6"/>
        <v>-</v>
      </c>
    </row>
    <row r="411" spans="1:20" x14ac:dyDescent="0.25">
      <c r="A411" s="29">
        <f>Текущий!A410</f>
        <v>7</v>
      </c>
      <c r="B411" s="29">
        <f>Текущий!B410</f>
        <v>13809</v>
      </c>
      <c r="C411" s="29">
        <f>Текущий!C410</f>
        <v>2</v>
      </c>
      <c r="D411" s="29" t="str">
        <f>Текущий!D410</f>
        <v>Розенгартовка - Бойцово</v>
      </c>
      <c r="E411" s="29">
        <f>ROUND(Текущий!J410,0)</f>
        <v>0</v>
      </c>
      <c r="F411" s="29">
        <f>Текущий!E410</f>
        <v>0</v>
      </c>
      <c r="G411" s="16" t="str">
        <f>IF(Текущий!K410="-",Текущий!K410,ROUND(Текущий!K410,0))</f>
        <v>-</v>
      </c>
      <c r="H411" s="29" t="str">
        <f>IF(ROUND(Текущий!I410,0)=0,"-",ROUND(Текущий!I410,0))</f>
        <v>-</v>
      </c>
      <c r="I411" s="16" t="str">
        <f>IF(Предыд!K410="-",Предыд!K410,ROUND(Предыд!K410,0))</f>
        <v>-</v>
      </c>
      <c r="J411" s="29" t="str">
        <f>IF(ROUND(Предыд!I410,0)=0,"-",ROUND(Предыд!I410,0))</f>
        <v>-</v>
      </c>
      <c r="K411" s="30" t="str">
        <f>Текущий!L410</f>
        <v>Рихтовка</v>
      </c>
      <c r="L411" s="29">
        <f>Текущий!AL410</f>
        <v>0</v>
      </c>
      <c r="M411" s="29">
        <f>Текущий!AM410</f>
        <v>0</v>
      </c>
      <c r="N411" s="29">
        <f>Текущий!AN410</f>
        <v>0</v>
      </c>
      <c r="O411" s="29">
        <f>Текущий!AP410</f>
        <v>0</v>
      </c>
      <c r="P411" s="29">
        <f>Предыд!AL410</f>
        <v>0</v>
      </c>
      <c r="Q411" s="29">
        <f>Предыд!AM410</f>
        <v>0</v>
      </c>
      <c r="R411" s="29">
        <f>Предыд!AN410</f>
        <v>0</v>
      </c>
      <c r="S411" s="29">
        <f>Предыд!AO410</f>
        <v>0</v>
      </c>
      <c r="T411" s="17" t="str">
        <f t="shared" si="6"/>
        <v>-</v>
      </c>
    </row>
    <row r="412" spans="1:20" x14ac:dyDescent="0.25">
      <c r="A412" s="29">
        <f>Текущий!A411</f>
        <v>7</v>
      </c>
      <c r="B412" s="29">
        <f>Текущий!B411</f>
        <v>13809</v>
      </c>
      <c r="C412" s="29">
        <f>Текущий!C411</f>
        <v>2</v>
      </c>
      <c r="D412" s="29" t="str">
        <f>Текущий!D411</f>
        <v>Бойцово - Бикин</v>
      </c>
      <c r="E412" s="29">
        <f>ROUND(Текущий!J411,0)</f>
        <v>0</v>
      </c>
      <c r="F412" s="29">
        <f>Текущий!E411</f>
        <v>0</v>
      </c>
      <c r="G412" s="16" t="str">
        <f>IF(Текущий!K411="-",Текущий!K411,ROUND(Текущий!K411,0))</f>
        <v>-</v>
      </c>
      <c r="H412" s="29" t="str">
        <f>IF(ROUND(Текущий!I411,0)=0,"-",ROUND(Текущий!I411,0))</f>
        <v>-</v>
      </c>
      <c r="I412" s="16" t="str">
        <f>IF(Предыд!K411="-",Предыд!K411,ROUND(Предыд!K411,0))</f>
        <v>-</v>
      </c>
      <c r="J412" s="29" t="str">
        <f>IF(ROUND(Предыд!I411,0)=0,"-",ROUND(Предыд!I411,0))</f>
        <v>-</v>
      </c>
      <c r="K412" s="30" t="str">
        <f>Текущий!L411</f>
        <v>Рихтовка</v>
      </c>
      <c r="L412" s="29">
        <f>Текущий!AL411</f>
        <v>0</v>
      </c>
      <c r="M412" s="29">
        <f>Текущий!AM411</f>
        <v>0</v>
      </c>
      <c r="N412" s="29">
        <f>Текущий!AN411</f>
        <v>0</v>
      </c>
      <c r="O412" s="29">
        <f>Текущий!AP411</f>
        <v>0</v>
      </c>
      <c r="P412" s="29">
        <f>Предыд!AL411</f>
        <v>0</v>
      </c>
      <c r="Q412" s="29">
        <f>Предыд!AM411</f>
        <v>0</v>
      </c>
      <c r="R412" s="29">
        <f>Предыд!AN411</f>
        <v>0</v>
      </c>
      <c r="S412" s="29">
        <f>Предыд!AO411</f>
        <v>0</v>
      </c>
      <c r="T412" s="17" t="str">
        <f t="shared" si="6"/>
        <v>-</v>
      </c>
    </row>
    <row r="413" spans="1:20" x14ac:dyDescent="0.25">
      <c r="A413" s="29">
        <f>Текущий!A412</f>
        <v>7</v>
      </c>
      <c r="B413" s="29">
        <f>Текущий!B412</f>
        <v>13809</v>
      </c>
      <c r="C413" s="29" t="str">
        <f>Текущий!C412</f>
        <v>оч</v>
      </c>
      <c r="D413" s="29" t="str">
        <f>Текущий!D412</f>
        <v>ст. Бикин</v>
      </c>
      <c r="E413" s="29">
        <f>ROUND(Текущий!J412,0)</f>
        <v>0</v>
      </c>
      <c r="F413" s="29">
        <f>Текущий!E412</f>
        <v>0</v>
      </c>
      <c r="G413" s="16" t="str">
        <f>IF(Текущий!K412="-",Текущий!K412,ROUND(Текущий!K412,0))</f>
        <v>-</v>
      </c>
      <c r="H413" s="29" t="str">
        <f>IF(ROUND(Текущий!I412,0)=0,"-",ROUND(Текущий!I412,0))</f>
        <v>-</v>
      </c>
      <c r="I413" s="16" t="str">
        <f>IF(Предыд!K412="-",Предыд!K412,ROUND(Предыд!K412,0))</f>
        <v>-</v>
      </c>
      <c r="J413" s="29" t="str">
        <f>IF(ROUND(Предыд!I412,0)=0,"-",ROUND(Предыд!I412,0))</f>
        <v>-</v>
      </c>
      <c r="K413" s="30" t="str">
        <f>Текущий!L412</f>
        <v>Рихтовка</v>
      </c>
      <c r="L413" s="29">
        <f>Текущий!AL412</f>
        <v>0</v>
      </c>
      <c r="M413" s="29">
        <f>Текущий!AM412</f>
        <v>0</v>
      </c>
      <c r="N413" s="29">
        <f>Текущий!AN412</f>
        <v>0</v>
      </c>
      <c r="O413" s="29">
        <f>Текущий!AP412</f>
        <v>0</v>
      </c>
      <c r="P413" s="29">
        <f>Предыд!AL412</f>
        <v>0</v>
      </c>
      <c r="Q413" s="29">
        <f>Предыд!AM412</f>
        <v>0</v>
      </c>
      <c r="R413" s="29">
        <f>Предыд!AN412</f>
        <v>0</v>
      </c>
      <c r="S413" s="29">
        <f>Предыд!AO412</f>
        <v>0</v>
      </c>
      <c r="T413" s="17" t="str">
        <f t="shared" si="6"/>
        <v>-</v>
      </c>
    </row>
    <row r="414" spans="1:20" x14ac:dyDescent="0.25">
      <c r="A414" s="29">
        <f>Текущий!A413</f>
        <v>7</v>
      </c>
      <c r="B414" s="29">
        <f>Текущий!B413</f>
        <v>13809</v>
      </c>
      <c r="C414" s="29">
        <f>Текущий!C413</f>
        <v>1</v>
      </c>
      <c r="D414" s="29" t="str">
        <f>Текущий!D413</f>
        <v>Бикин - Звеньевой</v>
      </c>
      <c r="E414" s="29">
        <f>ROUND(Текущий!J413,0)</f>
        <v>0</v>
      </c>
      <c r="F414" s="29">
        <f>Текущий!E413</f>
        <v>0</v>
      </c>
      <c r="G414" s="16" t="str">
        <f>IF(Текущий!K413="-",Текущий!K413,ROUND(Текущий!K413,0))</f>
        <v>-</v>
      </c>
      <c r="H414" s="29" t="str">
        <f>IF(ROUND(Текущий!I413,0)=0,"-",ROUND(Текущий!I413,0))</f>
        <v>-</v>
      </c>
      <c r="I414" s="16" t="str">
        <f>IF(Предыд!K413="-",Предыд!K413,ROUND(Предыд!K413,0))</f>
        <v>-</v>
      </c>
      <c r="J414" s="29" t="str">
        <f>IF(ROUND(Предыд!I413,0)=0,"-",ROUND(Предыд!I413,0))</f>
        <v>-</v>
      </c>
      <c r="K414" s="30" t="str">
        <f>Текущий!L413</f>
        <v>Рихтовка</v>
      </c>
      <c r="L414" s="29">
        <f>Текущий!AL413</f>
        <v>0</v>
      </c>
      <c r="M414" s="29">
        <f>Текущий!AM413</f>
        <v>0</v>
      </c>
      <c r="N414" s="29">
        <f>Текущий!AN413</f>
        <v>0</v>
      </c>
      <c r="O414" s="29">
        <f>Текущий!AP413</f>
        <v>0</v>
      </c>
      <c r="P414" s="29">
        <f>Предыд!AL413</f>
        <v>0</v>
      </c>
      <c r="Q414" s="29">
        <f>Предыд!AM413</f>
        <v>0</v>
      </c>
      <c r="R414" s="29">
        <f>Предыд!AN413</f>
        <v>0</v>
      </c>
      <c r="S414" s="29">
        <f>Предыд!AO413</f>
        <v>0</v>
      </c>
      <c r="T414" s="17" t="str">
        <f t="shared" si="6"/>
        <v>-</v>
      </c>
    </row>
    <row r="415" spans="1:20" x14ac:dyDescent="0.25">
      <c r="A415" s="29">
        <f>Текущий!A414</f>
        <v>8</v>
      </c>
      <c r="B415" s="29">
        <f>Текущий!B414</f>
        <v>13809</v>
      </c>
      <c r="C415" s="29">
        <f>Текущий!C414</f>
        <v>1</v>
      </c>
      <c r="D415" s="29" t="str">
        <f>Текущий!D414</f>
        <v>Бикин - Звеньевой</v>
      </c>
      <c r="E415" s="29">
        <f>ROUND(Текущий!J414,0)</f>
        <v>0</v>
      </c>
      <c r="F415" s="29">
        <f>Текущий!E414</f>
        <v>0</v>
      </c>
      <c r="G415" s="16" t="str">
        <f>IF(Текущий!K414="-",Текущий!K414,ROUND(Текущий!K414,0))</f>
        <v>-</v>
      </c>
      <c r="H415" s="29" t="str">
        <f>IF(ROUND(Текущий!I414,0)=0,"-",ROUND(Текущий!I414,0))</f>
        <v>-</v>
      </c>
      <c r="I415" s="16" t="str">
        <f>IF(Предыд!K414="-",Предыд!K414,ROUND(Предыд!K414,0))</f>
        <v>-</v>
      </c>
      <c r="J415" s="29" t="str">
        <f>IF(ROUND(Предыд!I414,0)=0,"-",ROUND(Предыд!I414,0))</f>
        <v>-</v>
      </c>
      <c r="K415" s="30" t="str">
        <f>Текущий!L414</f>
        <v>Рихтовка</v>
      </c>
      <c r="L415" s="29">
        <f>Текущий!AL414</f>
        <v>0</v>
      </c>
      <c r="M415" s="29">
        <f>Текущий!AM414</f>
        <v>0</v>
      </c>
      <c r="N415" s="29">
        <f>Текущий!AN414</f>
        <v>0</v>
      </c>
      <c r="O415" s="29">
        <f>Текущий!AP414</f>
        <v>0</v>
      </c>
      <c r="P415" s="29">
        <f>Предыд!AL414</f>
        <v>0</v>
      </c>
      <c r="Q415" s="29">
        <f>Предыд!AM414</f>
        <v>0</v>
      </c>
      <c r="R415" s="29">
        <f>Предыд!AN414</f>
        <v>0</v>
      </c>
      <c r="S415" s="29">
        <f>Предыд!AO414</f>
        <v>0</v>
      </c>
      <c r="T415" s="17" t="str">
        <f t="shared" si="6"/>
        <v>-</v>
      </c>
    </row>
    <row r="416" spans="1:20" x14ac:dyDescent="0.25">
      <c r="A416" s="29">
        <f>Текущий!A415</f>
        <v>7</v>
      </c>
      <c r="B416" s="29">
        <f>Текущий!B415</f>
        <v>13809</v>
      </c>
      <c r="C416" s="29">
        <f>Текущий!C415</f>
        <v>2</v>
      </c>
      <c r="D416" s="29" t="str">
        <f>Текущий!D415</f>
        <v>Бикин - Звеньевой</v>
      </c>
      <c r="E416" s="29">
        <f>ROUND(Текущий!J415,0)</f>
        <v>0</v>
      </c>
      <c r="F416" s="29">
        <f>Текущий!E415</f>
        <v>0</v>
      </c>
      <c r="G416" s="16" t="str">
        <f>IF(Текущий!K415="-",Текущий!K415,ROUND(Текущий!K415,0))</f>
        <v>-</v>
      </c>
      <c r="H416" s="29" t="str">
        <f>IF(ROUND(Текущий!I415,0)=0,"-",ROUND(Текущий!I415,0))</f>
        <v>-</v>
      </c>
      <c r="I416" s="16" t="str">
        <f>IF(Предыд!K415="-",Предыд!K415,ROUND(Предыд!K415,0))</f>
        <v>-</v>
      </c>
      <c r="J416" s="29" t="str">
        <f>IF(ROUND(Предыд!I415,0)=0,"-",ROUND(Предыд!I415,0))</f>
        <v>-</v>
      </c>
      <c r="K416" s="30" t="str">
        <f>Текущий!L415</f>
        <v>Рихтовка</v>
      </c>
      <c r="L416" s="29">
        <f>Текущий!AL415</f>
        <v>0</v>
      </c>
      <c r="M416" s="29">
        <f>Текущий!AM415</f>
        <v>0</v>
      </c>
      <c r="N416" s="29">
        <f>Текущий!AN415</f>
        <v>0</v>
      </c>
      <c r="O416" s="29">
        <f>Текущий!AP415</f>
        <v>0</v>
      </c>
      <c r="P416" s="29">
        <f>Предыд!AL415</f>
        <v>0</v>
      </c>
      <c r="Q416" s="29">
        <f>Предыд!AM415</f>
        <v>0</v>
      </c>
      <c r="R416" s="29">
        <f>Предыд!AN415</f>
        <v>0</v>
      </c>
      <c r="S416" s="29">
        <f>Предыд!AO415</f>
        <v>0</v>
      </c>
      <c r="T416" s="17" t="str">
        <f t="shared" si="6"/>
        <v>-</v>
      </c>
    </row>
    <row r="417" spans="1:20" x14ac:dyDescent="0.25">
      <c r="A417" s="29">
        <f>Текущий!A416</f>
        <v>8</v>
      </c>
      <c r="B417" s="29">
        <f>Текущий!B416</f>
        <v>13809</v>
      </c>
      <c r="C417" s="29">
        <f>Текущий!C416</f>
        <v>2</v>
      </c>
      <c r="D417" s="29" t="str">
        <f>Текущий!D416</f>
        <v>Бикин - Звеньевой</v>
      </c>
      <c r="E417" s="29">
        <f>ROUND(Текущий!J416,0)</f>
        <v>0</v>
      </c>
      <c r="F417" s="29">
        <f>Текущий!E416</f>
        <v>0</v>
      </c>
      <c r="G417" s="16" t="str">
        <f>IF(Текущий!K416="-",Текущий!K416,ROUND(Текущий!K416,0))</f>
        <v>-</v>
      </c>
      <c r="H417" s="29" t="str">
        <f>IF(ROUND(Текущий!I416,0)=0,"-",ROUND(Текущий!I416,0))</f>
        <v>-</v>
      </c>
      <c r="I417" s="16" t="str">
        <f>IF(Предыд!K416="-",Предыд!K416,ROUND(Предыд!K416,0))</f>
        <v>-</v>
      </c>
      <c r="J417" s="29" t="str">
        <f>IF(ROUND(Предыд!I416,0)=0,"-",ROUND(Предыд!I416,0))</f>
        <v>-</v>
      </c>
      <c r="K417" s="30" t="str">
        <f>Текущий!L416</f>
        <v>Рихтовка</v>
      </c>
      <c r="L417" s="29">
        <f>Текущий!AL416</f>
        <v>0</v>
      </c>
      <c r="M417" s="29">
        <f>Текущий!AM416</f>
        <v>0</v>
      </c>
      <c r="N417" s="29">
        <f>Текущий!AN416</f>
        <v>0</v>
      </c>
      <c r="O417" s="29">
        <f>Текущий!AP416</f>
        <v>0</v>
      </c>
      <c r="P417" s="29">
        <f>Предыд!AL416</f>
        <v>0</v>
      </c>
      <c r="Q417" s="29">
        <f>Предыд!AM416</f>
        <v>0</v>
      </c>
      <c r="R417" s="29">
        <f>Предыд!AN416</f>
        <v>0</v>
      </c>
      <c r="S417" s="29">
        <f>Предыд!AO416</f>
        <v>0</v>
      </c>
      <c r="T417" s="17" t="str">
        <f t="shared" si="6"/>
        <v>-</v>
      </c>
    </row>
    <row r="418" spans="1:20" x14ac:dyDescent="0.25">
      <c r="A418" s="29">
        <f>Текущий!A417</f>
        <v>8</v>
      </c>
      <c r="B418" s="29">
        <f>Текущий!B417</f>
        <v>13809</v>
      </c>
      <c r="C418" s="29">
        <f>Текущий!C417</f>
        <v>1</v>
      </c>
      <c r="D418" s="29" t="str">
        <f>Текущий!D417</f>
        <v>Звеньевой - Бурлит-Волочаевский</v>
      </c>
      <c r="E418" s="29">
        <f>ROUND(Текущий!J417,0)</f>
        <v>0</v>
      </c>
      <c r="F418" s="29">
        <f>Текущий!E417</f>
        <v>0</v>
      </c>
      <c r="G418" s="16" t="str">
        <f>IF(Текущий!K417="-",Текущий!K417,ROUND(Текущий!K417,0))</f>
        <v>-</v>
      </c>
      <c r="H418" s="29" t="str">
        <f>IF(ROUND(Текущий!I417,0)=0,"-",ROUND(Текущий!I417,0))</f>
        <v>-</v>
      </c>
      <c r="I418" s="16" t="str">
        <f>IF(Предыд!K417="-",Предыд!K417,ROUND(Предыд!K417,0))</f>
        <v>-</v>
      </c>
      <c r="J418" s="29" t="str">
        <f>IF(ROUND(Предыд!I417,0)=0,"-",ROUND(Предыд!I417,0))</f>
        <v>-</v>
      </c>
      <c r="K418" s="30" t="str">
        <f>Текущий!L417</f>
        <v>Рихтовка</v>
      </c>
      <c r="L418" s="29">
        <f>Текущий!AL417</f>
        <v>0</v>
      </c>
      <c r="M418" s="29">
        <f>Текущий!AM417</f>
        <v>0</v>
      </c>
      <c r="N418" s="29">
        <f>Текущий!AN417</f>
        <v>0</v>
      </c>
      <c r="O418" s="29">
        <f>Текущий!AP417</f>
        <v>0</v>
      </c>
      <c r="P418" s="29">
        <f>Предыд!AL417</f>
        <v>0</v>
      </c>
      <c r="Q418" s="29">
        <f>Предыд!AM417</f>
        <v>0</v>
      </c>
      <c r="R418" s="29">
        <f>Предыд!AN417</f>
        <v>0</v>
      </c>
      <c r="S418" s="29">
        <f>Предыд!AO417</f>
        <v>0</v>
      </c>
      <c r="T418" s="17" t="str">
        <f t="shared" si="6"/>
        <v>-</v>
      </c>
    </row>
    <row r="419" spans="1:20" x14ac:dyDescent="0.25">
      <c r="A419" s="29">
        <f>Текущий!A418</f>
        <v>8</v>
      </c>
      <c r="B419" s="29">
        <f>Текущий!B418</f>
        <v>13809</v>
      </c>
      <c r="C419" s="29">
        <f>Текущий!C418</f>
        <v>1</v>
      </c>
      <c r="D419" s="29" t="str">
        <f>Текущий!D418</f>
        <v>Бурлит-Волочаевский - Лучегорск</v>
      </c>
      <c r="E419" s="29">
        <f>ROUND(Текущий!J418,0)</f>
        <v>0</v>
      </c>
      <c r="F419" s="29">
        <f>Текущий!E418</f>
        <v>0</v>
      </c>
      <c r="G419" s="16" t="str">
        <f>IF(Текущий!K418="-",Текущий!K418,ROUND(Текущий!K418,0))</f>
        <v>-</v>
      </c>
      <c r="H419" s="29" t="str">
        <f>IF(ROUND(Текущий!I418,0)=0,"-",ROUND(Текущий!I418,0))</f>
        <v>-</v>
      </c>
      <c r="I419" s="16" t="str">
        <f>IF(Предыд!K418="-",Предыд!K418,ROUND(Предыд!K418,0))</f>
        <v>-</v>
      </c>
      <c r="J419" s="29" t="str">
        <f>IF(ROUND(Предыд!I418,0)=0,"-",ROUND(Предыд!I418,0))</f>
        <v>-</v>
      </c>
      <c r="K419" s="30" t="str">
        <f>Текущий!L418</f>
        <v>Рихтовка</v>
      </c>
      <c r="L419" s="29">
        <f>Текущий!AL418</f>
        <v>0</v>
      </c>
      <c r="M419" s="29">
        <f>Текущий!AM418</f>
        <v>0</v>
      </c>
      <c r="N419" s="29">
        <f>Текущий!AN418</f>
        <v>0</v>
      </c>
      <c r="O419" s="29">
        <f>Текущий!AP418</f>
        <v>0</v>
      </c>
      <c r="P419" s="29">
        <f>Предыд!AL418</f>
        <v>0</v>
      </c>
      <c r="Q419" s="29">
        <f>Предыд!AM418</f>
        <v>0</v>
      </c>
      <c r="R419" s="29">
        <f>Предыд!AN418</f>
        <v>0</v>
      </c>
      <c r="S419" s="29">
        <f>Предыд!AO418</f>
        <v>0</v>
      </c>
      <c r="T419" s="17" t="str">
        <f t="shared" si="6"/>
        <v>-</v>
      </c>
    </row>
    <row r="420" spans="1:20" x14ac:dyDescent="0.25">
      <c r="A420" s="29">
        <f>Текущий!A419</f>
        <v>8</v>
      </c>
      <c r="B420" s="29">
        <f>Текущий!B419</f>
        <v>13809</v>
      </c>
      <c r="C420" s="29">
        <f>Текущий!C419</f>
        <v>1</v>
      </c>
      <c r="D420" s="29" t="str">
        <f>Текущий!D419</f>
        <v>Лучегорск - Ласточка</v>
      </c>
      <c r="E420" s="29">
        <f>ROUND(Текущий!J419,0)</f>
        <v>0</v>
      </c>
      <c r="F420" s="29">
        <f>Текущий!E419</f>
        <v>0</v>
      </c>
      <c r="G420" s="16" t="str">
        <f>IF(Текущий!K419="-",Текущий!K419,ROUND(Текущий!K419,0))</f>
        <v>-</v>
      </c>
      <c r="H420" s="29" t="str">
        <f>IF(ROUND(Текущий!I419,0)=0,"-",ROUND(Текущий!I419,0))</f>
        <v>-</v>
      </c>
      <c r="I420" s="16" t="str">
        <f>IF(Предыд!K419="-",Предыд!K419,ROUND(Предыд!K419,0))</f>
        <v>-</v>
      </c>
      <c r="J420" s="29" t="str">
        <f>IF(ROUND(Предыд!I419,0)=0,"-",ROUND(Предыд!I419,0))</f>
        <v>-</v>
      </c>
      <c r="K420" s="30" t="str">
        <f>Текущий!L419</f>
        <v>Рихтовка</v>
      </c>
      <c r="L420" s="29">
        <f>Текущий!AL419</f>
        <v>0</v>
      </c>
      <c r="M420" s="29">
        <f>Текущий!AM419</f>
        <v>0</v>
      </c>
      <c r="N420" s="29">
        <f>Текущий!AN419</f>
        <v>0</v>
      </c>
      <c r="O420" s="29">
        <f>Текущий!AP419</f>
        <v>0</v>
      </c>
      <c r="P420" s="29">
        <f>Предыд!AL419</f>
        <v>0</v>
      </c>
      <c r="Q420" s="29">
        <f>Предыд!AM419</f>
        <v>0</v>
      </c>
      <c r="R420" s="29">
        <f>Предыд!AN419</f>
        <v>0</v>
      </c>
      <c r="S420" s="29">
        <f>Предыд!AO419</f>
        <v>0</v>
      </c>
      <c r="T420" s="17" t="str">
        <f t="shared" si="6"/>
        <v>-</v>
      </c>
    </row>
    <row r="421" spans="1:20" x14ac:dyDescent="0.25">
      <c r="A421" s="29">
        <f>Текущий!A420</f>
        <v>8</v>
      </c>
      <c r="B421" s="29">
        <f>Текущий!B420</f>
        <v>13809</v>
      </c>
      <c r="C421" s="29">
        <f>Текущий!C420</f>
        <v>1</v>
      </c>
      <c r="D421" s="29" t="str">
        <f>Текущий!D420</f>
        <v>Ласточка - Губерово</v>
      </c>
      <c r="E421" s="29">
        <f>ROUND(Текущий!J420,0)</f>
        <v>0</v>
      </c>
      <c r="F421" s="29">
        <f>Текущий!E420</f>
        <v>0</v>
      </c>
      <c r="G421" s="16" t="str">
        <f>IF(Текущий!K420="-",Текущий!K420,ROUND(Текущий!K420,0))</f>
        <v>-</v>
      </c>
      <c r="H421" s="29" t="str">
        <f>IF(ROUND(Текущий!I420,0)=0,"-",ROUND(Текущий!I420,0))</f>
        <v>-</v>
      </c>
      <c r="I421" s="16" t="str">
        <f>IF(Предыд!K420="-",Предыд!K420,ROUND(Предыд!K420,0))</f>
        <v>-</v>
      </c>
      <c r="J421" s="29" t="str">
        <f>IF(ROUND(Предыд!I420,0)=0,"-",ROUND(Предыд!I420,0))</f>
        <v>-</v>
      </c>
      <c r="K421" s="30" t="str">
        <f>Текущий!L420</f>
        <v>Рихтовка</v>
      </c>
      <c r="L421" s="29">
        <f>Текущий!AL420</f>
        <v>0</v>
      </c>
      <c r="M421" s="29">
        <f>Текущий!AM420</f>
        <v>0</v>
      </c>
      <c r="N421" s="29">
        <f>Текущий!AN420</f>
        <v>0</v>
      </c>
      <c r="O421" s="29">
        <f>Текущий!AP420</f>
        <v>0</v>
      </c>
      <c r="P421" s="29">
        <f>Предыд!AL420</f>
        <v>0</v>
      </c>
      <c r="Q421" s="29">
        <f>Предыд!AM420</f>
        <v>0</v>
      </c>
      <c r="R421" s="29">
        <f>Предыд!AN420</f>
        <v>0</v>
      </c>
      <c r="S421" s="29">
        <f>Предыд!AO420</f>
        <v>0</v>
      </c>
      <c r="T421" s="17" t="str">
        <f t="shared" si="6"/>
        <v>-</v>
      </c>
    </row>
    <row r="422" spans="1:20" x14ac:dyDescent="0.25">
      <c r="A422" s="29">
        <f>Текущий!A421</f>
        <v>8</v>
      </c>
      <c r="B422" s="29">
        <f>Текущий!B421</f>
        <v>13809</v>
      </c>
      <c r="C422" s="29">
        <f>Текущий!C421</f>
        <v>1</v>
      </c>
      <c r="D422" s="29" t="str">
        <f>Текущий!D421</f>
        <v>Губерово - Эбергард</v>
      </c>
      <c r="E422" s="29">
        <f>ROUND(Текущий!J421,0)</f>
        <v>0</v>
      </c>
      <c r="F422" s="29">
        <f>Текущий!E421</f>
        <v>0</v>
      </c>
      <c r="G422" s="16" t="str">
        <f>IF(Текущий!K421="-",Текущий!K421,ROUND(Текущий!K421,0))</f>
        <v>-</v>
      </c>
      <c r="H422" s="29" t="str">
        <f>IF(ROUND(Текущий!I421,0)=0,"-",ROUND(Текущий!I421,0))</f>
        <v>-</v>
      </c>
      <c r="I422" s="16" t="str">
        <f>IF(Предыд!K421="-",Предыд!K421,ROUND(Предыд!K421,0))</f>
        <v>-</v>
      </c>
      <c r="J422" s="29" t="str">
        <f>IF(ROUND(Предыд!I421,0)=0,"-",ROUND(Предыд!I421,0))</f>
        <v>-</v>
      </c>
      <c r="K422" s="30" t="str">
        <f>Текущий!L421</f>
        <v>Рихтовка</v>
      </c>
      <c r="L422" s="29">
        <f>Текущий!AL421</f>
        <v>0</v>
      </c>
      <c r="M422" s="29">
        <f>Текущий!AM421</f>
        <v>0</v>
      </c>
      <c r="N422" s="29">
        <f>Текущий!AN421</f>
        <v>0</v>
      </c>
      <c r="O422" s="29">
        <f>Текущий!AP421</f>
        <v>0</v>
      </c>
      <c r="P422" s="29">
        <f>Предыд!AL421</f>
        <v>0</v>
      </c>
      <c r="Q422" s="29">
        <f>Предыд!AM421</f>
        <v>0</v>
      </c>
      <c r="R422" s="29">
        <f>Предыд!AN421</f>
        <v>0</v>
      </c>
      <c r="S422" s="29">
        <f>Предыд!AO421</f>
        <v>0</v>
      </c>
      <c r="T422" s="17" t="str">
        <f t="shared" si="6"/>
        <v>-</v>
      </c>
    </row>
    <row r="423" spans="1:20" x14ac:dyDescent="0.25">
      <c r="A423" s="29">
        <f>Текущий!A422</f>
        <v>8</v>
      </c>
      <c r="B423" s="29">
        <f>Текущий!B422</f>
        <v>13809</v>
      </c>
      <c r="C423" s="29">
        <f>Текущий!C422</f>
        <v>1</v>
      </c>
      <c r="D423" s="29" t="str">
        <f>Текущий!D422</f>
        <v>Эбергард - Блокпост 1560 км</v>
      </c>
      <c r="E423" s="29">
        <f>ROUND(Текущий!J422,0)</f>
        <v>0</v>
      </c>
      <c r="F423" s="29">
        <f>Текущий!E422</f>
        <v>0</v>
      </c>
      <c r="G423" s="16" t="str">
        <f>IF(Текущий!K422="-",Текущий!K422,ROUND(Текущий!K422,0))</f>
        <v>-</v>
      </c>
      <c r="H423" s="29" t="str">
        <f>IF(ROUND(Текущий!I422,0)=0,"-",ROUND(Текущий!I422,0))</f>
        <v>-</v>
      </c>
      <c r="I423" s="16" t="str">
        <f>IF(Предыд!K422="-",Предыд!K422,ROUND(Предыд!K422,0))</f>
        <v>-</v>
      </c>
      <c r="J423" s="29" t="str">
        <f>IF(ROUND(Предыд!I422,0)=0,"-",ROUND(Предыд!I422,0))</f>
        <v>-</v>
      </c>
      <c r="K423" s="30" t="str">
        <f>Текущий!L422</f>
        <v>Рихтовка</v>
      </c>
      <c r="L423" s="29">
        <f>Текущий!AL422</f>
        <v>0</v>
      </c>
      <c r="M423" s="29">
        <f>Текущий!AM422</f>
        <v>0</v>
      </c>
      <c r="N423" s="29">
        <f>Текущий!AN422</f>
        <v>0</v>
      </c>
      <c r="O423" s="29">
        <f>Текущий!AP422</f>
        <v>0</v>
      </c>
      <c r="P423" s="29">
        <f>Предыд!AL422</f>
        <v>0</v>
      </c>
      <c r="Q423" s="29">
        <f>Предыд!AM422</f>
        <v>0</v>
      </c>
      <c r="R423" s="29">
        <f>Предыд!AN422</f>
        <v>0</v>
      </c>
      <c r="S423" s="29">
        <f>Предыд!AO422</f>
        <v>0</v>
      </c>
      <c r="T423" s="17" t="str">
        <f t="shared" si="6"/>
        <v>-</v>
      </c>
    </row>
    <row r="424" spans="1:20" x14ac:dyDescent="0.25">
      <c r="A424" s="29">
        <f>Текущий!A423</f>
        <v>8</v>
      </c>
      <c r="B424" s="29">
        <f>Текущий!B423</f>
        <v>13809</v>
      </c>
      <c r="C424" s="29">
        <f>Текущий!C423</f>
        <v>2</v>
      </c>
      <c r="D424" s="29" t="str">
        <f>Текущий!D423</f>
        <v>Звеньевой - Бурлит-Волочаевский</v>
      </c>
      <c r="E424" s="29">
        <f>ROUND(Текущий!J423,0)</f>
        <v>0</v>
      </c>
      <c r="F424" s="29">
        <f>Текущий!E423</f>
        <v>0</v>
      </c>
      <c r="G424" s="16" t="str">
        <f>IF(Текущий!K423="-",Текущий!K423,ROUND(Текущий!K423,0))</f>
        <v>-</v>
      </c>
      <c r="H424" s="29" t="str">
        <f>IF(ROUND(Текущий!I423,0)=0,"-",ROUND(Текущий!I423,0))</f>
        <v>-</v>
      </c>
      <c r="I424" s="16" t="str">
        <f>IF(Предыд!K423="-",Предыд!K423,ROUND(Предыд!K423,0))</f>
        <v>-</v>
      </c>
      <c r="J424" s="29" t="str">
        <f>IF(ROUND(Предыд!I423,0)=0,"-",ROUND(Предыд!I423,0))</f>
        <v>-</v>
      </c>
      <c r="K424" s="30" t="str">
        <f>Текущий!L423</f>
        <v>Рихтовка</v>
      </c>
      <c r="L424" s="29">
        <f>Текущий!AL423</f>
        <v>0</v>
      </c>
      <c r="M424" s="29">
        <f>Текущий!AM423</f>
        <v>0</v>
      </c>
      <c r="N424" s="29">
        <f>Текущий!AN423</f>
        <v>0</v>
      </c>
      <c r="O424" s="29">
        <f>Текущий!AP423</f>
        <v>0</v>
      </c>
      <c r="P424" s="29">
        <f>Предыд!AL423</f>
        <v>0</v>
      </c>
      <c r="Q424" s="29">
        <f>Предыд!AM423</f>
        <v>0</v>
      </c>
      <c r="R424" s="29">
        <f>Предыд!AN423</f>
        <v>0</v>
      </c>
      <c r="S424" s="29">
        <f>Предыд!AO423</f>
        <v>0</v>
      </c>
      <c r="T424" s="17" t="str">
        <f t="shared" si="6"/>
        <v>-</v>
      </c>
    </row>
    <row r="425" spans="1:20" x14ac:dyDescent="0.25">
      <c r="A425" s="29">
        <f>Текущий!A424</f>
        <v>8</v>
      </c>
      <c r="B425" s="29">
        <f>Текущий!B424</f>
        <v>13809</v>
      </c>
      <c r="C425" s="29">
        <f>Текущий!C424</f>
        <v>2</v>
      </c>
      <c r="D425" s="29" t="str">
        <f>Текущий!D424</f>
        <v>Бурлит-Волочаевский - Лучегорск</v>
      </c>
      <c r="E425" s="29">
        <f>ROUND(Текущий!J424,0)</f>
        <v>0</v>
      </c>
      <c r="F425" s="29">
        <f>Текущий!E424</f>
        <v>0</v>
      </c>
      <c r="G425" s="16" t="str">
        <f>IF(Текущий!K424="-",Текущий!K424,ROUND(Текущий!K424,0))</f>
        <v>-</v>
      </c>
      <c r="H425" s="29" t="str">
        <f>IF(ROUND(Текущий!I424,0)=0,"-",ROUND(Текущий!I424,0))</f>
        <v>-</v>
      </c>
      <c r="I425" s="16" t="str">
        <f>IF(Предыд!K424="-",Предыд!K424,ROUND(Предыд!K424,0))</f>
        <v>-</v>
      </c>
      <c r="J425" s="29" t="str">
        <f>IF(ROUND(Предыд!I424,0)=0,"-",ROUND(Предыд!I424,0))</f>
        <v>-</v>
      </c>
      <c r="K425" s="30" t="str">
        <f>Текущий!L424</f>
        <v>Рихтовка</v>
      </c>
      <c r="L425" s="29">
        <f>Текущий!AL424</f>
        <v>0</v>
      </c>
      <c r="M425" s="29">
        <f>Текущий!AM424</f>
        <v>0</v>
      </c>
      <c r="N425" s="29">
        <f>Текущий!AN424</f>
        <v>0</v>
      </c>
      <c r="O425" s="29">
        <f>Текущий!AP424</f>
        <v>0</v>
      </c>
      <c r="P425" s="29">
        <f>Предыд!AL424</f>
        <v>0</v>
      </c>
      <c r="Q425" s="29">
        <f>Предыд!AM424</f>
        <v>0</v>
      </c>
      <c r="R425" s="29">
        <f>Предыд!AN424</f>
        <v>0</v>
      </c>
      <c r="S425" s="29">
        <f>Предыд!AO424</f>
        <v>0</v>
      </c>
      <c r="T425" s="17" t="str">
        <f t="shared" si="6"/>
        <v>-</v>
      </c>
    </row>
    <row r="426" spans="1:20" x14ac:dyDescent="0.25">
      <c r="A426" s="29">
        <f>Текущий!A425</f>
        <v>8</v>
      </c>
      <c r="B426" s="29">
        <f>Текущий!B425</f>
        <v>13809</v>
      </c>
      <c r="C426" s="29">
        <f>Текущий!C425</f>
        <v>2</v>
      </c>
      <c r="D426" s="29" t="str">
        <f>Текущий!D425</f>
        <v>Лучегорск - Ласточка</v>
      </c>
      <c r="E426" s="29">
        <f>ROUND(Текущий!J425,0)</f>
        <v>0</v>
      </c>
      <c r="F426" s="29">
        <f>Текущий!E425</f>
        <v>0</v>
      </c>
      <c r="G426" s="16" t="str">
        <f>IF(Текущий!K425="-",Текущий!K425,ROUND(Текущий!K425,0))</f>
        <v>-</v>
      </c>
      <c r="H426" s="29" t="str">
        <f>IF(ROUND(Текущий!I425,0)=0,"-",ROUND(Текущий!I425,0))</f>
        <v>-</v>
      </c>
      <c r="I426" s="16" t="str">
        <f>IF(Предыд!K425="-",Предыд!K425,ROUND(Предыд!K425,0))</f>
        <v>-</v>
      </c>
      <c r="J426" s="29" t="str">
        <f>IF(ROUND(Предыд!I425,0)=0,"-",ROUND(Предыд!I425,0))</f>
        <v>-</v>
      </c>
      <c r="K426" s="30" t="str">
        <f>Текущий!L425</f>
        <v>Рихтовка</v>
      </c>
      <c r="L426" s="29">
        <f>Текущий!AL425</f>
        <v>0</v>
      </c>
      <c r="M426" s="29">
        <f>Текущий!AM425</f>
        <v>0</v>
      </c>
      <c r="N426" s="29">
        <f>Текущий!AN425</f>
        <v>0</v>
      </c>
      <c r="O426" s="29">
        <f>Текущий!AP425</f>
        <v>0</v>
      </c>
      <c r="P426" s="29">
        <f>Предыд!AL425</f>
        <v>0</v>
      </c>
      <c r="Q426" s="29">
        <f>Предыд!AM425</f>
        <v>0</v>
      </c>
      <c r="R426" s="29">
        <f>Предыд!AN425</f>
        <v>0</v>
      </c>
      <c r="S426" s="29">
        <f>Предыд!AO425</f>
        <v>0</v>
      </c>
      <c r="T426" s="17" t="str">
        <f t="shared" si="6"/>
        <v>-</v>
      </c>
    </row>
    <row r="427" spans="1:20" x14ac:dyDescent="0.25">
      <c r="A427" s="29">
        <f>Текущий!A426</f>
        <v>8</v>
      </c>
      <c r="B427" s="29">
        <f>Текущий!B426</f>
        <v>13809</v>
      </c>
      <c r="C427" s="29">
        <f>Текущий!C426</f>
        <v>2</v>
      </c>
      <c r="D427" s="29" t="str">
        <f>Текущий!D426</f>
        <v>Ласточка - Губерово</v>
      </c>
      <c r="E427" s="29">
        <f>ROUND(Текущий!J426,0)</f>
        <v>0</v>
      </c>
      <c r="F427" s="29">
        <f>Текущий!E426</f>
        <v>0</v>
      </c>
      <c r="G427" s="16" t="str">
        <f>IF(Текущий!K426="-",Текущий!K426,ROUND(Текущий!K426,0))</f>
        <v>-</v>
      </c>
      <c r="H427" s="29" t="str">
        <f>IF(ROUND(Текущий!I426,0)=0,"-",ROUND(Текущий!I426,0))</f>
        <v>-</v>
      </c>
      <c r="I427" s="16" t="str">
        <f>IF(Предыд!K426="-",Предыд!K426,ROUND(Предыд!K426,0))</f>
        <v>-</v>
      </c>
      <c r="J427" s="29" t="str">
        <f>IF(ROUND(Предыд!I426,0)=0,"-",ROUND(Предыд!I426,0))</f>
        <v>-</v>
      </c>
      <c r="K427" s="30" t="str">
        <f>Текущий!L426</f>
        <v>Рихтовка</v>
      </c>
      <c r="L427" s="29">
        <f>Текущий!AL426</f>
        <v>0</v>
      </c>
      <c r="M427" s="29">
        <f>Текущий!AM426</f>
        <v>0</v>
      </c>
      <c r="N427" s="29">
        <f>Текущий!AN426</f>
        <v>0</v>
      </c>
      <c r="O427" s="29">
        <f>Текущий!AP426</f>
        <v>0</v>
      </c>
      <c r="P427" s="29">
        <f>Предыд!AL426</f>
        <v>0</v>
      </c>
      <c r="Q427" s="29">
        <f>Предыд!AM426</f>
        <v>0</v>
      </c>
      <c r="R427" s="29">
        <f>Предыд!AN426</f>
        <v>0</v>
      </c>
      <c r="S427" s="29">
        <f>Предыд!AO426</f>
        <v>0</v>
      </c>
      <c r="T427" s="17" t="str">
        <f t="shared" si="6"/>
        <v>-</v>
      </c>
    </row>
    <row r="428" spans="1:20" x14ac:dyDescent="0.25">
      <c r="A428" s="29">
        <f>Текущий!A427</f>
        <v>8</v>
      </c>
      <c r="B428" s="29">
        <f>Текущий!B427</f>
        <v>13809</v>
      </c>
      <c r="C428" s="29">
        <f>Текущий!C427</f>
        <v>2</v>
      </c>
      <c r="D428" s="29" t="str">
        <f>Текущий!D427</f>
        <v>Губерово - Эбергард</v>
      </c>
      <c r="E428" s="29">
        <f>ROUND(Текущий!J427,0)</f>
        <v>0</v>
      </c>
      <c r="F428" s="29">
        <f>Текущий!E427</f>
        <v>0</v>
      </c>
      <c r="G428" s="16" t="str">
        <f>IF(Текущий!K427="-",Текущий!K427,ROUND(Текущий!K427,0))</f>
        <v>-</v>
      </c>
      <c r="H428" s="29" t="str">
        <f>IF(ROUND(Текущий!I427,0)=0,"-",ROUND(Текущий!I427,0))</f>
        <v>-</v>
      </c>
      <c r="I428" s="16" t="str">
        <f>IF(Предыд!K427="-",Предыд!K427,ROUND(Предыд!K427,0))</f>
        <v>-</v>
      </c>
      <c r="J428" s="29" t="str">
        <f>IF(ROUND(Предыд!I427,0)=0,"-",ROUND(Предыд!I427,0))</f>
        <v>-</v>
      </c>
      <c r="K428" s="30" t="str">
        <f>Текущий!L427</f>
        <v>Рихтовка</v>
      </c>
      <c r="L428" s="29">
        <f>Текущий!AL427</f>
        <v>0</v>
      </c>
      <c r="M428" s="29">
        <f>Текущий!AM427</f>
        <v>0</v>
      </c>
      <c r="N428" s="29">
        <f>Текущий!AN427</f>
        <v>0</v>
      </c>
      <c r="O428" s="29">
        <f>Текущий!AP427</f>
        <v>0</v>
      </c>
      <c r="P428" s="29">
        <f>Предыд!AL427</f>
        <v>0</v>
      </c>
      <c r="Q428" s="29">
        <f>Предыд!AM427</f>
        <v>0</v>
      </c>
      <c r="R428" s="29">
        <f>Предыд!AN427</f>
        <v>0</v>
      </c>
      <c r="S428" s="29">
        <f>Предыд!AO427</f>
        <v>0</v>
      </c>
      <c r="T428" s="17" t="str">
        <f t="shared" si="6"/>
        <v>-</v>
      </c>
    </row>
    <row r="429" spans="1:20" x14ac:dyDescent="0.25">
      <c r="A429" s="29">
        <f>Текущий!A428</f>
        <v>8</v>
      </c>
      <c r="B429" s="29">
        <f>Текущий!B428</f>
        <v>13809</v>
      </c>
      <c r="C429" s="29">
        <f>Текущий!C428</f>
        <v>2</v>
      </c>
      <c r="D429" s="29" t="str">
        <f>Текущий!D428</f>
        <v>Эбергард - Дальнереченск I</v>
      </c>
      <c r="E429" s="29">
        <f>ROUND(Текущий!J428,0)</f>
        <v>0</v>
      </c>
      <c r="F429" s="29">
        <f>Текущий!E428</f>
        <v>0</v>
      </c>
      <c r="G429" s="16" t="str">
        <f>IF(Текущий!K428="-",Текущий!K428,ROUND(Текущий!K428,0))</f>
        <v>-</v>
      </c>
      <c r="H429" s="29" t="str">
        <f>IF(ROUND(Текущий!I428,0)=0,"-",ROUND(Текущий!I428,0))</f>
        <v>-</v>
      </c>
      <c r="I429" s="16" t="str">
        <f>IF(Предыд!K428="-",Предыд!K428,ROUND(Предыд!K428,0))</f>
        <v>-</v>
      </c>
      <c r="J429" s="29" t="str">
        <f>IF(ROUND(Предыд!I428,0)=0,"-",ROUND(Предыд!I428,0))</f>
        <v>-</v>
      </c>
      <c r="K429" s="30" t="str">
        <f>Текущий!L428</f>
        <v>Рихтовка</v>
      </c>
      <c r="L429" s="29">
        <f>Текущий!AL428</f>
        <v>0</v>
      </c>
      <c r="M429" s="29">
        <f>Текущий!AM428</f>
        <v>0</v>
      </c>
      <c r="N429" s="29">
        <f>Текущий!AN428</f>
        <v>0</v>
      </c>
      <c r="O429" s="29">
        <f>Текущий!AP428</f>
        <v>0</v>
      </c>
      <c r="P429" s="29">
        <f>Предыд!AL428</f>
        <v>0</v>
      </c>
      <c r="Q429" s="29">
        <f>Предыд!AM428</f>
        <v>0</v>
      </c>
      <c r="R429" s="29">
        <f>Предыд!AN428</f>
        <v>0</v>
      </c>
      <c r="S429" s="29">
        <f>Предыд!AO428</f>
        <v>0</v>
      </c>
      <c r="T429" s="17" t="str">
        <f t="shared" si="6"/>
        <v>-</v>
      </c>
    </row>
    <row r="430" spans="1:20" x14ac:dyDescent="0.25">
      <c r="A430" s="29">
        <f>Текущий!A429</f>
        <v>8</v>
      </c>
      <c r="B430" s="29">
        <f>Текущий!B429</f>
        <v>13811</v>
      </c>
      <c r="C430" s="29" t="str">
        <f>Текущий!C429</f>
        <v>н</v>
      </c>
      <c r="D430" s="29" t="str">
        <f>Текущий!D429</f>
        <v>Эбергард - Дальнереченск II</v>
      </c>
      <c r="E430" s="29">
        <f>ROUND(Текущий!J429,0)</f>
        <v>0</v>
      </c>
      <c r="F430" s="29">
        <f>Текущий!E429</f>
        <v>0</v>
      </c>
      <c r="G430" s="16" t="str">
        <f>IF(Текущий!K429="-",Текущий!K429,ROUND(Текущий!K429,0))</f>
        <v>-</v>
      </c>
      <c r="H430" s="29" t="str">
        <f>IF(ROUND(Текущий!I429,0)=0,"-",ROUND(Текущий!I429,0))</f>
        <v>-</v>
      </c>
      <c r="I430" s="16" t="str">
        <f>IF(Предыд!K429="-",Предыд!K429,ROUND(Предыд!K429,0))</f>
        <v>-</v>
      </c>
      <c r="J430" s="29" t="str">
        <f>IF(ROUND(Предыд!I429,0)=0,"-",ROUND(Предыд!I429,0))</f>
        <v>-</v>
      </c>
      <c r="K430" s="30" t="str">
        <f>Текущий!L429</f>
        <v>Рихтовка</v>
      </c>
      <c r="L430" s="29">
        <f>Текущий!AL429</f>
        <v>0</v>
      </c>
      <c r="M430" s="29">
        <f>Текущий!AM429</f>
        <v>0</v>
      </c>
      <c r="N430" s="29">
        <f>Текущий!AN429</f>
        <v>0</v>
      </c>
      <c r="O430" s="29">
        <f>Текущий!AP429</f>
        <v>0</v>
      </c>
      <c r="P430" s="29">
        <f>Предыд!AL429</f>
        <v>0</v>
      </c>
      <c r="Q430" s="29">
        <f>Предыд!AM429</f>
        <v>0</v>
      </c>
      <c r="R430" s="29">
        <f>Предыд!AN429</f>
        <v>0</v>
      </c>
      <c r="S430" s="29">
        <f>Предыд!AO429</f>
        <v>0</v>
      </c>
      <c r="T430" s="17" t="str">
        <f t="shared" si="6"/>
        <v>-</v>
      </c>
    </row>
    <row r="431" spans="1:20" x14ac:dyDescent="0.25">
      <c r="A431" s="29">
        <f>Текущий!A430</f>
        <v>8</v>
      </c>
      <c r="B431" s="29">
        <f>Текущий!B430</f>
        <v>13811</v>
      </c>
      <c r="C431" s="29" t="str">
        <f>Текущий!C430</f>
        <v>н</v>
      </c>
      <c r="D431" s="29" t="str">
        <f>Текущий!D430</f>
        <v>Дальнереченск II - Блокпост 1571 км</v>
      </c>
      <c r="E431" s="29">
        <f>ROUND(Текущий!J430,0)</f>
        <v>0</v>
      </c>
      <c r="F431" s="29">
        <f>Текущий!E430</f>
        <v>0</v>
      </c>
      <c r="G431" s="16" t="str">
        <f>IF(Текущий!K430="-",Текущий!K430,ROUND(Текущий!K430,0))</f>
        <v>-</v>
      </c>
      <c r="H431" s="29" t="str">
        <f>IF(ROUND(Текущий!I430,0)=0,"-",ROUND(Текущий!I430,0))</f>
        <v>-</v>
      </c>
      <c r="I431" s="16" t="str">
        <f>IF(Предыд!K430="-",Предыд!K430,ROUND(Предыд!K430,0))</f>
        <v>-</v>
      </c>
      <c r="J431" s="29" t="str">
        <f>IF(ROUND(Предыд!I430,0)=0,"-",ROUND(Предыд!I430,0))</f>
        <v>-</v>
      </c>
      <c r="K431" s="30" t="str">
        <f>Текущий!L430</f>
        <v>Рихтовка</v>
      </c>
      <c r="L431" s="29">
        <f>Текущий!AL430</f>
        <v>0</v>
      </c>
      <c r="M431" s="29">
        <f>Текущий!AM430</f>
        <v>0</v>
      </c>
      <c r="N431" s="29">
        <f>Текущий!AN430</f>
        <v>0</v>
      </c>
      <c r="O431" s="29">
        <f>Текущий!AP430</f>
        <v>0</v>
      </c>
      <c r="P431" s="29">
        <f>Предыд!AL430</f>
        <v>0</v>
      </c>
      <c r="Q431" s="29">
        <f>Предыд!AM430</f>
        <v>0</v>
      </c>
      <c r="R431" s="29">
        <f>Предыд!AN430</f>
        <v>0</v>
      </c>
      <c r="S431" s="29">
        <f>Предыд!AO430</f>
        <v>0</v>
      </c>
      <c r="T431" s="17" t="str">
        <f t="shared" si="6"/>
        <v>-</v>
      </c>
    </row>
    <row r="432" spans="1:20" x14ac:dyDescent="0.25">
      <c r="A432" s="29">
        <f>Текущий!A431</f>
        <v>8</v>
      </c>
      <c r="B432" s="29">
        <f>Текущий!B431</f>
        <v>13809</v>
      </c>
      <c r="C432" s="29">
        <f>Текущий!C431</f>
        <v>1</v>
      </c>
      <c r="D432" s="29" t="str">
        <f>Текущий!D431</f>
        <v>Дальнереченск I - Лазо</v>
      </c>
      <c r="E432" s="29">
        <f>ROUND(Текущий!J431,0)</f>
        <v>0</v>
      </c>
      <c r="F432" s="29">
        <f>Текущий!E431</f>
        <v>0</v>
      </c>
      <c r="G432" s="16" t="str">
        <f>IF(Текущий!K431="-",Текущий!K431,ROUND(Текущий!K431,0))</f>
        <v>-</v>
      </c>
      <c r="H432" s="29" t="str">
        <f>IF(ROUND(Текущий!I431,0)=0,"-",ROUND(Текущий!I431,0))</f>
        <v>-</v>
      </c>
      <c r="I432" s="16" t="str">
        <f>IF(Предыд!K431="-",Предыд!K431,ROUND(Предыд!K431,0))</f>
        <v>-</v>
      </c>
      <c r="J432" s="29" t="str">
        <f>IF(ROUND(Предыд!I431,0)=0,"-",ROUND(Предыд!I431,0))</f>
        <v>-</v>
      </c>
      <c r="K432" s="30" t="str">
        <f>Текущий!L431</f>
        <v>Рихтовка</v>
      </c>
      <c r="L432" s="29">
        <f>Текущий!AL431</f>
        <v>0</v>
      </c>
      <c r="M432" s="29">
        <f>Текущий!AM431</f>
        <v>0</v>
      </c>
      <c r="N432" s="29">
        <f>Текущий!AN431</f>
        <v>0</v>
      </c>
      <c r="O432" s="29">
        <f>Текущий!AP431</f>
        <v>0</v>
      </c>
      <c r="P432" s="29">
        <f>Предыд!AL431</f>
        <v>0</v>
      </c>
      <c r="Q432" s="29">
        <f>Предыд!AM431</f>
        <v>0</v>
      </c>
      <c r="R432" s="29">
        <f>Предыд!AN431</f>
        <v>0</v>
      </c>
      <c r="S432" s="29">
        <f>Предыд!AO431</f>
        <v>0</v>
      </c>
      <c r="T432" s="17" t="str">
        <f t="shared" si="6"/>
        <v>-</v>
      </c>
    </row>
    <row r="433" spans="1:20" x14ac:dyDescent="0.25">
      <c r="A433" s="29">
        <f>Текущий!A432</f>
        <v>8</v>
      </c>
      <c r="B433" s="29">
        <f>Текущий!B432</f>
        <v>13809</v>
      </c>
      <c r="C433" s="29">
        <f>Текущий!C432</f>
        <v>1</v>
      </c>
      <c r="D433" s="29" t="str">
        <f>Текущий!D432</f>
        <v>Лазо - Грушевое</v>
      </c>
      <c r="E433" s="29">
        <f>ROUND(Текущий!J432,0)</f>
        <v>0</v>
      </c>
      <c r="F433" s="29">
        <f>Текущий!E432</f>
        <v>0</v>
      </c>
      <c r="G433" s="16" t="str">
        <f>IF(Текущий!K432="-",Текущий!K432,ROUND(Текущий!K432,0))</f>
        <v>-</v>
      </c>
      <c r="H433" s="29" t="str">
        <f>IF(ROUND(Текущий!I432,0)=0,"-",ROUND(Текущий!I432,0))</f>
        <v>-</v>
      </c>
      <c r="I433" s="16" t="str">
        <f>IF(Предыд!K432="-",Предыд!K432,ROUND(Предыд!K432,0))</f>
        <v>-</v>
      </c>
      <c r="J433" s="29" t="str">
        <f>IF(ROUND(Предыд!I432,0)=0,"-",ROUND(Предыд!I432,0))</f>
        <v>-</v>
      </c>
      <c r="K433" s="30" t="str">
        <f>Текущий!L432</f>
        <v>Рихтовка</v>
      </c>
      <c r="L433" s="29">
        <f>Текущий!AL432</f>
        <v>0</v>
      </c>
      <c r="M433" s="29">
        <f>Текущий!AM432</f>
        <v>0</v>
      </c>
      <c r="N433" s="29">
        <f>Текущий!AN432</f>
        <v>0</v>
      </c>
      <c r="O433" s="29">
        <f>Текущий!AP432</f>
        <v>0</v>
      </c>
      <c r="P433" s="29">
        <f>Предыд!AL432</f>
        <v>0</v>
      </c>
      <c r="Q433" s="29">
        <f>Предыд!AM432</f>
        <v>0</v>
      </c>
      <c r="R433" s="29">
        <f>Предыд!AN432</f>
        <v>0</v>
      </c>
      <c r="S433" s="29">
        <f>Предыд!AO432</f>
        <v>0</v>
      </c>
      <c r="T433" s="17" t="str">
        <f t="shared" si="6"/>
        <v>-</v>
      </c>
    </row>
    <row r="434" spans="1:20" x14ac:dyDescent="0.25">
      <c r="A434" s="29">
        <f>Текущий!A433</f>
        <v>8</v>
      </c>
      <c r="B434" s="29">
        <f>Текущий!B433</f>
        <v>13809</v>
      </c>
      <c r="C434" s="29">
        <f>Текущий!C433</f>
        <v>1</v>
      </c>
      <c r="D434" s="29" t="str">
        <f>Текущий!D433</f>
        <v>Грушевое - Прохаско</v>
      </c>
      <c r="E434" s="29">
        <f>ROUND(Текущий!J433,0)</f>
        <v>0</v>
      </c>
      <c r="F434" s="29">
        <f>Текущий!E433</f>
        <v>0</v>
      </c>
      <c r="G434" s="16" t="str">
        <f>IF(Текущий!K433="-",Текущий!K433,ROUND(Текущий!K433,0))</f>
        <v>-</v>
      </c>
      <c r="H434" s="29" t="str">
        <f>IF(ROUND(Текущий!I433,0)=0,"-",ROUND(Текущий!I433,0))</f>
        <v>-</v>
      </c>
      <c r="I434" s="16" t="str">
        <f>IF(Предыд!K433="-",Предыд!K433,ROUND(Предыд!K433,0))</f>
        <v>-</v>
      </c>
      <c r="J434" s="29" t="str">
        <f>IF(ROUND(Предыд!I433,0)=0,"-",ROUND(Предыд!I433,0))</f>
        <v>-</v>
      </c>
      <c r="K434" s="30" t="str">
        <f>Текущий!L433</f>
        <v>Рихтовка</v>
      </c>
      <c r="L434" s="29">
        <f>Текущий!AL433</f>
        <v>0</v>
      </c>
      <c r="M434" s="29">
        <f>Текущий!AM433</f>
        <v>0</v>
      </c>
      <c r="N434" s="29">
        <f>Текущий!AN433</f>
        <v>0</v>
      </c>
      <c r="O434" s="29">
        <f>Текущий!AP433</f>
        <v>0</v>
      </c>
      <c r="P434" s="29">
        <f>Предыд!AL433</f>
        <v>0</v>
      </c>
      <c r="Q434" s="29">
        <f>Предыд!AM433</f>
        <v>0</v>
      </c>
      <c r="R434" s="29">
        <f>Предыд!AN433</f>
        <v>0</v>
      </c>
      <c r="S434" s="29">
        <f>Предыд!AO433</f>
        <v>0</v>
      </c>
      <c r="T434" s="17" t="str">
        <f t="shared" si="6"/>
        <v>-</v>
      </c>
    </row>
    <row r="435" spans="1:20" x14ac:dyDescent="0.25">
      <c r="A435" s="29">
        <f>Текущий!A434</f>
        <v>8</v>
      </c>
      <c r="B435" s="29">
        <f>Текущий!B434</f>
        <v>13809</v>
      </c>
      <c r="C435" s="29">
        <f>Текущий!C434</f>
        <v>1</v>
      </c>
      <c r="D435" s="29" t="str">
        <f>Текущий!D434</f>
        <v>Прохаско - Филаретовка</v>
      </c>
      <c r="E435" s="29">
        <f>ROUND(Текущий!J434,0)</f>
        <v>0</v>
      </c>
      <c r="F435" s="29">
        <f>Текущий!E434</f>
        <v>0</v>
      </c>
      <c r="G435" s="16" t="str">
        <f>IF(Текущий!K434="-",Текущий!K434,ROUND(Текущий!K434,0))</f>
        <v>-</v>
      </c>
      <c r="H435" s="29" t="str">
        <f>IF(ROUND(Текущий!I434,0)=0,"-",ROUND(Текущий!I434,0))</f>
        <v>-</v>
      </c>
      <c r="I435" s="16" t="str">
        <f>IF(Предыд!K434="-",Предыд!K434,ROUND(Предыд!K434,0))</f>
        <v>-</v>
      </c>
      <c r="J435" s="29" t="str">
        <f>IF(ROUND(Предыд!I434,0)=0,"-",ROUND(Предыд!I434,0))</f>
        <v>-</v>
      </c>
      <c r="K435" s="30" t="str">
        <f>Текущий!L434</f>
        <v>Рихтовка</v>
      </c>
      <c r="L435" s="29">
        <f>Текущий!AL434</f>
        <v>0</v>
      </c>
      <c r="M435" s="29">
        <f>Текущий!AM434</f>
        <v>0</v>
      </c>
      <c r="N435" s="29">
        <f>Текущий!AN434</f>
        <v>0</v>
      </c>
      <c r="O435" s="29">
        <f>Текущий!AP434</f>
        <v>0</v>
      </c>
      <c r="P435" s="29">
        <f>Предыд!AL434</f>
        <v>0</v>
      </c>
      <c r="Q435" s="29">
        <f>Предыд!AM434</f>
        <v>0</v>
      </c>
      <c r="R435" s="29">
        <f>Предыд!AN434</f>
        <v>0</v>
      </c>
      <c r="S435" s="29">
        <f>Предыд!AO434</f>
        <v>0</v>
      </c>
      <c r="T435" s="17" t="str">
        <f t="shared" si="6"/>
        <v>-</v>
      </c>
    </row>
    <row r="436" spans="1:20" x14ac:dyDescent="0.25">
      <c r="A436" s="29">
        <f>Текущий!A435</f>
        <v>8</v>
      </c>
      <c r="B436" s="29">
        <f>Текущий!B435</f>
        <v>13809</v>
      </c>
      <c r="C436" s="29">
        <f>Текущий!C435</f>
        <v>1</v>
      </c>
      <c r="D436" s="29" t="str">
        <f>Текущий!D435</f>
        <v>Филаретовка - Ружино</v>
      </c>
      <c r="E436" s="29">
        <f>ROUND(Текущий!J435,0)</f>
        <v>0</v>
      </c>
      <c r="F436" s="29">
        <f>Текущий!E435</f>
        <v>0</v>
      </c>
      <c r="G436" s="16" t="str">
        <f>IF(Текущий!K435="-",Текущий!K435,ROUND(Текущий!K435,0))</f>
        <v>-</v>
      </c>
      <c r="H436" s="29" t="str">
        <f>IF(ROUND(Текущий!I435,0)=0,"-",ROUND(Текущий!I435,0))</f>
        <v>-</v>
      </c>
      <c r="I436" s="16" t="str">
        <f>IF(Предыд!K435="-",Предыд!K435,ROUND(Предыд!K435,0))</f>
        <v>-</v>
      </c>
      <c r="J436" s="29" t="str">
        <f>IF(ROUND(Предыд!I435,0)=0,"-",ROUND(Предыд!I435,0))</f>
        <v>-</v>
      </c>
      <c r="K436" s="30" t="str">
        <f>Текущий!L435</f>
        <v>Рихтовка</v>
      </c>
      <c r="L436" s="29">
        <f>Текущий!AL435</f>
        <v>0</v>
      </c>
      <c r="M436" s="29">
        <f>Текущий!AM435</f>
        <v>0</v>
      </c>
      <c r="N436" s="29">
        <f>Текущий!AN435</f>
        <v>0</v>
      </c>
      <c r="O436" s="29">
        <f>Текущий!AP435</f>
        <v>0</v>
      </c>
      <c r="P436" s="29">
        <f>Предыд!AL435</f>
        <v>0</v>
      </c>
      <c r="Q436" s="29">
        <f>Предыд!AM435</f>
        <v>0</v>
      </c>
      <c r="R436" s="29">
        <f>Предыд!AN435</f>
        <v>0</v>
      </c>
      <c r="S436" s="29">
        <f>Предыд!AO435</f>
        <v>0</v>
      </c>
      <c r="T436" s="17" t="str">
        <f t="shared" si="6"/>
        <v>-</v>
      </c>
    </row>
    <row r="437" spans="1:20" x14ac:dyDescent="0.25">
      <c r="A437" s="29">
        <f>Текущий!A436</f>
        <v>8</v>
      </c>
      <c r="B437" s="29">
        <f>Текущий!B436</f>
        <v>13809</v>
      </c>
      <c r="C437" s="29">
        <f>Текущий!C436</f>
        <v>1</v>
      </c>
      <c r="D437" s="29" t="str">
        <f>Текущий!D436</f>
        <v>ст. Ружино</v>
      </c>
      <c r="E437" s="29">
        <f>ROUND(Текущий!J436,0)</f>
        <v>0</v>
      </c>
      <c r="F437" s="29">
        <f>Текущий!E436</f>
        <v>0</v>
      </c>
      <c r="G437" s="16" t="str">
        <f>IF(Текущий!K436="-",Текущий!K436,ROUND(Текущий!K436,0))</f>
        <v>-</v>
      </c>
      <c r="H437" s="29" t="str">
        <f>IF(ROUND(Текущий!I436,0)=0,"-",ROUND(Текущий!I436,0))</f>
        <v>-</v>
      </c>
      <c r="I437" s="16" t="str">
        <f>IF(Предыд!K436="-",Предыд!K436,ROUND(Предыд!K436,0))</f>
        <v>-</v>
      </c>
      <c r="J437" s="29" t="str">
        <f>IF(ROUND(Предыд!I436,0)=0,"-",ROUND(Предыд!I436,0))</f>
        <v>-</v>
      </c>
      <c r="K437" s="30" t="str">
        <f>Текущий!L436</f>
        <v>Рихтовка</v>
      </c>
      <c r="L437" s="29">
        <f>Текущий!AL436</f>
        <v>0</v>
      </c>
      <c r="M437" s="29">
        <f>Текущий!AM436</f>
        <v>0</v>
      </c>
      <c r="N437" s="29">
        <f>Текущий!AN436</f>
        <v>0</v>
      </c>
      <c r="O437" s="29">
        <f>Текущий!AP436</f>
        <v>0</v>
      </c>
      <c r="P437" s="29">
        <f>Предыд!AL436</f>
        <v>0</v>
      </c>
      <c r="Q437" s="29">
        <f>Предыд!AM436</f>
        <v>0</v>
      </c>
      <c r="R437" s="29">
        <f>Предыд!AN436</f>
        <v>0</v>
      </c>
      <c r="S437" s="29">
        <f>Предыд!AO436</f>
        <v>0</v>
      </c>
      <c r="T437" s="17" t="str">
        <f t="shared" si="6"/>
        <v>-</v>
      </c>
    </row>
    <row r="438" spans="1:20" x14ac:dyDescent="0.25">
      <c r="A438" s="29">
        <f>Текущий!A437</f>
        <v>8</v>
      </c>
      <c r="B438" s="29">
        <f>Текущий!B437</f>
        <v>13809</v>
      </c>
      <c r="C438" s="29">
        <f>Текущий!C437</f>
        <v>2</v>
      </c>
      <c r="D438" s="29" t="str">
        <f>Текущий!D437</f>
        <v>Дальнереченск I - Лазо</v>
      </c>
      <c r="E438" s="29">
        <f>ROUND(Текущий!J437,0)</f>
        <v>0</v>
      </c>
      <c r="F438" s="29">
        <f>Текущий!E437</f>
        <v>0</v>
      </c>
      <c r="G438" s="16" t="str">
        <f>IF(Текущий!K437="-",Текущий!K437,ROUND(Текущий!K437,0))</f>
        <v>-</v>
      </c>
      <c r="H438" s="29" t="str">
        <f>IF(ROUND(Текущий!I437,0)=0,"-",ROUND(Текущий!I437,0))</f>
        <v>-</v>
      </c>
      <c r="I438" s="16" t="str">
        <f>IF(Предыд!K437="-",Предыд!K437,ROUND(Предыд!K437,0))</f>
        <v>-</v>
      </c>
      <c r="J438" s="29" t="str">
        <f>IF(ROUND(Предыд!I437,0)=0,"-",ROUND(Предыд!I437,0))</f>
        <v>-</v>
      </c>
      <c r="K438" s="30" t="str">
        <f>Текущий!L437</f>
        <v>Рихтовка</v>
      </c>
      <c r="L438" s="29">
        <f>Текущий!AL437</f>
        <v>0</v>
      </c>
      <c r="M438" s="29">
        <f>Текущий!AM437</f>
        <v>0</v>
      </c>
      <c r="N438" s="29">
        <f>Текущий!AN437</f>
        <v>0</v>
      </c>
      <c r="O438" s="29">
        <f>Текущий!AP437</f>
        <v>0</v>
      </c>
      <c r="P438" s="29">
        <f>Предыд!AL437</f>
        <v>0</v>
      </c>
      <c r="Q438" s="29">
        <f>Предыд!AM437</f>
        <v>0</v>
      </c>
      <c r="R438" s="29">
        <f>Предыд!AN437</f>
        <v>0</v>
      </c>
      <c r="S438" s="29">
        <f>Предыд!AO437</f>
        <v>0</v>
      </c>
      <c r="T438" s="17" t="str">
        <f t="shared" si="6"/>
        <v>-</v>
      </c>
    </row>
    <row r="439" spans="1:20" x14ac:dyDescent="0.25">
      <c r="A439" s="29">
        <f>Текущий!A438</f>
        <v>8</v>
      </c>
      <c r="B439" s="29">
        <f>Текущий!B438</f>
        <v>13809</v>
      </c>
      <c r="C439" s="29">
        <f>Текущий!C438</f>
        <v>2</v>
      </c>
      <c r="D439" s="29" t="str">
        <f>Текущий!D438</f>
        <v>Лазо - Грушевое</v>
      </c>
      <c r="E439" s="29">
        <f>ROUND(Текущий!J438,0)</f>
        <v>0</v>
      </c>
      <c r="F439" s="29">
        <f>Текущий!E438</f>
        <v>0</v>
      </c>
      <c r="G439" s="16" t="str">
        <f>IF(Текущий!K438="-",Текущий!K438,ROUND(Текущий!K438,0))</f>
        <v>-</v>
      </c>
      <c r="H439" s="29" t="str">
        <f>IF(ROUND(Текущий!I438,0)=0,"-",ROUND(Текущий!I438,0))</f>
        <v>-</v>
      </c>
      <c r="I439" s="16" t="str">
        <f>IF(Предыд!K438="-",Предыд!K438,ROUND(Предыд!K438,0))</f>
        <v>-</v>
      </c>
      <c r="J439" s="29" t="str">
        <f>IF(ROUND(Предыд!I438,0)=0,"-",ROUND(Предыд!I438,0))</f>
        <v>-</v>
      </c>
      <c r="K439" s="30" t="str">
        <f>Текущий!L438</f>
        <v>Рихтовка</v>
      </c>
      <c r="L439" s="29">
        <f>Текущий!AL438</f>
        <v>0</v>
      </c>
      <c r="M439" s="29">
        <f>Текущий!AM438</f>
        <v>0</v>
      </c>
      <c r="N439" s="29">
        <f>Текущий!AN438</f>
        <v>0</v>
      </c>
      <c r="O439" s="29">
        <f>Текущий!AP438</f>
        <v>0</v>
      </c>
      <c r="P439" s="29">
        <f>Предыд!AL438</f>
        <v>0</v>
      </c>
      <c r="Q439" s="29">
        <f>Предыд!AM438</f>
        <v>0</v>
      </c>
      <c r="R439" s="29">
        <f>Предыд!AN438</f>
        <v>0</v>
      </c>
      <c r="S439" s="29">
        <f>Предыд!AO438</f>
        <v>0</v>
      </c>
      <c r="T439" s="17" t="str">
        <f t="shared" si="6"/>
        <v>-</v>
      </c>
    </row>
    <row r="440" spans="1:20" x14ac:dyDescent="0.25">
      <c r="A440" s="29">
        <f>Текущий!A439</f>
        <v>8</v>
      </c>
      <c r="B440" s="29">
        <f>Текущий!B439</f>
        <v>13809</v>
      </c>
      <c r="C440" s="29">
        <f>Текущий!C439</f>
        <v>2</v>
      </c>
      <c r="D440" s="29" t="str">
        <f>Текущий!D439</f>
        <v>Грушевое - Прохаско</v>
      </c>
      <c r="E440" s="29">
        <f>ROUND(Текущий!J439,0)</f>
        <v>0</v>
      </c>
      <c r="F440" s="29">
        <f>Текущий!E439</f>
        <v>0</v>
      </c>
      <c r="G440" s="16" t="str">
        <f>IF(Текущий!K439="-",Текущий!K439,ROUND(Текущий!K439,0))</f>
        <v>-</v>
      </c>
      <c r="H440" s="29" t="str">
        <f>IF(ROUND(Текущий!I439,0)=0,"-",ROUND(Текущий!I439,0))</f>
        <v>-</v>
      </c>
      <c r="I440" s="16" t="str">
        <f>IF(Предыд!K439="-",Предыд!K439,ROUND(Предыд!K439,0))</f>
        <v>-</v>
      </c>
      <c r="J440" s="29" t="str">
        <f>IF(ROUND(Предыд!I439,0)=0,"-",ROUND(Предыд!I439,0))</f>
        <v>-</v>
      </c>
      <c r="K440" s="30" t="str">
        <f>Текущий!L439</f>
        <v>Рихтовка</v>
      </c>
      <c r="L440" s="29">
        <f>Текущий!AL439</f>
        <v>0</v>
      </c>
      <c r="M440" s="29">
        <f>Текущий!AM439</f>
        <v>0</v>
      </c>
      <c r="N440" s="29">
        <f>Текущий!AN439</f>
        <v>0</v>
      </c>
      <c r="O440" s="29">
        <f>Текущий!AP439</f>
        <v>0</v>
      </c>
      <c r="P440" s="29">
        <f>Предыд!AL439</f>
        <v>0</v>
      </c>
      <c r="Q440" s="29">
        <f>Предыд!AM439</f>
        <v>0</v>
      </c>
      <c r="R440" s="29">
        <f>Предыд!AN439</f>
        <v>0</v>
      </c>
      <c r="S440" s="29">
        <f>Предыд!AO439</f>
        <v>0</v>
      </c>
      <c r="T440" s="17" t="str">
        <f t="shared" si="6"/>
        <v>-</v>
      </c>
    </row>
    <row r="441" spans="1:20" x14ac:dyDescent="0.25">
      <c r="A441" s="29">
        <f>Текущий!A440</f>
        <v>8</v>
      </c>
      <c r="B441" s="29">
        <f>Текущий!B440</f>
        <v>13809</v>
      </c>
      <c r="C441" s="29">
        <f>Текущий!C440</f>
        <v>2</v>
      </c>
      <c r="D441" s="29" t="str">
        <f>Текущий!D440</f>
        <v>Прохаско - Филаретовка</v>
      </c>
      <c r="E441" s="29">
        <f>ROUND(Текущий!J440,0)</f>
        <v>0</v>
      </c>
      <c r="F441" s="29">
        <f>Текущий!E440</f>
        <v>0</v>
      </c>
      <c r="G441" s="16" t="str">
        <f>IF(Текущий!K440="-",Текущий!K440,ROUND(Текущий!K440,0))</f>
        <v>-</v>
      </c>
      <c r="H441" s="29" t="str">
        <f>IF(ROUND(Текущий!I440,0)=0,"-",ROUND(Текущий!I440,0))</f>
        <v>-</v>
      </c>
      <c r="I441" s="16" t="str">
        <f>IF(Предыд!K440="-",Предыд!K440,ROUND(Предыд!K440,0))</f>
        <v>-</v>
      </c>
      <c r="J441" s="29" t="str">
        <f>IF(ROUND(Предыд!I440,0)=0,"-",ROUND(Предыд!I440,0))</f>
        <v>-</v>
      </c>
      <c r="K441" s="30" t="str">
        <f>Текущий!L440</f>
        <v>Рихтовка</v>
      </c>
      <c r="L441" s="29">
        <f>Текущий!AL440</f>
        <v>0</v>
      </c>
      <c r="M441" s="29">
        <f>Текущий!AM440</f>
        <v>0</v>
      </c>
      <c r="N441" s="29">
        <f>Текущий!AN440</f>
        <v>0</v>
      </c>
      <c r="O441" s="29">
        <f>Текущий!AP440</f>
        <v>0</v>
      </c>
      <c r="P441" s="29">
        <f>Предыд!AL440</f>
        <v>0</v>
      </c>
      <c r="Q441" s="29">
        <f>Предыд!AM440</f>
        <v>0</v>
      </c>
      <c r="R441" s="29">
        <f>Предыд!AN440</f>
        <v>0</v>
      </c>
      <c r="S441" s="29">
        <f>Предыд!AO440</f>
        <v>0</v>
      </c>
      <c r="T441" s="17" t="str">
        <f t="shared" si="6"/>
        <v>-</v>
      </c>
    </row>
    <row r="442" spans="1:20" x14ac:dyDescent="0.25">
      <c r="A442" s="29">
        <f>Текущий!A441</f>
        <v>8</v>
      </c>
      <c r="B442" s="29">
        <f>Текущий!B441</f>
        <v>13809</v>
      </c>
      <c r="C442" s="29">
        <f>Текущий!C441</f>
        <v>2</v>
      </c>
      <c r="D442" s="29" t="str">
        <f>Текущий!D441</f>
        <v>Филаретовка - Ружино</v>
      </c>
      <c r="E442" s="29">
        <f>ROUND(Текущий!J441,0)</f>
        <v>0</v>
      </c>
      <c r="F442" s="29">
        <f>Текущий!E441</f>
        <v>0</v>
      </c>
      <c r="G442" s="16" t="str">
        <f>IF(Текущий!K441="-",Текущий!K441,ROUND(Текущий!K441,0))</f>
        <v>-</v>
      </c>
      <c r="H442" s="29" t="str">
        <f>IF(ROUND(Текущий!I441,0)=0,"-",ROUND(Текущий!I441,0))</f>
        <v>-</v>
      </c>
      <c r="I442" s="16" t="str">
        <f>IF(Предыд!K441="-",Предыд!K441,ROUND(Предыд!K441,0))</f>
        <v>-</v>
      </c>
      <c r="J442" s="29" t="str">
        <f>IF(ROUND(Предыд!I441,0)=0,"-",ROUND(Предыд!I441,0))</f>
        <v>-</v>
      </c>
      <c r="K442" s="30" t="str">
        <f>Текущий!L441</f>
        <v>Рихтовка</v>
      </c>
      <c r="L442" s="29">
        <f>Текущий!AL441</f>
        <v>0</v>
      </c>
      <c r="M442" s="29">
        <f>Текущий!AM441</f>
        <v>0</v>
      </c>
      <c r="N442" s="29">
        <f>Текущий!AN441</f>
        <v>0</v>
      </c>
      <c r="O442" s="29">
        <f>Текущий!AP441</f>
        <v>0</v>
      </c>
      <c r="P442" s="29">
        <f>Предыд!AL441</f>
        <v>0</v>
      </c>
      <c r="Q442" s="29">
        <f>Предыд!AM441</f>
        <v>0</v>
      </c>
      <c r="R442" s="29">
        <f>Предыд!AN441</f>
        <v>0</v>
      </c>
      <c r="S442" s="29">
        <f>Предыд!AO441</f>
        <v>0</v>
      </c>
      <c r="T442" s="17" t="str">
        <f t="shared" si="6"/>
        <v>-</v>
      </c>
    </row>
    <row r="443" spans="1:20" x14ac:dyDescent="0.25">
      <c r="A443" s="29">
        <f>Текущий!A442</f>
        <v>8</v>
      </c>
      <c r="B443" s="29">
        <f>Текущий!B442</f>
        <v>13809</v>
      </c>
      <c r="C443" s="29">
        <f>Текущий!C442</f>
        <v>2</v>
      </c>
      <c r="D443" s="29" t="str">
        <f>Текущий!D442</f>
        <v>ст. Ружино</v>
      </c>
      <c r="E443" s="29">
        <f>ROUND(Текущий!J442,0)</f>
        <v>0</v>
      </c>
      <c r="F443" s="29">
        <f>Текущий!E442</f>
        <v>0</v>
      </c>
      <c r="G443" s="16" t="str">
        <f>IF(Текущий!K442="-",Текущий!K442,ROUND(Текущий!K442,0))</f>
        <v>-</v>
      </c>
      <c r="H443" s="29" t="str">
        <f>IF(ROUND(Текущий!I442,0)=0,"-",ROUND(Текущий!I442,0))</f>
        <v>-</v>
      </c>
      <c r="I443" s="16" t="str">
        <f>IF(Предыд!K442="-",Предыд!K442,ROUND(Предыд!K442,0))</f>
        <v>-</v>
      </c>
      <c r="J443" s="29" t="str">
        <f>IF(ROUND(Предыд!I442,0)=0,"-",ROUND(Предыд!I442,0))</f>
        <v>-</v>
      </c>
      <c r="K443" s="30" t="str">
        <f>Текущий!L442</f>
        <v>Рихтовка</v>
      </c>
      <c r="L443" s="29">
        <f>Текущий!AL442</f>
        <v>0</v>
      </c>
      <c r="M443" s="29">
        <f>Текущий!AM442</f>
        <v>0</v>
      </c>
      <c r="N443" s="29">
        <f>Текущий!AN442</f>
        <v>0</v>
      </c>
      <c r="O443" s="29">
        <f>Текущий!AP442</f>
        <v>0</v>
      </c>
      <c r="P443" s="29">
        <f>Предыд!AL442</f>
        <v>0</v>
      </c>
      <c r="Q443" s="29">
        <f>Предыд!AM442</f>
        <v>0</v>
      </c>
      <c r="R443" s="29">
        <f>Предыд!AN442</f>
        <v>0</v>
      </c>
      <c r="S443" s="29">
        <f>Предыд!AO442</f>
        <v>0</v>
      </c>
      <c r="T443" s="17" t="str">
        <f t="shared" si="6"/>
        <v>-</v>
      </c>
    </row>
    <row r="444" spans="1:20" x14ac:dyDescent="0.25">
      <c r="A444" s="29">
        <f>Текущий!A443</f>
        <v>8</v>
      </c>
      <c r="B444" s="29">
        <f>Текущий!B443</f>
        <v>13812</v>
      </c>
      <c r="C444" s="29" t="str">
        <f>Текущий!C443</f>
        <v>н</v>
      </c>
      <c r="D444" s="29" t="str">
        <f>Текущий!D443</f>
        <v>Ружино - Лесозаводск II</v>
      </c>
      <c r="E444" s="29">
        <f>ROUND(Текущий!J443,0)</f>
        <v>0</v>
      </c>
      <c r="F444" s="29">
        <f>Текущий!E443</f>
        <v>0</v>
      </c>
      <c r="G444" s="16" t="str">
        <f>IF(Текущий!K443="-",Текущий!K443,ROUND(Текущий!K443,0))</f>
        <v>-</v>
      </c>
      <c r="H444" s="29" t="str">
        <f>IF(ROUND(Текущий!I443,0)=0,"-",ROUND(Текущий!I443,0))</f>
        <v>-</v>
      </c>
      <c r="I444" s="16" t="str">
        <f>IF(Предыд!K443="-",Предыд!K443,ROUND(Предыд!K443,0))</f>
        <v>-</v>
      </c>
      <c r="J444" s="29" t="str">
        <f>IF(ROUND(Предыд!I443,0)=0,"-",ROUND(Предыд!I443,0))</f>
        <v>-</v>
      </c>
      <c r="K444" s="30" t="str">
        <f>Текущий!L443</f>
        <v>Рихтовка</v>
      </c>
      <c r="L444" s="29">
        <f>Текущий!AL443</f>
        <v>0</v>
      </c>
      <c r="M444" s="29">
        <f>Текущий!AM443</f>
        <v>0</v>
      </c>
      <c r="N444" s="29">
        <f>Текущий!AN443</f>
        <v>0</v>
      </c>
      <c r="O444" s="29">
        <f>Текущий!AP443</f>
        <v>0</v>
      </c>
      <c r="P444" s="29">
        <f>Предыд!AL443</f>
        <v>0</v>
      </c>
      <c r="Q444" s="29">
        <f>Предыд!AM443</f>
        <v>0</v>
      </c>
      <c r="R444" s="29">
        <f>Предыд!AN443</f>
        <v>0</v>
      </c>
      <c r="S444" s="29">
        <f>Предыд!AO443</f>
        <v>0</v>
      </c>
      <c r="T444" s="17" t="str">
        <f t="shared" si="6"/>
        <v>-</v>
      </c>
    </row>
    <row r="445" spans="1:20" x14ac:dyDescent="0.25">
      <c r="A445" s="29">
        <f>Текущий!A444</f>
        <v>8</v>
      </c>
      <c r="B445" s="29">
        <f>Текущий!B444</f>
        <v>13812</v>
      </c>
      <c r="C445" s="29" t="str">
        <f>Текущий!C444</f>
        <v>н</v>
      </c>
      <c r="D445" s="29" t="str">
        <f>Текущий!D444</f>
        <v>Лесозаводск II - Блокпост 1634 км</v>
      </c>
      <c r="E445" s="29">
        <f>ROUND(Текущий!J444,0)</f>
        <v>0</v>
      </c>
      <c r="F445" s="29">
        <f>Текущий!E444</f>
        <v>0</v>
      </c>
      <c r="G445" s="16" t="str">
        <f>IF(Текущий!K444="-",Текущий!K444,ROUND(Текущий!K444,0))</f>
        <v>-</v>
      </c>
      <c r="H445" s="29" t="str">
        <f>IF(ROUND(Текущий!I444,0)=0,"-",ROUND(Текущий!I444,0))</f>
        <v>-</v>
      </c>
      <c r="I445" s="16" t="str">
        <f>IF(Предыд!K444="-",Предыд!K444,ROUND(Предыд!K444,0))</f>
        <v>-</v>
      </c>
      <c r="J445" s="29" t="str">
        <f>IF(ROUND(Предыд!I444,0)=0,"-",ROUND(Предыд!I444,0))</f>
        <v>-</v>
      </c>
      <c r="K445" s="30" t="str">
        <f>Текущий!L444</f>
        <v>Рихтовка</v>
      </c>
      <c r="L445" s="29">
        <f>Текущий!AL444</f>
        <v>0</v>
      </c>
      <c r="M445" s="29">
        <f>Текущий!AM444</f>
        <v>0</v>
      </c>
      <c r="N445" s="29">
        <f>Текущий!AN444</f>
        <v>0</v>
      </c>
      <c r="O445" s="29">
        <f>Текущий!AP444</f>
        <v>0</v>
      </c>
      <c r="P445" s="29">
        <f>Предыд!AL444</f>
        <v>0</v>
      </c>
      <c r="Q445" s="29">
        <f>Предыд!AM444</f>
        <v>0</v>
      </c>
      <c r="R445" s="29">
        <f>Предыд!AN444</f>
        <v>0</v>
      </c>
      <c r="S445" s="29">
        <f>Предыд!AO444</f>
        <v>0</v>
      </c>
      <c r="T445" s="17" t="str">
        <f t="shared" si="6"/>
        <v>-</v>
      </c>
    </row>
    <row r="446" spans="1:20" x14ac:dyDescent="0.25">
      <c r="A446" s="29">
        <f>Текущий!A445</f>
        <v>8</v>
      </c>
      <c r="B446" s="29">
        <f>Текущий!B445</f>
        <v>13809</v>
      </c>
      <c r="C446" s="29">
        <f>Текущий!C445</f>
        <v>2</v>
      </c>
      <c r="D446" s="29" t="str">
        <f>Текущий!D445</f>
        <v>Ружино - Лесозаводск I</v>
      </c>
      <c r="E446" s="29">
        <f>ROUND(Текущий!J445,0)</f>
        <v>0</v>
      </c>
      <c r="F446" s="29">
        <f>Текущий!E445</f>
        <v>0</v>
      </c>
      <c r="G446" s="16" t="str">
        <f>IF(Текущий!K445="-",Текущий!K445,ROUND(Текущий!K445,0))</f>
        <v>-</v>
      </c>
      <c r="H446" s="29" t="str">
        <f>IF(ROUND(Текущий!I445,0)=0,"-",ROUND(Текущий!I445,0))</f>
        <v>-</v>
      </c>
      <c r="I446" s="16" t="str">
        <f>IF(Предыд!K445="-",Предыд!K445,ROUND(Предыд!K445,0))</f>
        <v>-</v>
      </c>
      <c r="J446" s="29" t="str">
        <f>IF(ROUND(Предыд!I445,0)=0,"-",ROUND(Предыд!I445,0))</f>
        <v>-</v>
      </c>
      <c r="K446" s="30" t="str">
        <f>Текущий!L445</f>
        <v>Рихтовка</v>
      </c>
      <c r="L446" s="29">
        <f>Текущий!AL445</f>
        <v>0</v>
      </c>
      <c r="M446" s="29">
        <f>Текущий!AM445</f>
        <v>0</v>
      </c>
      <c r="N446" s="29">
        <f>Текущий!AN445</f>
        <v>0</v>
      </c>
      <c r="O446" s="29">
        <f>Текущий!AP445</f>
        <v>0</v>
      </c>
      <c r="P446" s="29">
        <f>Предыд!AL445</f>
        <v>0</v>
      </c>
      <c r="Q446" s="29">
        <f>Предыд!AM445</f>
        <v>0</v>
      </c>
      <c r="R446" s="29">
        <f>Предыд!AN445</f>
        <v>0</v>
      </c>
      <c r="S446" s="29">
        <f>Предыд!AO445</f>
        <v>0</v>
      </c>
      <c r="T446" s="17" t="str">
        <f t="shared" si="6"/>
        <v>-</v>
      </c>
    </row>
    <row r="447" spans="1:20" x14ac:dyDescent="0.25">
      <c r="A447" s="29">
        <f>Текущий!A446</f>
        <v>8</v>
      </c>
      <c r="B447" s="29">
        <f>Текущий!B446</f>
        <v>13809</v>
      </c>
      <c r="C447" s="29">
        <f>Текущий!C446</f>
        <v>1</v>
      </c>
      <c r="D447" s="29" t="str">
        <f>Текущий!D446</f>
        <v>Лесозаводск I - Блокпост 1634 км</v>
      </c>
      <c r="E447" s="29">
        <f>ROUND(Текущий!J446,0)</f>
        <v>0</v>
      </c>
      <c r="F447" s="29">
        <f>Текущий!E446</f>
        <v>0</v>
      </c>
      <c r="G447" s="16" t="str">
        <f>IF(Текущий!K446="-",Текущий!K446,ROUND(Текущий!K446,0))</f>
        <v>-</v>
      </c>
      <c r="H447" s="29" t="str">
        <f>IF(ROUND(Текущий!I446,0)=0,"-",ROUND(Текущий!I446,0))</f>
        <v>-</v>
      </c>
      <c r="I447" s="16" t="str">
        <f>IF(Предыд!K446="-",Предыд!K446,ROUND(Предыд!K446,0))</f>
        <v>-</v>
      </c>
      <c r="J447" s="29" t="str">
        <f>IF(ROUND(Предыд!I446,0)=0,"-",ROUND(Предыд!I446,0))</f>
        <v>-</v>
      </c>
      <c r="K447" s="30" t="str">
        <f>Текущий!L446</f>
        <v>Рихтовка</v>
      </c>
      <c r="L447" s="29">
        <f>Текущий!AL446</f>
        <v>0</v>
      </c>
      <c r="M447" s="29">
        <f>Текущий!AM446</f>
        <v>0</v>
      </c>
      <c r="N447" s="29">
        <f>Текущий!AN446</f>
        <v>0</v>
      </c>
      <c r="O447" s="29">
        <f>Текущий!AP446</f>
        <v>0</v>
      </c>
      <c r="P447" s="29">
        <f>Предыд!AL446</f>
        <v>0</v>
      </c>
      <c r="Q447" s="29">
        <f>Предыд!AM446</f>
        <v>0</v>
      </c>
      <c r="R447" s="29">
        <f>Предыд!AN446</f>
        <v>0</v>
      </c>
      <c r="S447" s="29">
        <f>Предыд!AO446</f>
        <v>0</v>
      </c>
      <c r="T447" s="17" t="str">
        <f t="shared" si="6"/>
        <v>-</v>
      </c>
    </row>
    <row r="448" spans="1:20" x14ac:dyDescent="0.25">
      <c r="A448" s="29">
        <f>Текущий!A447</f>
        <v>8</v>
      </c>
      <c r="B448" s="29">
        <f>Текущий!B447</f>
        <v>13809</v>
      </c>
      <c r="C448" s="29">
        <f>Текущий!C447</f>
        <v>2</v>
      </c>
      <c r="D448" s="29" t="str">
        <f>Текущий!D447</f>
        <v>Лесозаводск I - Блокпост 1634 км</v>
      </c>
      <c r="E448" s="29">
        <f>ROUND(Текущий!J447,0)</f>
        <v>0</v>
      </c>
      <c r="F448" s="29">
        <f>Текущий!E447</f>
        <v>0</v>
      </c>
      <c r="G448" s="16" t="str">
        <f>IF(Текущий!K447="-",Текущий!K447,ROUND(Текущий!K447,0))</f>
        <v>-</v>
      </c>
      <c r="H448" s="29" t="str">
        <f>IF(ROUND(Текущий!I447,0)=0,"-",ROUND(Текущий!I447,0))</f>
        <v>-</v>
      </c>
      <c r="I448" s="16" t="str">
        <f>IF(Предыд!K447="-",Предыд!K447,ROUND(Предыд!K447,0))</f>
        <v>-</v>
      </c>
      <c r="J448" s="29" t="str">
        <f>IF(ROUND(Предыд!I447,0)=0,"-",ROUND(Предыд!I447,0))</f>
        <v>-</v>
      </c>
      <c r="K448" s="30" t="str">
        <f>Текущий!L447</f>
        <v>Рихтовка</v>
      </c>
      <c r="L448" s="29">
        <f>Текущий!AL447</f>
        <v>0</v>
      </c>
      <c r="M448" s="29">
        <f>Текущий!AM447</f>
        <v>0</v>
      </c>
      <c r="N448" s="29">
        <f>Текущий!AN447</f>
        <v>0</v>
      </c>
      <c r="O448" s="29">
        <f>Текущий!AP447</f>
        <v>0</v>
      </c>
      <c r="P448" s="29">
        <f>Предыд!AL447</f>
        <v>0</v>
      </c>
      <c r="Q448" s="29">
        <f>Предыд!AM447</f>
        <v>0</v>
      </c>
      <c r="R448" s="29">
        <f>Предыд!AN447</f>
        <v>0</v>
      </c>
      <c r="S448" s="29">
        <f>Предыд!AO447</f>
        <v>0</v>
      </c>
      <c r="T448" s="17" t="str">
        <f t="shared" si="6"/>
        <v>-</v>
      </c>
    </row>
    <row r="449" spans="1:20" x14ac:dyDescent="0.25">
      <c r="A449" s="29">
        <f>Текущий!A448</f>
        <v>8</v>
      </c>
      <c r="B449" s="29">
        <f>Текущий!B448</f>
        <v>13809</v>
      </c>
      <c r="C449" s="29">
        <f>Текущий!C448</f>
        <v>1</v>
      </c>
      <c r="D449" s="29" t="str">
        <f>Текущий!D448</f>
        <v>Блокпост 1634 км - Кабарга</v>
      </c>
      <c r="E449" s="29">
        <f>ROUND(Текущий!J448,0)</f>
        <v>0</v>
      </c>
      <c r="F449" s="29">
        <f>Текущий!E448</f>
        <v>0</v>
      </c>
      <c r="G449" s="16" t="str">
        <f>IF(Текущий!K448="-",Текущий!K448,ROUND(Текущий!K448,0))</f>
        <v>-</v>
      </c>
      <c r="H449" s="29" t="str">
        <f>IF(ROUND(Текущий!I448,0)=0,"-",ROUND(Текущий!I448,0))</f>
        <v>-</v>
      </c>
      <c r="I449" s="16" t="str">
        <f>IF(Предыд!K448="-",Предыд!K448,ROUND(Предыд!K448,0))</f>
        <v>-</v>
      </c>
      <c r="J449" s="29" t="str">
        <f>IF(ROUND(Предыд!I448,0)=0,"-",ROUND(Предыд!I448,0))</f>
        <v>-</v>
      </c>
      <c r="K449" s="30" t="str">
        <f>Текущий!L448</f>
        <v>Рихтовка</v>
      </c>
      <c r="L449" s="29">
        <f>Текущий!AL448</f>
        <v>0</v>
      </c>
      <c r="M449" s="29">
        <f>Текущий!AM448</f>
        <v>0</v>
      </c>
      <c r="N449" s="29">
        <f>Текущий!AN448</f>
        <v>0</v>
      </c>
      <c r="O449" s="29">
        <f>Текущий!AP448</f>
        <v>0</v>
      </c>
      <c r="P449" s="29">
        <f>Предыд!AL448</f>
        <v>0</v>
      </c>
      <c r="Q449" s="29">
        <f>Предыд!AM448</f>
        <v>0</v>
      </c>
      <c r="R449" s="29">
        <f>Предыд!AN448</f>
        <v>0</v>
      </c>
      <c r="S449" s="29">
        <f>Предыд!AO448</f>
        <v>0</v>
      </c>
      <c r="T449" s="17" t="str">
        <f t="shared" si="6"/>
        <v>-</v>
      </c>
    </row>
    <row r="450" spans="1:20" x14ac:dyDescent="0.25">
      <c r="A450" s="29">
        <f>Текущий!A449</f>
        <v>9</v>
      </c>
      <c r="B450" s="29">
        <f>Текущий!B449</f>
        <v>13809</v>
      </c>
      <c r="C450" s="29">
        <f>Текущий!C449</f>
        <v>1</v>
      </c>
      <c r="D450" s="29" t="str">
        <f>Текущий!D449</f>
        <v>Блокпост 1634 км - Кабарга</v>
      </c>
      <c r="E450" s="29">
        <f>ROUND(Текущий!J449,0)</f>
        <v>0</v>
      </c>
      <c r="F450" s="29">
        <f>Текущий!E449</f>
        <v>0</v>
      </c>
      <c r="G450" s="16" t="str">
        <f>IF(Текущий!K449="-",Текущий!K449,ROUND(Текущий!K449,0))</f>
        <v>-</v>
      </c>
      <c r="H450" s="29" t="str">
        <f>IF(ROUND(Текущий!I449,0)=0,"-",ROUND(Текущий!I449,0))</f>
        <v>-</v>
      </c>
      <c r="I450" s="16" t="str">
        <f>IF(Предыд!K449="-",Предыд!K449,ROUND(Предыд!K449,0))</f>
        <v>-</v>
      </c>
      <c r="J450" s="29" t="str">
        <f>IF(ROUND(Предыд!I449,0)=0,"-",ROUND(Предыд!I449,0))</f>
        <v>-</v>
      </c>
      <c r="K450" s="30" t="str">
        <f>Текущий!L449</f>
        <v>Рихтовка</v>
      </c>
      <c r="L450" s="29">
        <f>Текущий!AL449</f>
        <v>0</v>
      </c>
      <c r="M450" s="29">
        <f>Текущий!AM449</f>
        <v>0</v>
      </c>
      <c r="N450" s="29">
        <f>Текущий!AN449</f>
        <v>0</v>
      </c>
      <c r="O450" s="29">
        <f>Текущий!AP449</f>
        <v>0</v>
      </c>
      <c r="P450" s="29">
        <f>Предыд!AL449</f>
        <v>0</v>
      </c>
      <c r="Q450" s="29">
        <f>Предыд!AM449</f>
        <v>0</v>
      </c>
      <c r="R450" s="29">
        <f>Предыд!AN449</f>
        <v>0</v>
      </c>
      <c r="S450" s="29">
        <f>Предыд!AO449</f>
        <v>0</v>
      </c>
      <c r="T450" s="17" t="str">
        <f t="shared" si="6"/>
        <v>-</v>
      </c>
    </row>
    <row r="451" spans="1:20" x14ac:dyDescent="0.25">
      <c r="A451" s="29">
        <f>Текущий!A450</f>
        <v>8</v>
      </c>
      <c r="B451" s="29">
        <f>Текущий!B450</f>
        <v>13809</v>
      </c>
      <c r="C451" s="29">
        <f>Текущий!C450</f>
        <v>2</v>
      </c>
      <c r="D451" s="29" t="str">
        <f>Текущий!D450</f>
        <v>Блокпост 1634 км - Кабарга</v>
      </c>
      <c r="E451" s="29">
        <f>ROUND(Текущий!J450,0)</f>
        <v>0</v>
      </c>
      <c r="F451" s="29">
        <f>Текущий!E450</f>
        <v>0</v>
      </c>
      <c r="G451" s="16" t="str">
        <f>IF(Текущий!K450="-",Текущий!K450,ROUND(Текущий!K450,0))</f>
        <v>-</v>
      </c>
      <c r="H451" s="29" t="str">
        <f>IF(ROUND(Текущий!I450,0)=0,"-",ROUND(Текущий!I450,0))</f>
        <v>-</v>
      </c>
      <c r="I451" s="16" t="str">
        <f>IF(Предыд!K450="-",Предыд!K450,ROUND(Предыд!K450,0))</f>
        <v>-</v>
      </c>
      <c r="J451" s="29" t="str">
        <f>IF(ROUND(Предыд!I450,0)=0,"-",ROUND(Предыд!I450,0))</f>
        <v>-</v>
      </c>
      <c r="K451" s="30" t="str">
        <f>Текущий!L450</f>
        <v>Рихтовка</v>
      </c>
      <c r="L451" s="29">
        <f>Текущий!AL450</f>
        <v>0</v>
      </c>
      <c r="M451" s="29">
        <f>Текущий!AM450</f>
        <v>0</v>
      </c>
      <c r="N451" s="29">
        <f>Текущий!AN450</f>
        <v>0</v>
      </c>
      <c r="O451" s="29">
        <f>Текущий!AP450</f>
        <v>0</v>
      </c>
      <c r="P451" s="29">
        <f>Предыд!AL450</f>
        <v>0</v>
      </c>
      <c r="Q451" s="29">
        <f>Предыд!AM450</f>
        <v>0</v>
      </c>
      <c r="R451" s="29">
        <f>Предыд!AN450</f>
        <v>0</v>
      </c>
      <c r="S451" s="29">
        <f>Предыд!AO450</f>
        <v>0</v>
      </c>
      <c r="T451" s="17" t="str">
        <f t="shared" si="6"/>
        <v>-</v>
      </c>
    </row>
    <row r="452" spans="1:20" x14ac:dyDescent="0.25">
      <c r="A452" s="29">
        <f>Текущий!A451</f>
        <v>9</v>
      </c>
      <c r="B452" s="29">
        <f>Текущий!B451</f>
        <v>13809</v>
      </c>
      <c r="C452" s="29">
        <f>Текущий!C451</f>
        <v>2</v>
      </c>
      <c r="D452" s="29" t="str">
        <f>Текущий!D451</f>
        <v>Блокпост 1634 км - Кабарга</v>
      </c>
      <c r="E452" s="29">
        <f>ROUND(Текущий!J451,0)</f>
        <v>0</v>
      </c>
      <c r="F452" s="29">
        <f>Текущий!E451</f>
        <v>0</v>
      </c>
      <c r="G452" s="16" t="str">
        <f>IF(Текущий!K451="-",Текущий!K451,ROUND(Текущий!K451,0))</f>
        <v>-</v>
      </c>
      <c r="H452" s="29" t="str">
        <f>IF(ROUND(Текущий!I451,0)=0,"-",ROUND(Текущий!I451,0))</f>
        <v>-</v>
      </c>
      <c r="I452" s="16" t="str">
        <f>IF(Предыд!K451="-",Предыд!K451,ROUND(Предыд!K451,0))</f>
        <v>-</v>
      </c>
      <c r="J452" s="29" t="str">
        <f>IF(ROUND(Предыд!I451,0)=0,"-",ROUND(Предыд!I451,0))</f>
        <v>-</v>
      </c>
      <c r="K452" s="30" t="str">
        <f>Текущий!L451</f>
        <v>Рихтовка</v>
      </c>
      <c r="L452" s="29">
        <f>Текущий!AL451</f>
        <v>0</v>
      </c>
      <c r="M452" s="29">
        <f>Текущий!AM451</f>
        <v>0</v>
      </c>
      <c r="N452" s="29">
        <f>Текущий!AN451</f>
        <v>0</v>
      </c>
      <c r="O452" s="29">
        <f>Текущий!AP451</f>
        <v>0</v>
      </c>
      <c r="P452" s="29">
        <f>Предыд!AL451</f>
        <v>0</v>
      </c>
      <c r="Q452" s="29">
        <f>Предыд!AM451</f>
        <v>0</v>
      </c>
      <c r="R452" s="29">
        <f>Предыд!AN451</f>
        <v>0</v>
      </c>
      <c r="S452" s="29">
        <f>Предыд!AO451</f>
        <v>0</v>
      </c>
      <c r="T452" s="17" t="str">
        <f t="shared" si="6"/>
        <v>-</v>
      </c>
    </row>
    <row r="453" spans="1:20" x14ac:dyDescent="0.25">
      <c r="A453" s="29">
        <f>Текущий!A452</f>
        <v>9</v>
      </c>
      <c r="B453" s="29">
        <f>Текущий!B452</f>
        <v>13809</v>
      </c>
      <c r="C453" s="29">
        <f>Текущий!C452</f>
        <v>1</v>
      </c>
      <c r="D453" s="29" t="str">
        <f>Текущий!D452</f>
        <v>Кабарга - Шмаковка</v>
      </c>
      <c r="E453" s="29">
        <f>ROUND(Текущий!J452,0)</f>
        <v>0</v>
      </c>
      <c r="F453" s="29">
        <f>Текущий!E452</f>
        <v>0</v>
      </c>
      <c r="G453" s="16" t="str">
        <f>IF(Текущий!K452="-",Текущий!K452,ROUND(Текущий!K452,0))</f>
        <v>-</v>
      </c>
      <c r="H453" s="29" t="str">
        <f>IF(ROUND(Текущий!I452,0)=0,"-",ROUND(Текущий!I452,0))</f>
        <v>-</v>
      </c>
      <c r="I453" s="16" t="str">
        <f>IF(Предыд!K452="-",Предыд!K452,ROUND(Предыд!K452,0))</f>
        <v>-</v>
      </c>
      <c r="J453" s="29" t="str">
        <f>IF(ROUND(Предыд!I452,0)=0,"-",ROUND(Предыд!I452,0))</f>
        <v>-</v>
      </c>
      <c r="K453" s="30" t="str">
        <f>Текущий!L452</f>
        <v>Рихтовка</v>
      </c>
      <c r="L453" s="29">
        <f>Текущий!AL452</f>
        <v>0</v>
      </c>
      <c r="M453" s="29">
        <f>Текущий!AM452</f>
        <v>0</v>
      </c>
      <c r="N453" s="29">
        <f>Текущий!AN452</f>
        <v>0</v>
      </c>
      <c r="O453" s="29">
        <f>Текущий!AP452</f>
        <v>0</v>
      </c>
      <c r="P453" s="29">
        <f>Предыд!AL452</f>
        <v>0</v>
      </c>
      <c r="Q453" s="29">
        <f>Предыд!AM452</f>
        <v>0</v>
      </c>
      <c r="R453" s="29">
        <f>Предыд!AN452</f>
        <v>0</v>
      </c>
      <c r="S453" s="29">
        <f>Предыд!AO452</f>
        <v>0</v>
      </c>
      <c r="T453" s="17" t="str">
        <f t="shared" ref="T453:T516" si="7">IF(G453&gt;I453,"+","-")</f>
        <v>-</v>
      </c>
    </row>
    <row r="454" spans="1:20" x14ac:dyDescent="0.25">
      <c r="A454" s="29">
        <f>Текущий!A453</f>
        <v>9</v>
      </c>
      <c r="B454" s="29">
        <f>Текущий!B453</f>
        <v>13809</v>
      </c>
      <c r="C454" s="29">
        <f>Текущий!C453</f>
        <v>1</v>
      </c>
      <c r="D454" s="29" t="str">
        <f>Текущий!D453</f>
        <v>Шмаковка - Сунгач</v>
      </c>
      <c r="E454" s="29">
        <f>ROUND(Текущий!J453,0)</f>
        <v>0</v>
      </c>
      <c r="F454" s="29">
        <f>Текущий!E453</f>
        <v>0</v>
      </c>
      <c r="G454" s="16" t="str">
        <f>IF(Текущий!K453="-",Текущий!K453,ROUND(Текущий!K453,0))</f>
        <v>-</v>
      </c>
      <c r="H454" s="29" t="str">
        <f>IF(ROUND(Текущий!I453,0)=0,"-",ROUND(Текущий!I453,0))</f>
        <v>-</v>
      </c>
      <c r="I454" s="16" t="str">
        <f>IF(Предыд!K453="-",Предыд!K453,ROUND(Предыд!K453,0))</f>
        <v>-</v>
      </c>
      <c r="J454" s="29" t="str">
        <f>IF(ROUND(Предыд!I453,0)=0,"-",ROUND(Предыд!I453,0))</f>
        <v>-</v>
      </c>
      <c r="K454" s="30" t="str">
        <f>Текущий!L453</f>
        <v>Рихтовка</v>
      </c>
      <c r="L454" s="29">
        <f>Текущий!AL453</f>
        <v>0</v>
      </c>
      <c r="M454" s="29">
        <f>Текущий!AM453</f>
        <v>0</v>
      </c>
      <c r="N454" s="29">
        <f>Текущий!AN453</f>
        <v>0</v>
      </c>
      <c r="O454" s="29">
        <f>Текущий!AP453</f>
        <v>0</v>
      </c>
      <c r="P454" s="29">
        <f>Предыд!AL453</f>
        <v>0</v>
      </c>
      <c r="Q454" s="29">
        <f>Предыд!AM453</f>
        <v>0</v>
      </c>
      <c r="R454" s="29">
        <f>Предыд!AN453</f>
        <v>0</v>
      </c>
      <c r="S454" s="29">
        <f>Предыд!AO453</f>
        <v>0</v>
      </c>
      <c r="T454" s="17" t="str">
        <f t="shared" si="7"/>
        <v>-</v>
      </c>
    </row>
    <row r="455" spans="1:20" x14ac:dyDescent="0.25">
      <c r="A455" s="29">
        <f>Текущий!A454</f>
        <v>9</v>
      </c>
      <c r="B455" s="29">
        <f>Текущий!B454</f>
        <v>13809</v>
      </c>
      <c r="C455" s="29">
        <f>Текущий!C454</f>
        <v>1</v>
      </c>
      <c r="D455" s="29" t="str">
        <f>Текущий!D454</f>
        <v>Сунгач - Свиягино</v>
      </c>
      <c r="E455" s="29">
        <f>ROUND(Текущий!J454,0)</f>
        <v>0</v>
      </c>
      <c r="F455" s="29">
        <f>Текущий!E454</f>
        <v>0</v>
      </c>
      <c r="G455" s="16" t="str">
        <f>IF(Текущий!K454="-",Текущий!K454,ROUND(Текущий!K454,0))</f>
        <v>-</v>
      </c>
      <c r="H455" s="29" t="str">
        <f>IF(ROUND(Текущий!I454,0)=0,"-",ROUND(Текущий!I454,0))</f>
        <v>-</v>
      </c>
      <c r="I455" s="16" t="str">
        <f>IF(Предыд!K454="-",Предыд!K454,ROUND(Предыд!K454,0))</f>
        <v>-</v>
      </c>
      <c r="J455" s="29" t="str">
        <f>IF(ROUND(Предыд!I454,0)=0,"-",ROUND(Предыд!I454,0))</f>
        <v>-</v>
      </c>
      <c r="K455" s="30" t="str">
        <f>Текущий!L454</f>
        <v>Рихтовка</v>
      </c>
      <c r="L455" s="29">
        <f>Текущий!AL454</f>
        <v>0</v>
      </c>
      <c r="M455" s="29">
        <f>Текущий!AM454</f>
        <v>0</v>
      </c>
      <c r="N455" s="29">
        <f>Текущий!AN454</f>
        <v>0</v>
      </c>
      <c r="O455" s="29">
        <f>Текущий!AP454</f>
        <v>0</v>
      </c>
      <c r="P455" s="29">
        <f>Предыд!AL454</f>
        <v>0</v>
      </c>
      <c r="Q455" s="29">
        <f>Предыд!AM454</f>
        <v>0</v>
      </c>
      <c r="R455" s="29">
        <f>Предыд!AN454</f>
        <v>0</v>
      </c>
      <c r="S455" s="29">
        <f>Предыд!AO454</f>
        <v>0</v>
      </c>
      <c r="T455" s="17" t="str">
        <f t="shared" si="7"/>
        <v>-</v>
      </c>
    </row>
    <row r="456" spans="1:20" x14ac:dyDescent="0.25">
      <c r="A456" s="29">
        <f>Текущий!A455</f>
        <v>9</v>
      </c>
      <c r="B456" s="29">
        <f>Текущий!B455</f>
        <v>13809</v>
      </c>
      <c r="C456" s="29">
        <f>Текущий!C455</f>
        <v>1</v>
      </c>
      <c r="D456" s="29" t="str">
        <f>Текущий!D455</f>
        <v>Свиягино - Спасск-Дальний</v>
      </c>
      <c r="E456" s="29">
        <f>ROUND(Текущий!J455,0)</f>
        <v>0</v>
      </c>
      <c r="F456" s="29">
        <f>Текущий!E455</f>
        <v>0</v>
      </c>
      <c r="G456" s="16" t="str">
        <f>IF(Текущий!K455="-",Текущий!K455,ROUND(Текущий!K455,0))</f>
        <v>-</v>
      </c>
      <c r="H456" s="29" t="str">
        <f>IF(ROUND(Текущий!I455,0)=0,"-",ROUND(Текущий!I455,0))</f>
        <v>-</v>
      </c>
      <c r="I456" s="16" t="str">
        <f>IF(Предыд!K455="-",Предыд!K455,ROUND(Предыд!K455,0))</f>
        <v>-</v>
      </c>
      <c r="J456" s="29" t="str">
        <f>IF(ROUND(Предыд!I455,0)=0,"-",ROUND(Предыд!I455,0))</f>
        <v>-</v>
      </c>
      <c r="K456" s="30" t="str">
        <f>Текущий!L455</f>
        <v>Рихтовка</v>
      </c>
      <c r="L456" s="29">
        <f>Текущий!AL455</f>
        <v>0</v>
      </c>
      <c r="M456" s="29">
        <f>Текущий!AM455</f>
        <v>0</v>
      </c>
      <c r="N456" s="29">
        <f>Текущий!AN455</f>
        <v>0</v>
      </c>
      <c r="O456" s="29">
        <f>Текущий!AP455</f>
        <v>0</v>
      </c>
      <c r="P456" s="29">
        <f>Предыд!AL455</f>
        <v>0</v>
      </c>
      <c r="Q456" s="29">
        <f>Предыд!AM455</f>
        <v>0</v>
      </c>
      <c r="R456" s="29">
        <f>Предыд!AN455</f>
        <v>0</v>
      </c>
      <c r="S456" s="29">
        <f>Предыд!AO455</f>
        <v>0</v>
      </c>
      <c r="T456" s="17" t="str">
        <f t="shared" si="7"/>
        <v>-</v>
      </c>
    </row>
    <row r="457" spans="1:20" x14ac:dyDescent="0.25">
      <c r="A457" s="29">
        <f>Текущий!A456</f>
        <v>9</v>
      </c>
      <c r="B457" s="29">
        <f>Текущий!B456</f>
        <v>13809</v>
      </c>
      <c r="C457" s="29">
        <f>Текущий!C456</f>
        <v>1</v>
      </c>
      <c r="D457" s="29" t="str">
        <f>Текущий!D456</f>
        <v>ст. Спасск-Дальний</v>
      </c>
      <c r="E457" s="29">
        <f>ROUND(Текущий!J456,0)</f>
        <v>0</v>
      </c>
      <c r="F457" s="29">
        <f>Текущий!E456</f>
        <v>0</v>
      </c>
      <c r="G457" s="16" t="str">
        <f>IF(Текущий!K456="-",Текущий!K456,ROUND(Текущий!K456,0))</f>
        <v>-</v>
      </c>
      <c r="H457" s="29" t="str">
        <f>IF(ROUND(Текущий!I456,0)=0,"-",ROUND(Текущий!I456,0))</f>
        <v>-</v>
      </c>
      <c r="I457" s="16" t="str">
        <f>IF(Предыд!K456="-",Предыд!K456,ROUND(Предыд!K456,0))</f>
        <v>-</v>
      </c>
      <c r="J457" s="29" t="str">
        <f>IF(ROUND(Предыд!I456,0)=0,"-",ROUND(Предыд!I456,0))</f>
        <v>-</v>
      </c>
      <c r="K457" s="30" t="str">
        <f>Текущий!L456</f>
        <v>Рихтовка</v>
      </c>
      <c r="L457" s="29">
        <f>Текущий!AL456</f>
        <v>0</v>
      </c>
      <c r="M457" s="29">
        <f>Текущий!AM456</f>
        <v>0</v>
      </c>
      <c r="N457" s="29">
        <f>Текущий!AN456</f>
        <v>0</v>
      </c>
      <c r="O457" s="29">
        <f>Текущий!AP456</f>
        <v>0</v>
      </c>
      <c r="P457" s="29">
        <f>Предыд!AL456</f>
        <v>0</v>
      </c>
      <c r="Q457" s="29">
        <f>Предыд!AM456</f>
        <v>0</v>
      </c>
      <c r="R457" s="29">
        <f>Предыд!AN456</f>
        <v>0</v>
      </c>
      <c r="S457" s="29">
        <f>Предыд!AO456</f>
        <v>0</v>
      </c>
      <c r="T457" s="17" t="str">
        <f t="shared" si="7"/>
        <v>-</v>
      </c>
    </row>
    <row r="458" spans="1:20" x14ac:dyDescent="0.25">
      <c r="A458" s="29">
        <f>Текущий!A457</f>
        <v>9</v>
      </c>
      <c r="B458" s="29">
        <f>Текущий!B457</f>
        <v>13809</v>
      </c>
      <c r="C458" s="29">
        <f>Текущий!C457</f>
        <v>1</v>
      </c>
      <c r="D458" s="29" t="str">
        <f>Текущий!D457</f>
        <v>Спасск-Дальний - Старый Ключ</v>
      </c>
      <c r="E458" s="29">
        <f>ROUND(Текущий!J457,0)</f>
        <v>0</v>
      </c>
      <c r="F458" s="29">
        <f>Текущий!E457</f>
        <v>0</v>
      </c>
      <c r="G458" s="16" t="str">
        <f>IF(Текущий!K457="-",Текущий!K457,ROUND(Текущий!K457,0))</f>
        <v>-</v>
      </c>
      <c r="H458" s="29" t="str">
        <f>IF(ROUND(Текущий!I457,0)=0,"-",ROUND(Текущий!I457,0))</f>
        <v>-</v>
      </c>
      <c r="I458" s="16" t="str">
        <f>IF(Предыд!K457="-",Предыд!K457,ROUND(Предыд!K457,0))</f>
        <v>-</v>
      </c>
      <c r="J458" s="29" t="str">
        <f>IF(ROUND(Предыд!I457,0)=0,"-",ROUND(Предыд!I457,0))</f>
        <v>-</v>
      </c>
      <c r="K458" s="30" t="str">
        <f>Текущий!L457</f>
        <v>Рихтовка</v>
      </c>
      <c r="L458" s="29">
        <f>Текущий!AL457</f>
        <v>0</v>
      </c>
      <c r="M458" s="29">
        <f>Текущий!AM457</f>
        <v>0</v>
      </c>
      <c r="N458" s="29">
        <f>Текущий!AN457</f>
        <v>0</v>
      </c>
      <c r="O458" s="29">
        <f>Текущий!AP457</f>
        <v>0</v>
      </c>
      <c r="P458" s="29">
        <f>Предыд!AL457</f>
        <v>0</v>
      </c>
      <c r="Q458" s="29">
        <f>Предыд!AM457</f>
        <v>0</v>
      </c>
      <c r="R458" s="29">
        <f>Предыд!AN457</f>
        <v>0</v>
      </c>
      <c r="S458" s="29">
        <f>Предыд!AO457</f>
        <v>0</v>
      </c>
      <c r="T458" s="17" t="str">
        <f t="shared" si="7"/>
        <v>-</v>
      </c>
    </row>
    <row r="459" spans="1:20" x14ac:dyDescent="0.25">
      <c r="A459" s="29">
        <f>Текущий!A458</f>
        <v>9</v>
      </c>
      <c r="B459" s="29">
        <f>Текущий!B458</f>
        <v>13809</v>
      </c>
      <c r="C459" s="29">
        <f>Текущий!C458</f>
        <v>1</v>
      </c>
      <c r="D459" s="29" t="str">
        <f>Текущий!D458</f>
        <v>Старый Ключ - Кнорринг</v>
      </c>
      <c r="E459" s="29">
        <f>ROUND(Текущий!J458,0)</f>
        <v>0</v>
      </c>
      <c r="F459" s="29">
        <f>Текущий!E458</f>
        <v>0</v>
      </c>
      <c r="G459" s="16" t="str">
        <f>IF(Текущий!K458="-",Текущий!K458,ROUND(Текущий!K458,0))</f>
        <v>-</v>
      </c>
      <c r="H459" s="29" t="str">
        <f>IF(ROUND(Текущий!I458,0)=0,"-",ROUND(Текущий!I458,0))</f>
        <v>-</v>
      </c>
      <c r="I459" s="16" t="str">
        <f>IF(Предыд!K458="-",Предыд!K458,ROUND(Предыд!K458,0))</f>
        <v>-</v>
      </c>
      <c r="J459" s="29" t="str">
        <f>IF(ROUND(Предыд!I458,0)=0,"-",ROUND(Предыд!I458,0))</f>
        <v>-</v>
      </c>
      <c r="K459" s="30" t="str">
        <f>Текущий!L458</f>
        <v>Рихтовка</v>
      </c>
      <c r="L459" s="29">
        <f>Текущий!AL458</f>
        <v>0</v>
      </c>
      <c r="M459" s="29">
        <f>Текущий!AM458</f>
        <v>0</v>
      </c>
      <c r="N459" s="29">
        <f>Текущий!AN458</f>
        <v>0</v>
      </c>
      <c r="O459" s="29">
        <f>Текущий!AP458</f>
        <v>0</v>
      </c>
      <c r="P459" s="29">
        <f>Предыд!AL458</f>
        <v>0</v>
      </c>
      <c r="Q459" s="29">
        <f>Предыд!AM458</f>
        <v>0</v>
      </c>
      <c r="R459" s="29">
        <f>Предыд!AN458</f>
        <v>0</v>
      </c>
      <c r="S459" s="29">
        <f>Предыд!AO458</f>
        <v>0</v>
      </c>
      <c r="T459" s="17" t="str">
        <f t="shared" si="7"/>
        <v>-</v>
      </c>
    </row>
    <row r="460" spans="1:20" x14ac:dyDescent="0.25">
      <c r="A460" s="29">
        <f>Текущий!A459</f>
        <v>9</v>
      </c>
      <c r="B460" s="29">
        <f>Текущий!B459</f>
        <v>13809</v>
      </c>
      <c r="C460" s="29">
        <f>Текущий!C459</f>
        <v>1</v>
      </c>
      <c r="D460" s="29" t="str">
        <f>Текущий!D459</f>
        <v>Кнорринг - Мучная</v>
      </c>
      <c r="E460" s="29">
        <f>ROUND(Текущий!J459,0)</f>
        <v>0</v>
      </c>
      <c r="F460" s="29">
        <f>Текущий!E459</f>
        <v>0</v>
      </c>
      <c r="G460" s="16" t="str">
        <f>IF(Текущий!K459="-",Текущий!K459,ROUND(Текущий!K459,0))</f>
        <v>-</v>
      </c>
      <c r="H460" s="29" t="str">
        <f>IF(ROUND(Текущий!I459,0)=0,"-",ROUND(Текущий!I459,0))</f>
        <v>-</v>
      </c>
      <c r="I460" s="16" t="str">
        <f>IF(Предыд!K459="-",Предыд!K459,ROUND(Предыд!K459,0))</f>
        <v>-</v>
      </c>
      <c r="J460" s="29" t="str">
        <f>IF(ROUND(Предыд!I459,0)=0,"-",ROUND(Предыд!I459,0))</f>
        <v>-</v>
      </c>
      <c r="K460" s="30" t="str">
        <f>Текущий!L459</f>
        <v>Рихтовка</v>
      </c>
      <c r="L460" s="29">
        <f>Текущий!AL459</f>
        <v>0</v>
      </c>
      <c r="M460" s="29">
        <f>Текущий!AM459</f>
        <v>0</v>
      </c>
      <c r="N460" s="29">
        <f>Текущий!AN459</f>
        <v>0</v>
      </c>
      <c r="O460" s="29">
        <f>Текущий!AP459</f>
        <v>0</v>
      </c>
      <c r="P460" s="29">
        <f>Предыд!AL459</f>
        <v>0</v>
      </c>
      <c r="Q460" s="29">
        <f>Предыд!AM459</f>
        <v>0</v>
      </c>
      <c r="R460" s="29">
        <f>Предыд!AN459</f>
        <v>0</v>
      </c>
      <c r="S460" s="29">
        <f>Предыд!AO459</f>
        <v>0</v>
      </c>
      <c r="T460" s="17" t="str">
        <f t="shared" si="7"/>
        <v>-</v>
      </c>
    </row>
    <row r="461" spans="1:20" x14ac:dyDescent="0.25">
      <c r="A461" s="29">
        <f>Текущий!A460</f>
        <v>9</v>
      </c>
      <c r="B461" s="29">
        <f>Текущий!B460</f>
        <v>13809</v>
      </c>
      <c r="C461" s="29">
        <f>Текущий!C460</f>
        <v>1</v>
      </c>
      <c r="D461" s="29" t="str">
        <f>Текущий!D460</f>
        <v>Мучная - Сибирцево</v>
      </c>
      <c r="E461" s="29">
        <f>ROUND(Текущий!J460,0)</f>
        <v>0</v>
      </c>
      <c r="F461" s="29">
        <f>Текущий!E460</f>
        <v>0</v>
      </c>
      <c r="G461" s="16" t="str">
        <f>IF(Текущий!K460="-",Текущий!K460,ROUND(Текущий!K460,0))</f>
        <v>-</v>
      </c>
      <c r="H461" s="29" t="str">
        <f>IF(ROUND(Текущий!I460,0)=0,"-",ROUND(Текущий!I460,0))</f>
        <v>-</v>
      </c>
      <c r="I461" s="16" t="str">
        <f>IF(Предыд!K460="-",Предыд!K460,ROUND(Предыд!K460,0))</f>
        <v>-</v>
      </c>
      <c r="J461" s="29" t="str">
        <f>IF(ROUND(Предыд!I460,0)=0,"-",ROUND(Предыд!I460,0))</f>
        <v>-</v>
      </c>
      <c r="K461" s="30" t="str">
        <f>Текущий!L460</f>
        <v>Рихтовка</v>
      </c>
      <c r="L461" s="29">
        <f>Текущий!AL460</f>
        <v>0</v>
      </c>
      <c r="M461" s="29">
        <f>Текущий!AM460</f>
        <v>0</v>
      </c>
      <c r="N461" s="29">
        <f>Текущий!AN460</f>
        <v>0</v>
      </c>
      <c r="O461" s="29">
        <f>Текущий!AP460</f>
        <v>0</v>
      </c>
      <c r="P461" s="29">
        <f>Предыд!AL460</f>
        <v>0</v>
      </c>
      <c r="Q461" s="29">
        <f>Предыд!AM460</f>
        <v>0</v>
      </c>
      <c r="R461" s="29">
        <f>Предыд!AN460</f>
        <v>0</v>
      </c>
      <c r="S461" s="29">
        <f>Предыд!AO460</f>
        <v>0</v>
      </c>
      <c r="T461" s="17" t="str">
        <f t="shared" si="7"/>
        <v>-</v>
      </c>
    </row>
    <row r="462" spans="1:20" x14ac:dyDescent="0.25">
      <c r="A462" s="29">
        <f>Текущий!A461</f>
        <v>9</v>
      </c>
      <c r="B462" s="29">
        <f>Текущий!B461</f>
        <v>13809</v>
      </c>
      <c r="C462" s="29">
        <f>Текущий!C461</f>
        <v>2</v>
      </c>
      <c r="D462" s="29" t="str">
        <f>Текущий!D461</f>
        <v>Кабарга - Шмаковка</v>
      </c>
      <c r="E462" s="29">
        <f>ROUND(Текущий!J461,0)</f>
        <v>0</v>
      </c>
      <c r="F462" s="29">
        <f>Текущий!E461</f>
        <v>0</v>
      </c>
      <c r="G462" s="16" t="str">
        <f>IF(Текущий!K461="-",Текущий!K461,ROUND(Текущий!K461,0))</f>
        <v>-</v>
      </c>
      <c r="H462" s="29" t="str">
        <f>IF(ROUND(Текущий!I461,0)=0,"-",ROUND(Текущий!I461,0))</f>
        <v>-</v>
      </c>
      <c r="I462" s="16" t="str">
        <f>IF(Предыд!K461="-",Предыд!K461,ROUND(Предыд!K461,0))</f>
        <v>-</v>
      </c>
      <c r="J462" s="29" t="str">
        <f>IF(ROUND(Предыд!I461,0)=0,"-",ROUND(Предыд!I461,0))</f>
        <v>-</v>
      </c>
      <c r="K462" s="30" t="str">
        <f>Текущий!L461</f>
        <v>Рихтовка</v>
      </c>
      <c r="L462" s="29">
        <f>Текущий!AL461</f>
        <v>0</v>
      </c>
      <c r="M462" s="29">
        <f>Текущий!AM461</f>
        <v>0</v>
      </c>
      <c r="N462" s="29">
        <f>Текущий!AN461</f>
        <v>0</v>
      </c>
      <c r="O462" s="29">
        <f>Текущий!AP461</f>
        <v>0</v>
      </c>
      <c r="P462" s="29">
        <f>Предыд!AL461</f>
        <v>0</v>
      </c>
      <c r="Q462" s="29">
        <f>Предыд!AM461</f>
        <v>0</v>
      </c>
      <c r="R462" s="29">
        <f>Предыд!AN461</f>
        <v>0</v>
      </c>
      <c r="S462" s="29">
        <f>Предыд!AO461</f>
        <v>0</v>
      </c>
      <c r="T462" s="17" t="str">
        <f t="shared" si="7"/>
        <v>-</v>
      </c>
    </row>
    <row r="463" spans="1:20" x14ac:dyDescent="0.25">
      <c r="A463" s="29">
        <f>Текущий!A462</f>
        <v>9</v>
      </c>
      <c r="B463" s="29">
        <f>Текущий!B462</f>
        <v>13809</v>
      </c>
      <c r="C463" s="29">
        <f>Текущий!C462</f>
        <v>2</v>
      </c>
      <c r="D463" s="29" t="str">
        <f>Текущий!D462</f>
        <v>Шмаковка - Сунгач</v>
      </c>
      <c r="E463" s="29">
        <f>ROUND(Текущий!J462,0)</f>
        <v>0</v>
      </c>
      <c r="F463" s="29">
        <f>Текущий!E462</f>
        <v>0</v>
      </c>
      <c r="G463" s="16" t="str">
        <f>IF(Текущий!K462="-",Текущий!K462,ROUND(Текущий!K462,0))</f>
        <v>-</v>
      </c>
      <c r="H463" s="29" t="str">
        <f>IF(ROUND(Текущий!I462,0)=0,"-",ROUND(Текущий!I462,0))</f>
        <v>-</v>
      </c>
      <c r="I463" s="16" t="str">
        <f>IF(Предыд!K462="-",Предыд!K462,ROUND(Предыд!K462,0))</f>
        <v>-</v>
      </c>
      <c r="J463" s="29" t="str">
        <f>IF(ROUND(Предыд!I462,0)=0,"-",ROUND(Предыд!I462,0))</f>
        <v>-</v>
      </c>
      <c r="K463" s="30" t="str">
        <f>Текущий!L462</f>
        <v>Рихтовка</v>
      </c>
      <c r="L463" s="29">
        <f>Текущий!AL462</f>
        <v>0</v>
      </c>
      <c r="M463" s="29">
        <f>Текущий!AM462</f>
        <v>0</v>
      </c>
      <c r="N463" s="29">
        <f>Текущий!AN462</f>
        <v>0</v>
      </c>
      <c r="O463" s="29">
        <f>Текущий!AP462</f>
        <v>0</v>
      </c>
      <c r="P463" s="29">
        <f>Предыд!AL462</f>
        <v>0</v>
      </c>
      <c r="Q463" s="29">
        <f>Предыд!AM462</f>
        <v>0</v>
      </c>
      <c r="R463" s="29">
        <f>Предыд!AN462</f>
        <v>0</v>
      </c>
      <c r="S463" s="29">
        <f>Предыд!AO462</f>
        <v>0</v>
      </c>
      <c r="T463" s="17" t="str">
        <f t="shared" si="7"/>
        <v>-</v>
      </c>
    </row>
    <row r="464" spans="1:20" x14ac:dyDescent="0.25">
      <c r="A464" s="29">
        <f>Текущий!A463</f>
        <v>9</v>
      </c>
      <c r="B464" s="29">
        <f>Текущий!B463</f>
        <v>13809</v>
      </c>
      <c r="C464" s="29">
        <f>Текущий!C463</f>
        <v>2</v>
      </c>
      <c r="D464" s="29" t="str">
        <f>Текущий!D463</f>
        <v>Сунгач - Свиягино</v>
      </c>
      <c r="E464" s="29">
        <f>ROUND(Текущий!J463,0)</f>
        <v>0</v>
      </c>
      <c r="F464" s="29">
        <f>Текущий!E463</f>
        <v>0</v>
      </c>
      <c r="G464" s="16" t="str">
        <f>IF(Текущий!K463="-",Текущий!K463,ROUND(Текущий!K463,0))</f>
        <v>-</v>
      </c>
      <c r="H464" s="29" t="str">
        <f>IF(ROUND(Текущий!I463,0)=0,"-",ROUND(Текущий!I463,0))</f>
        <v>-</v>
      </c>
      <c r="I464" s="16" t="str">
        <f>IF(Предыд!K463="-",Предыд!K463,ROUND(Предыд!K463,0))</f>
        <v>-</v>
      </c>
      <c r="J464" s="29" t="str">
        <f>IF(ROUND(Предыд!I463,0)=0,"-",ROUND(Предыд!I463,0))</f>
        <v>-</v>
      </c>
      <c r="K464" s="30" t="str">
        <f>Текущий!L463</f>
        <v>Рихтовка</v>
      </c>
      <c r="L464" s="29">
        <f>Текущий!AL463</f>
        <v>0</v>
      </c>
      <c r="M464" s="29">
        <f>Текущий!AM463</f>
        <v>0</v>
      </c>
      <c r="N464" s="29">
        <f>Текущий!AN463</f>
        <v>0</v>
      </c>
      <c r="O464" s="29">
        <f>Текущий!AP463</f>
        <v>0</v>
      </c>
      <c r="P464" s="29">
        <f>Предыд!AL463</f>
        <v>0</v>
      </c>
      <c r="Q464" s="29">
        <f>Предыд!AM463</f>
        <v>0</v>
      </c>
      <c r="R464" s="29">
        <f>Предыд!AN463</f>
        <v>0</v>
      </c>
      <c r="S464" s="29">
        <f>Предыд!AO463</f>
        <v>0</v>
      </c>
      <c r="T464" s="17" t="str">
        <f t="shared" si="7"/>
        <v>-</v>
      </c>
    </row>
    <row r="465" spans="1:20" x14ac:dyDescent="0.25">
      <c r="A465" s="29">
        <f>Текущий!A464</f>
        <v>9</v>
      </c>
      <c r="B465" s="29">
        <f>Текущий!B464</f>
        <v>13809</v>
      </c>
      <c r="C465" s="29">
        <f>Текущий!C464</f>
        <v>2</v>
      </c>
      <c r="D465" s="29" t="str">
        <f>Текущий!D464</f>
        <v>Свиягино - Спасск-Дальний</v>
      </c>
      <c r="E465" s="29">
        <f>ROUND(Текущий!J464,0)</f>
        <v>0</v>
      </c>
      <c r="F465" s="29">
        <f>Текущий!E464</f>
        <v>0</v>
      </c>
      <c r="G465" s="16" t="str">
        <f>IF(Текущий!K464="-",Текущий!K464,ROUND(Текущий!K464,0))</f>
        <v>-</v>
      </c>
      <c r="H465" s="29" t="str">
        <f>IF(ROUND(Текущий!I464,0)=0,"-",ROUND(Текущий!I464,0))</f>
        <v>-</v>
      </c>
      <c r="I465" s="16" t="str">
        <f>IF(Предыд!K464="-",Предыд!K464,ROUND(Предыд!K464,0))</f>
        <v>-</v>
      </c>
      <c r="J465" s="29" t="str">
        <f>IF(ROUND(Предыд!I464,0)=0,"-",ROUND(Предыд!I464,0))</f>
        <v>-</v>
      </c>
      <c r="K465" s="30" t="str">
        <f>Текущий!L464</f>
        <v>Рихтовка</v>
      </c>
      <c r="L465" s="29">
        <f>Текущий!AL464</f>
        <v>0</v>
      </c>
      <c r="M465" s="29">
        <f>Текущий!AM464</f>
        <v>0</v>
      </c>
      <c r="N465" s="29">
        <f>Текущий!AN464</f>
        <v>0</v>
      </c>
      <c r="O465" s="29">
        <f>Текущий!AP464</f>
        <v>0</v>
      </c>
      <c r="P465" s="29">
        <f>Предыд!AL464</f>
        <v>0</v>
      </c>
      <c r="Q465" s="29">
        <f>Предыд!AM464</f>
        <v>0</v>
      </c>
      <c r="R465" s="29">
        <f>Предыд!AN464</f>
        <v>0</v>
      </c>
      <c r="S465" s="29">
        <f>Предыд!AO464</f>
        <v>0</v>
      </c>
      <c r="T465" s="17" t="str">
        <f t="shared" si="7"/>
        <v>-</v>
      </c>
    </row>
    <row r="466" spans="1:20" x14ac:dyDescent="0.25">
      <c r="A466" s="29">
        <f>Текущий!A465</f>
        <v>9</v>
      </c>
      <c r="B466" s="29">
        <f>Текущий!B465</f>
        <v>13809</v>
      </c>
      <c r="C466" s="29">
        <f>Текущий!C465</f>
        <v>2</v>
      </c>
      <c r="D466" s="29" t="str">
        <f>Текущий!D465</f>
        <v>ст. Спасск-Дальний</v>
      </c>
      <c r="E466" s="29">
        <f>ROUND(Текущий!J465,0)</f>
        <v>0</v>
      </c>
      <c r="F466" s="29">
        <f>Текущий!E465</f>
        <v>0</v>
      </c>
      <c r="G466" s="16" t="str">
        <f>IF(Текущий!K465="-",Текущий!K465,ROUND(Текущий!K465,0))</f>
        <v>-</v>
      </c>
      <c r="H466" s="29" t="str">
        <f>IF(ROUND(Текущий!I465,0)=0,"-",ROUND(Текущий!I465,0))</f>
        <v>-</v>
      </c>
      <c r="I466" s="16" t="str">
        <f>IF(Предыд!K465="-",Предыд!K465,ROUND(Предыд!K465,0))</f>
        <v>-</v>
      </c>
      <c r="J466" s="29" t="str">
        <f>IF(ROUND(Предыд!I465,0)=0,"-",ROUND(Предыд!I465,0))</f>
        <v>-</v>
      </c>
      <c r="K466" s="30" t="str">
        <f>Текущий!L465</f>
        <v>Рихтовка</v>
      </c>
      <c r="L466" s="29">
        <f>Текущий!AL465</f>
        <v>0</v>
      </c>
      <c r="M466" s="29">
        <f>Текущий!AM465</f>
        <v>0</v>
      </c>
      <c r="N466" s="29">
        <f>Текущий!AN465</f>
        <v>0</v>
      </c>
      <c r="O466" s="29">
        <f>Текущий!AP465</f>
        <v>0</v>
      </c>
      <c r="P466" s="29">
        <f>Предыд!AL465</f>
        <v>0</v>
      </c>
      <c r="Q466" s="29">
        <f>Предыд!AM465</f>
        <v>0</v>
      </c>
      <c r="R466" s="29">
        <f>Предыд!AN465</f>
        <v>0</v>
      </c>
      <c r="S466" s="29">
        <f>Предыд!AO465</f>
        <v>0</v>
      </c>
      <c r="T466" s="17" t="str">
        <f t="shared" si="7"/>
        <v>-</v>
      </c>
    </row>
    <row r="467" spans="1:20" x14ac:dyDescent="0.25">
      <c r="A467" s="29">
        <f>Текущий!A466</f>
        <v>9</v>
      </c>
      <c r="B467" s="29">
        <f>Текущий!B466</f>
        <v>13809</v>
      </c>
      <c r="C467" s="29">
        <f>Текущий!C466</f>
        <v>2</v>
      </c>
      <c r="D467" s="29" t="str">
        <f>Текущий!D466</f>
        <v>Спасск-Дальний - Старый Ключ</v>
      </c>
      <c r="E467" s="29">
        <f>ROUND(Текущий!J466,0)</f>
        <v>0</v>
      </c>
      <c r="F467" s="29">
        <f>Текущий!E466</f>
        <v>0</v>
      </c>
      <c r="G467" s="16" t="str">
        <f>IF(Текущий!K466="-",Текущий!K466,ROUND(Текущий!K466,0))</f>
        <v>-</v>
      </c>
      <c r="H467" s="29" t="str">
        <f>IF(ROUND(Текущий!I466,0)=0,"-",ROUND(Текущий!I466,0))</f>
        <v>-</v>
      </c>
      <c r="I467" s="16" t="str">
        <f>IF(Предыд!K466="-",Предыд!K466,ROUND(Предыд!K466,0))</f>
        <v>-</v>
      </c>
      <c r="J467" s="29" t="str">
        <f>IF(ROUND(Предыд!I466,0)=0,"-",ROUND(Предыд!I466,0))</f>
        <v>-</v>
      </c>
      <c r="K467" s="30" t="str">
        <f>Текущий!L466</f>
        <v>Рихтовка</v>
      </c>
      <c r="L467" s="29">
        <f>Текущий!AL466</f>
        <v>0</v>
      </c>
      <c r="M467" s="29">
        <f>Текущий!AM466</f>
        <v>0</v>
      </c>
      <c r="N467" s="29">
        <f>Текущий!AN466</f>
        <v>0</v>
      </c>
      <c r="O467" s="29">
        <f>Текущий!AP466</f>
        <v>0</v>
      </c>
      <c r="P467" s="29">
        <f>Предыд!AL466</f>
        <v>0</v>
      </c>
      <c r="Q467" s="29">
        <f>Предыд!AM466</f>
        <v>0</v>
      </c>
      <c r="R467" s="29">
        <f>Предыд!AN466</f>
        <v>0</v>
      </c>
      <c r="S467" s="29">
        <f>Предыд!AO466</f>
        <v>0</v>
      </c>
      <c r="T467" s="17" t="str">
        <f t="shared" si="7"/>
        <v>-</v>
      </c>
    </row>
    <row r="468" spans="1:20" x14ac:dyDescent="0.25">
      <c r="A468" s="29">
        <f>Текущий!A467</f>
        <v>9</v>
      </c>
      <c r="B468" s="29">
        <f>Текущий!B467</f>
        <v>13809</v>
      </c>
      <c r="C468" s="29">
        <f>Текущий!C467</f>
        <v>2</v>
      </c>
      <c r="D468" s="29" t="str">
        <f>Текущий!D467</f>
        <v>Старый Ключ - Кнорринг</v>
      </c>
      <c r="E468" s="29">
        <f>ROUND(Текущий!J467,0)</f>
        <v>0</v>
      </c>
      <c r="F468" s="29">
        <f>Текущий!E467</f>
        <v>0</v>
      </c>
      <c r="G468" s="16" t="str">
        <f>IF(Текущий!K467="-",Текущий!K467,ROUND(Текущий!K467,0))</f>
        <v>-</v>
      </c>
      <c r="H468" s="29" t="str">
        <f>IF(ROUND(Текущий!I467,0)=0,"-",ROUND(Текущий!I467,0))</f>
        <v>-</v>
      </c>
      <c r="I468" s="16" t="str">
        <f>IF(Предыд!K467="-",Предыд!K467,ROUND(Предыд!K467,0))</f>
        <v>-</v>
      </c>
      <c r="J468" s="29" t="str">
        <f>IF(ROUND(Предыд!I467,0)=0,"-",ROUND(Предыд!I467,0))</f>
        <v>-</v>
      </c>
      <c r="K468" s="30" t="str">
        <f>Текущий!L467</f>
        <v>Рихтовка</v>
      </c>
      <c r="L468" s="29">
        <f>Текущий!AL467</f>
        <v>0</v>
      </c>
      <c r="M468" s="29">
        <f>Текущий!AM467</f>
        <v>0</v>
      </c>
      <c r="N468" s="29">
        <f>Текущий!AN467</f>
        <v>0</v>
      </c>
      <c r="O468" s="29">
        <f>Текущий!AP467</f>
        <v>0</v>
      </c>
      <c r="P468" s="29">
        <f>Предыд!AL467</f>
        <v>0</v>
      </c>
      <c r="Q468" s="29">
        <f>Предыд!AM467</f>
        <v>0</v>
      </c>
      <c r="R468" s="29">
        <f>Предыд!AN467</f>
        <v>0</v>
      </c>
      <c r="S468" s="29">
        <f>Предыд!AO467</f>
        <v>0</v>
      </c>
      <c r="T468" s="17" t="str">
        <f t="shared" si="7"/>
        <v>-</v>
      </c>
    </row>
    <row r="469" spans="1:20" x14ac:dyDescent="0.25">
      <c r="A469" s="29">
        <f>Текущий!A468</f>
        <v>9</v>
      </c>
      <c r="B469" s="29">
        <f>Текущий!B468</f>
        <v>13809</v>
      </c>
      <c r="C469" s="29">
        <f>Текущий!C468</f>
        <v>2</v>
      </c>
      <c r="D469" s="29" t="str">
        <f>Текущий!D468</f>
        <v>Кнорринг - Мучная</v>
      </c>
      <c r="E469" s="29">
        <f>ROUND(Текущий!J468,0)</f>
        <v>0</v>
      </c>
      <c r="F469" s="29">
        <f>Текущий!E468</f>
        <v>0</v>
      </c>
      <c r="G469" s="16" t="str">
        <f>IF(Текущий!K468="-",Текущий!K468,ROUND(Текущий!K468,0))</f>
        <v>-</v>
      </c>
      <c r="H469" s="29" t="str">
        <f>IF(ROUND(Текущий!I468,0)=0,"-",ROUND(Текущий!I468,0))</f>
        <v>-</v>
      </c>
      <c r="I469" s="16" t="str">
        <f>IF(Предыд!K468="-",Предыд!K468,ROUND(Предыд!K468,0))</f>
        <v>-</v>
      </c>
      <c r="J469" s="29" t="str">
        <f>IF(ROUND(Предыд!I468,0)=0,"-",ROUND(Предыд!I468,0))</f>
        <v>-</v>
      </c>
      <c r="K469" s="30" t="str">
        <f>Текущий!L468</f>
        <v>Рихтовка</v>
      </c>
      <c r="L469" s="29">
        <f>Текущий!AL468</f>
        <v>0</v>
      </c>
      <c r="M469" s="29">
        <f>Текущий!AM468</f>
        <v>0</v>
      </c>
      <c r="N469" s="29">
        <f>Текущий!AN468</f>
        <v>0</v>
      </c>
      <c r="O469" s="29">
        <f>Текущий!AP468</f>
        <v>0</v>
      </c>
      <c r="P469" s="29">
        <f>Предыд!AL468</f>
        <v>0</v>
      </c>
      <c r="Q469" s="29">
        <f>Предыд!AM468</f>
        <v>0</v>
      </c>
      <c r="R469" s="29">
        <f>Предыд!AN468</f>
        <v>0</v>
      </c>
      <c r="S469" s="29">
        <f>Предыд!AO468</f>
        <v>0</v>
      </c>
      <c r="T469" s="17" t="str">
        <f t="shared" si="7"/>
        <v>-</v>
      </c>
    </row>
    <row r="470" spans="1:20" x14ac:dyDescent="0.25">
      <c r="A470" s="29">
        <f>Текущий!A469</f>
        <v>9</v>
      </c>
      <c r="B470" s="29">
        <f>Текущий!B469</f>
        <v>13809</v>
      </c>
      <c r="C470" s="29">
        <f>Текущий!C469</f>
        <v>2</v>
      </c>
      <c r="D470" s="29" t="str">
        <f>Текущий!D469</f>
        <v>Мучная - Сибирцево</v>
      </c>
      <c r="E470" s="29">
        <f>ROUND(Текущий!J469,0)</f>
        <v>0</v>
      </c>
      <c r="F470" s="29">
        <f>Текущий!E469</f>
        <v>0</v>
      </c>
      <c r="G470" s="16" t="str">
        <f>IF(Текущий!K469="-",Текущий!K469,ROUND(Текущий!K469,0))</f>
        <v>-</v>
      </c>
      <c r="H470" s="29" t="str">
        <f>IF(ROUND(Текущий!I469,0)=0,"-",ROUND(Текущий!I469,0))</f>
        <v>-</v>
      </c>
      <c r="I470" s="16" t="str">
        <f>IF(Предыд!K469="-",Предыд!K469,ROUND(Предыд!K469,0))</f>
        <v>-</v>
      </c>
      <c r="J470" s="29" t="str">
        <f>IF(ROUND(Предыд!I469,0)=0,"-",ROUND(Предыд!I469,0))</f>
        <v>-</v>
      </c>
      <c r="K470" s="30" t="str">
        <f>Текущий!L469</f>
        <v>Рихтовка</v>
      </c>
      <c r="L470" s="29">
        <f>Текущий!AL469</f>
        <v>0</v>
      </c>
      <c r="M470" s="29">
        <f>Текущий!AM469</f>
        <v>0</v>
      </c>
      <c r="N470" s="29">
        <f>Текущий!AN469</f>
        <v>0</v>
      </c>
      <c r="O470" s="29">
        <f>Текущий!AP469</f>
        <v>0</v>
      </c>
      <c r="P470" s="29">
        <f>Предыд!AL469</f>
        <v>0</v>
      </c>
      <c r="Q470" s="29">
        <f>Предыд!AM469</f>
        <v>0</v>
      </c>
      <c r="R470" s="29">
        <f>Предыд!AN469</f>
        <v>0</v>
      </c>
      <c r="S470" s="29">
        <f>Предыд!AO469</f>
        <v>0</v>
      </c>
      <c r="T470" s="17" t="str">
        <f t="shared" si="7"/>
        <v>-</v>
      </c>
    </row>
    <row r="471" spans="1:20" x14ac:dyDescent="0.25">
      <c r="A471" s="29">
        <f>Текущий!A470</f>
        <v>10</v>
      </c>
      <c r="B471" s="29">
        <f>Текущий!B470</f>
        <v>13809</v>
      </c>
      <c r="C471" s="29">
        <f>Текущий!C470</f>
        <v>1</v>
      </c>
      <c r="D471" s="29" t="str">
        <f>Текущий!D470</f>
        <v>ст. Сибирцево</v>
      </c>
      <c r="E471" s="29">
        <f>ROUND(Текущий!J470,0)</f>
        <v>0</v>
      </c>
      <c r="F471" s="29">
        <f>Текущий!E470</f>
        <v>0</v>
      </c>
      <c r="G471" s="16" t="str">
        <f>IF(Текущий!K470="-",Текущий!K470,ROUND(Текущий!K470,0))</f>
        <v>-</v>
      </c>
      <c r="H471" s="29" t="str">
        <f>IF(ROUND(Текущий!I470,0)=0,"-",ROUND(Текущий!I470,0))</f>
        <v>-</v>
      </c>
      <c r="I471" s="16" t="str">
        <f>IF(Предыд!K470="-",Предыд!K470,ROUND(Предыд!K470,0))</f>
        <v>-</v>
      </c>
      <c r="J471" s="29" t="str">
        <f>IF(ROUND(Предыд!I470,0)=0,"-",ROUND(Предыд!I470,0))</f>
        <v>-</v>
      </c>
      <c r="K471" s="30" t="str">
        <f>Текущий!L470</f>
        <v>Рихтовка</v>
      </c>
      <c r="L471" s="29">
        <f>Текущий!AL470</f>
        <v>0</v>
      </c>
      <c r="M471" s="29">
        <f>Текущий!AM470</f>
        <v>0</v>
      </c>
      <c r="N471" s="29">
        <f>Текущий!AN470</f>
        <v>0</v>
      </c>
      <c r="O471" s="29">
        <f>Текущий!AP470</f>
        <v>0</v>
      </c>
      <c r="P471" s="29">
        <f>Предыд!AL470</f>
        <v>0</v>
      </c>
      <c r="Q471" s="29">
        <f>Предыд!AM470</f>
        <v>0</v>
      </c>
      <c r="R471" s="29">
        <f>Предыд!AN470</f>
        <v>0</v>
      </c>
      <c r="S471" s="29">
        <f>Предыд!AO470</f>
        <v>0</v>
      </c>
      <c r="T471" s="17" t="str">
        <f t="shared" si="7"/>
        <v>-</v>
      </c>
    </row>
    <row r="472" spans="1:20" x14ac:dyDescent="0.25">
      <c r="A472" s="29">
        <f>Текущий!A471</f>
        <v>10</v>
      </c>
      <c r="B472" s="29">
        <f>Текущий!B471</f>
        <v>13809</v>
      </c>
      <c r="C472" s="29">
        <f>Текущий!C471</f>
        <v>2</v>
      </c>
      <c r="D472" s="29" t="str">
        <f>Текущий!D471</f>
        <v>ст. Сибирцево</v>
      </c>
      <c r="E472" s="29">
        <f>ROUND(Текущий!J471,0)</f>
        <v>0</v>
      </c>
      <c r="F472" s="29">
        <f>Текущий!E471</f>
        <v>0</v>
      </c>
      <c r="G472" s="16" t="str">
        <f>IF(Текущий!K471="-",Текущий!K471,ROUND(Текущий!K471,0))</f>
        <v>-</v>
      </c>
      <c r="H472" s="29" t="str">
        <f>IF(ROUND(Текущий!I471,0)=0,"-",ROUND(Текущий!I471,0))</f>
        <v>-</v>
      </c>
      <c r="I472" s="16" t="str">
        <f>IF(Предыд!K471="-",Предыд!K471,ROUND(Предыд!K471,0))</f>
        <v>-</v>
      </c>
      <c r="J472" s="29" t="str">
        <f>IF(ROUND(Предыд!I471,0)=0,"-",ROUND(Предыд!I471,0))</f>
        <v>-</v>
      </c>
      <c r="K472" s="30" t="str">
        <f>Текущий!L471</f>
        <v>Рихтовка</v>
      </c>
      <c r="L472" s="29">
        <f>Текущий!AL471</f>
        <v>0</v>
      </c>
      <c r="M472" s="29">
        <f>Текущий!AM471</f>
        <v>0</v>
      </c>
      <c r="N472" s="29">
        <f>Текущий!AN471</f>
        <v>0</v>
      </c>
      <c r="O472" s="29">
        <f>Текущий!AP471</f>
        <v>0</v>
      </c>
      <c r="P472" s="29">
        <f>Предыд!AL471</f>
        <v>0</v>
      </c>
      <c r="Q472" s="29">
        <f>Предыд!AM471</f>
        <v>0</v>
      </c>
      <c r="R472" s="29">
        <f>Предыд!AN471</f>
        <v>0</v>
      </c>
      <c r="S472" s="29">
        <f>Предыд!AO471</f>
        <v>0</v>
      </c>
      <c r="T472" s="17" t="str">
        <f t="shared" si="7"/>
        <v>-</v>
      </c>
    </row>
    <row r="473" spans="1:20" x14ac:dyDescent="0.25">
      <c r="A473" s="29">
        <f>Текущий!A472</f>
        <v>10</v>
      </c>
      <c r="B473" s="29">
        <f>Текущий!B472</f>
        <v>13809</v>
      </c>
      <c r="C473" s="29" t="str">
        <f>Текущий!C472</f>
        <v>чт</v>
      </c>
      <c r="D473" s="29" t="str">
        <f>Текущий!D472</f>
        <v>ст. Сибирцево</v>
      </c>
      <c r="E473" s="29">
        <f>ROUND(Текущий!J472,0)</f>
        <v>0</v>
      </c>
      <c r="F473" s="29">
        <f>Текущий!E472</f>
        <v>0</v>
      </c>
      <c r="G473" s="16" t="str">
        <f>IF(Текущий!K472="-",Текущий!K472,ROUND(Текущий!K472,0))</f>
        <v>-</v>
      </c>
      <c r="H473" s="29" t="str">
        <f>IF(ROUND(Текущий!I472,0)=0,"-",ROUND(Текущий!I472,0))</f>
        <v>-</v>
      </c>
      <c r="I473" s="16" t="str">
        <f>IF(Предыд!K472="-",Предыд!K472,ROUND(Предыд!K472,0))</f>
        <v>-</v>
      </c>
      <c r="J473" s="29" t="str">
        <f>IF(ROUND(Предыд!I472,0)=0,"-",ROUND(Предыд!I472,0))</f>
        <v>-</v>
      </c>
      <c r="K473" s="30" t="str">
        <f>Текущий!L472</f>
        <v>Рихтовка</v>
      </c>
      <c r="L473" s="29">
        <f>Текущий!AL472</f>
        <v>0</v>
      </c>
      <c r="M473" s="29">
        <f>Текущий!AM472</f>
        <v>0</v>
      </c>
      <c r="N473" s="29">
        <f>Текущий!AN472</f>
        <v>0</v>
      </c>
      <c r="O473" s="29">
        <f>Текущий!AP472</f>
        <v>0</v>
      </c>
      <c r="P473" s="29">
        <f>Предыд!AL472</f>
        <v>0</v>
      </c>
      <c r="Q473" s="29">
        <f>Предыд!AM472</f>
        <v>0</v>
      </c>
      <c r="R473" s="29">
        <f>Предыд!AN472</f>
        <v>0</v>
      </c>
      <c r="S473" s="29">
        <f>Предыд!AO472</f>
        <v>0</v>
      </c>
      <c r="T473" s="17" t="str">
        <f t="shared" si="7"/>
        <v>-</v>
      </c>
    </row>
    <row r="474" spans="1:20" x14ac:dyDescent="0.25">
      <c r="A474" s="29">
        <f>Текущий!A473</f>
        <v>10</v>
      </c>
      <c r="B474" s="29">
        <f>Текущий!B473</f>
        <v>25101</v>
      </c>
      <c r="C474" s="29" t="str">
        <f>Текущий!C473</f>
        <v>одн</v>
      </c>
      <c r="D474" s="29" t="str">
        <f>Текущий!D473</f>
        <v>Сибирцево - Вассиановка</v>
      </c>
      <c r="E474" s="29">
        <f>ROUND(Текущий!J473,0)</f>
        <v>0</v>
      </c>
      <c r="F474" s="29">
        <f>Текущий!E473</f>
        <v>0</v>
      </c>
      <c r="G474" s="16" t="str">
        <f>IF(Текущий!K473="-",Текущий!K473,ROUND(Текущий!K473,0))</f>
        <v>-</v>
      </c>
      <c r="H474" s="29" t="str">
        <f>IF(ROUND(Текущий!I473,0)=0,"-",ROUND(Текущий!I473,0))</f>
        <v>-</v>
      </c>
      <c r="I474" s="16" t="str">
        <f>IF(Предыд!K473="-",Предыд!K473,ROUND(Предыд!K473,0))</f>
        <v>-</v>
      </c>
      <c r="J474" s="29" t="str">
        <f>IF(ROUND(Предыд!I473,0)=0,"-",ROUND(Предыд!I473,0))</f>
        <v>-</v>
      </c>
      <c r="K474" s="30" t="str">
        <f>Текущий!L473</f>
        <v>Рихтовка</v>
      </c>
      <c r="L474" s="29">
        <f>Текущий!AL473</f>
        <v>0</v>
      </c>
      <c r="M474" s="29">
        <f>Текущий!AM473</f>
        <v>0</v>
      </c>
      <c r="N474" s="29">
        <f>Текущий!AN473</f>
        <v>0</v>
      </c>
      <c r="O474" s="29">
        <f>Текущий!AP473</f>
        <v>0</v>
      </c>
      <c r="P474" s="29">
        <f>Предыд!AL473</f>
        <v>0</v>
      </c>
      <c r="Q474" s="29">
        <f>Предыд!AM473</f>
        <v>0</v>
      </c>
      <c r="R474" s="29">
        <f>Предыд!AN473</f>
        <v>0</v>
      </c>
      <c r="S474" s="29">
        <f>Предыд!AO473</f>
        <v>0</v>
      </c>
      <c r="T474" s="17" t="str">
        <f t="shared" si="7"/>
        <v>-</v>
      </c>
    </row>
    <row r="475" spans="1:20" x14ac:dyDescent="0.25">
      <c r="A475" s="29">
        <f>Текущий!A474</f>
        <v>10</v>
      </c>
      <c r="B475" s="29">
        <f>Текущий!B474</f>
        <v>25101</v>
      </c>
      <c r="C475" s="29" t="str">
        <f>Текущий!C474</f>
        <v>одн</v>
      </c>
      <c r="D475" s="29" t="str">
        <f>Текущий!D474</f>
        <v>Вассиановка - Ретиховка</v>
      </c>
      <c r="E475" s="29">
        <f>ROUND(Текущий!J474,0)</f>
        <v>0</v>
      </c>
      <c r="F475" s="29">
        <f>Текущий!E474</f>
        <v>0</v>
      </c>
      <c r="G475" s="16" t="str">
        <f>IF(Текущий!K474="-",Текущий!K474,ROUND(Текущий!K474,0))</f>
        <v>-</v>
      </c>
      <c r="H475" s="29" t="str">
        <f>IF(ROUND(Текущий!I474,0)=0,"-",ROUND(Текущий!I474,0))</f>
        <v>-</v>
      </c>
      <c r="I475" s="16" t="str">
        <f>IF(Предыд!K474="-",Предыд!K474,ROUND(Предыд!K474,0))</f>
        <v>-</v>
      </c>
      <c r="J475" s="29" t="str">
        <f>IF(ROUND(Предыд!I474,0)=0,"-",ROUND(Предыд!I474,0))</f>
        <v>-</v>
      </c>
      <c r="K475" s="30" t="str">
        <f>Текущий!L474</f>
        <v>Рихтовка</v>
      </c>
      <c r="L475" s="29">
        <f>Текущий!AL474</f>
        <v>0</v>
      </c>
      <c r="M475" s="29">
        <f>Текущий!AM474</f>
        <v>0</v>
      </c>
      <c r="N475" s="29">
        <f>Текущий!AN474</f>
        <v>0</v>
      </c>
      <c r="O475" s="29">
        <f>Текущий!AP474</f>
        <v>0</v>
      </c>
      <c r="P475" s="29">
        <f>Предыд!AL474</f>
        <v>0</v>
      </c>
      <c r="Q475" s="29">
        <f>Предыд!AM474</f>
        <v>0</v>
      </c>
      <c r="R475" s="29">
        <f>Предыд!AN474</f>
        <v>0</v>
      </c>
      <c r="S475" s="29">
        <f>Предыд!AO474</f>
        <v>0</v>
      </c>
      <c r="T475" s="17" t="str">
        <f t="shared" si="7"/>
        <v>-</v>
      </c>
    </row>
    <row r="476" spans="1:20" x14ac:dyDescent="0.25">
      <c r="A476" s="29">
        <f>Текущий!A475</f>
        <v>10</v>
      </c>
      <c r="B476" s="29">
        <f>Текущий!B475</f>
        <v>25101</v>
      </c>
      <c r="C476" s="29" t="str">
        <f>Текущий!C475</f>
        <v>одн</v>
      </c>
      <c r="D476" s="29" t="str">
        <f>Текущий!D475</f>
        <v>Ретиховка - Буянки</v>
      </c>
      <c r="E476" s="29">
        <f>ROUND(Текущий!J475,0)</f>
        <v>0</v>
      </c>
      <c r="F476" s="29">
        <f>Текущий!E475</f>
        <v>0</v>
      </c>
      <c r="G476" s="16" t="str">
        <f>IF(Текущий!K475="-",Текущий!K475,ROUND(Текущий!K475,0))</f>
        <v>-</v>
      </c>
      <c r="H476" s="29" t="str">
        <f>IF(ROUND(Текущий!I475,0)=0,"-",ROUND(Текущий!I475,0))</f>
        <v>-</v>
      </c>
      <c r="I476" s="16" t="str">
        <f>IF(Предыд!K475="-",Предыд!K475,ROUND(Предыд!K475,0))</f>
        <v>-</v>
      </c>
      <c r="J476" s="29" t="str">
        <f>IF(ROUND(Предыд!I475,0)=0,"-",ROUND(Предыд!I475,0))</f>
        <v>-</v>
      </c>
      <c r="K476" s="30" t="str">
        <f>Текущий!L475</f>
        <v>Рихтовка</v>
      </c>
      <c r="L476" s="29">
        <f>Текущий!AL475</f>
        <v>0</v>
      </c>
      <c r="M476" s="29">
        <f>Текущий!AM475</f>
        <v>0</v>
      </c>
      <c r="N476" s="29">
        <f>Текущий!AN475</f>
        <v>0</v>
      </c>
      <c r="O476" s="29">
        <f>Текущий!AP475</f>
        <v>0</v>
      </c>
      <c r="P476" s="29">
        <f>Предыд!AL475</f>
        <v>0</v>
      </c>
      <c r="Q476" s="29">
        <f>Предыд!AM475</f>
        <v>0</v>
      </c>
      <c r="R476" s="29">
        <f>Предыд!AN475</f>
        <v>0</v>
      </c>
      <c r="S476" s="29">
        <f>Предыд!AO475</f>
        <v>0</v>
      </c>
      <c r="T476" s="17" t="str">
        <f t="shared" si="7"/>
        <v>-</v>
      </c>
    </row>
    <row r="477" spans="1:20" x14ac:dyDescent="0.25">
      <c r="A477" s="29">
        <f>Текущий!A476</f>
        <v>10</v>
      </c>
      <c r="B477" s="29">
        <f>Текущий!B476</f>
        <v>25101</v>
      </c>
      <c r="C477" s="29" t="str">
        <f>Текущий!C476</f>
        <v>одн</v>
      </c>
      <c r="D477" s="29" t="str">
        <f>Текущий!D476</f>
        <v>Буянки - Тихоречное</v>
      </c>
      <c r="E477" s="29">
        <f>ROUND(Текущий!J476,0)</f>
        <v>0</v>
      </c>
      <c r="F477" s="29">
        <f>Текущий!E476</f>
        <v>0</v>
      </c>
      <c r="G477" s="16" t="str">
        <f>IF(Текущий!K476="-",Текущий!K476,ROUND(Текущий!K476,0))</f>
        <v>-</v>
      </c>
      <c r="H477" s="29" t="str">
        <f>IF(ROUND(Текущий!I476,0)=0,"-",ROUND(Текущий!I476,0))</f>
        <v>-</v>
      </c>
      <c r="I477" s="16" t="str">
        <f>IF(Предыд!K476="-",Предыд!K476,ROUND(Предыд!K476,0))</f>
        <v>-</v>
      </c>
      <c r="J477" s="29" t="str">
        <f>IF(ROUND(Предыд!I476,0)=0,"-",ROUND(Предыд!I476,0))</f>
        <v>-</v>
      </c>
      <c r="K477" s="30" t="str">
        <f>Текущий!L476</f>
        <v>Рихтовка</v>
      </c>
      <c r="L477" s="29">
        <f>Текущий!AL476</f>
        <v>0</v>
      </c>
      <c r="M477" s="29">
        <f>Текущий!AM476</f>
        <v>0</v>
      </c>
      <c r="N477" s="29">
        <f>Текущий!AN476</f>
        <v>0</v>
      </c>
      <c r="O477" s="29">
        <f>Текущий!AP476</f>
        <v>0</v>
      </c>
      <c r="P477" s="29">
        <f>Предыд!AL476</f>
        <v>0</v>
      </c>
      <c r="Q477" s="29">
        <f>Предыд!AM476</f>
        <v>0</v>
      </c>
      <c r="R477" s="29">
        <f>Предыд!AN476</f>
        <v>0</v>
      </c>
      <c r="S477" s="29">
        <f>Предыд!AO476</f>
        <v>0</v>
      </c>
      <c r="T477" s="17" t="str">
        <f t="shared" si="7"/>
        <v>-</v>
      </c>
    </row>
    <row r="478" spans="1:20" x14ac:dyDescent="0.25">
      <c r="A478" s="29">
        <f>Текущий!A477</f>
        <v>10</v>
      </c>
      <c r="B478" s="29">
        <f>Текущий!B477</f>
        <v>25101</v>
      </c>
      <c r="C478" s="29" t="str">
        <f>Текущий!C477</f>
        <v>одн</v>
      </c>
      <c r="D478" s="29" t="str">
        <f>Текущий!D477</f>
        <v>Тихоречное - Чернышевка</v>
      </c>
      <c r="E478" s="29">
        <f>ROUND(Текущий!J477,0)</f>
        <v>0</v>
      </c>
      <c r="F478" s="29">
        <f>Текущий!E477</f>
        <v>0</v>
      </c>
      <c r="G478" s="16" t="str">
        <f>IF(Текущий!K477="-",Текущий!K477,ROUND(Текущий!K477,0))</f>
        <v>-</v>
      </c>
      <c r="H478" s="29" t="str">
        <f>IF(ROUND(Текущий!I477,0)=0,"-",ROUND(Текущий!I477,0))</f>
        <v>-</v>
      </c>
      <c r="I478" s="16" t="str">
        <f>IF(Предыд!K477="-",Предыд!K477,ROUND(Предыд!K477,0))</f>
        <v>-</v>
      </c>
      <c r="J478" s="29" t="str">
        <f>IF(ROUND(Предыд!I477,0)=0,"-",ROUND(Предыд!I477,0))</f>
        <v>-</v>
      </c>
      <c r="K478" s="30" t="str">
        <f>Текущий!L477</f>
        <v>Рихтовка</v>
      </c>
      <c r="L478" s="29">
        <f>Текущий!AL477</f>
        <v>0</v>
      </c>
      <c r="M478" s="29">
        <f>Текущий!AM477</f>
        <v>0</v>
      </c>
      <c r="N478" s="29">
        <f>Текущий!AN477</f>
        <v>0</v>
      </c>
      <c r="O478" s="29">
        <f>Текущий!AP477</f>
        <v>0</v>
      </c>
      <c r="P478" s="29">
        <f>Предыд!AL477</f>
        <v>0</v>
      </c>
      <c r="Q478" s="29">
        <f>Предыд!AM477</f>
        <v>0</v>
      </c>
      <c r="R478" s="29">
        <f>Предыд!AN477</f>
        <v>0</v>
      </c>
      <c r="S478" s="29">
        <f>Предыд!AO477</f>
        <v>0</v>
      </c>
      <c r="T478" s="17" t="str">
        <f t="shared" si="7"/>
        <v>-</v>
      </c>
    </row>
    <row r="479" spans="1:20" x14ac:dyDescent="0.25">
      <c r="A479" s="29">
        <f>Текущий!A478</f>
        <v>10</v>
      </c>
      <c r="B479" s="29">
        <f>Текущий!B478</f>
        <v>25101</v>
      </c>
      <c r="C479" s="29" t="str">
        <f>Текущий!C478</f>
        <v>одн</v>
      </c>
      <c r="D479" s="29" t="str">
        <f>Текущий!D478</f>
        <v>Чернышевка - Арсеньев</v>
      </c>
      <c r="E479" s="29">
        <f>ROUND(Текущий!J478,0)</f>
        <v>0</v>
      </c>
      <c r="F479" s="29">
        <f>Текущий!E478</f>
        <v>0</v>
      </c>
      <c r="G479" s="16" t="str">
        <f>IF(Текущий!K478="-",Текущий!K478,ROUND(Текущий!K478,0))</f>
        <v>-</v>
      </c>
      <c r="H479" s="29" t="str">
        <f>IF(ROUND(Текущий!I478,0)=0,"-",ROUND(Текущий!I478,0))</f>
        <v>-</v>
      </c>
      <c r="I479" s="16" t="str">
        <f>IF(Предыд!K478="-",Предыд!K478,ROUND(Предыд!K478,0))</f>
        <v>-</v>
      </c>
      <c r="J479" s="29" t="str">
        <f>IF(ROUND(Предыд!I478,0)=0,"-",ROUND(Предыд!I478,0))</f>
        <v>-</v>
      </c>
      <c r="K479" s="30" t="str">
        <f>Текущий!L478</f>
        <v>Рихтовка</v>
      </c>
      <c r="L479" s="29">
        <f>Текущий!AL478</f>
        <v>0</v>
      </c>
      <c r="M479" s="29">
        <f>Текущий!AM478</f>
        <v>0</v>
      </c>
      <c r="N479" s="29">
        <f>Текущий!AN478</f>
        <v>0</v>
      </c>
      <c r="O479" s="29">
        <f>Текущий!AP478</f>
        <v>0</v>
      </c>
      <c r="P479" s="29">
        <f>Предыд!AL478</f>
        <v>0</v>
      </c>
      <c r="Q479" s="29">
        <f>Предыд!AM478</f>
        <v>0</v>
      </c>
      <c r="R479" s="29">
        <f>Предыд!AN478</f>
        <v>0</v>
      </c>
      <c r="S479" s="29">
        <f>Предыд!AO478</f>
        <v>0</v>
      </c>
      <c r="T479" s="17" t="str">
        <f t="shared" si="7"/>
        <v>-</v>
      </c>
    </row>
    <row r="480" spans="1:20" x14ac:dyDescent="0.25">
      <c r="A480" s="29">
        <f>Текущий!A479</f>
        <v>10</v>
      </c>
      <c r="B480" s="29">
        <f>Текущий!B479</f>
        <v>25101</v>
      </c>
      <c r="C480" s="29" t="str">
        <f>Текущий!C479</f>
        <v>одн</v>
      </c>
      <c r="D480" s="29" t="str">
        <f>Текущий!D479</f>
        <v>Арсеньев - Сысоевка</v>
      </c>
      <c r="E480" s="29">
        <f>ROUND(Текущий!J479,0)</f>
        <v>0</v>
      </c>
      <c r="F480" s="29">
        <f>Текущий!E479</f>
        <v>0</v>
      </c>
      <c r="G480" s="16" t="str">
        <f>IF(Текущий!K479="-",Текущий!K479,ROUND(Текущий!K479,0))</f>
        <v>-</v>
      </c>
      <c r="H480" s="29" t="str">
        <f>IF(ROUND(Текущий!I479,0)=0,"-",ROUND(Текущий!I479,0))</f>
        <v>-</v>
      </c>
      <c r="I480" s="16" t="str">
        <f>IF(Предыд!K479="-",Предыд!K479,ROUND(Предыд!K479,0))</f>
        <v>-</v>
      </c>
      <c r="J480" s="29" t="str">
        <f>IF(ROUND(Предыд!I479,0)=0,"-",ROUND(Предыд!I479,0))</f>
        <v>-</v>
      </c>
      <c r="K480" s="30" t="str">
        <f>Текущий!L479</f>
        <v>Рихтовка</v>
      </c>
      <c r="L480" s="29">
        <f>Текущий!AL479</f>
        <v>0</v>
      </c>
      <c r="M480" s="29">
        <f>Текущий!AM479</f>
        <v>0</v>
      </c>
      <c r="N480" s="29">
        <f>Текущий!AN479</f>
        <v>0</v>
      </c>
      <c r="O480" s="29">
        <f>Текущий!AP479</f>
        <v>0</v>
      </c>
      <c r="P480" s="29">
        <f>Предыд!AL479</f>
        <v>0</v>
      </c>
      <c r="Q480" s="29">
        <f>Предыд!AM479</f>
        <v>0</v>
      </c>
      <c r="R480" s="29">
        <f>Предыд!AN479</f>
        <v>0</v>
      </c>
      <c r="S480" s="29">
        <f>Предыд!AO479</f>
        <v>0</v>
      </c>
      <c r="T480" s="17" t="str">
        <f t="shared" si="7"/>
        <v>-</v>
      </c>
    </row>
    <row r="481" spans="1:20" x14ac:dyDescent="0.25">
      <c r="A481" s="29">
        <f>Текущий!A480</f>
        <v>10</v>
      </c>
      <c r="B481" s="29">
        <f>Текущий!B480</f>
        <v>25101</v>
      </c>
      <c r="C481" s="29" t="str">
        <f>Текущий!C480</f>
        <v>одн</v>
      </c>
      <c r="D481" s="29" t="str">
        <f>Текущий!D480</f>
        <v>Сысоевка - Варфоломеевка</v>
      </c>
      <c r="E481" s="29">
        <f>ROUND(Текущий!J480,0)</f>
        <v>0</v>
      </c>
      <c r="F481" s="29">
        <f>Текущий!E480</f>
        <v>0</v>
      </c>
      <c r="G481" s="16" t="str">
        <f>IF(Текущий!K480="-",Текущий!K480,ROUND(Текущий!K480,0))</f>
        <v>-</v>
      </c>
      <c r="H481" s="29" t="str">
        <f>IF(ROUND(Текущий!I480,0)=0,"-",ROUND(Текущий!I480,0))</f>
        <v>-</v>
      </c>
      <c r="I481" s="16" t="str">
        <f>IF(Предыд!K480="-",Предыд!K480,ROUND(Предыд!K480,0))</f>
        <v>-</v>
      </c>
      <c r="J481" s="29" t="str">
        <f>IF(ROUND(Предыд!I480,0)=0,"-",ROUND(Предыд!I480,0))</f>
        <v>-</v>
      </c>
      <c r="K481" s="30" t="str">
        <f>Текущий!L480</f>
        <v>Рихтовка</v>
      </c>
      <c r="L481" s="29">
        <f>Текущий!AL480</f>
        <v>0</v>
      </c>
      <c r="M481" s="29">
        <f>Текущий!AM480</f>
        <v>0</v>
      </c>
      <c r="N481" s="29">
        <f>Текущий!AN480</f>
        <v>0</v>
      </c>
      <c r="O481" s="29">
        <f>Текущий!AP480</f>
        <v>0</v>
      </c>
      <c r="P481" s="29">
        <f>Предыд!AL480</f>
        <v>0</v>
      </c>
      <c r="Q481" s="29">
        <f>Предыд!AM480</f>
        <v>0</v>
      </c>
      <c r="R481" s="29">
        <f>Предыд!AN480</f>
        <v>0</v>
      </c>
      <c r="S481" s="29">
        <f>Предыд!AO480</f>
        <v>0</v>
      </c>
      <c r="T481" s="17" t="str">
        <f t="shared" si="7"/>
        <v>-</v>
      </c>
    </row>
    <row r="482" spans="1:20" x14ac:dyDescent="0.25">
      <c r="A482" s="29">
        <f>Текущий!A481</f>
        <v>10</v>
      </c>
      <c r="B482" s="29">
        <f>Текущий!B481</f>
        <v>25101</v>
      </c>
      <c r="C482" s="29" t="str">
        <f>Текущий!C481</f>
        <v>одн</v>
      </c>
      <c r="D482" s="29" t="str">
        <f>Текущий!D481</f>
        <v>Варфоломеевка - Лимонник</v>
      </c>
      <c r="E482" s="29">
        <f>ROUND(Текущий!J481,0)</f>
        <v>0</v>
      </c>
      <c r="F482" s="29">
        <f>Текущий!E481</f>
        <v>0</v>
      </c>
      <c r="G482" s="16" t="str">
        <f>IF(Текущий!K481="-",Текущий!K481,ROUND(Текущий!K481,0))</f>
        <v>-</v>
      </c>
      <c r="H482" s="29" t="str">
        <f>IF(ROUND(Текущий!I481,0)=0,"-",ROUND(Текущий!I481,0))</f>
        <v>-</v>
      </c>
      <c r="I482" s="16" t="str">
        <f>IF(Предыд!K481="-",Предыд!K481,ROUND(Предыд!K481,0))</f>
        <v>-</v>
      </c>
      <c r="J482" s="29" t="str">
        <f>IF(ROUND(Предыд!I481,0)=0,"-",ROUND(Предыд!I481,0))</f>
        <v>-</v>
      </c>
      <c r="K482" s="30" t="str">
        <f>Текущий!L481</f>
        <v>Рихтовка</v>
      </c>
      <c r="L482" s="29">
        <f>Текущий!AL481</f>
        <v>0</v>
      </c>
      <c r="M482" s="29">
        <f>Текущий!AM481</f>
        <v>0</v>
      </c>
      <c r="N482" s="29">
        <f>Текущий!AN481</f>
        <v>0</v>
      </c>
      <c r="O482" s="29">
        <f>Текущий!AP481</f>
        <v>0</v>
      </c>
      <c r="P482" s="29">
        <f>Предыд!AL481</f>
        <v>0</v>
      </c>
      <c r="Q482" s="29">
        <f>Предыд!AM481</f>
        <v>0</v>
      </c>
      <c r="R482" s="29">
        <f>Предыд!AN481</f>
        <v>0</v>
      </c>
      <c r="S482" s="29">
        <f>Предыд!AO481</f>
        <v>0</v>
      </c>
      <c r="T482" s="17" t="str">
        <f t="shared" si="7"/>
        <v>-</v>
      </c>
    </row>
    <row r="483" spans="1:20" x14ac:dyDescent="0.25">
      <c r="A483" s="29">
        <f>Текущий!A482</f>
        <v>10</v>
      </c>
      <c r="B483" s="29">
        <f>Текущий!B482</f>
        <v>25101</v>
      </c>
      <c r="C483" s="29" t="str">
        <f>Текущий!C482</f>
        <v>одн</v>
      </c>
      <c r="D483" s="29" t="str">
        <f>Текущий!D482</f>
        <v>Лимонник - Новочугуевка</v>
      </c>
      <c r="E483" s="29">
        <f>ROUND(Текущий!J482,0)</f>
        <v>0</v>
      </c>
      <c r="F483" s="29">
        <f>Текущий!E482</f>
        <v>0</v>
      </c>
      <c r="G483" s="16" t="str">
        <f>IF(Текущий!K482="-",Текущий!K482,ROUND(Текущий!K482,0))</f>
        <v>-</v>
      </c>
      <c r="H483" s="29" t="str">
        <f>IF(ROUND(Текущий!I482,0)=0,"-",ROUND(Текущий!I482,0))</f>
        <v>-</v>
      </c>
      <c r="I483" s="16" t="str">
        <f>IF(Предыд!K482="-",Предыд!K482,ROUND(Предыд!K482,0))</f>
        <v>-</v>
      </c>
      <c r="J483" s="29" t="str">
        <f>IF(ROUND(Предыд!I482,0)=0,"-",ROUND(Предыд!I482,0))</f>
        <v>-</v>
      </c>
      <c r="K483" s="30" t="str">
        <f>Текущий!L482</f>
        <v>Рихтовка</v>
      </c>
      <c r="L483" s="29">
        <f>Текущий!AL482</f>
        <v>0</v>
      </c>
      <c r="M483" s="29">
        <f>Текущий!AM482</f>
        <v>0</v>
      </c>
      <c r="N483" s="29">
        <f>Текущий!AN482</f>
        <v>0</v>
      </c>
      <c r="O483" s="29">
        <f>Текущий!AP482</f>
        <v>0</v>
      </c>
      <c r="P483" s="29">
        <f>Предыд!AL482</f>
        <v>0</v>
      </c>
      <c r="Q483" s="29">
        <f>Предыд!AM482</f>
        <v>0</v>
      </c>
      <c r="R483" s="29">
        <f>Предыд!AN482</f>
        <v>0</v>
      </c>
      <c r="S483" s="29">
        <f>Предыд!AO482</f>
        <v>0</v>
      </c>
      <c r="T483" s="17" t="str">
        <f t="shared" si="7"/>
        <v>-</v>
      </c>
    </row>
    <row r="484" spans="1:20" x14ac:dyDescent="0.25">
      <c r="A484" s="29">
        <f>Текущий!A483</f>
        <v>10</v>
      </c>
      <c r="B484" s="29">
        <f>Текущий!B483</f>
        <v>25102</v>
      </c>
      <c r="C484" s="29" t="str">
        <f>Текущий!C483</f>
        <v>одн</v>
      </c>
      <c r="D484" s="29" t="str">
        <f>Текущий!D483</f>
        <v>Сибирцево - Лучки</v>
      </c>
      <c r="E484" s="29">
        <f>ROUND(Текущий!J483,0)</f>
        <v>0</v>
      </c>
      <c r="F484" s="29">
        <f>Текущий!E483</f>
        <v>0</v>
      </c>
      <c r="G484" s="16" t="str">
        <f>IF(Текущий!K483="-",Текущий!K483,ROUND(Текущий!K483,0))</f>
        <v>-</v>
      </c>
      <c r="H484" s="29" t="str">
        <f>IF(ROUND(Текущий!I483,0)=0,"-",ROUND(Текущий!I483,0))</f>
        <v>-</v>
      </c>
      <c r="I484" s="16" t="str">
        <f>IF(Предыд!K483="-",Предыд!K483,ROUND(Предыд!K483,0))</f>
        <v>-</v>
      </c>
      <c r="J484" s="29" t="str">
        <f>IF(ROUND(Предыд!I483,0)=0,"-",ROUND(Предыд!I483,0))</f>
        <v>-</v>
      </c>
      <c r="K484" s="30" t="str">
        <f>Текущий!L483</f>
        <v>Рихтовка</v>
      </c>
      <c r="L484" s="29">
        <f>Текущий!AL483</f>
        <v>0</v>
      </c>
      <c r="M484" s="29">
        <f>Текущий!AM483</f>
        <v>0</v>
      </c>
      <c r="N484" s="29">
        <f>Текущий!AN483</f>
        <v>0</v>
      </c>
      <c r="O484" s="29">
        <f>Текущий!AP483</f>
        <v>0</v>
      </c>
      <c r="P484" s="29">
        <f>Предыд!AL483</f>
        <v>0</v>
      </c>
      <c r="Q484" s="29">
        <f>Предыд!AM483</f>
        <v>0</v>
      </c>
      <c r="R484" s="29">
        <f>Предыд!AN483</f>
        <v>0</v>
      </c>
      <c r="S484" s="29">
        <f>Предыд!AO483</f>
        <v>0</v>
      </c>
      <c r="T484" s="17" t="str">
        <f t="shared" si="7"/>
        <v>-</v>
      </c>
    </row>
    <row r="485" spans="1:20" x14ac:dyDescent="0.25">
      <c r="A485" s="29">
        <f>Текущий!A484</f>
        <v>10</v>
      </c>
      <c r="B485" s="29">
        <f>Текущий!B484</f>
        <v>25137</v>
      </c>
      <c r="C485" s="29">
        <f>Текущий!C484</f>
        <v>2</v>
      </c>
      <c r="D485" s="29" t="str">
        <f>Текущий!D484</f>
        <v>Лучки - Ярославка-Приморская</v>
      </c>
      <c r="E485" s="29">
        <f>ROUND(Текущий!J484,0)</f>
        <v>0</v>
      </c>
      <c r="F485" s="29">
        <f>Текущий!E484</f>
        <v>0</v>
      </c>
      <c r="G485" s="16" t="str">
        <f>IF(Текущий!K484="-",Текущий!K484,ROUND(Текущий!K484,0))</f>
        <v>-</v>
      </c>
      <c r="H485" s="29" t="str">
        <f>IF(ROUND(Текущий!I484,0)=0,"-",ROUND(Текущий!I484,0))</f>
        <v>-</v>
      </c>
      <c r="I485" s="16" t="str">
        <f>IF(Предыд!K484="-",Предыд!K484,ROUND(Предыд!K484,0))</f>
        <v>-</v>
      </c>
      <c r="J485" s="29" t="str">
        <f>IF(ROUND(Предыд!I484,0)=0,"-",ROUND(Предыд!I484,0))</f>
        <v>-</v>
      </c>
      <c r="K485" s="30" t="str">
        <f>Текущий!L484</f>
        <v>Рихтовка</v>
      </c>
      <c r="L485" s="29">
        <f>Текущий!AL484</f>
        <v>0</v>
      </c>
      <c r="M485" s="29">
        <f>Текущий!AM484</f>
        <v>0</v>
      </c>
      <c r="N485" s="29">
        <f>Текущий!AN484</f>
        <v>0</v>
      </c>
      <c r="O485" s="29">
        <f>Текущий!AP484</f>
        <v>0</v>
      </c>
      <c r="P485" s="29">
        <f>Предыд!AL484</f>
        <v>0</v>
      </c>
      <c r="Q485" s="29">
        <f>Предыд!AM484</f>
        <v>0</v>
      </c>
      <c r="R485" s="29">
        <f>Предыд!AN484</f>
        <v>0</v>
      </c>
      <c r="S485" s="29">
        <f>Предыд!AO484</f>
        <v>0</v>
      </c>
      <c r="T485" s="17" t="str">
        <f t="shared" si="7"/>
        <v>-</v>
      </c>
    </row>
    <row r="486" spans="1:20" x14ac:dyDescent="0.25">
      <c r="A486" s="29">
        <f>Текущий!A485</f>
        <v>10</v>
      </c>
      <c r="B486" s="29">
        <f>Текущий!B485</f>
        <v>25102</v>
      </c>
      <c r="C486" s="29" t="str">
        <f>Текущий!C485</f>
        <v>одн</v>
      </c>
      <c r="D486" s="29" t="str">
        <f>Текущий!D485</f>
        <v>Лучки - Хорольск</v>
      </c>
      <c r="E486" s="29">
        <f>ROUND(Текущий!J485,0)</f>
        <v>0</v>
      </c>
      <c r="F486" s="29">
        <f>Текущий!E485</f>
        <v>0</v>
      </c>
      <c r="G486" s="16" t="str">
        <f>IF(Текущий!K485="-",Текущий!K485,ROUND(Текущий!K485,0))</f>
        <v>-</v>
      </c>
      <c r="H486" s="29" t="str">
        <f>IF(ROUND(Текущий!I485,0)=0,"-",ROUND(Текущий!I485,0))</f>
        <v>-</v>
      </c>
      <c r="I486" s="16" t="str">
        <f>IF(Предыд!K485="-",Предыд!K485,ROUND(Предыд!K485,0))</f>
        <v>-</v>
      </c>
      <c r="J486" s="29" t="str">
        <f>IF(ROUND(Предыд!I485,0)=0,"-",ROUND(Предыд!I485,0))</f>
        <v>-</v>
      </c>
      <c r="K486" s="30" t="str">
        <f>Текущий!L485</f>
        <v>Рихтовка</v>
      </c>
      <c r="L486" s="29">
        <f>Текущий!AL485</f>
        <v>0</v>
      </c>
      <c r="M486" s="29">
        <f>Текущий!AM485</f>
        <v>0</v>
      </c>
      <c r="N486" s="29">
        <f>Текущий!AN485</f>
        <v>0</v>
      </c>
      <c r="O486" s="29">
        <f>Текущий!AP485</f>
        <v>0</v>
      </c>
      <c r="P486" s="29">
        <f>Предыд!AL485</f>
        <v>0</v>
      </c>
      <c r="Q486" s="29">
        <f>Предыд!AM485</f>
        <v>0</v>
      </c>
      <c r="R486" s="29">
        <f>Предыд!AN485</f>
        <v>0</v>
      </c>
      <c r="S486" s="29">
        <f>Предыд!AO485</f>
        <v>0</v>
      </c>
      <c r="T486" s="17" t="str">
        <f t="shared" si="7"/>
        <v>-</v>
      </c>
    </row>
    <row r="487" spans="1:20" x14ac:dyDescent="0.25">
      <c r="A487" s="29">
        <f>Текущий!A486</f>
        <v>10</v>
      </c>
      <c r="B487" s="29">
        <f>Текущий!B486</f>
        <v>25102</v>
      </c>
      <c r="C487" s="29" t="str">
        <f>Текущий!C486</f>
        <v>одн</v>
      </c>
      <c r="D487" s="29" t="str">
        <f>Текущий!D486</f>
        <v>Хорольск - Камень-Рыболов</v>
      </c>
      <c r="E487" s="29">
        <f>ROUND(Текущий!J486,0)</f>
        <v>0</v>
      </c>
      <c r="F487" s="29">
        <f>Текущий!E486</f>
        <v>0</v>
      </c>
      <c r="G487" s="16" t="str">
        <f>IF(Текущий!K486="-",Текущий!K486,ROUND(Текущий!K486,0))</f>
        <v>-</v>
      </c>
      <c r="H487" s="29" t="str">
        <f>IF(ROUND(Текущий!I486,0)=0,"-",ROUND(Текущий!I486,0))</f>
        <v>-</v>
      </c>
      <c r="I487" s="16" t="str">
        <f>IF(Предыд!K486="-",Предыд!K486,ROUND(Предыд!K486,0))</f>
        <v>-</v>
      </c>
      <c r="J487" s="29" t="str">
        <f>IF(ROUND(Предыд!I486,0)=0,"-",ROUND(Предыд!I486,0))</f>
        <v>-</v>
      </c>
      <c r="K487" s="30" t="str">
        <f>Текущий!L486</f>
        <v>Рихтовка</v>
      </c>
      <c r="L487" s="29">
        <f>Текущий!AL486</f>
        <v>0</v>
      </c>
      <c r="M487" s="29">
        <f>Текущий!AM486</f>
        <v>0</v>
      </c>
      <c r="N487" s="29">
        <f>Текущий!AN486</f>
        <v>0</v>
      </c>
      <c r="O487" s="29">
        <f>Текущий!AP486</f>
        <v>0</v>
      </c>
      <c r="P487" s="29">
        <f>Предыд!AL486</f>
        <v>0</v>
      </c>
      <c r="Q487" s="29">
        <f>Предыд!AM486</f>
        <v>0</v>
      </c>
      <c r="R487" s="29">
        <f>Предыд!AN486</f>
        <v>0</v>
      </c>
      <c r="S487" s="29">
        <f>Предыд!AO486</f>
        <v>0</v>
      </c>
      <c r="T487" s="17" t="str">
        <f t="shared" si="7"/>
        <v>-</v>
      </c>
    </row>
    <row r="488" spans="1:20" x14ac:dyDescent="0.25">
      <c r="A488" s="29">
        <f>Текущий!A487</f>
        <v>10</v>
      </c>
      <c r="B488" s="29">
        <f>Текущий!B487</f>
        <v>25102</v>
      </c>
      <c r="C488" s="29" t="str">
        <f>Текущий!C487</f>
        <v>одн</v>
      </c>
      <c r="D488" s="29" t="str">
        <f>Текущий!D487</f>
        <v>Камень-Рыболов - Троицкий</v>
      </c>
      <c r="E488" s="29">
        <f>ROUND(Текущий!J487,0)</f>
        <v>0</v>
      </c>
      <c r="F488" s="29">
        <f>Текущий!E487</f>
        <v>0</v>
      </c>
      <c r="G488" s="16" t="str">
        <f>IF(Текущий!K487="-",Текущий!K487,ROUND(Текущий!K487,0))</f>
        <v>-</v>
      </c>
      <c r="H488" s="29" t="str">
        <f>IF(ROUND(Текущий!I487,0)=0,"-",ROUND(Текущий!I487,0))</f>
        <v>-</v>
      </c>
      <c r="I488" s="16" t="str">
        <f>IF(Предыд!K487="-",Предыд!K487,ROUND(Предыд!K487,0))</f>
        <v>-</v>
      </c>
      <c r="J488" s="29" t="str">
        <f>IF(ROUND(Предыд!I487,0)=0,"-",ROUND(Предыд!I487,0))</f>
        <v>-</v>
      </c>
      <c r="K488" s="30" t="str">
        <f>Текущий!L487</f>
        <v>Рихтовка</v>
      </c>
      <c r="L488" s="29">
        <f>Текущий!AL487</f>
        <v>0</v>
      </c>
      <c r="M488" s="29">
        <f>Текущий!AM487</f>
        <v>0</v>
      </c>
      <c r="N488" s="29">
        <f>Текущий!AN487</f>
        <v>0</v>
      </c>
      <c r="O488" s="29">
        <f>Текущий!AP487</f>
        <v>0</v>
      </c>
      <c r="P488" s="29">
        <f>Предыд!AL487</f>
        <v>0</v>
      </c>
      <c r="Q488" s="29">
        <f>Предыд!AM487</f>
        <v>0</v>
      </c>
      <c r="R488" s="29">
        <f>Предыд!AN487</f>
        <v>0</v>
      </c>
      <c r="S488" s="29">
        <f>Предыд!AO487</f>
        <v>0</v>
      </c>
      <c r="T488" s="17" t="str">
        <f t="shared" si="7"/>
        <v>-</v>
      </c>
    </row>
    <row r="489" spans="1:20" x14ac:dyDescent="0.25">
      <c r="A489" s="29">
        <f>Текущий!A488</f>
        <v>10</v>
      </c>
      <c r="B489" s="29">
        <f>Текущий!B488</f>
        <v>25102</v>
      </c>
      <c r="C489" s="29" t="str">
        <f>Текущий!C488</f>
        <v>одн</v>
      </c>
      <c r="D489" s="29" t="str">
        <f>Текущий!D488</f>
        <v>Троицкий - Ильинка</v>
      </c>
      <c r="E489" s="29">
        <f>ROUND(Текущий!J488,0)</f>
        <v>0</v>
      </c>
      <c r="F489" s="29">
        <f>Текущий!E488</f>
        <v>0</v>
      </c>
      <c r="G489" s="16" t="str">
        <f>IF(Текущий!K488="-",Текущий!K488,ROUND(Текущий!K488,0))</f>
        <v>-</v>
      </c>
      <c r="H489" s="29" t="str">
        <f>IF(ROUND(Текущий!I488,0)=0,"-",ROUND(Текущий!I488,0))</f>
        <v>-</v>
      </c>
      <c r="I489" s="16" t="str">
        <f>IF(Предыд!K488="-",Предыд!K488,ROUND(Предыд!K488,0))</f>
        <v>-</v>
      </c>
      <c r="J489" s="29" t="str">
        <f>IF(ROUND(Предыд!I488,0)=0,"-",ROUND(Предыд!I488,0))</f>
        <v>-</v>
      </c>
      <c r="K489" s="30" t="str">
        <f>Текущий!L488</f>
        <v>Рихтовка</v>
      </c>
      <c r="L489" s="29">
        <f>Текущий!AL488</f>
        <v>0</v>
      </c>
      <c r="M489" s="29">
        <f>Текущий!AM488</f>
        <v>0</v>
      </c>
      <c r="N489" s="29">
        <f>Текущий!AN488</f>
        <v>0</v>
      </c>
      <c r="O489" s="29">
        <f>Текущий!AP488</f>
        <v>0</v>
      </c>
      <c r="P489" s="29">
        <f>Предыд!AL488</f>
        <v>0</v>
      </c>
      <c r="Q489" s="29">
        <f>Предыд!AM488</f>
        <v>0</v>
      </c>
      <c r="R489" s="29">
        <f>Предыд!AN488</f>
        <v>0</v>
      </c>
      <c r="S489" s="29">
        <f>Предыд!AO488</f>
        <v>0</v>
      </c>
      <c r="T489" s="17" t="str">
        <f t="shared" si="7"/>
        <v>-</v>
      </c>
    </row>
    <row r="490" spans="1:20" x14ac:dyDescent="0.25">
      <c r="A490" s="29">
        <f>Текущий!A489</f>
        <v>10</v>
      </c>
      <c r="B490" s="29">
        <f>Текущий!B489</f>
        <v>25102</v>
      </c>
      <c r="C490" s="29" t="str">
        <f>Текущий!C489</f>
        <v>одн</v>
      </c>
      <c r="D490" s="29" t="str">
        <f>Текущий!D489</f>
        <v>Ильинка - Новокачалинск</v>
      </c>
      <c r="E490" s="29">
        <f>ROUND(Текущий!J489,0)</f>
        <v>0</v>
      </c>
      <c r="F490" s="29">
        <f>Текущий!E489</f>
        <v>0</v>
      </c>
      <c r="G490" s="16" t="str">
        <f>IF(Текущий!K489="-",Текущий!K489,ROUND(Текущий!K489,0))</f>
        <v>-</v>
      </c>
      <c r="H490" s="29" t="str">
        <f>IF(ROUND(Текущий!I489,0)=0,"-",ROUND(Текущий!I489,0))</f>
        <v>-</v>
      </c>
      <c r="I490" s="16" t="str">
        <f>IF(Предыд!K489="-",Предыд!K489,ROUND(Предыд!K489,0))</f>
        <v>-</v>
      </c>
      <c r="J490" s="29" t="str">
        <f>IF(ROUND(Предыд!I489,0)=0,"-",ROUND(Предыд!I489,0))</f>
        <v>-</v>
      </c>
      <c r="K490" s="30" t="str">
        <f>Текущий!L489</f>
        <v>Рихтовка</v>
      </c>
      <c r="L490" s="29">
        <f>Текущий!AL489</f>
        <v>0</v>
      </c>
      <c r="M490" s="29">
        <f>Текущий!AM489</f>
        <v>0</v>
      </c>
      <c r="N490" s="29">
        <f>Текущий!AN489</f>
        <v>0</v>
      </c>
      <c r="O490" s="29">
        <f>Текущий!AP489</f>
        <v>0</v>
      </c>
      <c r="P490" s="29">
        <f>Предыд!AL489</f>
        <v>0</v>
      </c>
      <c r="Q490" s="29">
        <f>Предыд!AM489</f>
        <v>0</v>
      </c>
      <c r="R490" s="29">
        <f>Предыд!AN489</f>
        <v>0</v>
      </c>
      <c r="S490" s="29">
        <f>Предыд!AO489</f>
        <v>0</v>
      </c>
      <c r="T490" s="17" t="str">
        <f t="shared" si="7"/>
        <v>-</v>
      </c>
    </row>
    <row r="491" spans="1:20" x14ac:dyDescent="0.25">
      <c r="A491" s="29">
        <f>Текущий!A490</f>
        <v>11</v>
      </c>
      <c r="B491" s="29">
        <f>Текущий!B490</f>
        <v>13809</v>
      </c>
      <c r="C491" s="29">
        <f>Текущий!C490</f>
        <v>1</v>
      </c>
      <c r="D491" s="29" t="str">
        <f>Текущий!D490</f>
        <v>Сибирцево - Орехово-Приморское</v>
      </c>
      <c r="E491" s="29">
        <f>ROUND(Текущий!J490,0)</f>
        <v>0</v>
      </c>
      <c r="F491" s="29">
        <f>Текущий!E490</f>
        <v>0</v>
      </c>
      <c r="G491" s="16" t="str">
        <f>IF(Текущий!K490="-",Текущий!K490,ROUND(Текущий!K490,0))</f>
        <v>-</v>
      </c>
      <c r="H491" s="29" t="str">
        <f>IF(ROUND(Текущий!I490,0)=0,"-",ROUND(Текущий!I490,0))</f>
        <v>-</v>
      </c>
      <c r="I491" s="16" t="str">
        <f>IF(Предыд!K490="-",Предыд!K490,ROUND(Предыд!K490,0))</f>
        <v>-</v>
      </c>
      <c r="J491" s="29" t="str">
        <f>IF(ROUND(Предыд!I490,0)=0,"-",ROUND(Предыд!I490,0))</f>
        <v>-</v>
      </c>
      <c r="K491" s="30" t="str">
        <f>Текущий!L490</f>
        <v>Рихтовка</v>
      </c>
      <c r="L491" s="29">
        <f>Текущий!AL490</f>
        <v>0</v>
      </c>
      <c r="M491" s="29">
        <f>Текущий!AM490</f>
        <v>0</v>
      </c>
      <c r="N491" s="29">
        <f>Текущий!AN490</f>
        <v>0</v>
      </c>
      <c r="O491" s="29">
        <f>Текущий!AP490</f>
        <v>0</v>
      </c>
      <c r="P491" s="29">
        <f>Предыд!AL490</f>
        <v>0</v>
      </c>
      <c r="Q491" s="29">
        <f>Предыд!AM490</f>
        <v>0</v>
      </c>
      <c r="R491" s="29">
        <f>Предыд!AN490</f>
        <v>0</v>
      </c>
      <c r="S491" s="29">
        <f>Предыд!AO490</f>
        <v>0</v>
      </c>
      <c r="T491" s="17" t="str">
        <f t="shared" si="7"/>
        <v>-</v>
      </c>
    </row>
    <row r="492" spans="1:20" x14ac:dyDescent="0.25">
      <c r="A492" s="29">
        <f>Текущий!A491</f>
        <v>11</v>
      </c>
      <c r="B492" s="29">
        <f>Текущий!B491</f>
        <v>13809</v>
      </c>
      <c r="C492" s="29">
        <f>Текущий!C491</f>
        <v>1</v>
      </c>
      <c r="D492" s="29" t="str">
        <f>Текущий!D491</f>
        <v>Орехово-Приморское - Перелетный</v>
      </c>
      <c r="E492" s="29">
        <f>ROUND(Текущий!J491,0)</f>
        <v>0</v>
      </c>
      <c r="F492" s="29">
        <f>Текущий!E491</f>
        <v>0</v>
      </c>
      <c r="G492" s="16" t="str">
        <f>IF(Текущий!K491="-",Текущий!K491,ROUND(Текущий!K491,0))</f>
        <v>-</v>
      </c>
      <c r="H492" s="29" t="str">
        <f>IF(ROUND(Текущий!I491,0)=0,"-",ROUND(Текущий!I491,0))</f>
        <v>-</v>
      </c>
      <c r="I492" s="16" t="str">
        <f>IF(Предыд!K491="-",Предыд!K491,ROUND(Предыд!K491,0))</f>
        <v>-</v>
      </c>
      <c r="J492" s="29" t="str">
        <f>IF(ROUND(Предыд!I491,0)=0,"-",ROUND(Предыд!I491,0))</f>
        <v>-</v>
      </c>
      <c r="K492" s="30" t="str">
        <f>Текущий!L491</f>
        <v>Рихтовка</v>
      </c>
      <c r="L492" s="29">
        <f>Текущий!AL491</f>
        <v>0</v>
      </c>
      <c r="M492" s="29">
        <f>Текущий!AM491</f>
        <v>0</v>
      </c>
      <c r="N492" s="29">
        <f>Текущий!AN491</f>
        <v>0</v>
      </c>
      <c r="O492" s="29">
        <f>Текущий!AP491</f>
        <v>0</v>
      </c>
      <c r="P492" s="29">
        <f>Предыд!AL491</f>
        <v>0</v>
      </c>
      <c r="Q492" s="29">
        <f>Предыд!AM491</f>
        <v>0</v>
      </c>
      <c r="R492" s="29">
        <f>Предыд!AN491</f>
        <v>0</v>
      </c>
      <c r="S492" s="29">
        <f>Предыд!AO491</f>
        <v>0</v>
      </c>
      <c r="T492" s="17" t="str">
        <f t="shared" si="7"/>
        <v>-</v>
      </c>
    </row>
    <row r="493" spans="1:20" x14ac:dyDescent="0.25">
      <c r="A493" s="29">
        <f>Текущий!A492</f>
        <v>11</v>
      </c>
      <c r="B493" s="29">
        <f>Текущий!B492</f>
        <v>13809</v>
      </c>
      <c r="C493" s="29">
        <f>Текущий!C492</f>
        <v>1</v>
      </c>
      <c r="D493" s="29" t="str">
        <f>Текущий!D492</f>
        <v>Перелетный - Ипполитовка</v>
      </c>
      <c r="E493" s="29">
        <f>ROUND(Текущий!J492,0)</f>
        <v>0</v>
      </c>
      <c r="F493" s="29">
        <f>Текущий!E492</f>
        <v>0</v>
      </c>
      <c r="G493" s="16" t="str">
        <f>IF(Текущий!K492="-",Текущий!K492,ROUND(Текущий!K492,0))</f>
        <v>-</v>
      </c>
      <c r="H493" s="29" t="str">
        <f>IF(ROUND(Текущий!I492,0)=0,"-",ROUND(Текущий!I492,0))</f>
        <v>-</v>
      </c>
      <c r="I493" s="16" t="str">
        <f>IF(Предыд!K492="-",Предыд!K492,ROUND(Предыд!K492,0))</f>
        <v>-</v>
      </c>
      <c r="J493" s="29" t="str">
        <f>IF(ROUND(Предыд!I492,0)=0,"-",ROUND(Предыд!I492,0))</f>
        <v>-</v>
      </c>
      <c r="K493" s="30" t="str">
        <f>Текущий!L492</f>
        <v>Рихтовка</v>
      </c>
      <c r="L493" s="29">
        <f>Текущий!AL492</f>
        <v>0</v>
      </c>
      <c r="M493" s="29">
        <f>Текущий!AM492</f>
        <v>0</v>
      </c>
      <c r="N493" s="29">
        <f>Текущий!AN492</f>
        <v>0</v>
      </c>
      <c r="O493" s="29">
        <f>Текущий!AP492</f>
        <v>0</v>
      </c>
      <c r="P493" s="29">
        <f>Предыд!AL492</f>
        <v>0</v>
      </c>
      <c r="Q493" s="29">
        <f>Предыд!AM492</f>
        <v>0</v>
      </c>
      <c r="R493" s="29">
        <f>Предыд!AN492</f>
        <v>0</v>
      </c>
      <c r="S493" s="29">
        <f>Предыд!AO492</f>
        <v>0</v>
      </c>
      <c r="T493" s="17" t="str">
        <f t="shared" si="7"/>
        <v>-</v>
      </c>
    </row>
    <row r="494" spans="1:20" x14ac:dyDescent="0.25">
      <c r="A494" s="29">
        <f>Текущий!A493</f>
        <v>11</v>
      </c>
      <c r="B494" s="29">
        <f>Текущий!B493</f>
        <v>13809</v>
      </c>
      <c r="C494" s="29">
        <f>Текущий!C493</f>
        <v>1</v>
      </c>
      <c r="D494" s="29" t="str">
        <f>Текущий!D493</f>
        <v>Ипполитовка - Озурная Падь</v>
      </c>
      <c r="E494" s="29">
        <f>ROUND(Текущий!J493,0)</f>
        <v>0</v>
      </c>
      <c r="F494" s="29">
        <f>Текущий!E493</f>
        <v>0</v>
      </c>
      <c r="G494" s="16" t="str">
        <f>IF(Текущий!K493="-",Текущий!K493,ROUND(Текущий!K493,0))</f>
        <v>-</v>
      </c>
      <c r="H494" s="29" t="str">
        <f>IF(ROUND(Текущий!I493,0)=0,"-",ROUND(Текущий!I493,0))</f>
        <v>-</v>
      </c>
      <c r="I494" s="16" t="str">
        <f>IF(Предыд!K493="-",Предыд!K493,ROUND(Предыд!K493,0))</f>
        <v>-</v>
      </c>
      <c r="J494" s="29" t="str">
        <f>IF(ROUND(Предыд!I493,0)=0,"-",ROUND(Предыд!I493,0))</f>
        <v>-</v>
      </c>
      <c r="K494" s="30" t="str">
        <f>Текущий!L493</f>
        <v>Рихтовка</v>
      </c>
      <c r="L494" s="29">
        <f>Текущий!AL493</f>
        <v>0</v>
      </c>
      <c r="M494" s="29">
        <f>Текущий!AM493</f>
        <v>0</v>
      </c>
      <c r="N494" s="29">
        <f>Текущий!AN493</f>
        <v>0</v>
      </c>
      <c r="O494" s="29">
        <f>Текущий!AP493</f>
        <v>0</v>
      </c>
      <c r="P494" s="29">
        <f>Предыд!AL493</f>
        <v>0</v>
      </c>
      <c r="Q494" s="29">
        <f>Предыд!AM493</f>
        <v>0</v>
      </c>
      <c r="R494" s="29">
        <f>Предыд!AN493</f>
        <v>0</v>
      </c>
      <c r="S494" s="29">
        <f>Предыд!AO493</f>
        <v>0</v>
      </c>
      <c r="T494" s="17" t="str">
        <f t="shared" si="7"/>
        <v>-</v>
      </c>
    </row>
    <row r="495" spans="1:20" x14ac:dyDescent="0.25">
      <c r="A495" s="29">
        <f>Текущий!A494</f>
        <v>11</v>
      </c>
      <c r="B495" s="29">
        <f>Текущий!B494</f>
        <v>13809</v>
      </c>
      <c r="C495" s="29">
        <f>Текущий!C494</f>
        <v>1</v>
      </c>
      <c r="D495" s="29" t="str">
        <f>Текущий!D494</f>
        <v>Озурная Падь - Новошахтинская</v>
      </c>
      <c r="E495" s="29">
        <f>ROUND(Текущий!J494,0)</f>
        <v>0</v>
      </c>
      <c r="F495" s="29">
        <f>Текущий!E494</f>
        <v>0</v>
      </c>
      <c r="G495" s="16" t="str">
        <f>IF(Текущий!K494="-",Текущий!K494,ROUND(Текущий!K494,0))</f>
        <v>-</v>
      </c>
      <c r="H495" s="29" t="str">
        <f>IF(ROUND(Текущий!I494,0)=0,"-",ROUND(Текущий!I494,0))</f>
        <v>-</v>
      </c>
      <c r="I495" s="16" t="str">
        <f>IF(Предыд!K494="-",Предыд!K494,ROUND(Предыд!K494,0))</f>
        <v>-</v>
      </c>
      <c r="J495" s="29" t="str">
        <f>IF(ROUND(Предыд!I494,0)=0,"-",ROUND(Предыд!I494,0))</f>
        <v>-</v>
      </c>
      <c r="K495" s="30" t="str">
        <f>Текущий!L494</f>
        <v>Рихтовка</v>
      </c>
      <c r="L495" s="29">
        <f>Текущий!AL494</f>
        <v>0</v>
      </c>
      <c r="M495" s="29">
        <f>Текущий!AM494</f>
        <v>0</v>
      </c>
      <c r="N495" s="29">
        <f>Текущий!AN494</f>
        <v>0</v>
      </c>
      <c r="O495" s="29">
        <f>Текущий!AP494</f>
        <v>0</v>
      </c>
      <c r="P495" s="29">
        <f>Предыд!AL494</f>
        <v>0</v>
      </c>
      <c r="Q495" s="29">
        <f>Предыд!AM494</f>
        <v>0</v>
      </c>
      <c r="R495" s="29">
        <f>Предыд!AN494</f>
        <v>0</v>
      </c>
      <c r="S495" s="29">
        <f>Предыд!AO494</f>
        <v>0</v>
      </c>
      <c r="T495" s="17" t="str">
        <f t="shared" si="7"/>
        <v>-</v>
      </c>
    </row>
    <row r="496" spans="1:20" x14ac:dyDescent="0.25">
      <c r="A496" s="29">
        <f>Текущий!A495</f>
        <v>11</v>
      </c>
      <c r="B496" s="29">
        <f>Текущий!B495</f>
        <v>13809</v>
      </c>
      <c r="C496" s="29">
        <f>Текущий!C495</f>
        <v>1</v>
      </c>
      <c r="D496" s="29" t="str">
        <f>Текущий!D495</f>
        <v>Новошахтинская - Дубининский</v>
      </c>
      <c r="E496" s="29">
        <f>ROUND(Текущий!J495,0)</f>
        <v>0</v>
      </c>
      <c r="F496" s="29">
        <f>Текущий!E495</f>
        <v>0</v>
      </c>
      <c r="G496" s="16" t="str">
        <f>IF(Текущий!K495="-",Текущий!K495,ROUND(Текущий!K495,0))</f>
        <v>-</v>
      </c>
      <c r="H496" s="29" t="str">
        <f>IF(ROUND(Текущий!I495,0)=0,"-",ROUND(Текущий!I495,0))</f>
        <v>-</v>
      </c>
      <c r="I496" s="16" t="str">
        <f>IF(Предыд!K495="-",Предыд!K495,ROUND(Предыд!K495,0))</f>
        <v>-</v>
      </c>
      <c r="J496" s="29" t="str">
        <f>IF(ROUND(Предыд!I495,0)=0,"-",ROUND(Предыд!I495,0))</f>
        <v>-</v>
      </c>
      <c r="K496" s="30" t="str">
        <f>Текущий!L495</f>
        <v>Рихтовка</v>
      </c>
      <c r="L496" s="29">
        <f>Текущий!AL495</f>
        <v>0</v>
      </c>
      <c r="M496" s="29">
        <f>Текущий!AM495</f>
        <v>0</v>
      </c>
      <c r="N496" s="29">
        <f>Текущий!AN495</f>
        <v>0</v>
      </c>
      <c r="O496" s="29">
        <f>Текущий!AP495</f>
        <v>0</v>
      </c>
      <c r="P496" s="29">
        <f>Предыд!AL495</f>
        <v>0</v>
      </c>
      <c r="Q496" s="29">
        <f>Предыд!AM495</f>
        <v>0</v>
      </c>
      <c r="R496" s="29">
        <f>Предыд!AN495</f>
        <v>0</v>
      </c>
      <c r="S496" s="29">
        <f>Предыд!AO495</f>
        <v>0</v>
      </c>
      <c r="T496" s="17" t="str">
        <f t="shared" si="7"/>
        <v>-</v>
      </c>
    </row>
    <row r="497" spans="1:20" x14ac:dyDescent="0.25">
      <c r="A497" s="29">
        <f>Текущий!A496</f>
        <v>11</v>
      </c>
      <c r="B497" s="29">
        <f>Текущий!B496</f>
        <v>13809</v>
      </c>
      <c r="C497" s="29">
        <f>Текущий!C496</f>
        <v>1</v>
      </c>
      <c r="D497" s="29" t="str">
        <f>Текущий!D496</f>
        <v>Дубининский - Уссурийск</v>
      </c>
      <c r="E497" s="29">
        <f>ROUND(Текущий!J496,0)</f>
        <v>0</v>
      </c>
      <c r="F497" s="29">
        <f>Текущий!E496</f>
        <v>0</v>
      </c>
      <c r="G497" s="16" t="str">
        <f>IF(Текущий!K496="-",Текущий!K496,ROUND(Текущий!K496,0))</f>
        <v>-</v>
      </c>
      <c r="H497" s="29" t="str">
        <f>IF(ROUND(Текущий!I496,0)=0,"-",ROUND(Текущий!I496,0))</f>
        <v>-</v>
      </c>
      <c r="I497" s="16" t="str">
        <f>IF(Предыд!K496="-",Предыд!K496,ROUND(Предыд!K496,0))</f>
        <v>-</v>
      </c>
      <c r="J497" s="29" t="str">
        <f>IF(ROUND(Предыд!I496,0)=0,"-",ROUND(Предыд!I496,0))</f>
        <v>-</v>
      </c>
      <c r="K497" s="30" t="str">
        <f>Текущий!L496</f>
        <v>Рихтовка</v>
      </c>
      <c r="L497" s="29">
        <f>Текущий!AL496</f>
        <v>0</v>
      </c>
      <c r="M497" s="29">
        <f>Текущий!AM496</f>
        <v>0</v>
      </c>
      <c r="N497" s="29">
        <f>Текущий!AN496</f>
        <v>0</v>
      </c>
      <c r="O497" s="29">
        <f>Текущий!AP496</f>
        <v>0</v>
      </c>
      <c r="P497" s="29">
        <f>Предыд!AL496</f>
        <v>0</v>
      </c>
      <c r="Q497" s="29">
        <f>Предыд!AM496</f>
        <v>0</v>
      </c>
      <c r="R497" s="29">
        <f>Предыд!AN496</f>
        <v>0</v>
      </c>
      <c r="S497" s="29">
        <f>Предыд!AO496</f>
        <v>0</v>
      </c>
      <c r="T497" s="17" t="str">
        <f t="shared" si="7"/>
        <v>-</v>
      </c>
    </row>
    <row r="498" spans="1:20" x14ac:dyDescent="0.25">
      <c r="A498" s="29">
        <f>Текущий!A497</f>
        <v>11</v>
      </c>
      <c r="B498" s="29">
        <f>Текущий!B497</f>
        <v>13809</v>
      </c>
      <c r="C498" s="29">
        <f>Текущий!C497</f>
        <v>1</v>
      </c>
      <c r="D498" s="29" t="str">
        <f>Текущий!D497</f>
        <v>ст. Уссурийск</v>
      </c>
      <c r="E498" s="29">
        <f>ROUND(Текущий!J497,0)</f>
        <v>0</v>
      </c>
      <c r="F498" s="29">
        <f>Текущий!E497</f>
        <v>0</v>
      </c>
      <c r="G498" s="16" t="str">
        <f>IF(Текущий!K497="-",Текущий!K497,ROUND(Текущий!K497,0))</f>
        <v>-</v>
      </c>
      <c r="H498" s="29" t="str">
        <f>IF(ROUND(Текущий!I497,0)=0,"-",ROUND(Текущий!I497,0))</f>
        <v>-</v>
      </c>
      <c r="I498" s="16" t="str">
        <f>IF(Предыд!K497="-",Предыд!K497,ROUND(Предыд!K497,0))</f>
        <v>-</v>
      </c>
      <c r="J498" s="29" t="str">
        <f>IF(ROUND(Предыд!I497,0)=0,"-",ROUND(Предыд!I497,0))</f>
        <v>-</v>
      </c>
      <c r="K498" s="30" t="str">
        <f>Текущий!L497</f>
        <v>Рихтовка</v>
      </c>
      <c r="L498" s="29">
        <f>Текущий!AL497</f>
        <v>0</v>
      </c>
      <c r="M498" s="29">
        <f>Текущий!AM497</f>
        <v>0</v>
      </c>
      <c r="N498" s="29">
        <f>Текущий!AN497</f>
        <v>0</v>
      </c>
      <c r="O498" s="29">
        <f>Текущий!AP497</f>
        <v>0</v>
      </c>
      <c r="P498" s="29">
        <f>Предыд!AL497</f>
        <v>0</v>
      </c>
      <c r="Q498" s="29">
        <f>Предыд!AM497</f>
        <v>0</v>
      </c>
      <c r="R498" s="29">
        <f>Предыд!AN497</f>
        <v>0</v>
      </c>
      <c r="S498" s="29">
        <f>Предыд!AO497</f>
        <v>0</v>
      </c>
      <c r="T498" s="17" t="str">
        <f t="shared" si="7"/>
        <v>-</v>
      </c>
    </row>
    <row r="499" spans="1:20" x14ac:dyDescent="0.25">
      <c r="A499" s="29">
        <f>Текущий!A498</f>
        <v>11</v>
      </c>
      <c r="B499" s="29">
        <f>Текущий!B498</f>
        <v>13809</v>
      </c>
      <c r="C499" s="29">
        <f>Текущий!C498</f>
        <v>1</v>
      </c>
      <c r="D499" s="29" t="str">
        <f>Текущий!D498</f>
        <v>Уссурийск - Блокпост 1875 км</v>
      </c>
      <c r="E499" s="29">
        <f>ROUND(Текущий!J498,0)</f>
        <v>0</v>
      </c>
      <c r="F499" s="29">
        <f>Текущий!E498</f>
        <v>0</v>
      </c>
      <c r="G499" s="16" t="str">
        <f>IF(Текущий!K498="-",Текущий!K498,ROUND(Текущий!K498,0))</f>
        <v>-</v>
      </c>
      <c r="H499" s="29" t="str">
        <f>IF(ROUND(Текущий!I498,0)=0,"-",ROUND(Текущий!I498,0))</f>
        <v>-</v>
      </c>
      <c r="I499" s="16" t="str">
        <f>IF(Предыд!K498="-",Предыд!K498,ROUND(Предыд!K498,0))</f>
        <v>-</v>
      </c>
      <c r="J499" s="29" t="str">
        <f>IF(ROUND(Предыд!I498,0)=0,"-",ROUND(Предыд!I498,0))</f>
        <v>-</v>
      </c>
      <c r="K499" s="30" t="str">
        <f>Текущий!L498</f>
        <v>Рихтовка</v>
      </c>
      <c r="L499" s="29">
        <f>Текущий!AL498</f>
        <v>0</v>
      </c>
      <c r="M499" s="29">
        <f>Текущий!AM498</f>
        <v>0</v>
      </c>
      <c r="N499" s="29">
        <f>Текущий!AN498</f>
        <v>0</v>
      </c>
      <c r="O499" s="29">
        <f>Текущий!AP498</f>
        <v>0</v>
      </c>
      <c r="P499" s="29">
        <f>Предыд!AL498</f>
        <v>0</v>
      </c>
      <c r="Q499" s="29">
        <f>Предыд!AM498</f>
        <v>0</v>
      </c>
      <c r="R499" s="29">
        <f>Предыд!AN498</f>
        <v>0</v>
      </c>
      <c r="S499" s="29">
        <f>Предыд!AO498</f>
        <v>0</v>
      </c>
      <c r="T499" s="17" t="str">
        <f t="shared" si="7"/>
        <v>-</v>
      </c>
    </row>
    <row r="500" spans="1:20" x14ac:dyDescent="0.25">
      <c r="A500" s="29">
        <f>Текущий!A499</f>
        <v>11</v>
      </c>
      <c r="B500" s="29">
        <f>Текущий!B499</f>
        <v>13809</v>
      </c>
      <c r="C500" s="29">
        <f>Текущий!C499</f>
        <v>1</v>
      </c>
      <c r="D500" s="29" t="str">
        <f>Текущий!D499</f>
        <v>Блокпост 1875 км - Баневурово</v>
      </c>
      <c r="E500" s="29">
        <f>ROUND(Текущий!J499,0)</f>
        <v>0</v>
      </c>
      <c r="F500" s="29">
        <f>Текущий!E499</f>
        <v>0</v>
      </c>
      <c r="G500" s="16" t="str">
        <f>IF(Текущий!K499="-",Текущий!K499,ROUND(Текущий!K499,0))</f>
        <v>-</v>
      </c>
      <c r="H500" s="29" t="str">
        <f>IF(ROUND(Текущий!I499,0)=0,"-",ROUND(Текущий!I499,0))</f>
        <v>-</v>
      </c>
      <c r="I500" s="16" t="str">
        <f>IF(Предыд!K499="-",Предыд!K499,ROUND(Предыд!K499,0))</f>
        <v>-</v>
      </c>
      <c r="J500" s="29" t="str">
        <f>IF(ROUND(Предыд!I499,0)=0,"-",ROUND(Предыд!I499,0))</f>
        <v>-</v>
      </c>
      <c r="K500" s="30" t="str">
        <f>Текущий!L499</f>
        <v>Рихтовка</v>
      </c>
      <c r="L500" s="29">
        <f>Текущий!AL499</f>
        <v>0</v>
      </c>
      <c r="M500" s="29">
        <f>Текущий!AM499</f>
        <v>0</v>
      </c>
      <c r="N500" s="29">
        <f>Текущий!AN499</f>
        <v>0</v>
      </c>
      <c r="O500" s="29">
        <f>Текущий!AP499</f>
        <v>0</v>
      </c>
      <c r="P500" s="29">
        <f>Предыд!AL499</f>
        <v>0</v>
      </c>
      <c r="Q500" s="29">
        <f>Предыд!AM499</f>
        <v>0</v>
      </c>
      <c r="R500" s="29">
        <f>Предыд!AN499</f>
        <v>0</v>
      </c>
      <c r="S500" s="29">
        <f>Предыд!AO499</f>
        <v>0</v>
      </c>
      <c r="T500" s="17" t="str">
        <f t="shared" si="7"/>
        <v>-</v>
      </c>
    </row>
    <row r="501" spans="1:20" x14ac:dyDescent="0.25">
      <c r="A501" s="29">
        <f>Текущий!A500</f>
        <v>11</v>
      </c>
      <c r="B501" s="29">
        <f>Текущий!B500</f>
        <v>13809</v>
      </c>
      <c r="C501" s="29">
        <f>Текущий!C500</f>
        <v>1</v>
      </c>
      <c r="D501" s="29" t="str">
        <f>Текущий!D500</f>
        <v>Баневурово - Барановский</v>
      </c>
      <c r="E501" s="29">
        <f>ROUND(Текущий!J500,0)</f>
        <v>0</v>
      </c>
      <c r="F501" s="29">
        <f>Текущий!E500</f>
        <v>0</v>
      </c>
      <c r="G501" s="16" t="str">
        <f>IF(Текущий!K500="-",Текущий!K500,ROUND(Текущий!K500,0))</f>
        <v>-</v>
      </c>
      <c r="H501" s="29" t="str">
        <f>IF(ROUND(Текущий!I500,0)=0,"-",ROUND(Текущий!I500,0))</f>
        <v>-</v>
      </c>
      <c r="I501" s="16" t="str">
        <f>IF(Предыд!K500="-",Предыд!K500,ROUND(Предыд!K500,0))</f>
        <v>-</v>
      </c>
      <c r="J501" s="29" t="str">
        <f>IF(ROUND(Предыд!I500,0)=0,"-",ROUND(Предыд!I500,0))</f>
        <v>-</v>
      </c>
      <c r="K501" s="30" t="str">
        <f>Текущий!L500</f>
        <v>Рихтовка</v>
      </c>
      <c r="L501" s="29">
        <f>Текущий!AL500</f>
        <v>0</v>
      </c>
      <c r="M501" s="29">
        <f>Текущий!AM500</f>
        <v>0</v>
      </c>
      <c r="N501" s="29">
        <f>Текущий!AN500</f>
        <v>0</v>
      </c>
      <c r="O501" s="29">
        <f>Текущий!AP500</f>
        <v>0</v>
      </c>
      <c r="P501" s="29">
        <f>Предыд!AL500</f>
        <v>0</v>
      </c>
      <c r="Q501" s="29">
        <f>Предыд!AM500</f>
        <v>0</v>
      </c>
      <c r="R501" s="29">
        <f>Предыд!AN500</f>
        <v>0</v>
      </c>
      <c r="S501" s="29">
        <f>Предыд!AO500</f>
        <v>0</v>
      </c>
      <c r="T501" s="17" t="str">
        <f t="shared" si="7"/>
        <v>-</v>
      </c>
    </row>
    <row r="502" spans="1:20" x14ac:dyDescent="0.25">
      <c r="A502" s="29">
        <f>Текущий!A501</f>
        <v>11</v>
      </c>
      <c r="B502" s="29">
        <f>Текущий!B501</f>
        <v>13809</v>
      </c>
      <c r="C502" s="29">
        <f>Текущий!C501</f>
        <v>2</v>
      </c>
      <c r="D502" s="29" t="str">
        <f>Текущий!D501</f>
        <v>Сибирцево - Орехово-Приморское</v>
      </c>
      <c r="E502" s="29">
        <f>ROUND(Текущий!J501,0)</f>
        <v>0</v>
      </c>
      <c r="F502" s="29">
        <f>Текущий!E501</f>
        <v>0</v>
      </c>
      <c r="G502" s="16" t="str">
        <f>IF(Текущий!K501="-",Текущий!K501,ROUND(Текущий!K501,0))</f>
        <v>-</v>
      </c>
      <c r="H502" s="29" t="str">
        <f>IF(ROUND(Текущий!I501,0)=0,"-",ROUND(Текущий!I501,0))</f>
        <v>-</v>
      </c>
      <c r="I502" s="16" t="str">
        <f>IF(Предыд!K501="-",Предыд!K501,ROUND(Предыд!K501,0))</f>
        <v>-</v>
      </c>
      <c r="J502" s="29" t="str">
        <f>IF(ROUND(Предыд!I501,0)=0,"-",ROUND(Предыд!I501,0))</f>
        <v>-</v>
      </c>
      <c r="K502" s="30" t="str">
        <f>Текущий!L501</f>
        <v>Рихтовка</v>
      </c>
      <c r="L502" s="29">
        <f>Текущий!AL501</f>
        <v>0</v>
      </c>
      <c r="M502" s="29">
        <f>Текущий!AM501</f>
        <v>0</v>
      </c>
      <c r="N502" s="29">
        <f>Текущий!AN501</f>
        <v>0</v>
      </c>
      <c r="O502" s="29">
        <f>Текущий!AP501</f>
        <v>0</v>
      </c>
      <c r="P502" s="29">
        <f>Предыд!AL501</f>
        <v>0</v>
      </c>
      <c r="Q502" s="29">
        <f>Предыд!AM501</f>
        <v>0</v>
      </c>
      <c r="R502" s="29">
        <f>Предыд!AN501</f>
        <v>0</v>
      </c>
      <c r="S502" s="29">
        <f>Предыд!AO501</f>
        <v>0</v>
      </c>
      <c r="T502" s="17" t="str">
        <f t="shared" si="7"/>
        <v>-</v>
      </c>
    </row>
    <row r="503" spans="1:20" x14ac:dyDescent="0.25">
      <c r="A503" s="29">
        <f>Текущий!A502</f>
        <v>11</v>
      </c>
      <c r="B503" s="29">
        <f>Текущий!B502</f>
        <v>13809</v>
      </c>
      <c r="C503" s="29">
        <f>Текущий!C502</f>
        <v>2</v>
      </c>
      <c r="D503" s="29" t="str">
        <f>Текущий!D502</f>
        <v>Орехово-Приморское - Перелетный</v>
      </c>
      <c r="E503" s="29">
        <f>ROUND(Текущий!J502,0)</f>
        <v>0</v>
      </c>
      <c r="F503" s="29">
        <f>Текущий!E502</f>
        <v>0</v>
      </c>
      <c r="G503" s="16" t="str">
        <f>IF(Текущий!K502="-",Текущий!K502,ROUND(Текущий!K502,0))</f>
        <v>-</v>
      </c>
      <c r="H503" s="29" t="str">
        <f>IF(ROUND(Текущий!I502,0)=0,"-",ROUND(Текущий!I502,0))</f>
        <v>-</v>
      </c>
      <c r="I503" s="16" t="str">
        <f>IF(Предыд!K502="-",Предыд!K502,ROUND(Предыд!K502,0))</f>
        <v>-</v>
      </c>
      <c r="J503" s="29" t="str">
        <f>IF(ROUND(Предыд!I502,0)=0,"-",ROUND(Предыд!I502,0))</f>
        <v>-</v>
      </c>
      <c r="K503" s="30" t="str">
        <f>Текущий!L502</f>
        <v>Рихтовка</v>
      </c>
      <c r="L503" s="29">
        <f>Текущий!AL502</f>
        <v>0</v>
      </c>
      <c r="M503" s="29">
        <f>Текущий!AM502</f>
        <v>0</v>
      </c>
      <c r="N503" s="29">
        <f>Текущий!AN502</f>
        <v>0</v>
      </c>
      <c r="O503" s="29">
        <f>Текущий!AP502</f>
        <v>0</v>
      </c>
      <c r="P503" s="29">
        <f>Предыд!AL502</f>
        <v>0</v>
      </c>
      <c r="Q503" s="29">
        <f>Предыд!AM502</f>
        <v>0</v>
      </c>
      <c r="R503" s="29">
        <f>Предыд!AN502</f>
        <v>0</v>
      </c>
      <c r="S503" s="29">
        <f>Предыд!AO502</f>
        <v>0</v>
      </c>
      <c r="T503" s="17" t="str">
        <f t="shared" si="7"/>
        <v>-</v>
      </c>
    </row>
    <row r="504" spans="1:20" x14ac:dyDescent="0.25">
      <c r="A504" s="29">
        <f>Текущий!A503</f>
        <v>11</v>
      </c>
      <c r="B504" s="29">
        <f>Текущий!B503</f>
        <v>13809</v>
      </c>
      <c r="C504" s="29">
        <f>Текущий!C503</f>
        <v>2</v>
      </c>
      <c r="D504" s="29" t="str">
        <f>Текущий!D503</f>
        <v>Перелетный - Ипполитовка</v>
      </c>
      <c r="E504" s="29">
        <f>ROUND(Текущий!J503,0)</f>
        <v>0</v>
      </c>
      <c r="F504" s="29">
        <f>Текущий!E503</f>
        <v>0</v>
      </c>
      <c r="G504" s="16" t="str">
        <f>IF(Текущий!K503="-",Текущий!K503,ROUND(Текущий!K503,0))</f>
        <v>-</v>
      </c>
      <c r="H504" s="29" t="str">
        <f>IF(ROUND(Текущий!I503,0)=0,"-",ROUND(Текущий!I503,0))</f>
        <v>-</v>
      </c>
      <c r="I504" s="16" t="str">
        <f>IF(Предыд!K503="-",Предыд!K503,ROUND(Предыд!K503,0))</f>
        <v>-</v>
      </c>
      <c r="J504" s="29" t="str">
        <f>IF(ROUND(Предыд!I503,0)=0,"-",ROUND(Предыд!I503,0))</f>
        <v>-</v>
      </c>
      <c r="K504" s="30" t="str">
        <f>Текущий!L503</f>
        <v>Рихтовка</v>
      </c>
      <c r="L504" s="29">
        <f>Текущий!AL503</f>
        <v>0</v>
      </c>
      <c r="M504" s="29">
        <f>Текущий!AM503</f>
        <v>0</v>
      </c>
      <c r="N504" s="29">
        <f>Текущий!AN503</f>
        <v>0</v>
      </c>
      <c r="O504" s="29">
        <f>Текущий!AP503</f>
        <v>0</v>
      </c>
      <c r="P504" s="29">
        <f>Предыд!AL503</f>
        <v>0</v>
      </c>
      <c r="Q504" s="29">
        <f>Предыд!AM503</f>
        <v>0</v>
      </c>
      <c r="R504" s="29">
        <f>Предыд!AN503</f>
        <v>0</v>
      </c>
      <c r="S504" s="29">
        <f>Предыд!AO503</f>
        <v>0</v>
      </c>
      <c r="T504" s="17" t="str">
        <f t="shared" si="7"/>
        <v>-</v>
      </c>
    </row>
    <row r="505" spans="1:20" x14ac:dyDescent="0.25">
      <c r="A505" s="29">
        <f>Текущий!A504</f>
        <v>11</v>
      </c>
      <c r="B505" s="29">
        <f>Текущий!B504</f>
        <v>13809</v>
      </c>
      <c r="C505" s="29">
        <f>Текущий!C504</f>
        <v>2</v>
      </c>
      <c r="D505" s="29" t="str">
        <f>Текущий!D504</f>
        <v>Ипполитовка - Озурная Падь</v>
      </c>
      <c r="E505" s="29">
        <f>ROUND(Текущий!J504,0)</f>
        <v>0</v>
      </c>
      <c r="F505" s="29">
        <f>Текущий!E504</f>
        <v>0</v>
      </c>
      <c r="G505" s="16" t="str">
        <f>IF(Текущий!K504="-",Текущий!K504,ROUND(Текущий!K504,0))</f>
        <v>-</v>
      </c>
      <c r="H505" s="29" t="str">
        <f>IF(ROUND(Текущий!I504,0)=0,"-",ROUND(Текущий!I504,0))</f>
        <v>-</v>
      </c>
      <c r="I505" s="16" t="str">
        <f>IF(Предыд!K504="-",Предыд!K504,ROUND(Предыд!K504,0))</f>
        <v>-</v>
      </c>
      <c r="J505" s="29" t="str">
        <f>IF(ROUND(Предыд!I504,0)=0,"-",ROUND(Предыд!I504,0))</f>
        <v>-</v>
      </c>
      <c r="K505" s="30" t="str">
        <f>Текущий!L504</f>
        <v>Рихтовка</v>
      </c>
      <c r="L505" s="29">
        <f>Текущий!AL504</f>
        <v>0</v>
      </c>
      <c r="M505" s="29">
        <f>Текущий!AM504</f>
        <v>0</v>
      </c>
      <c r="N505" s="29">
        <f>Текущий!AN504</f>
        <v>0</v>
      </c>
      <c r="O505" s="29">
        <f>Текущий!AP504</f>
        <v>0</v>
      </c>
      <c r="P505" s="29">
        <f>Предыд!AL504</f>
        <v>0</v>
      </c>
      <c r="Q505" s="29">
        <f>Предыд!AM504</f>
        <v>0</v>
      </c>
      <c r="R505" s="29">
        <f>Предыд!AN504</f>
        <v>0</v>
      </c>
      <c r="S505" s="29">
        <f>Предыд!AO504</f>
        <v>0</v>
      </c>
      <c r="T505" s="17" t="str">
        <f t="shared" si="7"/>
        <v>-</v>
      </c>
    </row>
    <row r="506" spans="1:20" x14ac:dyDescent="0.25">
      <c r="A506" s="29">
        <f>Текущий!A505</f>
        <v>11</v>
      </c>
      <c r="B506" s="29">
        <f>Текущий!B505</f>
        <v>13809</v>
      </c>
      <c r="C506" s="29">
        <f>Текущий!C505</f>
        <v>2</v>
      </c>
      <c r="D506" s="29" t="str">
        <f>Текущий!D505</f>
        <v>Озурная Падь - Новошахтинская</v>
      </c>
      <c r="E506" s="29">
        <f>ROUND(Текущий!J505,0)</f>
        <v>0</v>
      </c>
      <c r="F506" s="29">
        <f>Текущий!E505</f>
        <v>0</v>
      </c>
      <c r="G506" s="16" t="str">
        <f>IF(Текущий!K505="-",Текущий!K505,ROUND(Текущий!K505,0))</f>
        <v>-</v>
      </c>
      <c r="H506" s="29" t="str">
        <f>IF(ROUND(Текущий!I505,0)=0,"-",ROUND(Текущий!I505,0))</f>
        <v>-</v>
      </c>
      <c r="I506" s="16" t="str">
        <f>IF(Предыд!K505="-",Предыд!K505,ROUND(Предыд!K505,0))</f>
        <v>-</v>
      </c>
      <c r="J506" s="29" t="str">
        <f>IF(ROUND(Предыд!I505,0)=0,"-",ROUND(Предыд!I505,0))</f>
        <v>-</v>
      </c>
      <c r="K506" s="30" t="str">
        <f>Текущий!L505</f>
        <v>Рихтовка</v>
      </c>
      <c r="L506" s="29">
        <f>Текущий!AL505</f>
        <v>0</v>
      </c>
      <c r="M506" s="29">
        <f>Текущий!AM505</f>
        <v>0</v>
      </c>
      <c r="N506" s="29">
        <f>Текущий!AN505</f>
        <v>0</v>
      </c>
      <c r="O506" s="29">
        <f>Текущий!AP505</f>
        <v>0</v>
      </c>
      <c r="P506" s="29">
        <f>Предыд!AL505</f>
        <v>0</v>
      </c>
      <c r="Q506" s="29">
        <f>Предыд!AM505</f>
        <v>0</v>
      </c>
      <c r="R506" s="29">
        <f>Предыд!AN505</f>
        <v>0</v>
      </c>
      <c r="S506" s="29">
        <f>Предыд!AO505</f>
        <v>0</v>
      </c>
      <c r="T506" s="17" t="str">
        <f t="shared" si="7"/>
        <v>-</v>
      </c>
    </row>
    <row r="507" spans="1:20" x14ac:dyDescent="0.25">
      <c r="A507" s="29">
        <f>Текущий!A506</f>
        <v>11</v>
      </c>
      <c r="B507" s="29">
        <f>Текущий!B506</f>
        <v>13809</v>
      </c>
      <c r="C507" s="29">
        <f>Текущий!C506</f>
        <v>2</v>
      </c>
      <c r="D507" s="29" t="str">
        <f>Текущий!D506</f>
        <v>Новошахтинская - Дубининский</v>
      </c>
      <c r="E507" s="29">
        <f>ROUND(Текущий!J506,0)</f>
        <v>0</v>
      </c>
      <c r="F507" s="29">
        <f>Текущий!E506</f>
        <v>0</v>
      </c>
      <c r="G507" s="16" t="str">
        <f>IF(Текущий!K506="-",Текущий!K506,ROUND(Текущий!K506,0))</f>
        <v>-</v>
      </c>
      <c r="H507" s="29" t="str">
        <f>IF(ROUND(Текущий!I506,0)=0,"-",ROUND(Текущий!I506,0))</f>
        <v>-</v>
      </c>
      <c r="I507" s="16" t="str">
        <f>IF(Предыд!K506="-",Предыд!K506,ROUND(Предыд!K506,0))</f>
        <v>-</v>
      </c>
      <c r="J507" s="29" t="str">
        <f>IF(ROUND(Предыд!I506,0)=0,"-",ROUND(Предыд!I506,0))</f>
        <v>-</v>
      </c>
      <c r="K507" s="30" t="str">
        <f>Текущий!L506</f>
        <v>Рихтовка</v>
      </c>
      <c r="L507" s="29">
        <f>Текущий!AL506</f>
        <v>0</v>
      </c>
      <c r="M507" s="29">
        <f>Текущий!AM506</f>
        <v>0</v>
      </c>
      <c r="N507" s="29">
        <f>Текущий!AN506</f>
        <v>0</v>
      </c>
      <c r="O507" s="29">
        <f>Текущий!AP506</f>
        <v>0</v>
      </c>
      <c r="P507" s="29">
        <f>Предыд!AL506</f>
        <v>0</v>
      </c>
      <c r="Q507" s="29">
        <f>Предыд!AM506</f>
        <v>0</v>
      </c>
      <c r="R507" s="29">
        <f>Предыд!AN506</f>
        <v>0</v>
      </c>
      <c r="S507" s="29">
        <f>Предыд!AO506</f>
        <v>0</v>
      </c>
      <c r="T507" s="17" t="str">
        <f t="shared" si="7"/>
        <v>-</v>
      </c>
    </row>
    <row r="508" spans="1:20" x14ac:dyDescent="0.25">
      <c r="A508" s="29">
        <f>Текущий!A507</f>
        <v>11</v>
      </c>
      <c r="B508" s="29">
        <f>Текущий!B507</f>
        <v>13809</v>
      </c>
      <c r="C508" s="29">
        <f>Текущий!C507</f>
        <v>2</v>
      </c>
      <c r="D508" s="29" t="str">
        <f>Текущий!D507</f>
        <v>Дубининский - Уссурийск</v>
      </c>
      <c r="E508" s="29">
        <f>ROUND(Текущий!J507,0)</f>
        <v>0</v>
      </c>
      <c r="F508" s="29">
        <f>Текущий!E507</f>
        <v>0</v>
      </c>
      <c r="G508" s="16" t="str">
        <f>IF(Текущий!K507="-",Текущий!K507,ROUND(Текущий!K507,0))</f>
        <v>-</v>
      </c>
      <c r="H508" s="29" t="str">
        <f>IF(ROUND(Текущий!I507,0)=0,"-",ROUND(Текущий!I507,0))</f>
        <v>-</v>
      </c>
      <c r="I508" s="16" t="str">
        <f>IF(Предыд!K507="-",Предыд!K507,ROUND(Предыд!K507,0))</f>
        <v>-</v>
      </c>
      <c r="J508" s="29" t="str">
        <f>IF(ROUND(Предыд!I507,0)=0,"-",ROUND(Предыд!I507,0))</f>
        <v>-</v>
      </c>
      <c r="K508" s="30" t="str">
        <f>Текущий!L507</f>
        <v>Рихтовка</v>
      </c>
      <c r="L508" s="29">
        <f>Текущий!AL507</f>
        <v>0</v>
      </c>
      <c r="M508" s="29">
        <f>Текущий!AM507</f>
        <v>0</v>
      </c>
      <c r="N508" s="29">
        <f>Текущий!AN507</f>
        <v>0</v>
      </c>
      <c r="O508" s="29">
        <f>Текущий!AP507</f>
        <v>0</v>
      </c>
      <c r="P508" s="29">
        <f>Предыд!AL507</f>
        <v>0</v>
      </c>
      <c r="Q508" s="29">
        <f>Предыд!AM507</f>
        <v>0</v>
      </c>
      <c r="R508" s="29">
        <f>Предыд!AN507</f>
        <v>0</v>
      </c>
      <c r="S508" s="29">
        <f>Предыд!AO507</f>
        <v>0</v>
      </c>
      <c r="T508" s="17" t="str">
        <f t="shared" si="7"/>
        <v>-</v>
      </c>
    </row>
    <row r="509" spans="1:20" x14ac:dyDescent="0.25">
      <c r="A509" s="29">
        <f>Текущий!A508</f>
        <v>11</v>
      </c>
      <c r="B509" s="29">
        <f>Текущий!B508</f>
        <v>13809</v>
      </c>
      <c r="C509" s="29">
        <f>Текущий!C508</f>
        <v>2</v>
      </c>
      <c r="D509" s="29" t="str">
        <f>Текущий!D508</f>
        <v>ст. Уссурийск</v>
      </c>
      <c r="E509" s="29">
        <f>ROUND(Текущий!J508,0)</f>
        <v>0</v>
      </c>
      <c r="F509" s="29">
        <f>Текущий!E508</f>
        <v>0</v>
      </c>
      <c r="G509" s="16" t="str">
        <f>IF(Текущий!K508="-",Текущий!K508,ROUND(Текущий!K508,0))</f>
        <v>-</v>
      </c>
      <c r="H509" s="29" t="str">
        <f>IF(ROUND(Текущий!I508,0)=0,"-",ROUND(Текущий!I508,0))</f>
        <v>-</v>
      </c>
      <c r="I509" s="16" t="str">
        <f>IF(Предыд!K508="-",Предыд!K508,ROUND(Предыд!K508,0))</f>
        <v>-</v>
      </c>
      <c r="J509" s="29" t="str">
        <f>IF(ROUND(Предыд!I508,0)=0,"-",ROUND(Предыд!I508,0))</f>
        <v>-</v>
      </c>
      <c r="K509" s="30" t="str">
        <f>Текущий!L508</f>
        <v>Рихтовка</v>
      </c>
      <c r="L509" s="29">
        <f>Текущий!AL508</f>
        <v>0</v>
      </c>
      <c r="M509" s="29">
        <f>Текущий!AM508</f>
        <v>0</v>
      </c>
      <c r="N509" s="29">
        <f>Текущий!AN508</f>
        <v>0</v>
      </c>
      <c r="O509" s="29">
        <f>Текущий!AP508</f>
        <v>0</v>
      </c>
      <c r="P509" s="29">
        <f>Предыд!AL508</f>
        <v>0</v>
      </c>
      <c r="Q509" s="29">
        <f>Предыд!AM508</f>
        <v>0</v>
      </c>
      <c r="R509" s="29">
        <f>Предыд!AN508</f>
        <v>0</v>
      </c>
      <c r="S509" s="29">
        <f>Предыд!AO508</f>
        <v>0</v>
      </c>
      <c r="T509" s="17" t="str">
        <f t="shared" si="7"/>
        <v>-</v>
      </c>
    </row>
    <row r="510" spans="1:20" x14ac:dyDescent="0.25">
      <c r="A510" s="29">
        <f>Текущий!A509</f>
        <v>11</v>
      </c>
      <c r="B510" s="29">
        <f>Текущий!B509</f>
        <v>13809</v>
      </c>
      <c r="C510" s="29">
        <f>Текущий!C509</f>
        <v>2</v>
      </c>
      <c r="D510" s="29" t="str">
        <f>Текущий!D509</f>
        <v>Уссурийск - Блокпост 1875 км</v>
      </c>
      <c r="E510" s="29">
        <f>ROUND(Текущий!J509,0)</f>
        <v>0</v>
      </c>
      <c r="F510" s="29">
        <f>Текущий!E509</f>
        <v>0</v>
      </c>
      <c r="G510" s="16" t="str">
        <f>IF(Текущий!K509="-",Текущий!K509,ROUND(Текущий!K509,0))</f>
        <v>-</v>
      </c>
      <c r="H510" s="29" t="str">
        <f>IF(ROUND(Текущий!I509,0)=0,"-",ROUND(Текущий!I509,0))</f>
        <v>-</v>
      </c>
      <c r="I510" s="16" t="str">
        <f>IF(Предыд!K509="-",Предыд!K509,ROUND(Предыд!K509,0))</f>
        <v>-</v>
      </c>
      <c r="J510" s="29" t="str">
        <f>IF(ROUND(Предыд!I509,0)=0,"-",ROUND(Предыд!I509,0))</f>
        <v>-</v>
      </c>
      <c r="K510" s="30" t="str">
        <f>Текущий!L509</f>
        <v>Рихтовка</v>
      </c>
      <c r="L510" s="29">
        <f>Текущий!AL509</f>
        <v>0</v>
      </c>
      <c r="M510" s="29">
        <f>Текущий!AM509</f>
        <v>0</v>
      </c>
      <c r="N510" s="29">
        <f>Текущий!AN509</f>
        <v>0</v>
      </c>
      <c r="O510" s="29">
        <f>Текущий!AP509</f>
        <v>0</v>
      </c>
      <c r="P510" s="29">
        <f>Предыд!AL509</f>
        <v>0</v>
      </c>
      <c r="Q510" s="29">
        <f>Предыд!AM509</f>
        <v>0</v>
      </c>
      <c r="R510" s="29">
        <f>Предыд!AN509</f>
        <v>0</v>
      </c>
      <c r="S510" s="29">
        <f>Предыд!AO509</f>
        <v>0</v>
      </c>
      <c r="T510" s="17" t="str">
        <f t="shared" si="7"/>
        <v>-</v>
      </c>
    </row>
    <row r="511" spans="1:20" x14ac:dyDescent="0.25">
      <c r="A511" s="29">
        <f>Текущий!A510</f>
        <v>11</v>
      </c>
      <c r="B511" s="29">
        <f>Текущий!B510</f>
        <v>13809</v>
      </c>
      <c r="C511" s="29">
        <f>Текущий!C510</f>
        <v>2</v>
      </c>
      <c r="D511" s="29" t="str">
        <f>Текущий!D510</f>
        <v>Блокпост 1875 км - Баневурово</v>
      </c>
      <c r="E511" s="29">
        <f>ROUND(Текущий!J510,0)</f>
        <v>0</v>
      </c>
      <c r="F511" s="29">
        <f>Текущий!E510</f>
        <v>0</v>
      </c>
      <c r="G511" s="16" t="str">
        <f>IF(Текущий!K510="-",Текущий!K510,ROUND(Текущий!K510,0))</f>
        <v>-</v>
      </c>
      <c r="H511" s="29" t="str">
        <f>IF(ROUND(Текущий!I510,0)=0,"-",ROUND(Текущий!I510,0))</f>
        <v>-</v>
      </c>
      <c r="I511" s="16" t="str">
        <f>IF(Предыд!K510="-",Предыд!K510,ROUND(Предыд!K510,0))</f>
        <v>-</v>
      </c>
      <c r="J511" s="29" t="str">
        <f>IF(ROUND(Предыд!I510,0)=0,"-",ROUND(Предыд!I510,0))</f>
        <v>-</v>
      </c>
      <c r="K511" s="30" t="str">
        <f>Текущий!L510</f>
        <v>Рихтовка</v>
      </c>
      <c r="L511" s="29">
        <f>Текущий!AL510</f>
        <v>0</v>
      </c>
      <c r="M511" s="29">
        <f>Текущий!AM510</f>
        <v>0</v>
      </c>
      <c r="N511" s="29">
        <f>Текущий!AN510</f>
        <v>0</v>
      </c>
      <c r="O511" s="29">
        <f>Текущий!AP510</f>
        <v>0</v>
      </c>
      <c r="P511" s="29">
        <f>Предыд!AL510</f>
        <v>0</v>
      </c>
      <c r="Q511" s="29">
        <f>Предыд!AM510</f>
        <v>0</v>
      </c>
      <c r="R511" s="29">
        <f>Предыд!AN510</f>
        <v>0</v>
      </c>
      <c r="S511" s="29">
        <f>Предыд!AO510</f>
        <v>0</v>
      </c>
      <c r="T511" s="17" t="str">
        <f t="shared" si="7"/>
        <v>-</v>
      </c>
    </row>
    <row r="512" spans="1:20" x14ac:dyDescent="0.25">
      <c r="A512" s="29">
        <f>Текущий!A511</f>
        <v>11</v>
      </c>
      <c r="B512" s="29">
        <f>Текущий!B511</f>
        <v>13809</v>
      </c>
      <c r="C512" s="29">
        <f>Текущий!C511</f>
        <v>2</v>
      </c>
      <c r="D512" s="29" t="str">
        <f>Текущий!D511</f>
        <v>Баневурово - Барановский</v>
      </c>
      <c r="E512" s="29">
        <f>ROUND(Текущий!J511,0)</f>
        <v>0</v>
      </c>
      <c r="F512" s="29">
        <f>Текущий!E511</f>
        <v>0</v>
      </c>
      <c r="G512" s="16" t="str">
        <f>IF(Текущий!K511="-",Текущий!K511,ROUND(Текущий!K511,0))</f>
        <v>-</v>
      </c>
      <c r="H512" s="29" t="str">
        <f>IF(ROUND(Текущий!I511,0)=0,"-",ROUND(Текущий!I511,0))</f>
        <v>-</v>
      </c>
      <c r="I512" s="16" t="str">
        <f>IF(Предыд!K511="-",Предыд!K511,ROUND(Предыд!K511,0))</f>
        <v>-</v>
      </c>
      <c r="J512" s="29" t="str">
        <f>IF(ROUND(Предыд!I511,0)=0,"-",ROUND(Предыд!I511,0))</f>
        <v>-</v>
      </c>
      <c r="K512" s="30" t="str">
        <f>Текущий!L511</f>
        <v>Рихтовка</v>
      </c>
      <c r="L512" s="29">
        <f>Текущий!AL511</f>
        <v>0</v>
      </c>
      <c r="M512" s="29">
        <f>Текущий!AM511</f>
        <v>0</v>
      </c>
      <c r="N512" s="29">
        <f>Текущий!AN511</f>
        <v>0</v>
      </c>
      <c r="O512" s="29">
        <f>Текущий!AP511</f>
        <v>0</v>
      </c>
      <c r="P512" s="29">
        <f>Предыд!AL511</f>
        <v>0</v>
      </c>
      <c r="Q512" s="29">
        <f>Предыд!AM511</f>
        <v>0</v>
      </c>
      <c r="R512" s="29">
        <f>Предыд!AN511</f>
        <v>0</v>
      </c>
      <c r="S512" s="29">
        <f>Предыд!AO511</f>
        <v>0</v>
      </c>
      <c r="T512" s="17" t="str">
        <f t="shared" si="7"/>
        <v>-</v>
      </c>
    </row>
    <row r="513" spans="1:20" x14ac:dyDescent="0.25">
      <c r="A513" s="29">
        <f>Текущий!A512</f>
        <v>11</v>
      </c>
      <c r="B513" s="29">
        <f>Текущий!B512</f>
        <v>13879</v>
      </c>
      <c r="C513" s="29" t="str">
        <f>Текущий!C512</f>
        <v>Одн</v>
      </c>
      <c r="D513" s="29" t="str">
        <f>Текущий!D512</f>
        <v>Дубининский - Воздвиженский</v>
      </c>
      <c r="E513" s="29">
        <f>ROUND(Текущий!J512,0)</f>
        <v>0</v>
      </c>
      <c r="F513" s="29">
        <f>Текущий!E512</f>
        <v>0</v>
      </c>
      <c r="G513" s="16" t="str">
        <f>IF(Текущий!K512="-",Текущий!K512,ROUND(Текущий!K512,0))</f>
        <v>-</v>
      </c>
      <c r="H513" s="29" t="str">
        <f>IF(ROUND(Текущий!I512,0)=0,"-",ROUND(Текущий!I512,0))</f>
        <v>-</v>
      </c>
      <c r="I513" s="16" t="str">
        <f>IF(Предыд!K512="-",Предыд!K512,ROUND(Предыд!K512,0))</f>
        <v>-</v>
      </c>
      <c r="J513" s="29" t="str">
        <f>IF(ROUND(Предыд!I512,0)=0,"-",ROUND(Предыд!I512,0))</f>
        <v>-</v>
      </c>
      <c r="K513" s="30" t="str">
        <f>Текущий!L512</f>
        <v>Рихтовка</v>
      </c>
      <c r="L513" s="29">
        <f>Текущий!AL512</f>
        <v>0</v>
      </c>
      <c r="M513" s="29">
        <f>Текущий!AM512</f>
        <v>0</v>
      </c>
      <c r="N513" s="29">
        <f>Текущий!AN512</f>
        <v>0</v>
      </c>
      <c r="O513" s="29">
        <f>Текущий!AP512</f>
        <v>0</v>
      </c>
      <c r="P513" s="29">
        <f>Предыд!AL512</f>
        <v>0</v>
      </c>
      <c r="Q513" s="29">
        <f>Предыд!AM512</f>
        <v>0</v>
      </c>
      <c r="R513" s="29">
        <f>Предыд!AN512</f>
        <v>0</v>
      </c>
      <c r="S513" s="29">
        <f>Предыд!AO512</f>
        <v>0</v>
      </c>
      <c r="T513" s="17" t="str">
        <f t="shared" si="7"/>
        <v>-</v>
      </c>
    </row>
    <row r="514" spans="1:20" x14ac:dyDescent="0.25">
      <c r="A514" s="29">
        <f>Текущий!A513</f>
        <v>11</v>
      </c>
      <c r="B514" s="29">
        <f>Текущий!B513</f>
        <v>25103</v>
      </c>
      <c r="C514" s="29" t="str">
        <f>Текущий!C513</f>
        <v>одн</v>
      </c>
      <c r="D514" s="29" t="str">
        <f>Текущий!D513</f>
        <v>Уссурийск - Уссурийск II</v>
      </c>
      <c r="E514" s="29">
        <f>ROUND(Текущий!J513,0)</f>
        <v>0</v>
      </c>
      <c r="F514" s="29">
        <f>Текущий!E513</f>
        <v>0</v>
      </c>
      <c r="G514" s="16" t="str">
        <f>IF(Текущий!K513="-",Текущий!K513,ROUND(Текущий!K513,0))</f>
        <v>-</v>
      </c>
      <c r="H514" s="29" t="str">
        <f>IF(ROUND(Текущий!I513,0)=0,"-",ROUND(Текущий!I513,0))</f>
        <v>-</v>
      </c>
      <c r="I514" s="16" t="str">
        <f>IF(Предыд!K513="-",Предыд!K513,ROUND(Предыд!K513,0))</f>
        <v>-</v>
      </c>
      <c r="J514" s="29" t="str">
        <f>IF(ROUND(Предыд!I513,0)=0,"-",ROUND(Предыд!I513,0))</f>
        <v>-</v>
      </c>
      <c r="K514" s="30" t="str">
        <f>Текущий!L513</f>
        <v>Рихтовка</v>
      </c>
      <c r="L514" s="29">
        <f>Текущий!AL513</f>
        <v>0</v>
      </c>
      <c r="M514" s="29">
        <f>Текущий!AM513</f>
        <v>0</v>
      </c>
      <c r="N514" s="29">
        <f>Текущий!AN513</f>
        <v>0</v>
      </c>
      <c r="O514" s="29">
        <f>Текущий!AP513</f>
        <v>0</v>
      </c>
      <c r="P514" s="29">
        <f>Предыд!AL513</f>
        <v>0</v>
      </c>
      <c r="Q514" s="29">
        <f>Предыд!AM513</f>
        <v>0</v>
      </c>
      <c r="R514" s="29">
        <f>Предыд!AN513</f>
        <v>0</v>
      </c>
      <c r="S514" s="29">
        <f>Предыд!AO513</f>
        <v>0</v>
      </c>
      <c r="T514" s="17" t="str">
        <f t="shared" si="7"/>
        <v>-</v>
      </c>
    </row>
    <row r="515" spans="1:20" x14ac:dyDescent="0.25">
      <c r="A515" s="29">
        <f>Текущий!A514</f>
        <v>11</v>
      </c>
      <c r="B515" s="29">
        <f>Текущий!B514</f>
        <v>25103</v>
      </c>
      <c r="C515" s="29" t="str">
        <f>Текущий!C514</f>
        <v>одн</v>
      </c>
      <c r="D515" s="29" t="str">
        <f>Текущий!D514</f>
        <v>Уссурийск II - Воздвиженский</v>
      </c>
      <c r="E515" s="29">
        <f>ROUND(Текущий!J514,0)</f>
        <v>0</v>
      </c>
      <c r="F515" s="29">
        <f>Текущий!E514</f>
        <v>0</v>
      </c>
      <c r="G515" s="16" t="str">
        <f>IF(Текущий!K514="-",Текущий!K514,ROUND(Текущий!K514,0))</f>
        <v>-</v>
      </c>
      <c r="H515" s="29" t="str">
        <f>IF(ROUND(Текущий!I514,0)=0,"-",ROUND(Текущий!I514,0))</f>
        <v>-</v>
      </c>
      <c r="I515" s="16" t="str">
        <f>IF(Предыд!K514="-",Предыд!K514,ROUND(Предыд!K514,0))</f>
        <v>-</v>
      </c>
      <c r="J515" s="29" t="str">
        <f>IF(ROUND(Предыд!I514,0)=0,"-",ROUND(Предыд!I514,0))</f>
        <v>-</v>
      </c>
      <c r="K515" s="30" t="str">
        <f>Текущий!L514</f>
        <v>Рихтовка</v>
      </c>
      <c r="L515" s="29">
        <f>Текущий!AL514</f>
        <v>0</v>
      </c>
      <c r="M515" s="29">
        <f>Текущий!AM514</f>
        <v>0</v>
      </c>
      <c r="N515" s="29">
        <f>Текущий!AN514</f>
        <v>0</v>
      </c>
      <c r="O515" s="29">
        <f>Текущий!AP514</f>
        <v>0</v>
      </c>
      <c r="P515" s="29">
        <f>Предыд!AL514</f>
        <v>0</v>
      </c>
      <c r="Q515" s="29">
        <f>Предыд!AM514</f>
        <v>0</v>
      </c>
      <c r="R515" s="29">
        <f>Предыд!AN514</f>
        <v>0</v>
      </c>
      <c r="S515" s="29">
        <f>Предыд!AO514</f>
        <v>0</v>
      </c>
      <c r="T515" s="17" t="str">
        <f t="shared" si="7"/>
        <v>-</v>
      </c>
    </row>
    <row r="516" spans="1:20" x14ac:dyDescent="0.25">
      <c r="A516" s="29">
        <f>Текущий!A515</f>
        <v>11</v>
      </c>
      <c r="B516" s="29">
        <f>Текущий!B515</f>
        <v>25103</v>
      </c>
      <c r="C516" s="29" t="str">
        <f>Текущий!C515</f>
        <v>одн</v>
      </c>
      <c r="D516" s="29" t="str">
        <f>Текущий!D515</f>
        <v>Воздвиженский - Голенки</v>
      </c>
      <c r="E516" s="29">
        <f>ROUND(Текущий!J515,0)</f>
        <v>0</v>
      </c>
      <c r="F516" s="29">
        <f>Текущий!E515</f>
        <v>0</v>
      </c>
      <c r="G516" s="16" t="str">
        <f>IF(Текущий!K515="-",Текущий!K515,ROUND(Текущий!K515,0))</f>
        <v>-</v>
      </c>
      <c r="H516" s="29" t="str">
        <f>IF(ROUND(Текущий!I515,0)=0,"-",ROUND(Текущий!I515,0))</f>
        <v>-</v>
      </c>
      <c r="I516" s="16" t="str">
        <f>IF(Предыд!K515="-",Предыд!K515,ROUND(Предыд!K515,0))</f>
        <v>-</v>
      </c>
      <c r="J516" s="29" t="str">
        <f>IF(ROUND(Предыд!I515,0)=0,"-",ROUND(Предыд!I515,0))</f>
        <v>-</v>
      </c>
      <c r="K516" s="30" t="str">
        <f>Текущий!L515</f>
        <v>Рихтовка</v>
      </c>
      <c r="L516" s="29">
        <f>Текущий!AL515</f>
        <v>0</v>
      </c>
      <c r="M516" s="29">
        <f>Текущий!AM515</f>
        <v>0</v>
      </c>
      <c r="N516" s="29">
        <f>Текущий!AN515</f>
        <v>0</v>
      </c>
      <c r="O516" s="29">
        <f>Текущий!AP515</f>
        <v>0</v>
      </c>
      <c r="P516" s="29">
        <f>Предыд!AL515</f>
        <v>0</v>
      </c>
      <c r="Q516" s="29">
        <f>Предыд!AM515</f>
        <v>0</v>
      </c>
      <c r="R516" s="29">
        <f>Предыд!AN515</f>
        <v>0</v>
      </c>
      <c r="S516" s="29">
        <f>Предыд!AO515</f>
        <v>0</v>
      </c>
      <c r="T516" s="17" t="str">
        <f t="shared" si="7"/>
        <v>-</v>
      </c>
    </row>
    <row r="517" spans="1:20" x14ac:dyDescent="0.25">
      <c r="A517" s="29">
        <f>Текущий!A516</f>
        <v>11</v>
      </c>
      <c r="B517" s="29">
        <f>Текущий!B516</f>
        <v>25103</v>
      </c>
      <c r="C517" s="29" t="str">
        <f>Текущий!C516</f>
        <v>одн</v>
      </c>
      <c r="D517" s="29" t="str">
        <f>Текущий!D516</f>
        <v>Голенки - Липовцы</v>
      </c>
      <c r="E517" s="29">
        <f>ROUND(Текущий!J516,0)</f>
        <v>0</v>
      </c>
      <c r="F517" s="29">
        <f>Текущий!E516</f>
        <v>0</v>
      </c>
      <c r="G517" s="16" t="str">
        <f>IF(Текущий!K516="-",Текущий!K516,ROUND(Текущий!K516,0))</f>
        <v>-</v>
      </c>
      <c r="H517" s="29" t="str">
        <f>IF(ROUND(Текущий!I516,0)=0,"-",ROUND(Текущий!I516,0))</f>
        <v>-</v>
      </c>
      <c r="I517" s="16" t="str">
        <f>IF(Предыд!K516="-",Предыд!K516,ROUND(Предыд!K516,0))</f>
        <v>-</v>
      </c>
      <c r="J517" s="29" t="str">
        <f>IF(ROUND(Предыд!I516,0)=0,"-",ROUND(Предыд!I516,0))</f>
        <v>-</v>
      </c>
      <c r="K517" s="30" t="str">
        <f>Текущий!L516</f>
        <v>Рихтовка</v>
      </c>
      <c r="L517" s="29">
        <f>Текущий!AL516</f>
        <v>0</v>
      </c>
      <c r="M517" s="29">
        <f>Текущий!AM516</f>
        <v>0</v>
      </c>
      <c r="N517" s="29">
        <f>Текущий!AN516</f>
        <v>0</v>
      </c>
      <c r="O517" s="29">
        <f>Текущий!AP516</f>
        <v>0</v>
      </c>
      <c r="P517" s="29">
        <f>Предыд!AL516</f>
        <v>0</v>
      </c>
      <c r="Q517" s="29">
        <f>Предыд!AM516</f>
        <v>0</v>
      </c>
      <c r="R517" s="29">
        <f>Предыд!AN516</f>
        <v>0</v>
      </c>
      <c r="S517" s="29">
        <f>Предыд!AO516</f>
        <v>0</v>
      </c>
      <c r="T517" s="17" t="str">
        <f t="shared" ref="T517:T580" si="8">IF(G517&gt;I517,"+","-")</f>
        <v>-</v>
      </c>
    </row>
    <row r="518" spans="1:20" x14ac:dyDescent="0.25">
      <c r="A518" s="29">
        <f>Текущий!A517</f>
        <v>11</v>
      </c>
      <c r="B518" s="29">
        <f>Текущий!B517</f>
        <v>25103</v>
      </c>
      <c r="C518" s="29" t="str">
        <f>Текущий!C517</f>
        <v>одн</v>
      </c>
      <c r="D518" s="29" t="str">
        <f>Текущий!D517</f>
        <v>Липовцы - Пржевальская</v>
      </c>
      <c r="E518" s="29">
        <f>ROUND(Текущий!J517,0)</f>
        <v>0</v>
      </c>
      <c r="F518" s="29">
        <f>Текущий!E517</f>
        <v>0</v>
      </c>
      <c r="G518" s="16" t="str">
        <f>IF(Текущий!K517="-",Текущий!K517,ROUND(Текущий!K517,0))</f>
        <v>-</v>
      </c>
      <c r="H518" s="29" t="str">
        <f>IF(ROUND(Текущий!I517,0)=0,"-",ROUND(Текущий!I517,0))</f>
        <v>-</v>
      </c>
      <c r="I518" s="16" t="str">
        <f>IF(Предыд!K517="-",Предыд!K517,ROUND(Предыд!K517,0))</f>
        <v>-</v>
      </c>
      <c r="J518" s="29" t="str">
        <f>IF(ROUND(Предыд!I517,0)=0,"-",ROUND(Предыд!I517,0))</f>
        <v>-</v>
      </c>
      <c r="K518" s="30" t="str">
        <f>Текущий!L517</f>
        <v>Рихтовка</v>
      </c>
      <c r="L518" s="29">
        <f>Текущий!AL517</f>
        <v>0</v>
      </c>
      <c r="M518" s="29">
        <f>Текущий!AM517</f>
        <v>0</v>
      </c>
      <c r="N518" s="29">
        <f>Текущий!AN517</f>
        <v>0</v>
      </c>
      <c r="O518" s="29">
        <f>Текущий!AP517</f>
        <v>0</v>
      </c>
      <c r="P518" s="29">
        <f>Предыд!AL517</f>
        <v>0</v>
      </c>
      <c r="Q518" s="29">
        <f>Предыд!AM517</f>
        <v>0</v>
      </c>
      <c r="R518" s="29">
        <f>Предыд!AN517</f>
        <v>0</v>
      </c>
      <c r="S518" s="29">
        <f>Предыд!AO517</f>
        <v>0</v>
      </c>
      <c r="T518" s="17" t="str">
        <f t="shared" si="8"/>
        <v>-</v>
      </c>
    </row>
    <row r="519" spans="1:20" x14ac:dyDescent="0.25">
      <c r="A519" s="29">
        <f>Текущий!A518</f>
        <v>11</v>
      </c>
      <c r="B519" s="29">
        <f>Текущий!B518</f>
        <v>25103</v>
      </c>
      <c r="C519" s="29" t="str">
        <f>Текущий!C518</f>
        <v>одн</v>
      </c>
      <c r="D519" s="29" t="str">
        <f>Текущий!D518</f>
        <v>Пржевальская - Гродеково II</v>
      </c>
      <c r="E519" s="29">
        <f>ROUND(Текущий!J518,0)</f>
        <v>0</v>
      </c>
      <c r="F519" s="29">
        <f>Текущий!E518</f>
        <v>0</v>
      </c>
      <c r="G519" s="16" t="str">
        <f>IF(Текущий!K518="-",Текущий!K518,ROUND(Текущий!K518,0))</f>
        <v>-</v>
      </c>
      <c r="H519" s="29" t="str">
        <f>IF(ROUND(Текущий!I518,0)=0,"-",ROUND(Текущий!I518,0))</f>
        <v>-</v>
      </c>
      <c r="I519" s="16" t="str">
        <f>IF(Предыд!K518="-",Предыд!K518,ROUND(Предыд!K518,0))</f>
        <v>-</v>
      </c>
      <c r="J519" s="29" t="str">
        <f>IF(ROUND(Предыд!I518,0)=0,"-",ROUND(Предыд!I518,0))</f>
        <v>-</v>
      </c>
      <c r="K519" s="30" t="str">
        <f>Текущий!L518</f>
        <v>Рихтовка</v>
      </c>
      <c r="L519" s="29">
        <f>Текущий!AL518</f>
        <v>0</v>
      </c>
      <c r="M519" s="29">
        <f>Текущий!AM518</f>
        <v>0</v>
      </c>
      <c r="N519" s="29">
        <f>Текущий!AN518</f>
        <v>0</v>
      </c>
      <c r="O519" s="29">
        <f>Текущий!AP518</f>
        <v>0</v>
      </c>
      <c r="P519" s="29">
        <f>Предыд!AL518</f>
        <v>0</v>
      </c>
      <c r="Q519" s="29">
        <f>Предыд!AM518</f>
        <v>0</v>
      </c>
      <c r="R519" s="29">
        <f>Предыд!AN518</f>
        <v>0</v>
      </c>
      <c r="S519" s="29">
        <f>Предыд!AO518</f>
        <v>0</v>
      </c>
      <c r="T519" s="17" t="str">
        <f t="shared" si="8"/>
        <v>-</v>
      </c>
    </row>
    <row r="520" spans="1:20" x14ac:dyDescent="0.25">
      <c r="A520" s="29">
        <f>Текущий!A519</f>
        <v>11</v>
      </c>
      <c r="B520" s="29">
        <f>Текущий!B519</f>
        <v>25103</v>
      </c>
      <c r="C520" s="29" t="str">
        <f>Текущий!C519</f>
        <v>одн</v>
      </c>
      <c r="D520" s="29" t="str">
        <f>Текущий!D519</f>
        <v>Гродеково II - Гродеково</v>
      </c>
      <c r="E520" s="29">
        <f>ROUND(Текущий!J519,0)</f>
        <v>0</v>
      </c>
      <c r="F520" s="29">
        <f>Текущий!E519</f>
        <v>0</v>
      </c>
      <c r="G520" s="16" t="str">
        <f>IF(Текущий!K519="-",Текущий!K519,ROUND(Текущий!K519,0))</f>
        <v>-</v>
      </c>
      <c r="H520" s="29" t="str">
        <f>IF(ROUND(Текущий!I519,0)=0,"-",ROUND(Текущий!I519,0))</f>
        <v>-</v>
      </c>
      <c r="I520" s="16" t="str">
        <f>IF(Предыд!K519="-",Предыд!K519,ROUND(Предыд!K519,0))</f>
        <v>-</v>
      </c>
      <c r="J520" s="29" t="str">
        <f>IF(ROUND(Предыд!I519,0)=0,"-",ROUND(Предыд!I519,0))</f>
        <v>-</v>
      </c>
      <c r="K520" s="30" t="str">
        <f>Текущий!L519</f>
        <v>Рихтовка</v>
      </c>
      <c r="L520" s="29">
        <f>Текущий!AL519</f>
        <v>0</v>
      </c>
      <c r="M520" s="29">
        <f>Текущий!AM519</f>
        <v>0</v>
      </c>
      <c r="N520" s="29">
        <f>Текущий!AN519</f>
        <v>0</v>
      </c>
      <c r="O520" s="29">
        <f>Текущий!AP519</f>
        <v>0</v>
      </c>
      <c r="P520" s="29">
        <f>Предыд!AL519</f>
        <v>0</v>
      </c>
      <c r="Q520" s="29">
        <f>Предыд!AM519</f>
        <v>0</v>
      </c>
      <c r="R520" s="29">
        <f>Предыд!AN519</f>
        <v>0</v>
      </c>
      <c r="S520" s="29">
        <f>Предыд!AO519</f>
        <v>0</v>
      </c>
      <c r="T520" s="17" t="str">
        <f t="shared" si="8"/>
        <v>-</v>
      </c>
    </row>
    <row r="521" spans="1:20" x14ac:dyDescent="0.25">
      <c r="A521" s="29">
        <f>Текущий!A520</f>
        <v>11</v>
      </c>
      <c r="B521" s="29">
        <f>Текущий!B520</f>
        <v>25103</v>
      </c>
      <c r="C521" s="29" t="str">
        <f>Текущий!C520</f>
        <v>одн</v>
      </c>
      <c r="D521" s="29" t="str">
        <f>Текущий!D520</f>
        <v>Гродеково - Сосновая падь</v>
      </c>
      <c r="E521" s="29">
        <f>ROUND(Текущий!J520,0)</f>
        <v>0</v>
      </c>
      <c r="F521" s="29">
        <f>Текущий!E520</f>
        <v>0</v>
      </c>
      <c r="G521" s="16" t="str">
        <f>IF(Текущий!K520="-",Текущий!K520,ROUND(Текущий!K520,0))</f>
        <v>-</v>
      </c>
      <c r="H521" s="29" t="str">
        <f>IF(ROUND(Текущий!I520,0)=0,"-",ROUND(Текущий!I520,0))</f>
        <v>-</v>
      </c>
      <c r="I521" s="16" t="str">
        <f>IF(Предыд!K520="-",Предыд!K520,ROUND(Предыд!K520,0))</f>
        <v>-</v>
      </c>
      <c r="J521" s="29" t="str">
        <f>IF(ROUND(Предыд!I520,0)=0,"-",ROUND(Предыд!I520,0))</f>
        <v>-</v>
      </c>
      <c r="K521" s="30" t="str">
        <f>Текущий!L520</f>
        <v>Рихтовка</v>
      </c>
      <c r="L521" s="29">
        <f>Текущий!AL520</f>
        <v>0</v>
      </c>
      <c r="M521" s="29">
        <f>Текущий!AM520</f>
        <v>0</v>
      </c>
      <c r="N521" s="29">
        <f>Текущий!AN520</f>
        <v>0</v>
      </c>
      <c r="O521" s="29">
        <f>Текущий!AP520</f>
        <v>0</v>
      </c>
      <c r="P521" s="29">
        <f>Предыд!AL520</f>
        <v>0</v>
      </c>
      <c r="Q521" s="29">
        <f>Предыд!AM520</f>
        <v>0</v>
      </c>
      <c r="R521" s="29">
        <f>Предыд!AN520</f>
        <v>0</v>
      </c>
      <c r="S521" s="29">
        <f>Предыд!AO520</f>
        <v>0</v>
      </c>
      <c r="T521" s="17" t="str">
        <f t="shared" si="8"/>
        <v>-</v>
      </c>
    </row>
    <row r="522" spans="1:20" x14ac:dyDescent="0.25">
      <c r="A522" s="29">
        <f>Текущий!A521</f>
        <v>11</v>
      </c>
      <c r="B522" s="29">
        <f>Текущий!B521</f>
        <v>25103</v>
      </c>
      <c r="C522" s="29" t="str">
        <f>Текущий!C521</f>
        <v>одн</v>
      </c>
      <c r="D522" s="29" t="str">
        <f>Текущий!D521</f>
        <v>Сосновая падь - Рассыпная падь</v>
      </c>
      <c r="E522" s="29">
        <f>ROUND(Текущий!J521,0)</f>
        <v>0</v>
      </c>
      <c r="F522" s="29">
        <f>Текущий!E521</f>
        <v>0</v>
      </c>
      <c r="G522" s="16" t="str">
        <f>IF(Текущий!K521="-",Текущий!K521,ROUND(Текущий!K521,0))</f>
        <v>-</v>
      </c>
      <c r="H522" s="29" t="str">
        <f>IF(ROUND(Текущий!I521,0)=0,"-",ROUND(Текущий!I521,0))</f>
        <v>-</v>
      </c>
      <c r="I522" s="16" t="str">
        <f>IF(Предыд!K521="-",Предыд!K521,ROUND(Предыд!K521,0))</f>
        <v>-</v>
      </c>
      <c r="J522" s="29" t="str">
        <f>IF(ROUND(Предыд!I521,0)=0,"-",ROUND(Предыд!I521,0))</f>
        <v>-</v>
      </c>
      <c r="K522" s="30" t="str">
        <f>Текущий!L521</f>
        <v>Рихтовка</v>
      </c>
      <c r="L522" s="29">
        <f>Текущий!AL521</f>
        <v>0</v>
      </c>
      <c r="M522" s="29">
        <f>Текущий!AM521</f>
        <v>0</v>
      </c>
      <c r="N522" s="29">
        <f>Текущий!AN521</f>
        <v>0</v>
      </c>
      <c r="O522" s="29">
        <f>Текущий!AP521</f>
        <v>0</v>
      </c>
      <c r="P522" s="29">
        <f>Предыд!AL521</f>
        <v>0</v>
      </c>
      <c r="Q522" s="29">
        <f>Предыд!AM521</f>
        <v>0</v>
      </c>
      <c r="R522" s="29">
        <f>Предыд!AN521</f>
        <v>0</v>
      </c>
      <c r="S522" s="29">
        <f>Предыд!AO521</f>
        <v>0</v>
      </c>
      <c r="T522" s="17" t="str">
        <f t="shared" si="8"/>
        <v>-</v>
      </c>
    </row>
    <row r="523" spans="1:20" x14ac:dyDescent="0.25">
      <c r="A523" s="29">
        <f>Текущий!A522</f>
        <v>11</v>
      </c>
      <c r="B523" s="29">
        <f>Текущий!B522</f>
        <v>25103</v>
      </c>
      <c r="C523" s="29" t="str">
        <f>Текущий!C522</f>
        <v>одн</v>
      </c>
      <c r="D523" s="29" t="str">
        <f>Текущий!D522</f>
        <v>Рассыпная падь - Граница напр.</v>
      </c>
      <c r="E523" s="29">
        <f>ROUND(Текущий!J522,0)</f>
        <v>0</v>
      </c>
      <c r="F523" s="29">
        <f>Текущий!E522</f>
        <v>0</v>
      </c>
      <c r="G523" s="16" t="str">
        <f>IF(Текущий!K522="-",Текущий!K522,ROUND(Текущий!K522,0))</f>
        <v>-</v>
      </c>
      <c r="H523" s="29" t="str">
        <f>IF(ROUND(Текущий!I522,0)=0,"-",ROUND(Текущий!I522,0))</f>
        <v>-</v>
      </c>
      <c r="I523" s="16" t="str">
        <f>IF(Предыд!K522="-",Предыд!K522,ROUND(Предыд!K522,0))</f>
        <v>-</v>
      </c>
      <c r="J523" s="29" t="str">
        <f>IF(ROUND(Предыд!I522,0)=0,"-",ROUND(Предыд!I522,0))</f>
        <v>-</v>
      </c>
      <c r="K523" s="30" t="str">
        <f>Текущий!L522</f>
        <v>Рихтовка</v>
      </c>
      <c r="L523" s="29">
        <f>Текущий!AL522</f>
        <v>0</v>
      </c>
      <c r="M523" s="29">
        <f>Текущий!AM522</f>
        <v>0</v>
      </c>
      <c r="N523" s="29">
        <f>Текущий!AN522</f>
        <v>0</v>
      </c>
      <c r="O523" s="29">
        <f>Текущий!AP522</f>
        <v>0</v>
      </c>
      <c r="P523" s="29">
        <f>Предыд!AL522</f>
        <v>0</v>
      </c>
      <c r="Q523" s="29">
        <f>Предыд!AM522</f>
        <v>0</v>
      </c>
      <c r="R523" s="29">
        <f>Предыд!AN522</f>
        <v>0</v>
      </c>
      <c r="S523" s="29">
        <f>Предыд!AO522</f>
        <v>0</v>
      </c>
      <c r="T523" s="17" t="str">
        <f t="shared" si="8"/>
        <v>-</v>
      </c>
    </row>
    <row r="524" spans="1:20" x14ac:dyDescent="0.25">
      <c r="A524" s="29">
        <f>Текущий!A523</f>
        <v>11</v>
      </c>
      <c r="B524" s="29">
        <f>Текущий!B523</f>
        <v>25104</v>
      </c>
      <c r="C524" s="29" t="str">
        <f>Текущий!C523</f>
        <v>одн</v>
      </c>
      <c r="D524" s="29" t="str">
        <f>Текущий!D523</f>
        <v>Барановский - Оленевод</v>
      </c>
      <c r="E524" s="29">
        <f>ROUND(Текущий!J523,0)</f>
        <v>0</v>
      </c>
      <c r="F524" s="29">
        <f>Текущий!E523</f>
        <v>0</v>
      </c>
      <c r="G524" s="16" t="str">
        <f>IF(Текущий!K523="-",Текущий!K523,ROUND(Текущий!K523,0))</f>
        <v>-</v>
      </c>
      <c r="H524" s="29" t="str">
        <f>IF(ROUND(Текущий!I523,0)=0,"-",ROUND(Текущий!I523,0))</f>
        <v>-</v>
      </c>
      <c r="I524" s="16" t="str">
        <f>IF(Предыд!K523="-",Предыд!K523,ROUND(Предыд!K523,0))</f>
        <v>-</v>
      </c>
      <c r="J524" s="29" t="str">
        <f>IF(ROUND(Предыд!I523,0)=0,"-",ROUND(Предыд!I523,0))</f>
        <v>-</v>
      </c>
      <c r="K524" s="30" t="str">
        <f>Текущий!L523</f>
        <v>Рихтовка</v>
      </c>
      <c r="L524" s="29">
        <f>Текущий!AL523</f>
        <v>0</v>
      </c>
      <c r="M524" s="29">
        <f>Текущий!AM523</f>
        <v>0</v>
      </c>
      <c r="N524" s="29">
        <f>Текущий!AN523</f>
        <v>0</v>
      </c>
      <c r="O524" s="29">
        <f>Текущий!AP523</f>
        <v>0</v>
      </c>
      <c r="P524" s="29">
        <f>Предыд!AL523</f>
        <v>0</v>
      </c>
      <c r="Q524" s="29">
        <f>Предыд!AM523</f>
        <v>0</v>
      </c>
      <c r="R524" s="29">
        <f>Предыд!AN523</f>
        <v>0</v>
      </c>
      <c r="S524" s="29">
        <f>Предыд!AO523</f>
        <v>0</v>
      </c>
      <c r="T524" s="17" t="str">
        <f t="shared" si="8"/>
        <v>-</v>
      </c>
    </row>
    <row r="525" spans="1:20" x14ac:dyDescent="0.25">
      <c r="A525" s="29">
        <f>Текущий!A524</f>
        <v>12</v>
      </c>
      <c r="B525" s="29">
        <f>Текущий!B524</f>
        <v>25104</v>
      </c>
      <c r="C525" s="29" t="str">
        <f>Текущий!C524</f>
        <v>одн</v>
      </c>
      <c r="D525" s="29" t="str">
        <f>Текущий!D524</f>
        <v>Барановский - Оленевод</v>
      </c>
      <c r="E525" s="29">
        <f>ROUND(Текущий!J524,0)</f>
        <v>0</v>
      </c>
      <c r="F525" s="29">
        <f>Текущий!E524</f>
        <v>0</v>
      </c>
      <c r="G525" s="16" t="str">
        <f>IF(Текущий!K524="-",Текущий!K524,ROUND(Текущий!K524,0))</f>
        <v>-</v>
      </c>
      <c r="H525" s="29" t="str">
        <f>IF(ROUND(Текущий!I524,0)=0,"-",ROUND(Текущий!I524,0))</f>
        <v>-</v>
      </c>
      <c r="I525" s="16" t="str">
        <f>IF(Предыд!K524="-",Предыд!K524,ROUND(Предыд!K524,0))</f>
        <v>-</v>
      </c>
      <c r="J525" s="29" t="str">
        <f>IF(ROUND(Предыд!I524,0)=0,"-",ROUND(Предыд!I524,0))</f>
        <v>-</v>
      </c>
      <c r="K525" s="30" t="str">
        <f>Текущий!L524</f>
        <v>Рихтовка</v>
      </c>
      <c r="L525" s="29">
        <f>Текущий!AL524</f>
        <v>0</v>
      </c>
      <c r="M525" s="29">
        <f>Текущий!AM524</f>
        <v>0</v>
      </c>
      <c r="N525" s="29">
        <f>Текущий!AN524</f>
        <v>0</v>
      </c>
      <c r="O525" s="29">
        <f>Текущий!AP524</f>
        <v>0</v>
      </c>
      <c r="P525" s="29">
        <f>Предыд!AL524</f>
        <v>0</v>
      </c>
      <c r="Q525" s="29">
        <f>Предыд!AM524</f>
        <v>0</v>
      </c>
      <c r="R525" s="29">
        <f>Предыд!AN524</f>
        <v>0</v>
      </c>
      <c r="S525" s="29">
        <f>Предыд!AO524</f>
        <v>0</v>
      </c>
      <c r="T525" s="17" t="str">
        <f t="shared" si="8"/>
        <v>-</v>
      </c>
    </row>
    <row r="526" spans="1:20" x14ac:dyDescent="0.25">
      <c r="A526" s="29">
        <f>Текущий!A525</f>
        <v>12</v>
      </c>
      <c r="B526" s="29">
        <f>Текущий!B525</f>
        <v>25104</v>
      </c>
      <c r="C526" s="29" t="str">
        <f>Текущий!C525</f>
        <v>одн</v>
      </c>
      <c r="D526" s="29" t="str">
        <f>Текущий!D525</f>
        <v>Оленевод - Виневитино</v>
      </c>
      <c r="E526" s="29">
        <f>ROUND(Текущий!J525,0)</f>
        <v>0</v>
      </c>
      <c r="F526" s="29">
        <f>Текущий!E525</f>
        <v>0</v>
      </c>
      <c r="G526" s="16" t="str">
        <f>IF(Текущий!K525="-",Текущий!K525,ROUND(Текущий!K525,0))</f>
        <v>-</v>
      </c>
      <c r="H526" s="29" t="str">
        <f>IF(ROUND(Текущий!I525,0)=0,"-",ROUND(Текущий!I525,0))</f>
        <v>-</v>
      </c>
      <c r="I526" s="16" t="str">
        <f>IF(Предыд!K525="-",Предыд!K525,ROUND(Предыд!K525,0))</f>
        <v>-</v>
      </c>
      <c r="J526" s="29" t="str">
        <f>IF(ROUND(Предыд!I525,0)=0,"-",ROUND(Предыд!I525,0))</f>
        <v>-</v>
      </c>
      <c r="K526" s="30" t="str">
        <f>Текущий!L525</f>
        <v>Рихтовка</v>
      </c>
      <c r="L526" s="29">
        <f>Текущий!AL525</f>
        <v>0</v>
      </c>
      <c r="M526" s="29">
        <f>Текущий!AM525</f>
        <v>0</v>
      </c>
      <c r="N526" s="29">
        <f>Текущий!AN525</f>
        <v>0</v>
      </c>
      <c r="O526" s="29">
        <f>Текущий!AP525</f>
        <v>0</v>
      </c>
      <c r="P526" s="29">
        <f>Предыд!AL525</f>
        <v>0</v>
      </c>
      <c r="Q526" s="29">
        <f>Предыд!AM525</f>
        <v>0</v>
      </c>
      <c r="R526" s="29">
        <f>Предыд!AN525</f>
        <v>0</v>
      </c>
      <c r="S526" s="29">
        <f>Предыд!AO525</f>
        <v>0</v>
      </c>
      <c r="T526" s="17" t="str">
        <f t="shared" si="8"/>
        <v>-</v>
      </c>
    </row>
    <row r="527" spans="1:20" x14ac:dyDescent="0.25">
      <c r="A527" s="29">
        <f>Текущий!A526</f>
        <v>12</v>
      </c>
      <c r="B527" s="29">
        <f>Текущий!B526</f>
        <v>25104</v>
      </c>
      <c r="C527" s="29" t="str">
        <f>Текущий!C526</f>
        <v>одн</v>
      </c>
      <c r="D527" s="29" t="str">
        <f>Текущий!D526</f>
        <v>Виневитино - Провалово</v>
      </c>
      <c r="E527" s="29">
        <f>ROUND(Текущий!J526,0)</f>
        <v>0</v>
      </c>
      <c r="F527" s="29">
        <f>Текущий!E526</f>
        <v>0</v>
      </c>
      <c r="G527" s="16" t="str">
        <f>IF(Текущий!K526="-",Текущий!K526,ROUND(Текущий!K526,0))</f>
        <v>-</v>
      </c>
      <c r="H527" s="29" t="str">
        <f>IF(ROUND(Текущий!I526,0)=0,"-",ROUND(Текущий!I526,0))</f>
        <v>-</v>
      </c>
      <c r="I527" s="16" t="str">
        <f>IF(Предыд!K526="-",Предыд!K526,ROUND(Предыд!K526,0))</f>
        <v>-</v>
      </c>
      <c r="J527" s="29" t="str">
        <f>IF(ROUND(Предыд!I526,0)=0,"-",ROUND(Предыд!I526,0))</f>
        <v>-</v>
      </c>
      <c r="K527" s="30" t="str">
        <f>Текущий!L526</f>
        <v>Рихтовка</v>
      </c>
      <c r="L527" s="29">
        <f>Текущий!AL526</f>
        <v>0</v>
      </c>
      <c r="M527" s="29">
        <f>Текущий!AM526</f>
        <v>0</v>
      </c>
      <c r="N527" s="29">
        <f>Текущий!AN526</f>
        <v>0</v>
      </c>
      <c r="O527" s="29">
        <f>Текущий!AP526</f>
        <v>0</v>
      </c>
      <c r="P527" s="29">
        <f>Предыд!AL526</f>
        <v>0</v>
      </c>
      <c r="Q527" s="29">
        <f>Предыд!AM526</f>
        <v>0</v>
      </c>
      <c r="R527" s="29">
        <f>Предыд!AN526</f>
        <v>0</v>
      </c>
      <c r="S527" s="29">
        <f>Предыд!AO526</f>
        <v>0</v>
      </c>
      <c r="T527" s="17" t="str">
        <f t="shared" si="8"/>
        <v>-</v>
      </c>
    </row>
    <row r="528" spans="1:20" x14ac:dyDescent="0.25">
      <c r="A528" s="29">
        <f>Текущий!A527</f>
        <v>12</v>
      </c>
      <c r="B528" s="29">
        <f>Текущий!B527</f>
        <v>25104</v>
      </c>
      <c r="C528" s="29" t="str">
        <f>Текущий!C527</f>
        <v>одн</v>
      </c>
      <c r="D528" s="29" t="str">
        <f>Текущий!D527</f>
        <v>Провалово - Барсовый</v>
      </c>
      <c r="E528" s="29">
        <f>ROUND(Текущий!J527,0)</f>
        <v>0</v>
      </c>
      <c r="F528" s="29">
        <f>Текущий!E527</f>
        <v>0</v>
      </c>
      <c r="G528" s="16" t="str">
        <f>IF(Текущий!K527="-",Текущий!K527,ROUND(Текущий!K527,0))</f>
        <v>-</v>
      </c>
      <c r="H528" s="29" t="str">
        <f>IF(ROUND(Текущий!I527,0)=0,"-",ROUND(Текущий!I527,0))</f>
        <v>-</v>
      </c>
      <c r="I528" s="16" t="str">
        <f>IF(Предыд!K527="-",Предыд!K527,ROUND(Предыд!K527,0))</f>
        <v>-</v>
      </c>
      <c r="J528" s="29" t="str">
        <f>IF(ROUND(Предыд!I527,0)=0,"-",ROUND(Предыд!I527,0))</f>
        <v>-</v>
      </c>
      <c r="K528" s="30" t="str">
        <f>Текущий!L527</f>
        <v>Рихтовка</v>
      </c>
      <c r="L528" s="29">
        <f>Текущий!AL527</f>
        <v>0</v>
      </c>
      <c r="M528" s="29">
        <f>Текущий!AM527</f>
        <v>0</v>
      </c>
      <c r="N528" s="29">
        <f>Текущий!AN527</f>
        <v>0</v>
      </c>
      <c r="O528" s="29">
        <f>Текущий!AP527</f>
        <v>0</v>
      </c>
      <c r="P528" s="29">
        <f>Предыд!AL527</f>
        <v>0</v>
      </c>
      <c r="Q528" s="29">
        <f>Предыд!AM527</f>
        <v>0</v>
      </c>
      <c r="R528" s="29">
        <f>Предыд!AN527</f>
        <v>0</v>
      </c>
      <c r="S528" s="29">
        <f>Предыд!AO527</f>
        <v>0</v>
      </c>
      <c r="T528" s="17" t="str">
        <f t="shared" si="8"/>
        <v>-</v>
      </c>
    </row>
    <row r="529" spans="1:20" x14ac:dyDescent="0.25">
      <c r="A529" s="29">
        <f>Текущий!A528</f>
        <v>12</v>
      </c>
      <c r="B529" s="29">
        <f>Текущий!B528</f>
        <v>25104</v>
      </c>
      <c r="C529" s="29" t="str">
        <f>Текущий!C528</f>
        <v>одн</v>
      </c>
      <c r="D529" s="29" t="str">
        <f>Текущий!D528</f>
        <v>Барсовый - Приморская</v>
      </c>
      <c r="E529" s="29">
        <f>ROUND(Текущий!J528,0)</f>
        <v>0</v>
      </c>
      <c r="F529" s="29">
        <f>Текущий!E528</f>
        <v>0</v>
      </c>
      <c r="G529" s="16" t="str">
        <f>IF(Текущий!K528="-",Текущий!K528,ROUND(Текущий!K528,0))</f>
        <v>-</v>
      </c>
      <c r="H529" s="29" t="str">
        <f>IF(ROUND(Текущий!I528,0)=0,"-",ROUND(Текущий!I528,0))</f>
        <v>-</v>
      </c>
      <c r="I529" s="16" t="str">
        <f>IF(Предыд!K528="-",Предыд!K528,ROUND(Предыд!K528,0))</f>
        <v>-</v>
      </c>
      <c r="J529" s="29" t="str">
        <f>IF(ROUND(Предыд!I528,0)=0,"-",ROUND(Предыд!I528,0))</f>
        <v>-</v>
      </c>
      <c r="K529" s="30" t="str">
        <f>Текущий!L528</f>
        <v>Рихтовка</v>
      </c>
      <c r="L529" s="29">
        <f>Текущий!AL528</f>
        <v>0</v>
      </c>
      <c r="M529" s="29">
        <f>Текущий!AM528</f>
        <v>0</v>
      </c>
      <c r="N529" s="29">
        <f>Текущий!AN528</f>
        <v>0</v>
      </c>
      <c r="O529" s="29">
        <f>Текущий!AP528</f>
        <v>0</v>
      </c>
      <c r="P529" s="29">
        <f>Предыд!AL528</f>
        <v>0</v>
      </c>
      <c r="Q529" s="29">
        <f>Предыд!AM528</f>
        <v>0</v>
      </c>
      <c r="R529" s="29">
        <f>Предыд!AN528</f>
        <v>0</v>
      </c>
      <c r="S529" s="29">
        <f>Предыд!AO528</f>
        <v>0</v>
      </c>
      <c r="T529" s="17" t="str">
        <f t="shared" si="8"/>
        <v>-</v>
      </c>
    </row>
    <row r="530" spans="1:20" x14ac:dyDescent="0.25">
      <c r="A530" s="29">
        <f>Текущий!A529</f>
        <v>12</v>
      </c>
      <c r="B530" s="29">
        <f>Текущий!B529</f>
        <v>25104</v>
      </c>
      <c r="C530" s="29" t="str">
        <f>Текущий!C529</f>
        <v>одн</v>
      </c>
      <c r="D530" s="29" t="str">
        <f>Текущий!D529</f>
        <v>Приморская - Кедровый</v>
      </c>
      <c r="E530" s="29">
        <f>ROUND(Текущий!J529,0)</f>
        <v>0</v>
      </c>
      <c r="F530" s="29">
        <f>Текущий!E529</f>
        <v>0</v>
      </c>
      <c r="G530" s="16" t="str">
        <f>IF(Текущий!K529="-",Текущий!K529,ROUND(Текущий!K529,0))</f>
        <v>-</v>
      </c>
      <c r="H530" s="29" t="str">
        <f>IF(ROUND(Текущий!I529,0)=0,"-",ROUND(Текущий!I529,0))</f>
        <v>-</v>
      </c>
      <c r="I530" s="16" t="str">
        <f>IF(Предыд!K529="-",Предыд!K529,ROUND(Предыд!K529,0))</f>
        <v>-</v>
      </c>
      <c r="J530" s="29" t="str">
        <f>IF(ROUND(Предыд!I529,0)=0,"-",ROUND(Предыд!I529,0))</f>
        <v>-</v>
      </c>
      <c r="K530" s="30" t="str">
        <f>Текущий!L529</f>
        <v>Рихтовка</v>
      </c>
      <c r="L530" s="29">
        <f>Текущий!AL529</f>
        <v>0</v>
      </c>
      <c r="M530" s="29">
        <f>Текущий!AM529</f>
        <v>0</v>
      </c>
      <c r="N530" s="29">
        <f>Текущий!AN529</f>
        <v>0</v>
      </c>
      <c r="O530" s="29">
        <f>Текущий!AP529</f>
        <v>0</v>
      </c>
      <c r="P530" s="29">
        <f>Предыд!AL529</f>
        <v>0</v>
      </c>
      <c r="Q530" s="29">
        <f>Предыд!AM529</f>
        <v>0</v>
      </c>
      <c r="R530" s="29">
        <f>Предыд!AN529</f>
        <v>0</v>
      </c>
      <c r="S530" s="29">
        <f>Предыд!AO529</f>
        <v>0</v>
      </c>
      <c r="T530" s="17" t="str">
        <f t="shared" si="8"/>
        <v>-</v>
      </c>
    </row>
    <row r="531" spans="1:20" x14ac:dyDescent="0.25">
      <c r="A531" s="29">
        <f>Текущий!A530</f>
        <v>12</v>
      </c>
      <c r="B531" s="29">
        <f>Текущий!B530</f>
        <v>25104</v>
      </c>
      <c r="C531" s="29" t="str">
        <f>Текущий!C530</f>
        <v>одн</v>
      </c>
      <c r="D531" s="29" t="str">
        <f>Текущий!D530</f>
        <v>Кедровый - Пожарский</v>
      </c>
      <c r="E531" s="29">
        <f>ROUND(Текущий!J530,0)</f>
        <v>0</v>
      </c>
      <c r="F531" s="29">
        <f>Текущий!E530</f>
        <v>0</v>
      </c>
      <c r="G531" s="16" t="str">
        <f>IF(Текущий!K530="-",Текущий!K530,ROUND(Текущий!K530,0))</f>
        <v>-</v>
      </c>
      <c r="H531" s="29" t="str">
        <f>IF(ROUND(Текущий!I530,0)=0,"-",ROUND(Текущий!I530,0))</f>
        <v>-</v>
      </c>
      <c r="I531" s="16" t="str">
        <f>IF(Предыд!K530="-",Предыд!K530,ROUND(Предыд!K530,0))</f>
        <v>-</v>
      </c>
      <c r="J531" s="29" t="str">
        <f>IF(ROUND(Предыд!I530,0)=0,"-",ROUND(Предыд!I530,0))</f>
        <v>-</v>
      </c>
      <c r="K531" s="30" t="str">
        <f>Текущий!L530</f>
        <v>Рихтовка</v>
      </c>
      <c r="L531" s="29">
        <f>Текущий!AL530</f>
        <v>0</v>
      </c>
      <c r="M531" s="29">
        <f>Текущий!AM530</f>
        <v>0</v>
      </c>
      <c r="N531" s="29">
        <f>Текущий!AN530</f>
        <v>0</v>
      </c>
      <c r="O531" s="29">
        <f>Текущий!AP530</f>
        <v>0</v>
      </c>
      <c r="P531" s="29">
        <f>Предыд!AL530</f>
        <v>0</v>
      </c>
      <c r="Q531" s="29">
        <f>Предыд!AM530</f>
        <v>0</v>
      </c>
      <c r="R531" s="29">
        <f>Предыд!AN530</f>
        <v>0</v>
      </c>
      <c r="S531" s="29">
        <f>Предыд!AO530</f>
        <v>0</v>
      </c>
      <c r="T531" s="17" t="str">
        <f t="shared" si="8"/>
        <v>-</v>
      </c>
    </row>
    <row r="532" spans="1:20" x14ac:dyDescent="0.25">
      <c r="A532" s="29">
        <f>Текущий!A531</f>
        <v>12</v>
      </c>
      <c r="B532" s="29">
        <f>Текущий!B531</f>
        <v>25104</v>
      </c>
      <c r="C532" s="29" t="str">
        <f>Текущий!C531</f>
        <v>одн</v>
      </c>
      <c r="D532" s="29" t="str">
        <f>Текущий!D531</f>
        <v>Пожарский - Бамбурово</v>
      </c>
      <c r="E532" s="29">
        <f>ROUND(Текущий!J531,0)</f>
        <v>0</v>
      </c>
      <c r="F532" s="29">
        <f>Текущий!E531</f>
        <v>0</v>
      </c>
      <c r="G532" s="16" t="str">
        <f>IF(Текущий!K531="-",Текущий!K531,ROUND(Текущий!K531,0))</f>
        <v>-</v>
      </c>
      <c r="H532" s="29" t="str">
        <f>IF(ROUND(Текущий!I531,0)=0,"-",ROUND(Текущий!I531,0))</f>
        <v>-</v>
      </c>
      <c r="I532" s="16" t="str">
        <f>IF(Предыд!K531="-",Предыд!K531,ROUND(Предыд!K531,0))</f>
        <v>-</v>
      </c>
      <c r="J532" s="29" t="str">
        <f>IF(ROUND(Предыд!I531,0)=0,"-",ROUND(Предыд!I531,0))</f>
        <v>-</v>
      </c>
      <c r="K532" s="30" t="str">
        <f>Текущий!L531</f>
        <v>Рихтовка</v>
      </c>
      <c r="L532" s="29">
        <f>Текущий!AL531</f>
        <v>0</v>
      </c>
      <c r="M532" s="29">
        <f>Текущий!AM531</f>
        <v>0</v>
      </c>
      <c r="N532" s="29">
        <f>Текущий!AN531</f>
        <v>0</v>
      </c>
      <c r="O532" s="29">
        <f>Текущий!AP531</f>
        <v>0</v>
      </c>
      <c r="P532" s="29">
        <f>Предыд!AL531</f>
        <v>0</v>
      </c>
      <c r="Q532" s="29">
        <f>Предыд!AM531</f>
        <v>0</v>
      </c>
      <c r="R532" s="29">
        <f>Предыд!AN531</f>
        <v>0</v>
      </c>
      <c r="S532" s="29">
        <f>Предыд!AO531</f>
        <v>0</v>
      </c>
      <c r="T532" s="17" t="str">
        <f t="shared" si="8"/>
        <v>-</v>
      </c>
    </row>
    <row r="533" spans="1:20" x14ac:dyDescent="0.25">
      <c r="A533" s="29">
        <f>Текущий!A532</f>
        <v>12</v>
      </c>
      <c r="B533" s="29">
        <f>Текущий!B532</f>
        <v>25130</v>
      </c>
      <c r="C533" s="29" t="str">
        <f>Текущий!C532</f>
        <v>одн</v>
      </c>
      <c r="D533" s="29" t="str">
        <f>Текущий!D532</f>
        <v>Бамбурово - Блюхер</v>
      </c>
      <c r="E533" s="29">
        <f>ROUND(Текущий!J532,0)</f>
        <v>0</v>
      </c>
      <c r="F533" s="29">
        <f>Текущий!E532</f>
        <v>0</v>
      </c>
      <c r="G533" s="16" t="str">
        <f>IF(Текущий!K532="-",Текущий!K532,ROUND(Текущий!K532,0))</f>
        <v>-</v>
      </c>
      <c r="H533" s="29" t="str">
        <f>IF(ROUND(Текущий!I532,0)=0,"-",ROUND(Текущий!I532,0))</f>
        <v>-</v>
      </c>
      <c r="I533" s="16" t="str">
        <f>IF(Предыд!K532="-",Предыд!K532,ROUND(Предыд!K532,0))</f>
        <v>-</v>
      </c>
      <c r="J533" s="29" t="str">
        <f>IF(ROUND(Предыд!I532,0)=0,"-",ROUND(Предыд!I532,0))</f>
        <v>-</v>
      </c>
      <c r="K533" s="30" t="str">
        <f>Текущий!L532</f>
        <v>Рихтовка</v>
      </c>
      <c r="L533" s="29">
        <f>Текущий!AL532</f>
        <v>0</v>
      </c>
      <c r="M533" s="29">
        <f>Текущий!AM532</f>
        <v>0</v>
      </c>
      <c r="N533" s="29">
        <f>Текущий!AN532</f>
        <v>0</v>
      </c>
      <c r="O533" s="29">
        <f>Текущий!AP532</f>
        <v>0</v>
      </c>
      <c r="P533" s="29">
        <f>Предыд!AL532</f>
        <v>0</v>
      </c>
      <c r="Q533" s="29">
        <f>Предыд!AM532</f>
        <v>0</v>
      </c>
      <c r="R533" s="29">
        <f>Предыд!AN532</f>
        <v>0</v>
      </c>
      <c r="S533" s="29">
        <f>Предыд!AO532</f>
        <v>0</v>
      </c>
      <c r="T533" s="17" t="str">
        <f t="shared" si="8"/>
        <v>-</v>
      </c>
    </row>
    <row r="534" spans="1:20" x14ac:dyDescent="0.25">
      <c r="A534" s="29">
        <f>Текущий!A533</f>
        <v>12</v>
      </c>
      <c r="B534" s="29">
        <f>Текущий!B533</f>
        <v>25104</v>
      </c>
      <c r="C534" s="29" t="str">
        <f>Текущий!C533</f>
        <v>одн</v>
      </c>
      <c r="D534" s="29" t="str">
        <f>Текущий!D533</f>
        <v>Бамбурово - Рязановка</v>
      </c>
      <c r="E534" s="29">
        <f>ROUND(Текущий!J533,0)</f>
        <v>0</v>
      </c>
      <c r="F534" s="29">
        <f>Текущий!E533</f>
        <v>0</v>
      </c>
      <c r="G534" s="16" t="str">
        <f>IF(Текущий!K533="-",Текущий!K533,ROUND(Текущий!K533,0))</f>
        <v>-</v>
      </c>
      <c r="H534" s="29" t="str">
        <f>IF(ROUND(Текущий!I533,0)=0,"-",ROUND(Текущий!I533,0))</f>
        <v>-</v>
      </c>
      <c r="I534" s="16" t="str">
        <f>IF(Предыд!K533="-",Предыд!K533,ROUND(Предыд!K533,0))</f>
        <v>-</v>
      </c>
      <c r="J534" s="29" t="str">
        <f>IF(ROUND(Предыд!I533,0)=0,"-",ROUND(Предыд!I533,0))</f>
        <v>-</v>
      </c>
      <c r="K534" s="30" t="str">
        <f>Текущий!L533</f>
        <v>Рихтовка</v>
      </c>
      <c r="L534" s="29">
        <f>Текущий!AL533</f>
        <v>0</v>
      </c>
      <c r="M534" s="29">
        <f>Текущий!AM533</f>
        <v>0</v>
      </c>
      <c r="N534" s="29">
        <f>Текущий!AN533</f>
        <v>0</v>
      </c>
      <c r="O534" s="29">
        <f>Текущий!AP533</f>
        <v>0</v>
      </c>
      <c r="P534" s="29">
        <f>Предыд!AL533</f>
        <v>0</v>
      </c>
      <c r="Q534" s="29">
        <f>Предыд!AM533</f>
        <v>0</v>
      </c>
      <c r="R534" s="29">
        <f>Предыд!AN533</f>
        <v>0</v>
      </c>
      <c r="S534" s="29">
        <f>Предыд!AO533</f>
        <v>0</v>
      </c>
      <c r="T534" s="17" t="str">
        <f t="shared" si="8"/>
        <v>-</v>
      </c>
    </row>
    <row r="535" spans="1:20" x14ac:dyDescent="0.25">
      <c r="A535" s="29">
        <f>Текущий!A534</f>
        <v>12</v>
      </c>
      <c r="B535" s="29">
        <f>Текущий!B534</f>
        <v>25104</v>
      </c>
      <c r="C535" s="29" t="str">
        <f>Текущий!C534</f>
        <v>одн</v>
      </c>
      <c r="D535" s="29" t="str">
        <f>Текущий!D534</f>
        <v>Рязановка - Сухановка</v>
      </c>
      <c r="E535" s="29">
        <f>ROUND(Текущий!J534,0)</f>
        <v>0</v>
      </c>
      <c r="F535" s="29">
        <f>Текущий!E534</f>
        <v>0</v>
      </c>
      <c r="G535" s="16" t="str">
        <f>IF(Текущий!K534="-",Текущий!K534,ROUND(Текущий!K534,0))</f>
        <v>-</v>
      </c>
      <c r="H535" s="29" t="str">
        <f>IF(ROUND(Текущий!I534,0)=0,"-",ROUND(Текущий!I534,0))</f>
        <v>-</v>
      </c>
      <c r="I535" s="16" t="str">
        <f>IF(Предыд!K534="-",Предыд!K534,ROUND(Предыд!K534,0))</f>
        <v>-</v>
      </c>
      <c r="J535" s="29" t="str">
        <f>IF(ROUND(Предыд!I534,0)=0,"-",ROUND(Предыд!I534,0))</f>
        <v>-</v>
      </c>
      <c r="K535" s="30" t="str">
        <f>Текущий!L534</f>
        <v>Рихтовка</v>
      </c>
      <c r="L535" s="29">
        <f>Текущий!AL534</f>
        <v>0</v>
      </c>
      <c r="M535" s="29">
        <f>Текущий!AM534</f>
        <v>0</v>
      </c>
      <c r="N535" s="29">
        <f>Текущий!AN534</f>
        <v>0</v>
      </c>
      <c r="O535" s="29">
        <f>Текущий!AP534</f>
        <v>0</v>
      </c>
      <c r="P535" s="29">
        <f>Предыд!AL534</f>
        <v>0</v>
      </c>
      <c r="Q535" s="29">
        <f>Предыд!AM534</f>
        <v>0</v>
      </c>
      <c r="R535" s="29">
        <f>Предыд!AN534</f>
        <v>0</v>
      </c>
      <c r="S535" s="29">
        <f>Предыд!AO534</f>
        <v>0</v>
      </c>
      <c r="T535" s="17" t="str">
        <f t="shared" si="8"/>
        <v>-</v>
      </c>
    </row>
    <row r="536" spans="1:20" x14ac:dyDescent="0.25">
      <c r="A536" s="29">
        <f>Текущий!A535</f>
        <v>12</v>
      </c>
      <c r="B536" s="29">
        <f>Текущий!B535</f>
        <v>25104</v>
      </c>
      <c r="C536" s="29" t="str">
        <f>Текущий!C535</f>
        <v>одн</v>
      </c>
      <c r="D536" s="29" t="str">
        <f>Текущий!D535</f>
        <v>Сухановка - Гвоздево</v>
      </c>
      <c r="E536" s="29">
        <f>ROUND(Текущий!J535,0)</f>
        <v>0</v>
      </c>
      <c r="F536" s="29">
        <f>Текущий!E535</f>
        <v>0</v>
      </c>
      <c r="G536" s="16" t="str">
        <f>IF(Текущий!K535="-",Текущий!K535,ROUND(Текущий!K535,0))</f>
        <v>-</v>
      </c>
      <c r="H536" s="29" t="str">
        <f>IF(ROUND(Текущий!I535,0)=0,"-",ROUND(Текущий!I535,0))</f>
        <v>-</v>
      </c>
      <c r="I536" s="16" t="str">
        <f>IF(Предыд!K535="-",Предыд!K535,ROUND(Предыд!K535,0))</f>
        <v>-</v>
      </c>
      <c r="J536" s="29" t="str">
        <f>IF(ROUND(Предыд!I535,0)=0,"-",ROUND(Предыд!I535,0))</f>
        <v>-</v>
      </c>
      <c r="K536" s="30" t="str">
        <f>Текущий!L535</f>
        <v>Рихтовка</v>
      </c>
      <c r="L536" s="29">
        <f>Текущий!AL535</f>
        <v>0</v>
      </c>
      <c r="M536" s="29">
        <f>Текущий!AM535</f>
        <v>0</v>
      </c>
      <c r="N536" s="29">
        <f>Текущий!AN535</f>
        <v>0</v>
      </c>
      <c r="O536" s="29">
        <f>Текущий!AP535</f>
        <v>0</v>
      </c>
      <c r="P536" s="29">
        <f>Предыд!AL535</f>
        <v>0</v>
      </c>
      <c r="Q536" s="29">
        <f>Предыд!AM535</f>
        <v>0</v>
      </c>
      <c r="R536" s="29">
        <f>Предыд!AN535</f>
        <v>0</v>
      </c>
      <c r="S536" s="29">
        <f>Предыд!AO535</f>
        <v>0</v>
      </c>
      <c r="T536" s="17" t="str">
        <f t="shared" si="8"/>
        <v>-</v>
      </c>
    </row>
    <row r="537" spans="1:20" x14ac:dyDescent="0.25">
      <c r="A537" s="29">
        <f>Текущий!A536</f>
        <v>12</v>
      </c>
      <c r="B537" s="29">
        <f>Текущий!B536</f>
        <v>25131</v>
      </c>
      <c r="C537" s="29" t="str">
        <f>Текущий!C536</f>
        <v>одн</v>
      </c>
      <c r="D537" s="29" t="str">
        <f>Текущий!D536</f>
        <v>Гвоздево - Посьет</v>
      </c>
      <c r="E537" s="29">
        <f>ROUND(Текущий!J536,0)</f>
        <v>0</v>
      </c>
      <c r="F537" s="29">
        <f>Текущий!E536</f>
        <v>0</v>
      </c>
      <c r="G537" s="16" t="str">
        <f>IF(Текущий!K536="-",Текущий!K536,ROUND(Текущий!K536,0))</f>
        <v>-</v>
      </c>
      <c r="H537" s="29" t="str">
        <f>IF(ROUND(Текущий!I536,0)=0,"-",ROUND(Текущий!I536,0))</f>
        <v>-</v>
      </c>
      <c r="I537" s="16" t="str">
        <f>IF(Предыд!K536="-",Предыд!K536,ROUND(Предыд!K536,0))</f>
        <v>-</v>
      </c>
      <c r="J537" s="29" t="str">
        <f>IF(ROUND(Предыд!I536,0)=0,"-",ROUND(Предыд!I536,0))</f>
        <v>-</v>
      </c>
      <c r="K537" s="30" t="str">
        <f>Текущий!L536</f>
        <v>Рихтовка</v>
      </c>
      <c r="L537" s="29">
        <f>Текущий!AL536</f>
        <v>0</v>
      </c>
      <c r="M537" s="29">
        <f>Текущий!AM536</f>
        <v>0</v>
      </c>
      <c r="N537" s="29">
        <f>Текущий!AN536</f>
        <v>0</v>
      </c>
      <c r="O537" s="29">
        <f>Текущий!AP536</f>
        <v>0</v>
      </c>
      <c r="P537" s="29">
        <f>Предыд!AL536</f>
        <v>0</v>
      </c>
      <c r="Q537" s="29">
        <f>Предыд!AM536</f>
        <v>0</v>
      </c>
      <c r="R537" s="29">
        <f>Предыд!AN536</f>
        <v>0</v>
      </c>
      <c r="S537" s="29">
        <f>Предыд!AO536</f>
        <v>0</v>
      </c>
      <c r="T537" s="17" t="str">
        <f t="shared" si="8"/>
        <v>-</v>
      </c>
    </row>
    <row r="538" spans="1:20" x14ac:dyDescent="0.25">
      <c r="A538" s="29">
        <f>Текущий!A537</f>
        <v>12</v>
      </c>
      <c r="B538" s="29">
        <f>Текущий!B537</f>
        <v>25104</v>
      </c>
      <c r="C538" s="29" t="str">
        <f>Текущий!C537</f>
        <v>одн</v>
      </c>
      <c r="D538" s="29" t="str">
        <f>Текущий!D537</f>
        <v>Гвоздево - Махалино</v>
      </c>
      <c r="E538" s="29">
        <f>ROUND(Текущий!J537,0)</f>
        <v>0</v>
      </c>
      <c r="F538" s="29">
        <f>Текущий!E537</f>
        <v>0</v>
      </c>
      <c r="G538" s="16" t="str">
        <f>IF(Текущий!K537="-",Текущий!K537,ROUND(Текущий!K537,0))</f>
        <v>-</v>
      </c>
      <c r="H538" s="29" t="str">
        <f>IF(ROUND(Текущий!I537,0)=0,"-",ROUND(Текущий!I537,0))</f>
        <v>-</v>
      </c>
      <c r="I538" s="16" t="str">
        <f>IF(Предыд!K537="-",Предыд!K537,ROUND(Предыд!K537,0))</f>
        <v>-</v>
      </c>
      <c r="J538" s="29" t="str">
        <f>IF(ROUND(Предыд!I537,0)=0,"-",ROUND(Предыд!I537,0))</f>
        <v>-</v>
      </c>
      <c r="K538" s="30" t="str">
        <f>Текущий!L537</f>
        <v>Рихтовка</v>
      </c>
      <c r="L538" s="29">
        <f>Текущий!AL537</f>
        <v>0</v>
      </c>
      <c r="M538" s="29">
        <f>Текущий!AM537</f>
        <v>0</v>
      </c>
      <c r="N538" s="29">
        <f>Текущий!AN537</f>
        <v>0</v>
      </c>
      <c r="O538" s="29">
        <f>Текущий!AP537</f>
        <v>0</v>
      </c>
      <c r="P538" s="29">
        <f>Предыд!AL537</f>
        <v>0</v>
      </c>
      <c r="Q538" s="29">
        <f>Предыд!AM537</f>
        <v>0</v>
      </c>
      <c r="R538" s="29">
        <f>Предыд!AN537</f>
        <v>0</v>
      </c>
      <c r="S538" s="29">
        <f>Предыд!AO537</f>
        <v>0</v>
      </c>
      <c r="T538" s="17" t="str">
        <f t="shared" si="8"/>
        <v>-</v>
      </c>
    </row>
    <row r="539" spans="1:20" x14ac:dyDescent="0.25">
      <c r="A539" s="29">
        <f>Текущий!A538</f>
        <v>12</v>
      </c>
      <c r="B539" s="29">
        <f>Текущий!B538</f>
        <v>25104</v>
      </c>
      <c r="C539" s="29" t="str">
        <f>Текущий!C538</f>
        <v>одн</v>
      </c>
      <c r="D539" s="29" t="str">
        <f>Текущий!D538</f>
        <v>Махалино - Камышовая</v>
      </c>
      <c r="E539" s="29">
        <f>ROUND(Текущий!J538,0)</f>
        <v>0</v>
      </c>
      <c r="F539" s="29">
        <f>Текущий!E538</f>
        <v>0</v>
      </c>
      <c r="G539" s="16" t="str">
        <f>IF(Текущий!K538="-",Текущий!K538,ROUND(Текущий!K538,0))</f>
        <v>-</v>
      </c>
      <c r="H539" s="29" t="str">
        <f>IF(ROUND(Текущий!I538,0)=0,"-",ROUND(Текущий!I538,0))</f>
        <v>-</v>
      </c>
      <c r="I539" s="16" t="str">
        <f>IF(Предыд!K538="-",Предыд!K538,ROUND(Предыд!K538,0))</f>
        <v>-</v>
      </c>
      <c r="J539" s="29" t="str">
        <f>IF(ROUND(Предыд!I538,0)=0,"-",ROUND(Предыд!I538,0))</f>
        <v>-</v>
      </c>
      <c r="K539" s="30" t="str">
        <f>Текущий!L538</f>
        <v>Рихтовка</v>
      </c>
      <c r="L539" s="29">
        <f>Текущий!AL538</f>
        <v>0</v>
      </c>
      <c r="M539" s="29">
        <f>Текущий!AM538</f>
        <v>0</v>
      </c>
      <c r="N539" s="29">
        <f>Текущий!AN538</f>
        <v>0</v>
      </c>
      <c r="O539" s="29">
        <f>Текущий!AP538</f>
        <v>0</v>
      </c>
      <c r="P539" s="29">
        <f>Предыд!AL538</f>
        <v>0</v>
      </c>
      <c r="Q539" s="29">
        <f>Предыд!AM538</f>
        <v>0</v>
      </c>
      <c r="R539" s="29">
        <f>Предыд!AN538</f>
        <v>0</v>
      </c>
      <c r="S539" s="29">
        <f>Предыд!AO538</f>
        <v>0</v>
      </c>
      <c r="T539" s="17" t="str">
        <f t="shared" si="8"/>
        <v>-</v>
      </c>
    </row>
    <row r="540" spans="1:20" x14ac:dyDescent="0.25">
      <c r="A540" s="29">
        <f>Текущий!A539</f>
        <v>12</v>
      </c>
      <c r="B540" s="29">
        <f>Текущий!B539</f>
        <v>25104</v>
      </c>
      <c r="C540" s="29" t="str">
        <f>Текущий!C539</f>
        <v>одн</v>
      </c>
      <c r="D540" s="29" t="str">
        <f>Текущий!D539</f>
        <v>Камышовая - Хасан</v>
      </c>
      <c r="E540" s="29">
        <f>ROUND(Текущий!J539,0)</f>
        <v>0</v>
      </c>
      <c r="F540" s="29">
        <f>Текущий!E539</f>
        <v>0</v>
      </c>
      <c r="G540" s="16" t="str">
        <f>IF(Текущий!K539="-",Текущий!K539,ROUND(Текущий!K539,0))</f>
        <v>-</v>
      </c>
      <c r="H540" s="29" t="str">
        <f>IF(ROUND(Текущий!I539,0)=0,"-",ROUND(Текущий!I539,0))</f>
        <v>-</v>
      </c>
      <c r="I540" s="16" t="str">
        <f>IF(Предыд!K539="-",Предыд!K539,ROUND(Предыд!K539,0))</f>
        <v>-</v>
      </c>
      <c r="J540" s="29" t="str">
        <f>IF(ROUND(Предыд!I539,0)=0,"-",ROUND(Предыд!I539,0))</f>
        <v>-</v>
      </c>
      <c r="K540" s="30" t="str">
        <f>Текущий!L539</f>
        <v>Рихтовка</v>
      </c>
      <c r="L540" s="29">
        <f>Текущий!AL539</f>
        <v>0</v>
      </c>
      <c r="M540" s="29">
        <f>Текущий!AM539</f>
        <v>0</v>
      </c>
      <c r="N540" s="29">
        <f>Текущий!AN539</f>
        <v>0</v>
      </c>
      <c r="O540" s="29">
        <f>Текущий!AP539</f>
        <v>0</v>
      </c>
      <c r="P540" s="29">
        <f>Предыд!AL539</f>
        <v>0</v>
      </c>
      <c r="Q540" s="29">
        <f>Предыд!AM539</f>
        <v>0</v>
      </c>
      <c r="R540" s="29">
        <f>Предыд!AN539</f>
        <v>0</v>
      </c>
      <c r="S540" s="29">
        <f>Предыд!AO539</f>
        <v>0</v>
      </c>
      <c r="T540" s="17" t="str">
        <f t="shared" si="8"/>
        <v>-</v>
      </c>
    </row>
    <row r="541" spans="1:20" x14ac:dyDescent="0.25">
      <c r="A541" s="29">
        <f>Текущий!A540</f>
        <v>12</v>
      </c>
      <c r="B541" s="29">
        <f>Текущий!B540</f>
        <v>25150</v>
      </c>
      <c r="C541" s="29" t="str">
        <f>Текущий!C540</f>
        <v>одн</v>
      </c>
      <c r="D541" s="29" t="str">
        <f>Текущий!D540</f>
        <v>Камышовая - Гр.ХуньЧунь</v>
      </c>
      <c r="E541" s="29">
        <f>ROUND(Текущий!J540,0)</f>
        <v>0</v>
      </c>
      <c r="F541" s="29">
        <f>Текущий!E540</f>
        <v>0</v>
      </c>
      <c r="G541" s="16" t="str">
        <f>IF(Текущий!K540="-",Текущий!K540,ROUND(Текущий!K540,0))</f>
        <v>-</v>
      </c>
      <c r="H541" s="29" t="str">
        <f>IF(ROUND(Текущий!I540,0)=0,"-",ROUND(Текущий!I540,0))</f>
        <v>-</v>
      </c>
      <c r="I541" s="16" t="str">
        <f>IF(Предыд!K540="-",Предыд!K540,ROUND(Предыд!K540,0))</f>
        <v>-</v>
      </c>
      <c r="J541" s="29" t="str">
        <f>IF(ROUND(Предыд!I540,0)=0,"-",ROUND(Предыд!I540,0))</f>
        <v>-</v>
      </c>
      <c r="K541" s="30" t="str">
        <f>Текущий!L540</f>
        <v>Рихтовка</v>
      </c>
      <c r="L541" s="29">
        <f>Текущий!AL540</f>
        <v>0</v>
      </c>
      <c r="M541" s="29">
        <f>Текущий!AM540</f>
        <v>0</v>
      </c>
      <c r="N541" s="29">
        <f>Текущий!AN540</f>
        <v>0</v>
      </c>
      <c r="O541" s="29">
        <f>Текущий!AP540</f>
        <v>0</v>
      </c>
      <c r="P541" s="29">
        <f>Предыд!AL540</f>
        <v>0</v>
      </c>
      <c r="Q541" s="29">
        <f>Предыд!AM540</f>
        <v>0</v>
      </c>
      <c r="R541" s="29">
        <f>Предыд!AN540</f>
        <v>0</v>
      </c>
      <c r="S541" s="29">
        <f>Предыд!AO540</f>
        <v>0</v>
      </c>
      <c r="T541" s="17" t="str">
        <f t="shared" si="8"/>
        <v>-</v>
      </c>
    </row>
    <row r="542" spans="1:20" x14ac:dyDescent="0.25">
      <c r="A542" s="29">
        <f>Текущий!A541</f>
        <v>11</v>
      </c>
      <c r="B542" s="29">
        <f>Текущий!B541</f>
        <v>13809</v>
      </c>
      <c r="C542" s="29">
        <f>Текущий!C541</f>
        <v>1</v>
      </c>
      <c r="D542" s="29" t="str">
        <f>Текущий!D541</f>
        <v>Барановский - Раздольное</v>
      </c>
      <c r="E542" s="29">
        <f>ROUND(Текущий!J541,0)</f>
        <v>0</v>
      </c>
      <c r="F542" s="29">
        <f>Текущий!E541</f>
        <v>0</v>
      </c>
      <c r="G542" s="16" t="str">
        <f>IF(Текущий!K541="-",Текущий!K541,ROUND(Текущий!K541,0))</f>
        <v>-</v>
      </c>
      <c r="H542" s="29" t="str">
        <f>IF(ROUND(Текущий!I541,0)=0,"-",ROUND(Текущий!I541,0))</f>
        <v>-</v>
      </c>
      <c r="I542" s="16" t="str">
        <f>IF(Предыд!K541="-",Предыд!K541,ROUND(Предыд!K541,0))</f>
        <v>-</v>
      </c>
      <c r="J542" s="29" t="str">
        <f>IF(ROUND(Предыд!I541,0)=0,"-",ROUND(Предыд!I541,0))</f>
        <v>-</v>
      </c>
      <c r="K542" s="30" t="str">
        <f>Текущий!L541</f>
        <v>Рихтовка</v>
      </c>
      <c r="L542" s="29">
        <f>Текущий!AL541</f>
        <v>0</v>
      </c>
      <c r="M542" s="29">
        <f>Текущий!AM541</f>
        <v>0</v>
      </c>
      <c r="N542" s="29">
        <f>Текущий!AN541</f>
        <v>0</v>
      </c>
      <c r="O542" s="29">
        <f>Текущий!AP541</f>
        <v>0</v>
      </c>
      <c r="P542" s="29">
        <f>Предыд!AL541</f>
        <v>0</v>
      </c>
      <c r="Q542" s="29">
        <f>Предыд!AM541</f>
        <v>0</v>
      </c>
      <c r="R542" s="29">
        <f>Предыд!AN541</f>
        <v>0</v>
      </c>
      <c r="S542" s="29">
        <f>Предыд!AO541</f>
        <v>0</v>
      </c>
      <c r="T542" s="17" t="str">
        <f t="shared" si="8"/>
        <v>-</v>
      </c>
    </row>
    <row r="543" spans="1:20" x14ac:dyDescent="0.25">
      <c r="A543" s="29">
        <f>Текущий!A542</f>
        <v>11</v>
      </c>
      <c r="B543" s="29">
        <f>Текущий!B542</f>
        <v>13809</v>
      </c>
      <c r="C543" s="29">
        <f>Текущий!C542</f>
        <v>2</v>
      </c>
      <c r="D543" s="29" t="str">
        <f>Текущий!D542</f>
        <v>Барановский - Раздольное</v>
      </c>
      <c r="E543" s="29">
        <f>ROUND(Текущий!J542,0)</f>
        <v>0</v>
      </c>
      <c r="F543" s="29">
        <f>Текущий!E542</f>
        <v>0</v>
      </c>
      <c r="G543" s="16" t="str">
        <f>IF(Текущий!K542="-",Текущий!K542,ROUND(Текущий!K542,0))</f>
        <v>-</v>
      </c>
      <c r="H543" s="29" t="str">
        <f>IF(ROUND(Текущий!I542,0)=0,"-",ROUND(Текущий!I542,0))</f>
        <v>-</v>
      </c>
      <c r="I543" s="16" t="str">
        <f>IF(Предыд!K542="-",Предыд!K542,ROUND(Предыд!K542,0))</f>
        <v>-</v>
      </c>
      <c r="J543" s="29" t="str">
        <f>IF(ROUND(Предыд!I542,0)=0,"-",ROUND(Предыд!I542,0))</f>
        <v>-</v>
      </c>
      <c r="K543" s="30" t="str">
        <f>Текущий!L542</f>
        <v>Рихтовка</v>
      </c>
      <c r="L543" s="29">
        <f>Текущий!AL542</f>
        <v>0</v>
      </c>
      <c r="M543" s="29">
        <f>Текущий!AM542</f>
        <v>0</v>
      </c>
      <c r="N543" s="29">
        <f>Текущий!AN542</f>
        <v>0</v>
      </c>
      <c r="O543" s="29">
        <f>Текущий!AP542</f>
        <v>0</v>
      </c>
      <c r="P543" s="29">
        <f>Предыд!AL542</f>
        <v>0</v>
      </c>
      <c r="Q543" s="29">
        <f>Предыд!AM542</f>
        <v>0</v>
      </c>
      <c r="R543" s="29">
        <f>Предыд!AN542</f>
        <v>0</v>
      </c>
      <c r="S543" s="29">
        <f>Предыд!AO542</f>
        <v>0</v>
      </c>
      <c r="T543" s="17" t="str">
        <f t="shared" si="8"/>
        <v>-</v>
      </c>
    </row>
    <row r="544" spans="1:20" x14ac:dyDescent="0.25">
      <c r="A544" s="29">
        <f>Текущий!A543</f>
        <v>13</v>
      </c>
      <c r="B544" s="29">
        <f>Текущий!B543</f>
        <v>13809</v>
      </c>
      <c r="C544" s="29">
        <f>Текущий!C543</f>
        <v>1</v>
      </c>
      <c r="D544" s="29" t="str">
        <f>Текущий!D543</f>
        <v>Барановский - Раздольное</v>
      </c>
      <c r="E544" s="29">
        <f>ROUND(Текущий!J543,0)</f>
        <v>0</v>
      </c>
      <c r="F544" s="29">
        <f>Текущий!E543</f>
        <v>0</v>
      </c>
      <c r="G544" s="16" t="str">
        <f>IF(Текущий!K543="-",Текущий!K543,ROUND(Текущий!K543,0))</f>
        <v>-</v>
      </c>
      <c r="H544" s="29" t="str">
        <f>IF(ROUND(Текущий!I543,0)=0,"-",ROUND(Текущий!I543,0))</f>
        <v>-</v>
      </c>
      <c r="I544" s="16" t="str">
        <f>IF(Предыд!K543="-",Предыд!K543,ROUND(Предыд!K543,0))</f>
        <v>-</v>
      </c>
      <c r="J544" s="29" t="str">
        <f>IF(ROUND(Предыд!I543,0)=0,"-",ROUND(Предыд!I543,0))</f>
        <v>-</v>
      </c>
      <c r="K544" s="30" t="str">
        <f>Текущий!L543</f>
        <v>Рихтовка</v>
      </c>
      <c r="L544" s="29">
        <f>Текущий!AL543</f>
        <v>0</v>
      </c>
      <c r="M544" s="29">
        <f>Текущий!AM543</f>
        <v>0</v>
      </c>
      <c r="N544" s="29">
        <f>Текущий!AN543</f>
        <v>0</v>
      </c>
      <c r="O544" s="29">
        <f>Текущий!AP543</f>
        <v>0</v>
      </c>
      <c r="P544" s="29">
        <f>Предыд!AL543</f>
        <v>0</v>
      </c>
      <c r="Q544" s="29">
        <f>Предыд!AM543</f>
        <v>0</v>
      </c>
      <c r="R544" s="29">
        <f>Предыд!AN543</f>
        <v>0</v>
      </c>
      <c r="S544" s="29">
        <f>Предыд!AO543</f>
        <v>0</v>
      </c>
      <c r="T544" s="17" t="str">
        <f t="shared" si="8"/>
        <v>-</v>
      </c>
    </row>
    <row r="545" spans="1:20" x14ac:dyDescent="0.25">
      <c r="A545" s="29">
        <f>Текущий!A544</f>
        <v>13</v>
      </c>
      <c r="B545" s="29">
        <f>Текущий!B544</f>
        <v>13809</v>
      </c>
      <c r="C545" s="29">
        <f>Текущий!C544</f>
        <v>2</v>
      </c>
      <c r="D545" s="29" t="str">
        <f>Текущий!D544</f>
        <v>Барановский - Раздольное</v>
      </c>
      <c r="E545" s="29">
        <f>ROUND(Текущий!J544,0)</f>
        <v>0</v>
      </c>
      <c r="F545" s="29">
        <f>Текущий!E544</f>
        <v>0</v>
      </c>
      <c r="G545" s="16" t="str">
        <f>IF(Текущий!K544="-",Текущий!K544,ROUND(Текущий!K544,0))</f>
        <v>-</v>
      </c>
      <c r="H545" s="29" t="str">
        <f>IF(ROUND(Текущий!I544,0)=0,"-",ROUND(Текущий!I544,0))</f>
        <v>-</v>
      </c>
      <c r="I545" s="16" t="str">
        <f>IF(Предыд!K544="-",Предыд!K544,ROUND(Предыд!K544,0))</f>
        <v>-</v>
      </c>
      <c r="J545" s="29" t="str">
        <f>IF(ROUND(Предыд!I544,0)=0,"-",ROUND(Предыд!I544,0))</f>
        <v>-</v>
      </c>
      <c r="K545" s="30" t="str">
        <f>Текущий!L544</f>
        <v>Рихтовка</v>
      </c>
      <c r="L545" s="29">
        <f>Текущий!AL544</f>
        <v>0</v>
      </c>
      <c r="M545" s="29">
        <f>Текущий!AM544</f>
        <v>0</v>
      </c>
      <c r="N545" s="29">
        <f>Текущий!AN544</f>
        <v>0</v>
      </c>
      <c r="O545" s="29">
        <f>Текущий!AP544</f>
        <v>0</v>
      </c>
      <c r="P545" s="29">
        <f>Предыд!AL544</f>
        <v>0</v>
      </c>
      <c r="Q545" s="29">
        <f>Предыд!AM544</f>
        <v>0</v>
      </c>
      <c r="R545" s="29">
        <f>Предыд!AN544</f>
        <v>0</v>
      </c>
      <c r="S545" s="29">
        <f>Предыд!AO544</f>
        <v>0</v>
      </c>
      <c r="T545" s="17" t="str">
        <f t="shared" si="8"/>
        <v>-</v>
      </c>
    </row>
    <row r="546" spans="1:20" x14ac:dyDescent="0.25">
      <c r="A546" s="29">
        <f>Текущий!A545</f>
        <v>13</v>
      </c>
      <c r="B546" s="29">
        <f>Текущий!B545</f>
        <v>13809</v>
      </c>
      <c r="C546" s="29">
        <f>Текущий!C545</f>
        <v>1</v>
      </c>
      <c r="D546" s="29" t="str">
        <f>Текущий!D545</f>
        <v>Раздольное - Кипарисово</v>
      </c>
      <c r="E546" s="29">
        <f>ROUND(Текущий!J545,0)</f>
        <v>0</v>
      </c>
      <c r="F546" s="29">
        <f>Текущий!E545</f>
        <v>0</v>
      </c>
      <c r="G546" s="16" t="str">
        <f>IF(Текущий!K545="-",Текущий!K545,ROUND(Текущий!K545,0))</f>
        <v>-</v>
      </c>
      <c r="H546" s="29" t="str">
        <f>IF(ROUND(Текущий!I545,0)=0,"-",ROUND(Текущий!I545,0))</f>
        <v>-</v>
      </c>
      <c r="I546" s="16" t="str">
        <f>IF(Предыд!K545="-",Предыд!K545,ROUND(Предыд!K545,0))</f>
        <v>-</v>
      </c>
      <c r="J546" s="29" t="str">
        <f>IF(ROUND(Предыд!I545,0)=0,"-",ROUND(Предыд!I545,0))</f>
        <v>-</v>
      </c>
      <c r="K546" s="30" t="str">
        <f>Текущий!L545</f>
        <v>Рихтовка</v>
      </c>
      <c r="L546" s="29">
        <f>Текущий!AL545</f>
        <v>0</v>
      </c>
      <c r="M546" s="29">
        <f>Текущий!AM545</f>
        <v>0</v>
      </c>
      <c r="N546" s="29">
        <f>Текущий!AN545</f>
        <v>0</v>
      </c>
      <c r="O546" s="29">
        <f>Текущий!AP545</f>
        <v>0</v>
      </c>
      <c r="P546" s="29">
        <f>Предыд!AL545</f>
        <v>0</v>
      </c>
      <c r="Q546" s="29">
        <f>Предыд!AM545</f>
        <v>0</v>
      </c>
      <c r="R546" s="29">
        <f>Предыд!AN545</f>
        <v>0</v>
      </c>
      <c r="S546" s="29">
        <f>Предыд!AO545</f>
        <v>0</v>
      </c>
      <c r="T546" s="17" t="str">
        <f t="shared" si="8"/>
        <v>-</v>
      </c>
    </row>
    <row r="547" spans="1:20" x14ac:dyDescent="0.25">
      <c r="A547" s="29">
        <f>Текущий!A546</f>
        <v>13</v>
      </c>
      <c r="B547" s="29">
        <f>Текущий!B546</f>
        <v>13809</v>
      </c>
      <c r="C547" s="29">
        <f>Текущий!C546</f>
        <v>1</v>
      </c>
      <c r="D547" s="29" t="str">
        <f>Текущий!D546</f>
        <v>Кипарисово - Надеждинская</v>
      </c>
      <c r="E547" s="29">
        <f>ROUND(Текущий!J546,0)</f>
        <v>0</v>
      </c>
      <c r="F547" s="29">
        <f>Текущий!E546</f>
        <v>0</v>
      </c>
      <c r="G547" s="16" t="str">
        <f>IF(Текущий!K546="-",Текущий!K546,ROUND(Текущий!K546,0))</f>
        <v>-</v>
      </c>
      <c r="H547" s="29" t="str">
        <f>IF(ROUND(Текущий!I546,0)=0,"-",ROUND(Текущий!I546,0))</f>
        <v>-</v>
      </c>
      <c r="I547" s="16" t="str">
        <f>IF(Предыд!K546="-",Предыд!K546,ROUND(Предыд!K546,0))</f>
        <v>-</v>
      </c>
      <c r="J547" s="29" t="str">
        <f>IF(ROUND(Предыд!I546,0)=0,"-",ROUND(Предыд!I546,0))</f>
        <v>-</v>
      </c>
      <c r="K547" s="30" t="str">
        <f>Текущий!L546</f>
        <v>Рихтовка</v>
      </c>
      <c r="L547" s="29">
        <f>Текущий!AL546</f>
        <v>0</v>
      </c>
      <c r="M547" s="29">
        <f>Текущий!AM546</f>
        <v>0</v>
      </c>
      <c r="N547" s="29">
        <f>Текущий!AN546</f>
        <v>0</v>
      </c>
      <c r="O547" s="29">
        <f>Текущий!AP546</f>
        <v>0</v>
      </c>
      <c r="P547" s="29">
        <f>Предыд!AL546</f>
        <v>0</v>
      </c>
      <c r="Q547" s="29">
        <f>Предыд!AM546</f>
        <v>0</v>
      </c>
      <c r="R547" s="29">
        <f>Предыд!AN546</f>
        <v>0</v>
      </c>
      <c r="S547" s="29">
        <f>Предыд!AO546</f>
        <v>0</v>
      </c>
      <c r="T547" s="17" t="str">
        <f t="shared" si="8"/>
        <v>-</v>
      </c>
    </row>
    <row r="548" spans="1:20" x14ac:dyDescent="0.25">
      <c r="A548" s="29">
        <f>Текущий!A547</f>
        <v>13</v>
      </c>
      <c r="B548" s="29">
        <f>Текущий!B547</f>
        <v>13809</v>
      </c>
      <c r="C548" s="29">
        <f>Текущий!C547</f>
        <v>1</v>
      </c>
      <c r="D548" s="29" t="str">
        <f>Текущий!D547</f>
        <v>Надеждинская - Амурский Залив</v>
      </c>
      <c r="E548" s="29">
        <f>ROUND(Текущий!J547,0)</f>
        <v>0</v>
      </c>
      <c r="F548" s="29">
        <f>Текущий!E547</f>
        <v>0</v>
      </c>
      <c r="G548" s="16" t="str">
        <f>IF(Текущий!K547="-",Текущий!K547,ROUND(Текущий!K547,0))</f>
        <v>-</v>
      </c>
      <c r="H548" s="29" t="str">
        <f>IF(ROUND(Текущий!I547,0)=0,"-",ROUND(Текущий!I547,0))</f>
        <v>-</v>
      </c>
      <c r="I548" s="16" t="str">
        <f>IF(Предыд!K547="-",Предыд!K547,ROUND(Предыд!K547,0))</f>
        <v>-</v>
      </c>
      <c r="J548" s="29" t="str">
        <f>IF(ROUND(Предыд!I547,0)=0,"-",ROUND(Предыд!I547,0))</f>
        <v>-</v>
      </c>
      <c r="K548" s="30" t="str">
        <f>Текущий!L547</f>
        <v>Рихтовка</v>
      </c>
      <c r="L548" s="29">
        <f>Текущий!AL547</f>
        <v>0</v>
      </c>
      <c r="M548" s="29">
        <f>Текущий!AM547</f>
        <v>0</v>
      </c>
      <c r="N548" s="29">
        <f>Текущий!AN547</f>
        <v>0</v>
      </c>
      <c r="O548" s="29">
        <f>Текущий!AP547</f>
        <v>0</v>
      </c>
      <c r="P548" s="29">
        <f>Предыд!AL547</f>
        <v>0</v>
      </c>
      <c r="Q548" s="29">
        <f>Предыд!AM547</f>
        <v>0</v>
      </c>
      <c r="R548" s="29">
        <f>Предыд!AN547</f>
        <v>0</v>
      </c>
      <c r="S548" s="29">
        <f>Предыд!AO547</f>
        <v>0</v>
      </c>
      <c r="T548" s="17" t="str">
        <f t="shared" si="8"/>
        <v>-</v>
      </c>
    </row>
    <row r="549" spans="1:20" x14ac:dyDescent="0.25">
      <c r="A549" s="29">
        <f>Текущий!A548</f>
        <v>13</v>
      </c>
      <c r="B549" s="29">
        <f>Текущий!B548</f>
        <v>13809</v>
      </c>
      <c r="C549" s="29">
        <f>Текущий!C548</f>
        <v>1</v>
      </c>
      <c r="D549" s="29" t="str">
        <f>Текущий!D548</f>
        <v>Амурский Залив - Угольная</v>
      </c>
      <c r="E549" s="29">
        <f>ROUND(Текущий!J548,0)</f>
        <v>0</v>
      </c>
      <c r="F549" s="29">
        <f>Текущий!E548</f>
        <v>0</v>
      </c>
      <c r="G549" s="16" t="str">
        <f>IF(Текущий!K548="-",Текущий!K548,ROUND(Текущий!K548,0))</f>
        <v>-</v>
      </c>
      <c r="H549" s="29" t="str">
        <f>IF(ROUND(Текущий!I548,0)=0,"-",ROUND(Текущий!I548,0))</f>
        <v>-</v>
      </c>
      <c r="I549" s="16" t="str">
        <f>IF(Предыд!K548="-",Предыд!K548,ROUND(Предыд!K548,0))</f>
        <v>-</v>
      </c>
      <c r="J549" s="29" t="str">
        <f>IF(ROUND(Предыд!I548,0)=0,"-",ROUND(Предыд!I548,0))</f>
        <v>-</v>
      </c>
      <c r="K549" s="30" t="str">
        <f>Текущий!L548</f>
        <v>Рихтовка</v>
      </c>
      <c r="L549" s="29">
        <f>Текущий!AL548</f>
        <v>0</v>
      </c>
      <c r="M549" s="29">
        <f>Текущий!AM548</f>
        <v>0</v>
      </c>
      <c r="N549" s="29">
        <f>Текущий!AN548</f>
        <v>0</v>
      </c>
      <c r="O549" s="29">
        <f>Текущий!AP548</f>
        <v>0</v>
      </c>
      <c r="P549" s="29">
        <f>Предыд!AL548</f>
        <v>0</v>
      </c>
      <c r="Q549" s="29">
        <f>Предыд!AM548</f>
        <v>0</v>
      </c>
      <c r="R549" s="29">
        <f>Предыд!AN548</f>
        <v>0</v>
      </c>
      <c r="S549" s="29">
        <f>Предыд!AO548</f>
        <v>0</v>
      </c>
      <c r="T549" s="17" t="str">
        <f t="shared" si="8"/>
        <v>-</v>
      </c>
    </row>
    <row r="550" spans="1:20" x14ac:dyDescent="0.25">
      <c r="A550" s="29">
        <f>Текущий!A549</f>
        <v>13</v>
      </c>
      <c r="B550" s="29">
        <f>Текущий!B549</f>
        <v>13809</v>
      </c>
      <c r="C550" s="29">
        <f>Текущий!C549</f>
        <v>1</v>
      </c>
      <c r="D550" s="29" t="str">
        <f>Текущий!D549</f>
        <v>Угольная - Океанская</v>
      </c>
      <c r="E550" s="29">
        <f>ROUND(Текущий!J549,0)</f>
        <v>0</v>
      </c>
      <c r="F550" s="29">
        <f>Текущий!E549</f>
        <v>0</v>
      </c>
      <c r="G550" s="16" t="str">
        <f>IF(Текущий!K549="-",Текущий!K549,ROUND(Текущий!K549,0))</f>
        <v>-</v>
      </c>
      <c r="H550" s="29" t="str">
        <f>IF(ROUND(Текущий!I549,0)=0,"-",ROUND(Текущий!I549,0))</f>
        <v>-</v>
      </c>
      <c r="I550" s="16" t="str">
        <f>IF(Предыд!K549="-",Предыд!K549,ROUND(Предыд!K549,0))</f>
        <v>-</v>
      </c>
      <c r="J550" s="29" t="str">
        <f>IF(ROUND(Предыд!I549,0)=0,"-",ROUND(Предыд!I549,0))</f>
        <v>-</v>
      </c>
      <c r="K550" s="30" t="str">
        <f>Текущий!L549</f>
        <v>Рихтовка</v>
      </c>
      <c r="L550" s="29">
        <f>Текущий!AL549</f>
        <v>0</v>
      </c>
      <c r="M550" s="29">
        <f>Текущий!AM549</f>
        <v>0</v>
      </c>
      <c r="N550" s="29">
        <f>Текущий!AN549</f>
        <v>0</v>
      </c>
      <c r="O550" s="29">
        <f>Текущий!AP549</f>
        <v>0</v>
      </c>
      <c r="P550" s="29">
        <f>Предыд!AL549</f>
        <v>0</v>
      </c>
      <c r="Q550" s="29">
        <f>Предыд!AM549</f>
        <v>0</v>
      </c>
      <c r="R550" s="29">
        <f>Предыд!AN549</f>
        <v>0</v>
      </c>
      <c r="S550" s="29">
        <f>Предыд!AO549</f>
        <v>0</v>
      </c>
      <c r="T550" s="17" t="str">
        <f t="shared" si="8"/>
        <v>-</v>
      </c>
    </row>
    <row r="551" spans="1:20" x14ac:dyDescent="0.25">
      <c r="A551" s="29">
        <f>Текущий!A550</f>
        <v>13</v>
      </c>
      <c r="B551" s="29">
        <f>Текущий!B550</f>
        <v>13809</v>
      </c>
      <c r="C551" s="29">
        <f>Текущий!C550</f>
        <v>1</v>
      </c>
      <c r="D551" s="29" t="str">
        <f>Текущий!D550</f>
        <v>Океанская - Вторая Речка</v>
      </c>
      <c r="E551" s="29">
        <f>ROUND(Текущий!J550,0)</f>
        <v>0</v>
      </c>
      <c r="F551" s="29">
        <f>Текущий!E550</f>
        <v>0</v>
      </c>
      <c r="G551" s="16" t="str">
        <f>IF(Текущий!K550="-",Текущий!K550,ROUND(Текущий!K550,0))</f>
        <v>-</v>
      </c>
      <c r="H551" s="29" t="str">
        <f>IF(ROUND(Текущий!I550,0)=0,"-",ROUND(Текущий!I550,0))</f>
        <v>-</v>
      </c>
      <c r="I551" s="16" t="str">
        <f>IF(Предыд!K550="-",Предыд!K550,ROUND(Предыд!K550,0))</f>
        <v>-</v>
      </c>
      <c r="J551" s="29" t="str">
        <f>IF(ROUND(Предыд!I550,0)=0,"-",ROUND(Предыд!I550,0))</f>
        <v>-</v>
      </c>
      <c r="K551" s="30" t="str">
        <f>Текущий!L550</f>
        <v>Рихтовка</v>
      </c>
      <c r="L551" s="29">
        <f>Текущий!AL550</f>
        <v>0</v>
      </c>
      <c r="M551" s="29">
        <f>Текущий!AM550</f>
        <v>0</v>
      </c>
      <c r="N551" s="29">
        <f>Текущий!AN550</f>
        <v>0</v>
      </c>
      <c r="O551" s="29">
        <f>Текущий!AP550</f>
        <v>0</v>
      </c>
      <c r="P551" s="29">
        <f>Предыд!AL550</f>
        <v>0</v>
      </c>
      <c r="Q551" s="29">
        <f>Предыд!AM550</f>
        <v>0</v>
      </c>
      <c r="R551" s="29">
        <f>Предыд!AN550</f>
        <v>0</v>
      </c>
      <c r="S551" s="29">
        <f>Предыд!AO550</f>
        <v>0</v>
      </c>
      <c r="T551" s="17" t="str">
        <f t="shared" si="8"/>
        <v>-</v>
      </c>
    </row>
    <row r="552" spans="1:20" x14ac:dyDescent="0.25">
      <c r="A552" s="29">
        <f>Текущий!A551</f>
        <v>13</v>
      </c>
      <c r="B552" s="29">
        <f>Текущий!B551</f>
        <v>13809</v>
      </c>
      <c r="C552" s="29">
        <f>Текущий!C551</f>
        <v>1</v>
      </c>
      <c r="D552" s="29" t="str">
        <f>Текущий!D551</f>
        <v>Вторая Речка - Первая Речка</v>
      </c>
      <c r="E552" s="29">
        <f>ROUND(Текущий!J551,0)</f>
        <v>0</v>
      </c>
      <c r="F552" s="29">
        <f>Текущий!E551</f>
        <v>0</v>
      </c>
      <c r="G552" s="16" t="str">
        <f>IF(Текущий!K551="-",Текущий!K551,ROUND(Текущий!K551,0))</f>
        <v>-</v>
      </c>
      <c r="H552" s="29" t="str">
        <f>IF(ROUND(Текущий!I551,0)=0,"-",ROUND(Текущий!I551,0))</f>
        <v>-</v>
      </c>
      <c r="I552" s="16" t="str">
        <f>IF(Предыд!K551="-",Предыд!K551,ROUND(Предыд!K551,0))</f>
        <v>-</v>
      </c>
      <c r="J552" s="29" t="str">
        <f>IF(ROUND(Предыд!I551,0)=0,"-",ROUND(Предыд!I551,0))</f>
        <v>-</v>
      </c>
      <c r="K552" s="30" t="str">
        <f>Текущий!L551</f>
        <v>Рихтовка</v>
      </c>
      <c r="L552" s="29">
        <f>Текущий!AL551</f>
        <v>0</v>
      </c>
      <c r="M552" s="29">
        <f>Текущий!AM551</f>
        <v>0</v>
      </c>
      <c r="N552" s="29">
        <f>Текущий!AN551</f>
        <v>0</v>
      </c>
      <c r="O552" s="29">
        <f>Текущий!AP551</f>
        <v>0</v>
      </c>
      <c r="P552" s="29">
        <f>Предыд!AL551</f>
        <v>0</v>
      </c>
      <c r="Q552" s="29">
        <f>Предыд!AM551</f>
        <v>0</v>
      </c>
      <c r="R552" s="29">
        <f>Предыд!AN551</f>
        <v>0</v>
      </c>
      <c r="S552" s="29">
        <f>Предыд!AO551</f>
        <v>0</v>
      </c>
      <c r="T552" s="17" t="str">
        <f t="shared" si="8"/>
        <v>-</v>
      </c>
    </row>
    <row r="553" spans="1:20" x14ac:dyDescent="0.25">
      <c r="A553" s="29">
        <f>Текущий!A552</f>
        <v>13</v>
      </c>
      <c r="B553" s="29">
        <f>Текущий!B552</f>
        <v>13809</v>
      </c>
      <c r="C553" s="29">
        <f>Текущий!C552</f>
        <v>1</v>
      </c>
      <c r="D553" s="29" t="str">
        <f>Текущий!D552</f>
        <v>Первая Речка - Владивосток</v>
      </c>
      <c r="E553" s="29">
        <f>ROUND(Текущий!J552,0)</f>
        <v>0</v>
      </c>
      <c r="F553" s="29">
        <f>Текущий!E552</f>
        <v>0</v>
      </c>
      <c r="G553" s="16" t="str">
        <f>IF(Текущий!K552="-",Текущий!K552,ROUND(Текущий!K552,0))</f>
        <v>-</v>
      </c>
      <c r="H553" s="29" t="str">
        <f>IF(ROUND(Текущий!I552,0)=0,"-",ROUND(Текущий!I552,0))</f>
        <v>-</v>
      </c>
      <c r="I553" s="16" t="str">
        <f>IF(Предыд!K552="-",Предыд!K552,ROUND(Предыд!K552,0))</f>
        <v>-</v>
      </c>
      <c r="J553" s="29" t="str">
        <f>IF(ROUND(Предыд!I552,0)=0,"-",ROUND(Предыд!I552,0))</f>
        <v>-</v>
      </c>
      <c r="K553" s="30" t="str">
        <f>Текущий!L552</f>
        <v>Рихтовка</v>
      </c>
      <c r="L553" s="29">
        <f>Текущий!AL552</f>
        <v>0</v>
      </c>
      <c r="M553" s="29">
        <f>Текущий!AM552</f>
        <v>0</v>
      </c>
      <c r="N553" s="29">
        <f>Текущий!AN552</f>
        <v>0</v>
      </c>
      <c r="O553" s="29">
        <f>Текущий!AP552</f>
        <v>0</v>
      </c>
      <c r="P553" s="29">
        <f>Предыд!AL552</f>
        <v>0</v>
      </c>
      <c r="Q553" s="29">
        <f>Предыд!AM552</f>
        <v>0</v>
      </c>
      <c r="R553" s="29">
        <f>Предыд!AN552</f>
        <v>0</v>
      </c>
      <c r="S553" s="29">
        <f>Предыд!AO552</f>
        <v>0</v>
      </c>
      <c r="T553" s="17" t="str">
        <f t="shared" si="8"/>
        <v>-</v>
      </c>
    </row>
    <row r="554" spans="1:20" x14ac:dyDescent="0.25">
      <c r="A554" s="29">
        <f>Текущий!A553</f>
        <v>13</v>
      </c>
      <c r="B554" s="29">
        <f>Текущий!B553</f>
        <v>13809</v>
      </c>
      <c r="C554" s="29">
        <f>Текущий!C553</f>
        <v>2</v>
      </c>
      <c r="D554" s="29" t="str">
        <f>Текущий!D553</f>
        <v>Раздольное - Кипарисово</v>
      </c>
      <c r="E554" s="29">
        <f>ROUND(Текущий!J553,0)</f>
        <v>0</v>
      </c>
      <c r="F554" s="29">
        <f>Текущий!E553</f>
        <v>0</v>
      </c>
      <c r="G554" s="16" t="str">
        <f>IF(Текущий!K553="-",Текущий!K553,ROUND(Текущий!K553,0))</f>
        <v>-</v>
      </c>
      <c r="H554" s="29" t="str">
        <f>IF(ROUND(Текущий!I553,0)=0,"-",ROUND(Текущий!I553,0))</f>
        <v>-</v>
      </c>
      <c r="I554" s="16" t="str">
        <f>IF(Предыд!K553="-",Предыд!K553,ROUND(Предыд!K553,0))</f>
        <v>-</v>
      </c>
      <c r="J554" s="29" t="str">
        <f>IF(ROUND(Предыд!I553,0)=0,"-",ROUND(Предыд!I553,0))</f>
        <v>-</v>
      </c>
      <c r="K554" s="30" t="str">
        <f>Текущий!L553</f>
        <v>Рихтовка</v>
      </c>
      <c r="L554" s="29">
        <f>Текущий!AL553</f>
        <v>0</v>
      </c>
      <c r="M554" s="29">
        <f>Текущий!AM553</f>
        <v>0</v>
      </c>
      <c r="N554" s="29">
        <f>Текущий!AN553</f>
        <v>0</v>
      </c>
      <c r="O554" s="29">
        <f>Текущий!AP553</f>
        <v>0</v>
      </c>
      <c r="P554" s="29">
        <f>Предыд!AL553</f>
        <v>0</v>
      </c>
      <c r="Q554" s="29">
        <f>Предыд!AM553</f>
        <v>0</v>
      </c>
      <c r="R554" s="29">
        <f>Предыд!AN553</f>
        <v>0</v>
      </c>
      <c r="S554" s="29">
        <f>Предыд!AO553</f>
        <v>0</v>
      </c>
      <c r="T554" s="17" t="str">
        <f t="shared" si="8"/>
        <v>-</v>
      </c>
    </row>
    <row r="555" spans="1:20" x14ac:dyDescent="0.25">
      <c r="A555" s="29">
        <f>Текущий!A554</f>
        <v>13</v>
      </c>
      <c r="B555" s="29">
        <f>Текущий!B554</f>
        <v>13809</v>
      </c>
      <c r="C555" s="29">
        <f>Текущий!C554</f>
        <v>2</v>
      </c>
      <c r="D555" s="29" t="str">
        <f>Текущий!D554</f>
        <v>Кипарисово - Надеждинская</v>
      </c>
      <c r="E555" s="29">
        <f>ROUND(Текущий!J554,0)</f>
        <v>0</v>
      </c>
      <c r="F555" s="29">
        <f>Текущий!E554</f>
        <v>0</v>
      </c>
      <c r="G555" s="16" t="str">
        <f>IF(Текущий!K554="-",Текущий!K554,ROUND(Текущий!K554,0))</f>
        <v>-</v>
      </c>
      <c r="H555" s="29" t="str">
        <f>IF(ROUND(Текущий!I554,0)=0,"-",ROUND(Текущий!I554,0))</f>
        <v>-</v>
      </c>
      <c r="I555" s="16" t="str">
        <f>IF(Предыд!K554="-",Предыд!K554,ROUND(Предыд!K554,0))</f>
        <v>-</v>
      </c>
      <c r="J555" s="29" t="str">
        <f>IF(ROUND(Предыд!I554,0)=0,"-",ROUND(Предыд!I554,0))</f>
        <v>-</v>
      </c>
      <c r="K555" s="30" t="str">
        <f>Текущий!L554</f>
        <v>Рихтовка</v>
      </c>
      <c r="L555" s="29">
        <f>Текущий!AL554</f>
        <v>0</v>
      </c>
      <c r="M555" s="29">
        <f>Текущий!AM554</f>
        <v>0</v>
      </c>
      <c r="N555" s="29">
        <f>Текущий!AN554</f>
        <v>0</v>
      </c>
      <c r="O555" s="29">
        <f>Текущий!AP554</f>
        <v>0</v>
      </c>
      <c r="P555" s="29">
        <f>Предыд!AL554</f>
        <v>0</v>
      </c>
      <c r="Q555" s="29">
        <f>Предыд!AM554</f>
        <v>0</v>
      </c>
      <c r="R555" s="29">
        <f>Предыд!AN554</f>
        <v>0</v>
      </c>
      <c r="S555" s="29">
        <f>Предыд!AO554</f>
        <v>0</v>
      </c>
      <c r="T555" s="17" t="str">
        <f t="shared" si="8"/>
        <v>-</v>
      </c>
    </row>
    <row r="556" spans="1:20" x14ac:dyDescent="0.25">
      <c r="A556" s="29">
        <f>Текущий!A555</f>
        <v>13</v>
      </c>
      <c r="B556" s="29">
        <f>Текущий!B555</f>
        <v>13809</v>
      </c>
      <c r="C556" s="29">
        <f>Текущий!C555</f>
        <v>2</v>
      </c>
      <c r="D556" s="29" t="str">
        <f>Текущий!D555</f>
        <v>Надеждинская - Амурский Залив</v>
      </c>
      <c r="E556" s="29">
        <f>ROUND(Текущий!J555,0)</f>
        <v>0</v>
      </c>
      <c r="F556" s="29">
        <f>Текущий!E555</f>
        <v>0</v>
      </c>
      <c r="G556" s="16" t="str">
        <f>IF(Текущий!K555="-",Текущий!K555,ROUND(Текущий!K555,0))</f>
        <v>-</v>
      </c>
      <c r="H556" s="29" t="str">
        <f>IF(ROUND(Текущий!I555,0)=0,"-",ROUND(Текущий!I555,0))</f>
        <v>-</v>
      </c>
      <c r="I556" s="16" t="str">
        <f>IF(Предыд!K555="-",Предыд!K555,ROUND(Предыд!K555,0))</f>
        <v>-</v>
      </c>
      <c r="J556" s="29" t="str">
        <f>IF(ROUND(Предыд!I555,0)=0,"-",ROUND(Предыд!I555,0))</f>
        <v>-</v>
      </c>
      <c r="K556" s="30" t="str">
        <f>Текущий!L555</f>
        <v>Рихтовка</v>
      </c>
      <c r="L556" s="29">
        <f>Текущий!AL555</f>
        <v>0</v>
      </c>
      <c r="M556" s="29">
        <f>Текущий!AM555</f>
        <v>0</v>
      </c>
      <c r="N556" s="29">
        <f>Текущий!AN555</f>
        <v>0</v>
      </c>
      <c r="O556" s="29">
        <f>Текущий!AP555</f>
        <v>0</v>
      </c>
      <c r="P556" s="29">
        <f>Предыд!AL555</f>
        <v>0</v>
      </c>
      <c r="Q556" s="29">
        <f>Предыд!AM555</f>
        <v>0</v>
      </c>
      <c r="R556" s="29">
        <f>Предыд!AN555</f>
        <v>0</v>
      </c>
      <c r="S556" s="29">
        <f>Предыд!AO555</f>
        <v>0</v>
      </c>
      <c r="T556" s="17" t="str">
        <f t="shared" si="8"/>
        <v>-</v>
      </c>
    </row>
    <row r="557" spans="1:20" x14ac:dyDescent="0.25">
      <c r="A557" s="29">
        <f>Текущий!A556</f>
        <v>13</v>
      </c>
      <c r="B557" s="29">
        <f>Текущий!B556</f>
        <v>13809</v>
      </c>
      <c r="C557" s="29">
        <f>Текущий!C556</f>
        <v>2</v>
      </c>
      <c r="D557" s="29" t="str">
        <f>Текущий!D556</f>
        <v>Амурский Залив - Угольная</v>
      </c>
      <c r="E557" s="29">
        <f>ROUND(Текущий!J556,0)</f>
        <v>0</v>
      </c>
      <c r="F557" s="29">
        <f>Текущий!E556</f>
        <v>0</v>
      </c>
      <c r="G557" s="16" t="str">
        <f>IF(Текущий!K556="-",Текущий!K556,ROUND(Текущий!K556,0))</f>
        <v>-</v>
      </c>
      <c r="H557" s="29" t="str">
        <f>IF(ROUND(Текущий!I556,0)=0,"-",ROUND(Текущий!I556,0))</f>
        <v>-</v>
      </c>
      <c r="I557" s="16" t="str">
        <f>IF(Предыд!K556="-",Предыд!K556,ROUND(Предыд!K556,0))</f>
        <v>-</v>
      </c>
      <c r="J557" s="29" t="str">
        <f>IF(ROUND(Предыд!I556,0)=0,"-",ROUND(Предыд!I556,0))</f>
        <v>-</v>
      </c>
      <c r="K557" s="30" t="str">
        <f>Текущий!L556</f>
        <v>Рихтовка</v>
      </c>
      <c r="L557" s="29">
        <f>Текущий!AL556</f>
        <v>0</v>
      </c>
      <c r="M557" s="29">
        <f>Текущий!AM556</f>
        <v>0</v>
      </c>
      <c r="N557" s="29">
        <f>Текущий!AN556</f>
        <v>0</v>
      </c>
      <c r="O557" s="29">
        <f>Текущий!AP556</f>
        <v>0</v>
      </c>
      <c r="P557" s="29">
        <f>Предыд!AL556</f>
        <v>0</v>
      </c>
      <c r="Q557" s="29">
        <f>Предыд!AM556</f>
        <v>0</v>
      </c>
      <c r="R557" s="29">
        <f>Предыд!AN556</f>
        <v>0</v>
      </c>
      <c r="S557" s="29">
        <f>Предыд!AO556</f>
        <v>0</v>
      </c>
      <c r="T557" s="17" t="str">
        <f t="shared" si="8"/>
        <v>-</v>
      </c>
    </row>
    <row r="558" spans="1:20" x14ac:dyDescent="0.25">
      <c r="A558" s="29">
        <f>Текущий!A557</f>
        <v>13</v>
      </c>
      <c r="B558" s="29">
        <f>Текущий!B557</f>
        <v>13809</v>
      </c>
      <c r="C558" s="29">
        <f>Текущий!C557</f>
        <v>2</v>
      </c>
      <c r="D558" s="29" t="str">
        <f>Текущий!D557</f>
        <v>Угольная - Океанская</v>
      </c>
      <c r="E558" s="29">
        <f>ROUND(Текущий!J557,0)</f>
        <v>0</v>
      </c>
      <c r="F558" s="29">
        <f>Текущий!E557</f>
        <v>0</v>
      </c>
      <c r="G558" s="16" t="str">
        <f>IF(Текущий!K557="-",Текущий!K557,ROUND(Текущий!K557,0))</f>
        <v>-</v>
      </c>
      <c r="H558" s="29" t="str">
        <f>IF(ROUND(Текущий!I557,0)=0,"-",ROUND(Текущий!I557,0))</f>
        <v>-</v>
      </c>
      <c r="I558" s="16" t="str">
        <f>IF(Предыд!K557="-",Предыд!K557,ROUND(Предыд!K557,0))</f>
        <v>-</v>
      </c>
      <c r="J558" s="29" t="str">
        <f>IF(ROUND(Предыд!I557,0)=0,"-",ROUND(Предыд!I557,0))</f>
        <v>-</v>
      </c>
      <c r="K558" s="30" t="str">
        <f>Текущий!L557</f>
        <v>Рихтовка</v>
      </c>
      <c r="L558" s="29">
        <f>Текущий!AL557</f>
        <v>0</v>
      </c>
      <c r="M558" s="29">
        <f>Текущий!AM557</f>
        <v>0</v>
      </c>
      <c r="N558" s="29">
        <f>Текущий!AN557</f>
        <v>0</v>
      </c>
      <c r="O558" s="29">
        <f>Текущий!AP557</f>
        <v>0</v>
      </c>
      <c r="P558" s="29">
        <f>Предыд!AL557</f>
        <v>0</v>
      </c>
      <c r="Q558" s="29">
        <f>Предыд!AM557</f>
        <v>0</v>
      </c>
      <c r="R558" s="29">
        <f>Предыд!AN557</f>
        <v>0</v>
      </c>
      <c r="S558" s="29">
        <f>Предыд!AO557</f>
        <v>0</v>
      </c>
      <c r="T558" s="17" t="str">
        <f t="shared" si="8"/>
        <v>-</v>
      </c>
    </row>
    <row r="559" spans="1:20" x14ac:dyDescent="0.25">
      <c r="A559" s="29">
        <f>Текущий!A558</f>
        <v>13</v>
      </c>
      <c r="B559" s="29">
        <f>Текущий!B558</f>
        <v>13809</v>
      </c>
      <c r="C559" s="29">
        <f>Текущий!C558</f>
        <v>2</v>
      </c>
      <c r="D559" s="29" t="str">
        <f>Текущий!D558</f>
        <v>Океанская - Вторая Речка</v>
      </c>
      <c r="E559" s="29">
        <f>ROUND(Текущий!J558,0)</f>
        <v>0</v>
      </c>
      <c r="F559" s="29">
        <f>Текущий!E558</f>
        <v>0</v>
      </c>
      <c r="G559" s="16" t="str">
        <f>IF(Текущий!K558="-",Текущий!K558,ROUND(Текущий!K558,0))</f>
        <v>-</v>
      </c>
      <c r="H559" s="29" t="str">
        <f>IF(ROUND(Текущий!I558,0)=0,"-",ROUND(Текущий!I558,0))</f>
        <v>-</v>
      </c>
      <c r="I559" s="16" t="str">
        <f>IF(Предыд!K558="-",Предыд!K558,ROUND(Предыд!K558,0))</f>
        <v>-</v>
      </c>
      <c r="J559" s="29" t="str">
        <f>IF(ROUND(Предыд!I558,0)=0,"-",ROUND(Предыд!I558,0))</f>
        <v>-</v>
      </c>
      <c r="K559" s="30" t="str">
        <f>Текущий!L558</f>
        <v>Рихтовка</v>
      </c>
      <c r="L559" s="29">
        <f>Текущий!AL558</f>
        <v>0</v>
      </c>
      <c r="M559" s="29">
        <f>Текущий!AM558</f>
        <v>0</v>
      </c>
      <c r="N559" s="29">
        <f>Текущий!AN558</f>
        <v>0</v>
      </c>
      <c r="O559" s="29">
        <f>Текущий!AP558</f>
        <v>0</v>
      </c>
      <c r="P559" s="29">
        <f>Предыд!AL558</f>
        <v>0</v>
      </c>
      <c r="Q559" s="29">
        <f>Предыд!AM558</f>
        <v>0</v>
      </c>
      <c r="R559" s="29">
        <f>Предыд!AN558</f>
        <v>0</v>
      </c>
      <c r="S559" s="29">
        <f>Предыд!AO558</f>
        <v>0</v>
      </c>
      <c r="T559" s="17" t="str">
        <f t="shared" si="8"/>
        <v>-</v>
      </c>
    </row>
    <row r="560" spans="1:20" x14ac:dyDescent="0.25">
      <c r="A560" s="29">
        <f>Текущий!A559</f>
        <v>13</v>
      </c>
      <c r="B560" s="29">
        <f>Текущий!B559</f>
        <v>13809</v>
      </c>
      <c r="C560" s="29">
        <f>Текущий!C559</f>
        <v>2</v>
      </c>
      <c r="D560" s="29" t="str">
        <f>Текущий!D559</f>
        <v>Вторая Речка - Первая Речка</v>
      </c>
      <c r="E560" s="29">
        <f>ROUND(Текущий!J559,0)</f>
        <v>0</v>
      </c>
      <c r="F560" s="29">
        <f>Текущий!E559</f>
        <v>0</v>
      </c>
      <c r="G560" s="16" t="str">
        <f>IF(Текущий!K559="-",Текущий!K559,ROUND(Текущий!K559,0))</f>
        <v>-</v>
      </c>
      <c r="H560" s="29" t="str">
        <f>IF(ROUND(Текущий!I559,0)=0,"-",ROUND(Текущий!I559,0))</f>
        <v>-</v>
      </c>
      <c r="I560" s="16" t="str">
        <f>IF(Предыд!K559="-",Предыд!K559,ROUND(Предыд!K559,0))</f>
        <v>-</v>
      </c>
      <c r="J560" s="29" t="str">
        <f>IF(ROUND(Предыд!I559,0)=0,"-",ROUND(Предыд!I559,0))</f>
        <v>-</v>
      </c>
      <c r="K560" s="30" t="str">
        <f>Текущий!L559</f>
        <v>Рихтовка</v>
      </c>
      <c r="L560" s="29">
        <f>Текущий!AL559</f>
        <v>0</v>
      </c>
      <c r="M560" s="29">
        <f>Текущий!AM559</f>
        <v>0</v>
      </c>
      <c r="N560" s="29">
        <f>Текущий!AN559</f>
        <v>0</v>
      </c>
      <c r="O560" s="29">
        <f>Текущий!AP559</f>
        <v>0</v>
      </c>
      <c r="P560" s="29">
        <f>Предыд!AL559</f>
        <v>0</v>
      </c>
      <c r="Q560" s="29">
        <f>Предыд!AM559</f>
        <v>0</v>
      </c>
      <c r="R560" s="29">
        <f>Предыд!AN559</f>
        <v>0</v>
      </c>
      <c r="S560" s="29">
        <f>Предыд!AO559</f>
        <v>0</v>
      </c>
      <c r="T560" s="17" t="str">
        <f t="shared" si="8"/>
        <v>-</v>
      </c>
    </row>
    <row r="561" spans="1:20" x14ac:dyDescent="0.25">
      <c r="A561" s="29">
        <f>Текущий!A560</f>
        <v>13</v>
      </c>
      <c r="B561" s="29">
        <f>Текущий!B560</f>
        <v>13809</v>
      </c>
      <c r="C561" s="29">
        <f>Текущий!C560</f>
        <v>2</v>
      </c>
      <c r="D561" s="29" t="str">
        <f>Текущий!D560</f>
        <v>Первая Речка - Владивосток</v>
      </c>
      <c r="E561" s="29">
        <f>ROUND(Текущий!J560,0)</f>
        <v>0</v>
      </c>
      <c r="F561" s="29">
        <f>Текущий!E560</f>
        <v>0</v>
      </c>
      <c r="G561" s="16" t="str">
        <f>IF(Текущий!K560="-",Текущий!K560,ROUND(Текущий!K560,0))</f>
        <v>-</v>
      </c>
      <c r="H561" s="29" t="str">
        <f>IF(ROUND(Текущий!I560,0)=0,"-",ROUND(Текущий!I560,0))</f>
        <v>-</v>
      </c>
      <c r="I561" s="16" t="str">
        <f>IF(Предыд!K560="-",Предыд!K560,ROUND(Предыд!K560,0))</f>
        <v>-</v>
      </c>
      <c r="J561" s="29" t="str">
        <f>IF(ROUND(Предыд!I560,0)=0,"-",ROUND(Предыд!I560,0))</f>
        <v>-</v>
      </c>
      <c r="K561" s="30" t="str">
        <f>Текущий!L560</f>
        <v>Рихтовка</v>
      </c>
      <c r="L561" s="29">
        <f>Текущий!AL560</f>
        <v>0</v>
      </c>
      <c r="M561" s="29">
        <f>Текущий!AM560</f>
        <v>0</v>
      </c>
      <c r="N561" s="29">
        <f>Текущий!AN560</f>
        <v>0</v>
      </c>
      <c r="O561" s="29">
        <f>Текущий!AP560</f>
        <v>0</v>
      </c>
      <c r="P561" s="29">
        <f>Предыд!AL560</f>
        <v>0</v>
      </c>
      <c r="Q561" s="29">
        <f>Предыд!AM560</f>
        <v>0</v>
      </c>
      <c r="R561" s="29">
        <f>Предыд!AN560</f>
        <v>0</v>
      </c>
      <c r="S561" s="29">
        <f>Предыд!AO560</f>
        <v>0</v>
      </c>
      <c r="T561" s="17" t="str">
        <f t="shared" si="8"/>
        <v>-</v>
      </c>
    </row>
    <row r="562" spans="1:20" x14ac:dyDescent="0.25">
      <c r="A562" s="29">
        <f>Текущий!A561</f>
        <v>13</v>
      </c>
      <c r="B562" s="29">
        <f>Текущий!B561</f>
        <v>13883</v>
      </c>
      <c r="C562" s="29">
        <f>Текущий!C561</f>
        <v>1</v>
      </c>
      <c r="D562" s="29" t="str">
        <f>Текущий!D561</f>
        <v>Владивосток - Гайдамак</v>
      </c>
      <c r="E562" s="29">
        <f>ROUND(Текущий!J561,0)</f>
        <v>0</v>
      </c>
      <c r="F562" s="29">
        <f>Текущий!E561</f>
        <v>0</v>
      </c>
      <c r="G562" s="16" t="str">
        <f>IF(Текущий!K561="-",Текущий!K561,ROUND(Текущий!K561,0))</f>
        <v>-</v>
      </c>
      <c r="H562" s="29" t="str">
        <f>IF(ROUND(Текущий!I561,0)=0,"-",ROUND(Текущий!I561,0))</f>
        <v>-</v>
      </c>
      <c r="I562" s="16" t="str">
        <f>IF(Предыд!K561="-",Предыд!K561,ROUND(Предыд!K561,0))</f>
        <v>-</v>
      </c>
      <c r="J562" s="29" t="str">
        <f>IF(ROUND(Предыд!I561,0)=0,"-",ROUND(Предыд!I561,0))</f>
        <v>-</v>
      </c>
      <c r="K562" s="30" t="str">
        <f>Текущий!L561</f>
        <v>Рихтовка</v>
      </c>
      <c r="L562" s="29">
        <f>Текущий!AL561</f>
        <v>0</v>
      </c>
      <c r="M562" s="29">
        <f>Текущий!AM561</f>
        <v>0</v>
      </c>
      <c r="N562" s="29">
        <f>Текущий!AN561</f>
        <v>0</v>
      </c>
      <c r="O562" s="29">
        <f>Текущий!AP561</f>
        <v>0</v>
      </c>
      <c r="P562" s="29">
        <f>Предыд!AL561</f>
        <v>0</v>
      </c>
      <c r="Q562" s="29">
        <f>Предыд!AM561</f>
        <v>0</v>
      </c>
      <c r="R562" s="29">
        <f>Предыд!AN561</f>
        <v>0</v>
      </c>
      <c r="S562" s="29">
        <f>Предыд!AO561</f>
        <v>0</v>
      </c>
      <c r="T562" s="17" t="str">
        <f t="shared" si="8"/>
        <v>-</v>
      </c>
    </row>
    <row r="563" spans="1:20" x14ac:dyDescent="0.25">
      <c r="A563" s="29">
        <f>Текущий!A562</f>
        <v>13</v>
      </c>
      <c r="B563" s="29">
        <f>Текущий!B562</f>
        <v>13882</v>
      </c>
      <c r="C563" s="29">
        <f>Текущий!C562</f>
        <v>2</v>
      </c>
      <c r="D563" s="29" t="str">
        <f>Текущий!D562</f>
        <v>Вторая Речка - Баневур</v>
      </c>
      <c r="E563" s="29">
        <f>ROUND(Текущий!J562,0)</f>
        <v>0</v>
      </c>
      <c r="F563" s="29">
        <f>Текущий!E562</f>
        <v>0</v>
      </c>
      <c r="G563" s="16" t="str">
        <f>IF(Текущий!K562="-",Текущий!K562,ROUND(Текущий!K562,0))</f>
        <v>-</v>
      </c>
      <c r="H563" s="29" t="str">
        <f>IF(ROUND(Текущий!I562,0)=0,"-",ROUND(Текущий!I562,0))</f>
        <v>-</v>
      </c>
      <c r="I563" s="16" t="str">
        <f>IF(Предыд!K562="-",Предыд!K562,ROUND(Предыд!K562,0))</f>
        <v>-</v>
      </c>
      <c r="J563" s="29" t="str">
        <f>IF(ROUND(Предыд!I562,0)=0,"-",ROUND(Предыд!I562,0))</f>
        <v>-</v>
      </c>
      <c r="K563" s="30" t="str">
        <f>Текущий!L562</f>
        <v>Рихтовка</v>
      </c>
      <c r="L563" s="29">
        <f>Текущий!AL562</f>
        <v>0</v>
      </c>
      <c r="M563" s="29">
        <f>Текущий!AM562</f>
        <v>0</v>
      </c>
      <c r="N563" s="29">
        <f>Текущий!AN562</f>
        <v>0</v>
      </c>
      <c r="O563" s="29">
        <f>Текущий!AP562</f>
        <v>0</v>
      </c>
      <c r="P563" s="29">
        <f>Предыд!AL562</f>
        <v>0</v>
      </c>
      <c r="Q563" s="29">
        <f>Предыд!AM562</f>
        <v>0</v>
      </c>
      <c r="R563" s="29">
        <f>Предыд!AN562</f>
        <v>0</v>
      </c>
      <c r="S563" s="29">
        <f>Предыд!AO562</f>
        <v>0</v>
      </c>
      <c r="T563" s="17" t="str">
        <f t="shared" si="8"/>
        <v>-</v>
      </c>
    </row>
    <row r="564" spans="1:20" x14ac:dyDescent="0.25">
      <c r="A564" s="29">
        <f>Текущий!A563</f>
        <v>13</v>
      </c>
      <c r="B564" s="29">
        <f>Текущий!B563</f>
        <v>13882</v>
      </c>
      <c r="C564" s="29">
        <f>Текущий!C563</f>
        <v>2</v>
      </c>
      <c r="D564" s="29" t="str">
        <f>Текущий!D563</f>
        <v>Баневур - Гайдамак</v>
      </c>
      <c r="E564" s="29">
        <f>ROUND(Текущий!J563,0)</f>
        <v>0</v>
      </c>
      <c r="F564" s="29">
        <f>Текущий!E563</f>
        <v>0</v>
      </c>
      <c r="G564" s="16" t="str">
        <f>IF(Текущий!K563="-",Текущий!K563,ROUND(Текущий!K563,0))</f>
        <v>-</v>
      </c>
      <c r="H564" s="29" t="str">
        <f>IF(ROUND(Текущий!I563,0)=0,"-",ROUND(Текущий!I563,0))</f>
        <v>-</v>
      </c>
      <c r="I564" s="16" t="str">
        <f>IF(Предыд!K563="-",Предыд!K563,ROUND(Предыд!K563,0))</f>
        <v>-</v>
      </c>
      <c r="J564" s="29" t="str">
        <f>IF(ROUND(Предыд!I563,0)=0,"-",ROUND(Предыд!I563,0))</f>
        <v>-</v>
      </c>
      <c r="K564" s="30" t="str">
        <f>Текущий!L563</f>
        <v>Рихтовка</v>
      </c>
      <c r="L564" s="29">
        <f>Текущий!AL563</f>
        <v>0</v>
      </c>
      <c r="M564" s="29">
        <f>Текущий!AM563</f>
        <v>0</v>
      </c>
      <c r="N564" s="29">
        <f>Текущий!AN563</f>
        <v>0</v>
      </c>
      <c r="O564" s="29">
        <f>Текущий!AP563</f>
        <v>0</v>
      </c>
      <c r="P564" s="29">
        <f>Предыд!AL563</f>
        <v>0</v>
      </c>
      <c r="Q564" s="29">
        <f>Предыд!AM563</f>
        <v>0</v>
      </c>
      <c r="R564" s="29">
        <f>Предыд!AN563</f>
        <v>0</v>
      </c>
      <c r="S564" s="29">
        <f>Предыд!AO563</f>
        <v>0</v>
      </c>
      <c r="T564" s="17" t="str">
        <f t="shared" si="8"/>
        <v>-</v>
      </c>
    </row>
    <row r="565" spans="1:20" x14ac:dyDescent="0.25">
      <c r="A565" s="29">
        <f>Текущий!A564</f>
        <v>13</v>
      </c>
      <c r="B565" s="29">
        <f>Текущий!B564</f>
        <v>13882</v>
      </c>
      <c r="C565" s="29">
        <f>Текущий!C564</f>
        <v>2</v>
      </c>
      <c r="D565" s="29" t="str">
        <f>Текущий!D564</f>
        <v>Гайдамак - Мыс Чуркин</v>
      </c>
      <c r="E565" s="29">
        <f>ROUND(Текущий!J564,0)</f>
        <v>0</v>
      </c>
      <c r="F565" s="29">
        <f>Текущий!E564</f>
        <v>0</v>
      </c>
      <c r="G565" s="16" t="str">
        <f>IF(Текущий!K564="-",Текущий!K564,ROUND(Текущий!K564,0))</f>
        <v>-</v>
      </c>
      <c r="H565" s="29" t="str">
        <f>IF(ROUND(Текущий!I564,0)=0,"-",ROUND(Текущий!I564,0))</f>
        <v>-</v>
      </c>
      <c r="I565" s="16" t="str">
        <f>IF(Предыд!K564="-",Предыд!K564,ROUND(Предыд!K564,0))</f>
        <v>-</v>
      </c>
      <c r="J565" s="29" t="str">
        <f>IF(ROUND(Предыд!I564,0)=0,"-",ROUND(Предыд!I564,0))</f>
        <v>-</v>
      </c>
      <c r="K565" s="30" t="str">
        <f>Текущий!L564</f>
        <v>Рихтовка</v>
      </c>
      <c r="L565" s="29">
        <f>Текущий!AL564</f>
        <v>0</v>
      </c>
      <c r="M565" s="29">
        <f>Текущий!AM564</f>
        <v>0</v>
      </c>
      <c r="N565" s="29">
        <f>Текущий!AN564</f>
        <v>0</v>
      </c>
      <c r="O565" s="29">
        <f>Текущий!AP564</f>
        <v>0</v>
      </c>
      <c r="P565" s="29">
        <f>Предыд!AL564</f>
        <v>0</v>
      </c>
      <c r="Q565" s="29">
        <f>Предыд!AM564</f>
        <v>0</v>
      </c>
      <c r="R565" s="29">
        <f>Предыд!AN564</f>
        <v>0</v>
      </c>
      <c r="S565" s="29">
        <f>Предыд!AO564</f>
        <v>0</v>
      </c>
      <c r="T565" s="17" t="str">
        <f t="shared" si="8"/>
        <v>-</v>
      </c>
    </row>
    <row r="566" spans="1:20" x14ac:dyDescent="0.25">
      <c r="A566" s="29">
        <f>Текущий!A565</f>
        <v>13</v>
      </c>
      <c r="B566" s="29">
        <f>Текущий!B565</f>
        <v>25138</v>
      </c>
      <c r="C566" s="29" t="str">
        <f>Текущий!C565</f>
        <v>3г</v>
      </c>
      <c r="D566" s="29" t="str">
        <f>Текущий!D565</f>
        <v>Первая Речка - Гайдамак</v>
      </c>
      <c r="E566" s="29">
        <f>ROUND(Текущий!J565,0)</f>
        <v>0</v>
      </c>
      <c r="F566" s="29">
        <f>Текущий!E565</f>
        <v>0</v>
      </c>
      <c r="G566" s="16" t="str">
        <f>IF(Текущий!K565="-",Текущий!K565,ROUND(Текущий!K565,0))</f>
        <v>-</v>
      </c>
      <c r="H566" s="29" t="str">
        <f>IF(ROUND(Текущий!I565,0)=0,"-",ROUND(Текущий!I565,0))</f>
        <v>-</v>
      </c>
      <c r="I566" s="16" t="str">
        <f>IF(Предыд!K565="-",Предыд!K565,ROUND(Предыд!K565,0))</f>
        <v>-</v>
      </c>
      <c r="J566" s="29" t="str">
        <f>IF(ROUND(Предыд!I565,0)=0,"-",ROUND(Предыд!I565,0))</f>
        <v>-</v>
      </c>
      <c r="K566" s="30" t="str">
        <f>Текущий!L565</f>
        <v>Рихтовка</v>
      </c>
      <c r="L566" s="29">
        <f>Текущий!AL565</f>
        <v>0</v>
      </c>
      <c r="M566" s="29">
        <f>Текущий!AM565</f>
        <v>0</v>
      </c>
      <c r="N566" s="29">
        <f>Текущий!AN565</f>
        <v>0</v>
      </c>
      <c r="O566" s="29">
        <f>Текущий!AP565</f>
        <v>0</v>
      </c>
      <c r="P566" s="29">
        <f>Предыд!AL565</f>
        <v>0</v>
      </c>
      <c r="Q566" s="29">
        <f>Предыд!AM565</f>
        <v>0</v>
      </c>
      <c r="R566" s="29">
        <f>Предыд!AN565</f>
        <v>0</v>
      </c>
      <c r="S566" s="29">
        <f>Предыд!AO565</f>
        <v>0</v>
      </c>
      <c r="T566" s="17" t="str">
        <f t="shared" si="8"/>
        <v>-</v>
      </c>
    </row>
    <row r="567" spans="1:20" x14ac:dyDescent="0.25">
      <c r="A567" s="29">
        <f>Текущий!A566</f>
        <v>13</v>
      </c>
      <c r="B567" s="29">
        <f>Текущий!B566</f>
        <v>25138</v>
      </c>
      <c r="C567" s="29" t="str">
        <f>Текущий!C566</f>
        <v>6г</v>
      </c>
      <c r="D567" s="29" t="str">
        <f>Текущий!D566</f>
        <v>Первая Речка - Баневур</v>
      </c>
      <c r="E567" s="29">
        <f>ROUND(Текущий!J566,0)</f>
        <v>0</v>
      </c>
      <c r="F567" s="29">
        <f>Текущий!E566</f>
        <v>0</v>
      </c>
      <c r="G567" s="16" t="str">
        <f>IF(Текущий!K566="-",Текущий!K566,ROUND(Текущий!K566,0))</f>
        <v>-</v>
      </c>
      <c r="H567" s="29" t="str">
        <f>IF(ROUND(Текущий!I566,0)=0,"-",ROUND(Текущий!I566,0))</f>
        <v>-</v>
      </c>
      <c r="I567" s="16" t="str">
        <f>IF(Предыд!K566="-",Предыд!K566,ROUND(Предыд!K566,0))</f>
        <v>-</v>
      </c>
      <c r="J567" s="29" t="str">
        <f>IF(ROUND(Предыд!I566,0)=0,"-",ROUND(Предыд!I566,0))</f>
        <v>-</v>
      </c>
      <c r="K567" s="30" t="str">
        <f>Текущий!L566</f>
        <v>Рихтовка</v>
      </c>
      <c r="L567" s="29">
        <f>Текущий!AL566</f>
        <v>0</v>
      </c>
      <c r="M567" s="29">
        <f>Текущий!AM566</f>
        <v>0</v>
      </c>
      <c r="N567" s="29">
        <f>Текущий!AN566</f>
        <v>0</v>
      </c>
      <c r="O567" s="29">
        <f>Текущий!AP566</f>
        <v>0</v>
      </c>
      <c r="P567" s="29">
        <f>Предыд!AL566</f>
        <v>0</v>
      </c>
      <c r="Q567" s="29">
        <f>Предыд!AM566</f>
        <v>0</v>
      </c>
      <c r="R567" s="29">
        <f>Предыд!AN566</f>
        <v>0</v>
      </c>
      <c r="S567" s="29">
        <f>Предыд!AO566</f>
        <v>0</v>
      </c>
      <c r="T567" s="17" t="str">
        <f t="shared" si="8"/>
        <v>-</v>
      </c>
    </row>
    <row r="568" spans="1:20" x14ac:dyDescent="0.25">
      <c r="A568" s="29">
        <f>Текущий!A567</f>
        <v>13</v>
      </c>
      <c r="B568" s="29">
        <f>Текущий!B567</f>
        <v>25105</v>
      </c>
      <c r="C568" s="29">
        <f>Текущий!C567</f>
        <v>3</v>
      </c>
      <c r="D568" s="29" t="str">
        <f>Текущий!D567</f>
        <v>Угольная - Угловая</v>
      </c>
      <c r="E568" s="29">
        <f>ROUND(Текущий!J567,0)</f>
        <v>0</v>
      </c>
      <c r="F568" s="29">
        <f>Текущий!E567</f>
        <v>0</v>
      </c>
      <c r="G568" s="16" t="str">
        <f>IF(Текущий!K567="-",Текущий!K567,ROUND(Текущий!K567,0))</f>
        <v>-</v>
      </c>
      <c r="H568" s="29" t="str">
        <f>IF(ROUND(Текущий!I567,0)=0,"-",ROUND(Текущий!I567,0))</f>
        <v>-</v>
      </c>
      <c r="I568" s="16" t="str">
        <f>IF(Предыд!K567="-",Предыд!K567,ROUND(Предыд!K567,0))</f>
        <v>-</v>
      </c>
      <c r="J568" s="29" t="str">
        <f>IF(ROUND(Предыд!I567,0)=0,"-",ROUND(Предыд!I567,0))</f>
        <v>-</v>
      </c>
      <c r="K568" s="30" t="str">
        <f>Текущий!L567</f>
        <v>Рихтовка</v>
      </c>
      <c r="L568" s="29">
        <f>Текущий!AL567</f>
        <v>0</v>
      </c>
      <c r="M568" s="29">
        <f>Текущий!AM567</f>
        <v>0</v>
      </c>
      <c r="N568" s="29">
        <f>Текущий!AN567</f>
        <v>0</v>
      </c>
      <c r="O568" s="29">
        <f>Текущий!AP567</f>
        <v>0</v>
      </c>
      <c r="P568" s="29">
        <f>Предыд!AL567</f>
        <v>0</v>
      </c>
      <c r="Q568" s="29">
        <f>Предыд!AM567</f>
        <v>0</v>
      </c>
      <c r="R568" s="29">
        <f>Предыд!AN567</f>
        <v>0</v>
      </c>
      <c r="S568" s="29">
        <f>Предыд!AO567</f>
        <v>0</v>
      </c>
      <c r="T568" s="17" t="str">
        <f t="shared" si="8"/>
        <v>-</v>
      </c>
    </row>
    <row r="569" spans="1:20" x14ac:dyDescent="0.25">
      <c r="A569" s="29">
        <f>Текущий!A568</f>
        <v>13</v>
      </c>
      <c r="B569" s="29">
        <f>Текущий!B568</f>
        <v>25133</v>
      </c>
      <c r="C569" s="29" t="str">
        <f>Текущий!C568</f>
        <v>2а</v>
      </c>
      <c r="D569" s="29" t="str">
        <f>Текущий!D568</f>
        <v>Смоляниново - Петровка</v>
      </c>
      <c r="E569" s="29">
        <f>ROUND(Текущий!J568,0)</f>
        <v>0</v>
      </c>
      <c r="F569" s="29">
        <f>Текущий!E568</f>
        <v>0</v>
      </c>
      <c r="G569" s="16" t="str">
        <f>IF(Текущий!K568="-",Текущий!K568,ROUND(Текущий!K568,0))</f>
        <v>-</v>
      </c>
      <c r="H569" s="29" t="str">
        <f>IF(ROUND(Текущий!I568,0)=0,"-",ROUND(Текущий!I568,0))</f>
        <v>-</v>
      </c>
      <c r="I569" s="16" t="str">
        <f>IF(Предыд!K568="-",Предыд!K568,ROUND(Предыд!K568,0))</f>
        <v>-</v>
      </c>
      <c r="J569" s="29" t="str">
        <f>IF(ROUND(Предыд!I568,0)=0,"-",ROUND(Предыд!I568,0))</f>
        <v>-</v>
      </c>
      <c r="K569" s="30" t="str">
        <f>Текущий!L568</f>
        <v>Рихтовка</v>
      </c>
      <c r="L569" s="29">
        <f>Текущий!AL568</f>
        <v>0</v>
      </c>
      <c r="M569" s="29">
        <f>Текущий!AM568</f>
        <v>0</v>
      </c>
      <c r="N569" s="29">
        <f>Текущий!AN568</f>
        <v>0</v>
      </c>
      <c r="O569" s="29">
        <f>Текущий!AP568</f>
        <v>0</v>
      </c>
      <c r="P569" s="29">
        <f>Предыд!AL568</f>
        <v>0</v>
      </c>
      <c r="Q569" s="29">
        <f>Предыд!AM568</f>
        <v>0</v>
      </c>
      <c r="R569" s="29">
        <f>Предыд!AN568</f>
        <v>0</v>
      </c>
      <c r="S569" s="29">
        <f>Предыд!AO568</f>
        <v>0</v>
      </c>
      <c r="T569" s="17" t="str">
        <f t="shared" si="8"/>
        <v>-</v>
      </c>
    </row>
    <row r="570" spans="1:20" x14ac:dyDescent="0.25">
      <c r="A570" s="29">
        <f>Текущий!A569</f>
        <v>13</v>
      </c>
      <c r="B570" s="29">
        <f>Текущий!B569</f>
        <v>25133</v>
      </c>
      <c r="C570" s="29" t="str">
        <f>Текущий!C569</f>
        <v>2а</v>
      </c>
      <c r="D570" s="29" t="str">
        <f>Текущий!D569</f>
        <v>Петровка - Стрелковая</v>
      </c>
      <c r="E570" s="29">
        <f>ROUND(Текущий!J569,0)</f>
        <v>0</v>
      </c>
      <c r="F570" s="29">
        <f>Текущий!E569</f>
        <v>0</v>
      </c>
      <c r="G570" s="16" t="str">
        <f>IF(Текущий!K569="-",Текущий!K569,ROUND(Текущий!K569,0))</f>
        <v>-</v>
      </c>
      <c r="H570" s="29" t="str">
        <f>IF(ROUND(Текущий!I569,0)=0,"-",ROUND(Текущий!I569,0))</f>
        <v>-</v>
      </c>
      <c r="I570" s="16" t="str">
        <f>IF(Предыд!K569="-",Предыд!K569,ROUND(Предыд!K569,0))</f>
        <v>-</v>
      </c>
      <c r="J570" s="29" t="str">
        <f>IF(ROUND(Предыд!I569,0)=0,"-",ROUND(Предыд!I569,0))</f>
        <v>-</v>
      </c>
      <c r="K570" s="30" t="str">
        <f>Текущий!L569</f>
        <v>Рихтовка</v>
      </c>
      <c r="L570" s="29">
        <f>Текущий!AL569</f>
        <v>0</v>
      </c>
      <c r="M570" s="29">
        <f>Текущий!AM569</f>
        <v>0</v>
      </c>
      <c r="N570" s="29">
        <f>Текущий!AN569</f>
        <v>0</v>
      </c>
      <c r="O570" s="29">
        <f>Текущий!AP569</f>
        <v>0</v>
      </c>
      <c r="P570" s="29">
        <f>Предыд!AL569</f>
        <v>0</v>
      </c>
      <c r="Q570" s="29">
        <f>Предыд!AM569</f>
        <v>0</v>
      </c>
      <c r="R570" s="29">
        <f>Предыд!AN569</f>
        <v>0</v>
      </c>
      <c r="S570" s="29">
        <f>Предыд!AO569</f>
        <v>0</v>
      </c>
      <c r="T570" s="17" t="str">
        <f t="shared" si="8"/>
        <v>-</v>
      </c>
    </row>
    <row r="571" spans="1:20" x14ac:dyDescent="0.25">
      <c r="A571" s="29">
        <f>Текущий!A570</f>
        <v>13</v>
      </c>
      <c r="B571" s="29">
        <f>Текущий!B570</f>
        <v>25133</v>
      </c>
      <c r="C571" s="29" t="str">
        <f>Текущий!C570</f>
        <v>2а</v>
      </c>
      <c r="D571" s="29" t="str">
        <f>Текущий!D570</f>
        <v>Стрелковая - Дунай</v>
      </c>
      <c r="E571" s="29">
        <f>ROUND(Текущий!J570,0)</f>
        <v>0</v>
      </c>
      <c r="F571" s="29">
        <f>Текущий!E570</f>
        <v>0</v>
      </c>
      <c r="G571" s="16" t="str">
        <f>IF(Текущий!K570="-",Текущий!K570,ROUND(Текущий!K570,0))</f>
        <v>-</v>
      </c>
      <c r="H571" s="29" t="str">
        <f>IF(ROUND(Текущий!I570,0)=0,"-",ROUND(Текущий!I570,0))</f>
        <v>-</v>
      </c>
      <c r="I571" s="16" t="str">
        <f>IF(Предыд!K570="-",Предыд!K570,ROUND(Предыд!K570,0))</f>
        <v>-</v>
      </c>
      <c r="J571" s="29" t="str">
        <f>IF(ROUND(Предыд!I570,0)=0,"-",ROUND(Предыд!I570,0))</f>
        <v>-</v>
      </c>
      <c r="K571" s="30" t="str">
        <f>Текущий!L570</f>
        <v>Рихтовка</v>
      </c>
      <c r="L571" s="29">
        <f>Текущий!AL570</f>
        <v>0</v>
      </c>
      <c r="M571" s="29">
        <f>Текущий!AM570</f>
        <v>0</v>
      </c>
      <c r="N571" s="29">
        <f>Текущий!AN570</f>
        <v>0</v>
      </c>
      <c r="O571" s="29">
        <f>Текущий!AP570</f>
        <v>0</v>
      </c>
      <c r="P571" s="29">
        <f>Предыд!AL570</f>
        <v>0</v>
      </c>
      <c r="Q571" s="29">
        <f>Предыд!AM570</f>
        <v>0</v>
      </c>
      <c r="R571" s="29">
        <f>Предыд!AN570</f>
        <v>0</v>
      </c>
      <c r="S571" s="29">
        <f>Предыд!AO570</f>
        <v>0</v>
      </c>
      <c r="T571" s="17" t="str">
        <f t="shared" si="8"/>
        <v>-</v>
      </c>
    </row>
    <row r="572" spans="1:20" x14ac:dyDescent="0.25">
      <c r="A572" s="29">
        <f>Текущий!A571</f>
        <v>13</v>
      </c>
      <c r="B572" s="29">
        <f>Текущий!B571</f>
        <v>25134</v>
      </c>
      <c r="C572" s="29">
        <f>Текущий!C571</f>
        <v>2</v>
      </c>
      <c r="D572" s="29" t="str">
        <f>Текущий!D571</f>
        <v>Петровка - Б.Камень</v>
      </c>
      <c r="E572" s="29">
        <f>ROUND(Текущий!J571,0)</f>
        <v>0</v>
      </c>
      <c r="F572" s="29">
        <f>Текущий!E571</f>
        <v>0</v>
      </c>
      <c r="G572" s="16" t="str">
        <f>IF(Текущий!K571="-",Текущий!K571,ROUND(Текущий!K571,0))</f>
        <v>-</v>
      </c>
      <c r="H572" s="29" t="str">
        <f>IF(ROUND(Текущий!I571,0)=0,"-",ROUND(Текущий!I571,0))</f>
        <v>-</v>
      </c>
      <c r="I572" s="16" t="str">
        <f>IF(Предыд!K571="-",Предыд!K571,ROUND(Предыд!K571,0))</f>
        <v>-</v>
      </c>
      <c r="J572" s="29" t="str">
        <f>IF(ROUND(Предыд!I571,0)=0,"-",ROUND(Предыд!I571,0))</f>
        <v>-</v>
      </c>
      <c r="K572" s="30" t="str">
        <f>Текущий!L571</f>
        <v>Рихтовка</v>
      </c>
      <c r="L572" s="29">
        <f>Текущий!AL571</f>
        <v>0</v>
      </c>
      <c r="M572" s="29">
        <f>Текущий!AM571</f>
        <v>0</v>
      </c>
      <c r="N572" s="29">
        <f>Текущий!AN571</f>
        <v>0</v>
      </c>
      <c r="O572" s="29">
        <f>Текущий!AP571</f>
        <v>0</v>
      </c>
      <c r="P572" s="29">
        <f>Предыд!AL571</f>
        <v>0</v>
      </c>
      <c r="Q572" s="29">
        <f>Предыд!AM571</f>
        <v>0</v>
      </c>
      <c r="R572" s="29">
        <f>Предыд!AN571</f>
        <v>0</v>
      </c>
      <c r="S572" s="29">
        <f>Предыд!AO571</f>
        <v>0</v>
      </c>
      <c r="T572" s="17" t="str">
        <f t="shared" si="8"/>
        <v>-</v>
      </c>
    </row>
    <row r="573" spans="1:20" x14ac:dyDescent="0.25">
      <c r="A573" s="29">
        <f>Текущий!A572</f>
        <v>13</v>
      </c>
      <c r="B573" s="29">
        <f>Текущий!B572</f>
        <v>13880</v>
      </c>
      <c r="C573" s="29">
        <f>Текущий!C572</f>
        <v>1</v>
      </c>
      <c r="D573" s="29" t="str">
        <f>Текущий!D572</f>
        <v>Амурский Залив - Угловая</v>
      </c>
      <c r="E573" s="29">
        <f>ROUND(Текущий!J572,0)</f>
        <v>0</v>
      </c>
      <c r="F573" s="29">
        <f>Текущий!E572</f>
        <v>0</v>
      </c>
      <c r="G573" s="16" t="str">
        <f>IF(Текущий!K572="-",Текущий!K572,ROUND(Текущий!K572,0))</f>
        <v>-</v>
      </c>
      <c r="H573" s="29" t="str">
        <f>IF(ROUND(Текущий!I572,0)=0,"-",ROUND(Текущий!I572,0))</f>
        <v>-</v>
      </c>
      <c r="I573" s="16" t="str">
        <f>IF(Предыд!K572="-",Предыд!K572,ROUND(Предыд!K572,0))</f>
        <v>-</v>
      </c>
      <c r="J573" s="29" t="str">
        <f>IF(ROUND(Предыд!I572,0)=0,"-",ROUND(Предыд!I572,0))</f>
        <v>-</v>
      </c>
      <c r="K573" s="30" t="str">
        <f>Текущий!L572</f>
        <v>Рихтовка</v>
      </c>
      <c r="L573" s="29">
        <f>Текущий!AL572</f>
        <v>0</v>
      </c>
      <c r="M573" s="29">
        <f>Текущий!AM572</f>
        <v>0</v>
      </c>
      <c r="N573" s="29">
        <f>Текущий!AN572</f>
        <v>0</v>
      </c>
      <c r="O573" s="29">
        <f>Текущий!AP572</f>
        <v>0</v>
      </c>
      <c r="P573" s="29">
        <f>Предыд!AL572</f>
        <v>0</v>
      </c>
      <c r="Q573" s="29">
        <f>Предыд!AM572</f>
        <v>0</v>
      </c>
      <c r="R573" s="29">
        <f>Предыд!AN572</f>
        <v>0</v>
      </c>
      <c r="S573" s="29">
        <f>Предыд!AO572</f>
        <v>0</v>
      </c>
      <c r="T573" s="17" t="str">
        <f t="shared" si="8"/>
        <v>-</v>
      </c>
    </row>
    <row r="574" spans="1:20" x14ac:dyDescent="0.25">
      <c r="A574" s="29">
        <f>Текущий!A573</f>
        <v>13</v>
      </c>
      <c r="B574" s="29">
        <f>Текущий!B573</f>
        <v>13880</v>
      </c>
      <c r="C574" s="29">
        <f>Текущий!C573</f>
        <v>1</v>
      </c>
      <c r="D574" s="29" t="str">
        <f>Текущий!D573</f>
        <v>Угловая - Артем-Приморский I</v>
      </c>
      <c r="E574" s="29">
        <f>ROUND(Текущий!J573,0)</f>
        <v>0</v>
      </c>
      <c r="F574" s="29">
        <f>Текущий!E573</f>
        <v>0</v>
      </c>
      <c r="G574" s="16" t="str">
        <f>IF(Текущий!K573="-",Текущий!K573,ROUND(Текущий!K573,0))</f>
        <v>-</v>
      </c>
      <c r="H574" s="29" t="str">
        <f>IF(ROUND(Текущий!I573,0)=0,"-",ROUND(Текущий!I573,0))</f>
        <v>-</v>
      </c>
      <c r="I574" s="16" t="str">
        <f>IF(Предыд!K573="-",Предыд!K573,ROUND(Предыд!K573,0))</f>
        <v>-</v>
      </c>
      <c r="J574" s="29" t="str">
        <f>IF(ROUND(Предыд!I573,0)=0,"-",ROUND(Предыд!I573,0))</f>
        <v>-</v>
      </c>
      <c r="K574" s="30" t="str">
        <f>Текущий!L573</f>
        <v>Рихтовка</v>
      </c>
      <c r="L574" s="29">
        <f>Текущий!AL573</f>
        <v>0</v>
      </c>
      <c r="M574" s="29">
        <f>Текущий!AM573</f>
        <v>0</v>
      </c>
      <c r="N574" s="29">
        <f>Текущий!AN573</f>
        <v>0</v>
      </c>
      <c r="O574" s="29">
        <f>Текущий!AP573</f>
        <v>0</v>
      </c>
      <c r="P574" s="29">
        <f>Предыд!AL573</f>
        <v>0</v>
      </c>
      <c r="Q574" s="29">
        <f>Предыд!AM573</f>
        <v>0</v>
      </c>
      <c r="R574" s="29">
        <f>Предыд!AN573</f>
        <v>0</v>
      </c>
      <c r="S574" s="29">
        <f>Предыд!AO573</f>
        <v>0</v>
      </c>
      <c r="T574" s="17" t="str">
        <f t="shared" si="8"/>
        <v>-</v>
      </c>
    </row>
    <row r="575" spans="1:20" x14ac:dyDescent="0.25">
      <c r="A575" s="29">
        <f>Текущий!A574</f>
        <v>13</v>
      </c>
      <c r="B575" s="29">
        <f>Текущий!B574</f>
        <v>13880</v>
      </c>
      <c r="C575" s="29">
        <f>Текущий!C574</f>
        <v>1</v>
      </c>
      <c r="D575" s="29" t="str">
        <f>Текущий!D574</f>
        <v>Артем-Приморский I - Артем-Приморский II</v>
      </c>
      <c r="E575" s="29">
        <f>ROUND(Текущий!J574,0)</f>
        <v>0</v>
      </c>
      <c r="F575" s="29">
        <f>Текущий!E574</f>
        <v>0</v>
      </c>
      <c r="G575" s="16" t="str">
        <f>IF(Текущий!K574="-",Текущий!K574,ROUND(Текущий!K574,0))</f>
        <v>-</v>
      </c>
      <c r="H575" s="29" t="str">
        <f>IF(ROUND(Текущий!I574,0)=0,"-",ROUND(Текущий!I574,0))</f>
        <v>-</v>
      </c>
      <c r="I575" s="16" t="str">
        <f>IF(Предыд!K574="-",Предыд!K574,ROUND(Предыд!K574,0))</f>
        <v>-</v>
      </c>
      <c r="J575" s="29" t="str">
        <f>IF(ROUND(Предыд!I574,0)=0,"-",ROUND(Предыд!I574,0))</f>
        <v>-</v>
      </c>
      <c r="K575" s="30" t="str">
        <f>Текущий!L574</f>
        <v>Рихтовка</v>
      </c>
      <c r="L575" s="29">
        <f>Текущий!AL574</f>
        <v>0</v>
      </c>
      <c r="M575" s="29">
        <f>Текущий!AM574</f>
        <v>0</v>
      </c>
      <c r="N575" s="29">
        <f>Текущий!AN574</f>
        <v>0</v>
      </c>
      <c r="O575" s="29">
        <f>Текущий!AP574</f>
        <v>0</v>
      </c>
      <c r="P575" s="29">
        <f>Предыд!AL574</f>
        <v>0</v>
      </c>
      <c r="Q575" s="29">
        <f>Предыд!AM574</f>
        <v>0</v>
      </c>
      <c r="R575" s="29">
        <f>Предыд!AN574</f>
        <v>0</v>
      </c>
      <c r="S575" s="29">
        <f>Предыд!AO574</f>
        <v>0</v>
      </c>
      <c r="T575" s="17" t="str">
        <f t="shared" si="8"/>
        <v>-</v>
      </c>
    </row>
    <row r="576" spans="1:20" x14ac:dyDescent="0.25">
      <c r="A576" s="29">
        <f>Текущий!A575</f>
        <v>13</v>
      </c>
      <c r="B576" s="29">
        <f>Текущий!B575</f>
        <v>13880</v>
      </c>
      <c r="C576" s="29">
        <f>Текущий!C575</f>
        <v>1</v>
      </c>
      <c r="D576" s="29" t="str">
        <f>Текущий!D575</f>
        <v>Артем-Приморский II - Артем-Приморский III</v>
      </c>
      <c r="E576" s="29">
        <f>ROUND(Текущий!J575,0)</f>
        <v>0</v>
      </c>
      <c r="F576" s="29">
        <f>Текущий!E575</f>
        <v>0</v>
      </c>
      <c r="G576" s="16" t="str">
        <f>IF(Текущий!K575="-",Текущий!K575,ROUND(Текущий!K575,0))</f>
        <v>-</v>
      </c>
      <c r="H576" s="29" t="str">
        <f>IF(ROUND(Текущий!I575,0)=0,"-",ROUND(Текущий!I575,0))</f>
        <v>-</v>
      </c>
      <c r="I576" s="16" t="str">
        <f>IF(Предыд!K575="-",Предыд!K575,ROUND(Предыд!K575,0))</f>
        <v>-</v>
      </c>
      <c r="J576" s="29" t="str">
        <f>IF(ROUND(Предыд!I575,0)=0,"-",ROUND(Предыд!I575,0))</f>
        <v>-</v>
      </c>
      <c r="K576" s="30" t="str">
        <f>Текущий!L575</f>
        <v>Рихтовка</v>
      </c>
      <c r="L576" s="29">
        <f>Текущий!AL575</f>
        <v>0</v>
      </c>
      <c r="M576" s="29">
        <f>Текущий!AM575</f>
        <v>0</v>
      </c>
      <c r="N576" s="29">
        <f>Текущий!AN575</f>
        <v>0</v>
      </c>
      <c r="O576" s="29">
        <f>Текущий!AP575</f>
        <v>0</v>
      </c>
      <c r="P576" s="29">
        <f>Предыд!AL575</f>
        <v>0</v>
      </c>
      <c r="Q576" s="29">
        <f>Предыд!AM575</f>
        <v>0</v>
      </c>
      <c r="R576" s="29">
        <f>Предыд!AN575</f>
        <v>0</v>
      </c>
      <c r="S576" s="29">
        <f>Предыд!AO575</f>
        <v>0</v>
      </c>
      <c r="T576" s="17" t="str">
        <f t="shared" si="8"/>
        <v>-</v>
      </c>
    </row>
    <row r="577" spans="1:20" x14ac:dyDescent="0.25">
      <c r="A577" s="29">
        <f>Текущий!A576</f>
        <v>13</v>
      </c>
      <c r="B577" s="29">
        <f>Текущий!B576</f>
        <v>13880</v>
      </c>
      <c r="C577" s="29">
        <f>Текущий!C576</f>
        <v>1</v>
      </c>
      <c r="D577" s="29" t="str">
        <f>Текущий!D576</f>
        <v>Артем-Приморский III - Шкотово</v>
      </c>
      <c r="E577" s="29">
        <f>ROUND(Текущий!J576,0)</f>
        <v>0</v>
      </c>
      <c r="F577" s="29">
        <f>Текущий!E576</f>
        <v>0</v>
      </c>
      <c r="G577" s="16" t="str">
        <f>IF(Текущий!K576="-",Текущий!K576,ROUND(Текущий!K576,0))</f>
        <v>-</v>
      </c>
      <c r="H577" s="29" t="str">
        <f>IF(ROUND(Текущий!I576,0)=0,"-",ROUND(Текущий!I576,0))</f>
        <v>-</v>
      </c>
      <c r="I577" s="16" t="str">
        <f>IF(Предыд!K576="-",Предыд!K576,ROUND(Предыд!K576,0))</f>
        <v>-</v>
      </c>
      <c r="J577" s="29" t="str">
        <f>IF(ROUND(Предыд!I576,0)=0,"-",ROUND(Предыд!I576,0))</f>
        <v>-</v>
      </c>
      <c r="K577" s="30" t="str">
        <f>Текущий!L576</f>
        <v>Рихтовка</v>
      </c>
      <c r="L577" s="29">
        <f>Текущий!AL576</f>
        <v>0</v>
      </c>
      <c r="M577" s="29">
        <f>Текущий!AM576</f>
        <v>0</v>
      </c>
      <c r="N577" s="29">
        <f>Текущий!AN576</f>
        <v>0</v>
      </c>
      <c r="O577" s="29">
        <f>Текущий!AP576</f>
        <v>0</v>
      </c>
      <c r="P577" s="29">
        <f>Предыд!AL576</f>
        <v>0</v>
      </c>
      <c r="Q577" s="29">
        <f>Предыд!AM576</f>
        <v>0</v>
      </c>
      <c r="R577" s="29">
        <f>Предыд!AN576</f>
        <v>0</v>
      </c>
      <c r="S577" s="29">
        <f>Предыд!AO576</f>
        <v>0</v>
      </c>
      <c r="T577" s="17" t="str">
        <f t="shared" si="8"/>
        <v>-</v>
      </c>
    </row>
    <row r="578" spans="1:20" x14ac:dyDescent="0.25">
      <c r="A578" s="29">
        <f>Текущий!A577</f>
        <v>13</v>
      </c>
      <c r="B578" s="29">
        <f>Текущий!B577</f>
        <v>13880</v>
      </c>
      <c r="C578" s="29">
        <f>Текущий!C577</f>
        <v>1</v>
      </c>
      <c r="D578" s="29" t="str">
        <f>Текущий!D577</f>
        <v>Шкотово - Смоляниново</v>
      </c>
      <c r="E578" s="29">
        <f>ROUND(Текущий!J577,0)</f>
        <v>0</v>
      </c>
      <c r="F578" s="29">
        <f>Текущий!E577</f>
        <v>0</v>
      </c>
      <c r="G578" s="16" t="str">
        <f>IF(Текущий!K577="-",Текущий!K577,ROUND(Текущий!K577,0))</f>
        <v>-</v>
      </c>
      <c r="H578" s="29" t="str">
        <f>IF(ROUND(Текущий!I577,0)=0,"-",ROUND(Текущий!I577,0))</f>
        <v>-</v>
      </c>
      <c r="I578" s="16" t="str">
        <f>IF(Предыд!K577="-",Предыд!K577,ROUND(Предыд!K577,0))</f>
        <v>-</v>
      </c>
      <c r="J578" s="29" t="str">
        <f>IF(ROUND(Предыд!I577,0)=0,"-",ROUND(Предыд!I577,0))</f>
        <v>-</v>
      </c>
      <c r="K578" s="30" t="str">
        <f>Текущий!L577</f>
        <v>Рихтовка</v>
      </c>
      <c r="L578" s="29">
        <f>Текущий!AL577</f>
        <v>0</v>
      </c>
      <c r="M578" s="29">
        <f>Текущий!AM577</f>
        <v>0</v>
      </c>
      <c r="N578" s="29">
        <f>Текущий!AN577</f>
        <v>0</v>
      </c>
      <c r="O578" s="29">
        <f>Текущий!AP577</f>
        <v>0</v>
      </c>
      <c r="P578" s="29">
        <f>Предыд!AL577</f>
        <v>0</v>
      </c>
      <c r="Q578" s="29">
        <f>Предыд!AM577</f>
        <v>0</v>
      </c>
      <c r="R578" s="29">
        <f>Предыд!AN577</f>
        <v>0</v>
      </c>
      <c r="S578" s="29">
        <f>Предыд!AO577</f>
        <v>0</v>
      </c>
      <c r="T578" s="17" t="str">
        <f t="shared" si="8"/>
        <v>-</v>
      </c>
    </row>
    <row r="579" spans="1:20" x14ac:dyDescent="0.25">
      <c r="A579" s="29">
        <f>Текущий!A578</f>
        <v>13</v>
      </c>
      <c r="B579" s="29">
        <f>Текущий!B578</f>
        <v>13880</v>
      </c>
      <c r="C579" s="29">
        <f>Текущий!C578</f>
        <v>2</v>
      </c>
      <c r="D579" s="29" t="str">
        <f>Текущий!D578</f>
        <v>Амурский Залив - Угловая</v>
      </c>
      <c r="E579" s="29">
        <f>ROUND(Текущий!J578,0)</f>
        <v>0</v>
      </c>
      <c r="F579" s="29">
        <f>Текущий!E578</f>
        <v>0</v>
      </c>
      <c r="G579" s="16" t="str">
        <f>IF(Текущий!K578="-",Текущий!K578,ROUND(Текущий!K578,0))</f>
        <v>-</v>
      </c>
      <c r="H579" s="29" t="str">
        <f>IF(ROUND(Текущий!I578,0)=0,"-",ROUND(Текущий!I578,0))</f>
        <v>-</v>
      </c>
      <c r="I579" s="16" t="str">
        <f>IF(Предыд!K578="-",Предыд!K578,ROUND(Предыд!K578,0))</f>
        <v>-</v>
      </c>
      <c r="J579" s="29" t="str">
        <f>IF(ROUND(Предыд!I578,0)=0,"-",ROUND(Предыд!I578,0))</f>
        <v>-</v>
      </c>
      <c r="K579" s="30" t="str">
        <f>Текущий!L578</f>
        <v>Рихтовка</v>
      </c>
      <c r="L579" s="29">
        <f>Текущий!AL578</f>
        <v>0</v>
      </c>
      <c r="M579" s="29">
        <f>Текущий!AM578</f>
        <v>0</v>
      </c>
      <c r="N579" s="29">
        <f>Текущий!AN578</f>
        <v>0</v>
      </c>
      <c r="O579" s="29">
        <f>Текущий!AP578</f>
        <v>0</v>
      </c>
      <c r="P579" s="29">
        <f>Предыд!AL578</f>
        <v>0</v>
      </c>
      <c r="Q579" s="29">
        <f>Предыд!AM578</f>
        <v>0</v>
      </c>
      <c r="R579" s="29">
        <f>Предыд!AN578</f>
        <v>0</v>
      </c>
      <c r="S579" s="29">
        <f>Предыд!AO578</f>
        <v>0</v>
      </c>
      <c r="T579" s="17" t="str">
        <f t="shared" si="8"/>
        <v>-</v>
      </c>
    </row>
    <row r="580" spans="1:20" x14ac:dyDescent="0.25">
      <c r="A580" s="29">
        <f>Текущий!A579</f>
        <v>13</v>
      </c>
      <c r="B580" s="29">
        <f>Текущий!B579</f>
        <v>13880</v>
      </c>
      <c r="C580" s="29">
        <f>Текущий!C579</f>
        <v>2</v>
      </c>
      <c r="D580" s="29" t="str">
        <f>Текущий!D579</f>
        <v>Угловая - Артем-Приморский I</v>
      </c>
      <c r="E580" s="29">
        <f>ROUND(Текущий!J579,0)</f>
        <v>0</v>
      </c>
      <c r="F580" s="29">
        <f>Текущий!E579</f>
        <v>0</v>
      </c>
      <c r="G580" s="16" t="str">
        <f>IF(Текущий!K579="-",Текущий!K579,ROUND(Текущий!K579,0))</f>
        <v>-</v>
      </c>
      <c r="H580" s="29" t="str">
        <f>IF(ROUND(Текущий!I579,0)=0,"-",ROUND(Текущий!I579,0))</f>
        <v>-</v>
      </c>
      <c r="I580" s="16" t="str">
        <f>IF(Предыд!K579="-",Предыд!K579,ROUND(Предыд!K579,0))</f>
        <v>-</v>
      </c>
      <c r="J580" s="29" t="str">
        <f>IF(ROUND(Предыд!I579,0)=0,"-",ROUND(Предыд!I579,0))</f>
        <v>-</v>
      </c>
      <c r="K580" s="30" t="str">
        <f>Текущий!L579</f>
        <v>Рихтовка</v>
      </c>
      <c r="L580" s="29">
        <f>Текущий!AL579</f>
        <v>0</v>
      </c>
      <c r="M580" s="29">
        <f>Текущий!AM579</f>
        <v>0</v>
      </c>
      <c r="N580" s="29">
        <f>Текущий!AN579</f>
        <v>0</v>
      </c>
      <c r="O580" s="29">
        <f>Текущий!AP579</f>
        <v>0</v>
      </c>
      <c r="P580" s="29">
        <f>Предыд!AL579</f>
        <v>0</v>
      </c>
      <c r="Q580" s="29">
        <f>Предыд!AM579</f>
        <v>0</v>
      </c>
      <c r="R580" s="29">
        <f>Предыд!AN579</f>
        <v>0</v>
      </c>
      <c r="S580" s="29">
        <f>Предыд!AO579</f>
        <v>0</v>
      </c>
      <c r="T580" s="17" t="str">
        <f t="shared" si="8"/>
        <v>-</v>
      </c>
    </row>
    <row r="581" spans="1:20" x14ac:dyDescent="0.25">
      <c r="A581" s="29">
        <f>Текущий!A580</f>
        <v>13</v>
      </c>
      <c r="B581" s="29">
        <f>Текущий!B580</f>
        <v>13880</v>
      </c>
      <c r="C581" s="29">
        <f>Текущий!C580</f>
        <v>2</v>
      </c>
      <c r="D581" s="29" t="str">
        <f>Текущий!D580</f>
        <v>Артем-Приморский I - Артем-Приморский II</v>
      </c>
      <c r="E581" s="29">
        <f>ROUND(Текущий!J580,0)</f>
        <v>0</v>
      </c>
      <c r="F581" s="29">
        <f>Текущий!E580</f>
        <v>0</v>
      </c>
      <c r="G581" s="16" t="str">
        <f>IF(Текущий!K580="-",Текущий!K580,ROUND(Текущий!K580,0))</f>
        <v>-</v>
      </c>
      <c r="H581" s="29" t="str">
        <f>IF(ROUND(Текущий!I580,0)=0,"-",ROUND(Текущий!I580,0))</f>
        <v>-</v>
      </c>
      <c r="I581" s="16" t="str">
        <f>IF(Предыд!K580="-",Предыд!K580,ROUND(Предыд!K580,0))</f>
        <v>-</v>
      </c>
      <c r="J581" s="29" t="str">
        <f>IF(ROUND(Предыд!I580,0)=0,"-",ROUND(Предыд!I580,0))</f>
        <v>-</v>
      </c>
      <c r="K581" s="30" t="str">
        <f>Текущий!L580</f>
        <v>Рихтовка</v>
      </c>
      <c r="L581" s="29">
        <f>Текущий!AL580</f>
        <v>0</v>
      </c>
      <c r="M581" s="29">
        <f>Текущий!AM580</f>
        <v>0</v>
      </c>
      <c r="N581" s="29">
        <f>Текущий!AN580</f>
        <v>0</v>
      </c>
      <c r="O581" s="29">
        <f>Текущий!AP580</f>
        <v>0</v>
      </c>
      <c r="P581" s="29">
        <f>Предыд!AL580</f>
        <v>0</v>
      </c>
      <c r="Q581" s="29">
        <f>Предыд!AM580</f>
        <v>0</v>
      </c>
      <c r="R581" s="29">
        <f>Предыд!AN580</f>
        <v>0</v>
      </c>
      <c r="S581" s="29">
        <f>Предыд!AO580</f>
        <v>0</v>
      </c>
      <c r="T581" s="17" t="str">
        <f t="shared" ref="T581:T644" si="9">IF(G581&gt;I581,"+","-")</f>
        <v>-</v>
      </c>
    </row>
    <row r="582" spans="1:20" x14ac:dyDescent="0.25">
      <c r="A582" s="29">
        <f>Текущий!A581</f>
        <v>13</v>
      </c>
      <c r="B582" s="29">
        <f>Текущий!B581</f>
        <v>13880</v>
      </c>
      <c r="C582" s="29">
        <f>Текущий!C581</f>
        <v>2</v>
      </c>
      <c r="D582" s="29" t="str">
        <f>Текущий!D581</f>
        <v>Артем-Приморский II - Артем-Приморский III</v>
      </c>
      <c r="E582" s="29">
        <f>ROUND(Текущий!J581,0)</f>
        <v>0</v>
      </c>
      <c r="F582" s="29">
        <f>Текущий!E581</f>
        <v>0</v>
      </c>
      <c r="G582" s="16" t="str">
        <f>IF(Текущий!K581="-",Текущий!K581,ROUND(Текущий!K581,0))</f>
        <v>-</v>
      </c>
      <c r="H582" s="29" t="str">
        <f>IF(ROUND(Текущий!I581,0)=0,"-",ROUND(Текущий!I581,0))</f>
        <v>-</v>
      </c>
      <c r="I582" s="16" t="str">
        <f>IF(Предыд!K581="-",Предыд!K581,ROUND(Предыд!K581,0))</f>
        <v>-</v>
      </c>
      <c r="J582" s="29" t="str">
        <f>IF(ROUND(Предыд!I581,0)=0,"-",ROUND(Предыд!I581,0))</f>
        <v>-</v>
      </c>
      <c r="K582" s="30" t="str">
        <f>Текущий!L581</f>
        <v>Рихтовка</v>
      </c>
      <c r="L582" s="29">
        <f>Текущий!AL581</f>
        <v>0</v>
      </c>
      <c r="M582" s="29">
        <f>Текущий!AM581</f>
        <v>0</v>
      </c>
      <c r="N582" s="29">
        <f>Текущий!AN581</f>
        <v>0</v>
      </c>
      <c r="O582" s="29">
        <f>Текущий!AP581</f>
        <v>0</v>
      </c>
      <c r="P582" s="29">
        <f>Предыд!AL581</f>
        <v>0</v>
      </c>
      <c r="Q582" s="29">
        <f>Предыд!AM581</f>
        <v>0</v>
      </c>
      <c r="R582" s="29">
        <f>Предыд!AN581</f>
        <v>0</v>
      </c>
      <c r="S582" s="29">
        <f>Предыд!AO581</f>
        <v>0</v>
      </c>
      <c r="T582" s="17" t="str">
        <f t="shared" si="9"/>
        <v>-</v>
      </c>
    </row>
    <row r="583" spans="1:20" x14ac:dyDescent="0.25">
      <c r="A583" s="29">
        <f>Текущий!A582</f>
        <v>13</v>
      </c>
      <c r="B583" s="29">
        <f>Текущий!B582</f>
        <v>13880</v>
      </c>
      <c r="C583" s="29">
        <f>Текущий!C582</f>
        <v>2</v>
      </c>
      <c r="D583" s="29" t="str">
        <f>Текущий!D582</f>
        <v>Артем-Приморский III - Шкотово</v>
      </c>
      <c r="E583" s="29">
        <f>ROUND(Текущий!J582,0)</f>
        <v>0</v>
      </c>
      <c r="F583" s="29">
        <f>Текущий!E582</f>
        <v>0</v>
      </c>
      <c r="G583" s="16" t="str">
        <f>IF(Текущий!K582="-",Текущий!K582,ROUND(Текущий!K582,0))</f>
        <v>-</v>
      </c>
      <c r="H583" s="29" t="str">
        <f>IF(ROUND(Текущий!I582,0)=0,"-",ROUND(Текущий!I582,0))</f>
        <v>-</v>
      </c>
      <c r="I583" s="16" t="str">
        <f>IF(Предыд!K582="-",Предыд!K582,ROUND(Предыд!K582,0))</f>
        <v>-</v>
      </c>
      <c r="J583" s="29" t="str">
        <f>IF(ROUND(Предыд!I582,0)=0,"-",ROUND(Предыд!I582,0))</f>
        <v>-</v>
      </c>
      <c r="K583" s="30" t="str">
        <f>Текущий!L582</f>
        <v>Рихтовка</v>
      </c>
      <c r="L583" s="29">
        <f>Текущий!AL582</f>
        <v>0</v>
      </c>
      <c r="M583" s="29">
        <f>Текущий!AM582</f>
        <v>0</v>
      </c>
      <c r="N583" s="29">
        <f>Текущий!AN582</f>
        <v>0</v>
      </c>
      <c r="O583" s="29">
        <f>Текущий!AP582</f>
        <v>0</v>
      </c>
      <c r="P583" s="29">
        <f>Предыд!AL582</f>
        <v>0</v>
      </c>
      <c r="Q583" s="29">
        <f>Предыд!AM582</f>
        <v>0</v>
      </c>
      <c r="R583" s="29">
        <f>Предыд!AN582</f>
        <v>0</v>
      </c>
      <c r="S583" s="29">
        <f>Предыд!AO582</f>
        <v>0</v>
      </c>
      <c r="T583" s="17" t="str">
        <f t="shared" si="9"/>
        <v>-</v>
      </c>
    </row>
    <row r="584" spans="1:20" x14ac:dyDescent="0.25">
      <c r="A584" s="29">
        <f>Текущий!A583</f>
        <v>13</v>
      </c>
      <c r="B584" s="29">
        <f>Текущий!B583</f>
        <v>13880</v>
      </c>
      <c r="C584" s="29">
        <f>Текущий!C583</f>
        <v>2</v>
      </c>
      <c r="D584" s="29" t="str">
        <f>Текущий!D583</f>
        <v>Шкотово - Смоляниново</v>
      </c>
      <c r="E584" s="29">
        <f>ROUND(Текущий!J583,0)</f>
        <v>0</v>
      </c>
      <c r="F584" s="29">
        <f>Текущий!E583</f>
        <v>0</v>
      </c>
      <c r="G584" s="16" t="str">
        <f>IF(Текущий!K583="-",Текущий!K583,ROUND(Текущий!K583,0))</f>
        <v>-</v>
      </c>
      <c r="H584" s="29" t="str">
        <f>IF(ROUND(Текущий!I583,0)=0,"-",ROUND(Текущий!I583,0))</f>
        <v>-</v>
      </c>
      <c r="I584" s="16" t="str">
        <f>IF(Предыд!K583="-",Предыд!K583,ROUND(Предыд!K583,0))</f>
        <v>-</v>
      </c>
      <c r="J584" s="29" t="str">
        <f>IF(ROUND(Предыд!I583,0)=0,"-",ROUND(Предыд!I583,0))</f>
        <v>-</v>
      </c>
      <c r="K584" s="30" t="str">
        <f>Текущий!L583</f>
        <v>Рихтовка</v>
      </c>
      <c r="L584" s="29">
        <f>Текущий!AL583</f>
        <v>0</v>
      </c>
      <c r="M584" s="29">
        <f>Текущий!AM583</f>
        <v>0</v>
      </c>
      <c r="N584" s="29">
        <f>Текущий!AN583</f>
        <v>0</v>
      </c>
      <c r="O584" s="29">
        <f>Текущий!AP583</f>
        <v>0</v>
      </c>
      <c r="P584" s="29">
        <f>Предыд!AL583</f>
        <v>0</v>
      </c>
      <c r="Q584" s="29">
        <f>Предыд!AM583</f>
        <v>0</v>
      </c>
      <c r="R584" s="29">
        <f>Предыд!AN583</f>
        <v>0</v>
      </c>
      <c r="S584" s="29">
        <f>Предыд!AO583</f>
        <v>0</v>
      </c>
      <c r="T584" s="17" t="str">
        <f t="shared" si="9"/>
        <v>-</v>
      </c>
    </row>
    <row r="585" spans="1:20" x14ac:dyDescent="0.25">
      <c r="A585" s="29">
        <f>Текущий!A584</f>
        <v>14</v>
      </c>
      <c r="B585" s="29">
        <f>Текущий!B584</f>
        <v>13880</v>
      </c>
      <c r="C585" s="29">
        <f>Текущий!C584</f>
        <v>1</v>
      </c>
      <c r="D585" s="29" t="str">
        <f>Текущий!D584</f>
        <v>Смоляниново - Новонежино</v>
      </c>
      <c r="E585" s="29">
        <f>ROUND(Текущий!J584,0)</f>
        <v>0</v>
      </c>
      <c r="F585" s="29">
        <f>Текущий!E584</f>
        <v>0</v>
      </c>
      <c r="G585" s="16" t="str">
        <f>IF(Текущий!K584="-",Текущий!K584,ROUND(Текущий!K584,0))</f>
        <v>-</v>
      </c>
      <c r="H585" s="29" t="str">
        <f>IF(ROUND(Текущий!I584,0)=0,"-",ROUND(Текущий!I584,0))</f>
        <v>-</v>
      </c>
      <c r="I585" s="16" t="str">
        <f>IF(Предыд!K584="-",Предыд!K584,ROUND(Предыд!K584,0))</f>
        <v>-</v>
      </c>
      <c r="J585" s="29" t="str">
        <f>IF(ROUND(Предыд!I584,0)=0,"-",ROUND(Предыд!I584,0))</f>
        <v>-</v>
      </c>
      <c r="K585" s="30" t="str">
        <f>Текущий!L584</f>
        <v>Рихтовка</v>
      </c>
      <c r="L585" s="29">
        <f>Текущий!AL584</f>
        <v>0</v>
      </c>
      <c r="M585" s="29">
        <f>Текущий!AM584</f>
        <v>0</v>
      </c>
      <c r="N585" s="29">
        <f>Текущий!AN584</f>
        <v>0</v>
      </c>
      <c r="O585" s="29">
        <f>Текущий!AP584</f>
        <v>0</v>
      </c>
      <c r="P585" s="29">
        <f>Предыд!AL584</f>
        <v>0</v>
      </c>
      <c r="Q585" s="29">
        <f>Предыд!AM584</f>
        <v>0</v>
      </c>
      <c r="R585" s="29">
        <f>Предыд!AN584</f>
        <v>0</v>
      </c>
      <c r="S585" s="29">
        <f>Предыд!AO584</f>
        <v>0</v>
      </c>
      <c r="T585" s="17" t="str">
        <f t="shared" si="9"/>
        <v>-</v>
      </c>
    </row>
    <row r="586" spans="1:20" x14ac:dyDescent="0.25">
      <c r="A586" s="29">
        <f>Текущий!A585</f>
        <v>14</v>
      </c>
      <c r="B586" s="29">
        <f>Текущий!B585</f>
        <v>13880</v>
      </c>
      <c r="C586" s="29">
        <f>Текущий!C585</f>
        <v>1</v>
      </c>
      <c r="D586" s="29" t="str">
        <f>Текущий!D585</f>
        <v>Новонежино - Анисимовка</v>
      </c>
      <c r="E586" s="29">
        <f>ROUND(Текущий!J585,0)</f>
        <v>0</v>
      </c>
      <c r="F586" s="29">
        <f>Текущий!E585</f>
        <v>0</v>
      </c>
      <c r="G586" s="16" t="str">
        <f>IF(Текущий!K585="-",Текущий!K585,ROUND(Текущий!K585,0))</f>
        <v>-</v>
      </c>
      <c r="H586" s="29" t="str">
        <f>IF(ROUND(Текущий!I585,0)=0,"-",ROUND(Текущий!I585,0))</f>
        <v>-</v>
      </c>
      <c r="I586" s="16" t="str">
        <f>IF(Предыд!K585="-",Предыд!K585,ROUND(Предыд!K585,0))</f>
        <v>-</v>
      </c>
      <c r="J586" s="29" t="str">
        <f>IF(ROUND(Предыд!I585,0)=0,"-",ROUND(Предыд!I585,0))</f>
        <v>-</v>
      </c>
      <c r="K586" s="30" t="str">
        <f>Текущий!L585</f>
        <v>Рихтовка</v>
      </c>
      <c r="L586" s="29">
        <f>Текущий!AL585</f>
        <v>0</v>
      </c>
      <c r="M586" s="29">
        <f>Текущий!AM585</f>
        <v>0</v>
      </c>
      <c r="N586" s="29">
        <f>Текущий!AN585</f>
        <v>0</v>
      </c>
      <c r="O586" s="29">
        <f>Текущий!AP585</f>
        <v>0</v>
      </c>
      <c r="P586" s="29">
        <f>Предыд!AL585</f>
        <v>0</v>
      </c>
      <c r="Q586" s="29">
        <f>Предыд!AM585</f>
        <v>0</v>
      </c>
      <c r="R586" s="29">
        <f>Предыд!AN585</f>
        <v>0</v>
      </c>
      <c r="S586" s="29">
        <f>Предыд!AO585</f>
        <v>0</v>
      </c>
      <c r="T586" s="17" t="str">
        <f t="shared" si="9"/>
        <v>-</v>
      </c>
    </row>
    <row r="587" spans="1:20" x14ac:dyDescent="0.25">
      <c r="A587" s="29">
        <f>Текущий!A586</f>
        <v>14</v>
      </c>
      <c r="B587" s="29">
        <f>Текущий!B586</f>
        <v>13880</v>
      </c>
      <c r="C587" s="29">
        <f>Текущий!C586</f>
        <v>1</v>
      </c>
      <c r="D587" s="29" t="str">
        <f>Текущий!D586</f>
        <v>Анисимовка - Тигровый</v>
      </c>
      <c r="E587" s="29">
        <f>ROUND(Текущий!J586,0)</f>
        <v>0</v>
      </c>
      <c r="F587" s="29">
        <f>Текущий!E586</f>
        <v>0</v>
      </c>
      <c r="G587" s="16" t="str">
        <f>IF(Текущий!K586="-",Текущий!K586,ROUND(Текущий!K586,0))</f>
        <v>-</v>
      </c>
      <c r="H587" s="29" t="str">
        <f>IF(ROUND(Текущий!I586,0)=0,"-",ROUND(Текущий!I586,0))</f>
        <v>-</v>
      </c>
      <c r="I587" s="16" t="str">
        <f>IF(Предыд!K586="-",Предыд!K586,ROUND(Предыд!K586,0))</f>
        <v>-</v>
      </c>
      <c r="J587" s="29" t="str">
        <f>IF(ROUND(Предыд!I586,0)=0,"-",ROUND(Предыд!I586,0))</f>
        <v>-</v>
      </c>
      <c r="K587" s="30" t="str">
        <f>Текущий!L586</f>
        <v>Рихтовка</v>
      </c>
      <c r="L587" s="29">
        <f>Текущий!AL586</f>
        <v>0</v>
      </c>
      <c r="M587" s="29">
        <f>Текущий!AM586</f>
        <v>0</v>
      </c>
      <c r="N587" s="29">
        <f>Текущий!AN586</f>
        <v>0</v>
      </c>
      <c r="O587" s="29">
        <f>Текущий!AP586</f>
        <v>0</v>
      </c>
      <c r="P587" s="29">
        <f>Предыд!AL586</f>
        <v>0</v>
      </c>
      <c r="Q587" s="29">
        <f>Предыд!AM586</f>
        <v>0</v>
      </c>
      <c r="R587" s="29">
        <f>Предыд!AN586</f>
        <v>0</v>
      </c>
      <c r="S587" s="29">
        <f>Предыд!AO586</f>
        <v>0</v>
      </c>
      <c r="T587" s="17" t="str">
        <f t="shared" si="9"/>
        <v>-</v>
      </c>
    </row>
    <row r="588" spans="1:20" x14ac:dyDescent="0.25">
      <c r="A588" s="29">
        <f>Текущий!A587</f>
        <v>14</v>
      </c>
      <c r="B588" s="29">
        <f>Текущий!B587</f>
        <v>13880</v>
      </c>
      <c r="C588" s="29">
        <f>Текущий!C587</f>
        <v>1</v>
      </c>
      <c r="D588" s="29" t="str">
        <f>Текущий!D587</f>
        <v>Тигровый - Фридман</v>
      </c>
      <c r="E588" s="29">
        <f>ROUND(Текущий!J587,0)</f>
        <v>0</v>
      </c>
      <c r="F588" s="29">
        <f>Текущий!E587</f>
        <v>0</v>
      </c>
      <c r="G588" s="16" t="str">
        <f>IF(Текущий!K587="-",Текущий!K587,ROUND(Текущий!K587,0))</f>
        <v>-</v>
      </c>
      <c r="H588" s="29" t="str">
        <f>IF(ROUND(Текущий!I587,0)=0,"-",ROUND(Текущий!I587,0))</f>
        <v>-</v>
      </c>
      <c r="I588" s="16" t="str">
        <f>IF(Предыд!K587="-",Предыд!K587,ROUND(Предыд!K587,0))</f>
        <v>-</v>
      </c>
      <c r="J588" s="29" t="str">
        <f>IF(ROUND(Предыд!I587,0)=0,"-",ROUND(Предыд!I587,0))</f>
        <v>-</v>
      </c>
      <c r="K588" s="30" t="str">
        <f>Текущий!L587</f>
        <v>Рихтовка</v>
      </c>
      <c r="L588" s="29">
        <f>Текущий!AL587</f>
        <v>0</v>
      </c>
      <c r="M588" s="29">
        <f>Текущий!AM587</f>
        <v>0</v>
      </c>
      <c r="N588" s="29">
        <f>Текущий!AN587</f>
        <v>0</v>
      </c>
      <c r="O588" s="29">
        <f>Текущий!AP587</f>
        <v>0</v>
      </c>
      <c r="P588" s="29">
        <f>Предыд!AL587</f>
        <v>0</v>
      </c>
      <c r="Q588" s="29">
        <f>Предыд!AM587</f>
        <v>0</v>
      </c>
      <c r="R588" s="29">
        <f>Предыд!AN587</f>
        <v>0</v>
      </c>
      <c r="S588" s="29">
        <f>Предыд!AO587</f>
        <v>0</v>
      </c>
      <c r="T588" s="17" t="str">
        <f t="shared" si="9"/>
        <v>-</v>
      </c>
    </row>
    <row r="589" spans="1:20" x14ac:dyDescent="0.25">
      <c r="A589" s="29">
        <f>Текущий!A588</f>
        <v>14</v>
      </c>
      <c r="B589" s="29">
        <f>Текущий!B588</f>
        <v>13880</v>
      </c>
      <c r="C589" s="29">
        <f>Текущий!C588</f>
        <v>1</v>
      </c>
      <c r="D589" s="29" t="str">
        <f>Текущий!D588</f>
        <v>Фридман - Красноармейский</v>
      </c>
      <c r="E589" s="29">
        <f>ROUND(Текущий!J588,0)</f>
        <v>0</v>
      </c>
      <c r="F589" s="29">
        <f>Текущий!E588</f>
        <v>0</v>
      </c>
      <c r="G589" s="16" t="str">
        <f>IF(Текущий!K588="-",Текущий!K588,ROUND(Текущий!K588,0))</f>
        <v>-</v>
      </c>
      <c r="H589" s="29" t="str">
        <f>IF(ROUND(Текущий!I588,0)=0,"-",ROUND(Текущий!I588,0))</f>
        <v>-</v>
      </c>
      <c r="I589" s="16" t="str">
        <f>IF(Предыд!K588="-",Предыд!K588,ROUND(Предыд!K588,0))</f>
        <v>-</v>
      </c>
      <c r="J589" s="29" t="str">
        <f>IF(ROUND(Предыд!I588,0)=0,"-",ROUND(Предыд!I588,0))</f>
        <v>-</v>
      </c>
      <c r="K589" s="30" t="str">
        <f>Текущий!L588</f>
        <v>Рихтовка</v>
      </c>
      <c r="L589" s="29">
        <f>Текущий!AL588</f>
        <v>0</v>
      </c>
      <c r="M589" s="29">
        <f>Текущий!AM588</f>
        <v>0</v>
      </c>
      <c r="N589" s="29">
        <f>Текущий!AN588</f>
        <v>0</v>
      </c>
      <c r="O589" s="29">
        <f>Текущий!AP588</f>
        <v>0</v>
      </c>
      <c r="P589" s="29">
        <f>Предыд!AL588</f>
        <v>0</v>
      </c>
      <c r="Q589" s="29">
        <f>Предыд!AM588</f>
        <v>0</v>
      </c>
      <c r="R589" s="29">
        <f>Предыд!AN588</f>
        <v>0</v>
      </c>
      <c r="S589" s="29">
        <f>Предыд!AO588</f>
        <v>0</v>
      </c>
      <c r="T589" s="17" t="str">
        <f t="shared" si="9"/>
        <v>-</v>
      </c>
    </row>
    <row r="590" spans="1:20" x14ac:dyDescent="0.25">
      <c r="A590" s="29">
        <f>Текущий!A589</f>
        <v>14</v>
      </c>
      <c r="B590" s="29">
        <f>Текущий!B589</f>
        <v>13880</v>
      </c>
      <c r="C590" s="29">
        <f>Текущий!C589</f>
        <v>1</v>
      </c>
      <c r="D590" s="29" t="str">
        <f>Текущий!D589</f>
        <v>Красноармейский - Партизанск</v>
      </c>
      <c r="E590" s="29">
        <f>ROUND(Текущий!J589,0)</f>
        <v>0</v>
      </c>
      <c r="F590" s="29">
        <f>Текущий!E589</f>
        <v>0</v>
      </c>
      <c r="G590" s="16" t="str">
        <f>IF(Текущий!K589="-",Текущий!K589,ROUND(Текущий!K589,0))</f>
        <v>-</v>
      </c>
      <c r="H590" s="29" t="str">
        <f>IF(ROUND(Текущий!I589,0)=0,"-",ROUND(Текущий!I589,0))</f>
        <v>-</v>
      </c>
      <c r="I590" s="16" t="str">
        <f>IF(Предыд!K589="-",Предыд!K589,ROUND(Предыд!K589,0))</f>
        <v>-</v>
      </c>
      <c r="J590" s="29" t="str">
        <f>IF(ROUND(Предыд!I589,0)=0,"-",ROUND(Предыд!I589,0))</f>
        <v>-</v>
      </c>
      <c r="K590" s="30" t="str">
        <f>Текущий!L589</f>
        <v>Рихтовка</v>
      </c>
      <c r="L590" s="29">
        <f>Текущий!AL589</f>
        <v>0</v>
      </c>
      <c r="M590" s="29">
        <f>Текущий!AM589</f>
        <v>0</v>
      </c>
      <c r="N590" s="29">
        <f>Текущий!AN589</f>
        <v>0</v>
      </c>
      <c r="O590" s="29">
        <f>Текущий!AP589</f>
        <v>0</v>
      </c>
      <c r="P590" s="29">
        <f>Предыд!AL589</f>
        <v>0</v>
      </c>
      <c r="Q590" s="29">
        <f>Предыд!AM589</f>
        <v>0</v>
      </c>
      <c r="R590" s="29">
        <f>Предыд!AN589</f>
        <v>0</v>
      </c>
      <c r="S590" s="29">
        <f>Предыд!AO589</f>
        <v>0</v>
      </c>
      <c r="T590" s="17" t="str">
        <f t="shared" si="9"/>
        <v>-</v>
      </c>
    </row>
    <row r="591" spans="1:20" x14ac:dyDescent="0.25">
      <c r="A591" s="29">
        <f>Текущий!A590</f>
        <v>14</v>
      </c>
      <c r="B591" s="29">
        <f>Текущий!B590</f>
        <v>13880</v>
      </c>
      <c r="C591" s="29">
        <f>Текущий!C590</f>
        <v>1</v>
      </c>
      <c r="D591" s="29" t="str">
        <f>Текущий!D590</f>
        <v>Партизанск - Лозовый</v>
      </c>
      <c r="E591" s="29">
        <f>ROUND(Текущий!J590,0)</f>
        <v>0</v>
      </c>
      <c r="F591" s="29">
        <f>Текущий!E590</f>
        <v>0</v>
      </c>
      <c r="G591" s="16" t="str">
        <f>IF(Текущий!K590="-",Текущий!K590,ROUND(Текущий!K590,0))</f>
        <v>-</v>
      </c>
      <c r="H591" s="29" t="str">
        <f>IF(ROUND(Текущий!I590,0)=0,"-",ROUND(Текущий!I590,0))</f>
        <v>-</v>
      </c>
      <c r="I591" s="16" t="str">
        <f>IF(Предыд!K590="-",Предыд!K590,ROUND(Предыд!K590,0))</f>
        <v>-</v>
      </c>
      <c r="J591" s="29" t="str">
        <f>IF(ROUND(Предыд!I590,0)=0,"-",ROUND(Предыд!I590,0))</f>
        <v>-</v>
      </c>
      <c r="K591" s="30" t="str">
        <f>Текущий!L590</f>
        <v>Рихтовка</v>
      </c>
      <c r="L591" s="29">
        <f>Текущий!AL590</f>
        <v>0</v>
      </c>
      <c r="M591" s="29">
        <f>Текущий!AM590</f>
        <v>0</v>
      </c>
      <c r="N591" s="29">
        <f>Текущий!AN590</f>
        <v>0</v>
      </c>
      <c r="O591" s="29">
        <f>Текущий!AP590</f>
        <v>0</v>
      </c>
      <c r="P591" s="29">
        <f>Предыд!AL590</f>
        <v>0</v>
      </c>
      <c r="Q591" s="29">
        <f>Предыд!AM590</f>
        <v>0</v>
      </c>
      <c r="R591" s="29">
        <f>Предыд!AN590</f>
        <v>0</v>
      </c>
      <c r="S591" s="29">
        <f>Предыд!AO590</f>
        <v>0</v>
      </c>
      <c r="T591" s="17" t="str">
        <f t="shared" si="9"/>
        <v>-</v>
      </c>
    </row>
    <row r="592" spans="1:20" x14ac:dyDescent="0.25">
      <c r="A592" s="29">
        <f>Текущий!A591</f>
        <v>14</v>
      </c>
      <c r="B592" s="29">
        <f>Текущий!B591</f>
        <v>13880</v>
      </c>
      <c r="C592" s="29">
        <f>Текущий!C591</f>
        <v>1</v>
      </c>
      <c r="D592" s="29" t="str">
        <f>Текущий!D591</f>
        <v>Лозовый - Кузнецово</v>
      </c>
      <c r="E592" s="29">
        <f>ROUND(Текущий!J591,0)</f>
        <v>0</v>
      </c>
      <c r="F592" s="29">
        <f>Текущий!E591</f>
        <v>0</v>
      </c>
      <c r="G592" s="16" t="str">
        <f>IF(Текущий!K591="-",Текущий!K591,ROUND(Текущий!K591,0))</f>
        <v>-</v>
      </c>
      <c r="H592" s="29" t="str">
        <f>IF(ROUND(Текущий!I591,0)=0,"-",ROUND(Текущий!I591,0))</f>
        <v>-</v>
      </c>
      <c r="I592" s="16" t="str">
        <f>IF(Предыд!K591="-",Предыд!K591,ROUND(Предыд!K591,0))</f>
        <v>-</v>
      </c>
      <c r="J592" s="29" t="str">
        <f>IF(ROUND(Предыд!I591,0)=0,"-",ROUND(Предыд!I591,0))</f>
        <v>-</v>
      </c>
      <c r="K592" s="30" t="str">
        <f>Текущий!L591</f>
        <v>Рихтовка</v>
      </c>
      <c r="L592" s="29">
        <f>Текущий!AL591</f>
        <v>0</v>
      </c>
      <c r="M592" s="29">
        <f>Текущий!AM591</f>
        <v>0</v>
      </c>
      <c r="N592" s="29">
        <f>Текущий!AN591</f>
        <v>0</v>
      </c>
      <c r="O592" s="29">
        <f>Текущий!AP591</f>
        <v>0</v>
      </c>
      <c r="P592" s="29">
        <f>Предыд!AL591</f>
        <v>0</v>
      </c>
      <c r="Q592" s="29">
        <f>Предыд!AM591</f>
        <v>0</v>
      </c>
      <c r="R592" s="29">
        <f>Предыд!AN591</f>
        <v>0</v>
      </c>
      <c r="S592" s="29">
        <f>Предыд!AO591</f>
        <v>0</v>
      </c>
      <c r="T592" s="17" t="str">
        <f t="shared" si="9"/>
        <v>-</v>
      </c>
    </row>
    <row r="593" spans="1:20" x14ac:dyDescent="0.25">
      <c r="A593" s="29">
        <f>Текущий!A592</f>
        <v>14</v>
      </c>
      <c r="B593" s="29">
        <f>Текущий!B592</f>
        <v>13880</v>
      </c>
      <c r="C593" s="29">
        <f>Текущий!C592</f>
        <v>1</v>
      </c>
      <c r="D593" s="29" t="str">
        <f>Текущий!D592</f>
        <v>Кузнецово - Находка</v>
      </c>
      <c r="E593" s="29">
        <f>ROUND(Текущий!J592,0)</f>
        <v>0</v>
      </c>
      <c r="F593" s="29">
        <f>Текущий!E592</f>
        <v>0</v>
      </c>
      <c r="G593" s="16" t="str">
        <f>IF(Текущий!K592="-",Текущий!K592,ROUND(Текущий!K592,0))</f>
        <v>-</v>
      </c>
      <c r="H593" s="29" t="str">
        <f>IF(ROUND(Текущий!I592,0)=0,"-",ROUND(Текущий!I592,0))</f>
        <v>-</v>
      </c>
      <c r="I593" s="16" t="str">
        <f>IF(Предыд!K592="-",Предыд!K592,ROUND(Предыд!K592,0))</f>
        <v>-</v>
      </c>
      <c r="J593" s="29" t="str">
        <f>IF(ROUND(Предыд!I592,0)=0,"-",ROUND(Предыд!I592,0))</f>
        <v>-</v>
      </c>
      <c r="K593" s="30" t="str">
        <f>Текущий!L592</f>
        <v>Рихтовка</v>
      </c>
      <c r="L593" s="29">
        <f>Текущий!AL592</f>
        <v>0</v>
      </c>
      <c r="M593" s="29">
        <f>Текущий!AM592</f>
        <v>0</v>
      </c>
      <c r="N593" s="29">
        <f>Текущий!AN592</f>
        <v>0</v>
      </c>
      <c r="O593" s="29">
        <f>Текущий!AP592</f>
        <v>0</v>
      </c>
      <c r="P593" s="29">
        <f>Предыд!AL592</f>
        <v>0</v>
      </c>
      <c r="Q593" s="29">
        <f>Предыд!AM592</f>
        <v>0</v>
      </c>
      <c r="R593" s="29">
        <f>Предыд!AN592</f>
        <v>0</v>
      </c>
      <c r="S593" s="29">
        <f>Предыд!AO592</f>
        <v>0</v>
      </c>
      <c r="T593" s="17" t="str">
        <f t="shared" si="9"/>
        <v>-</v>
      </c>
    </row>
    <row r="594" spans="1:20" x14ac:dyDescent="0.25">
      <c r="A594" s="29">
        <f>Текущий!A593</f>
        <v>14</v>
      </c>
      <c r="B594" s="29">
        <f>Текущий!B593</f>
        <v>13880</v>
      </c>
      <c r="C594" s="29">
        <f>Текущий!C593</f>
        <v>1</v>
      </c>
      <c r="D594" s="29" t="str">
        <f>Текущий!D593</f>
        <v>ст. Находка</v>
      </c>
      <c r="E594" s="29">
        <f>ROUND(Текущий!J593,0)</f>
        <v>0</v>
      </c>
      <c r="F594" s="29">
        <f>Текущий!E593</f>
        <v>0</v>
      </c>
      <c r="G594" s="16" t="str">
        <f>IF(Текущий!K593="-",Текущий!K593,ROUND(Текущий!K593,0))</f>
        <v>-</v>
      </c>
      <c r="H594" s="29" t="str">
        <f>IF(ROUND(Текущий!I593,0)=0,"-",ROUND(Текущий!I593,0))</f>
        <v>-</v>
      </c>
      <c r="I594" s="16" t="str">
        <f>IF(Предыд!K593="-",Предыд!K593,ROUND(Предыд!K593,0))</f>
        <v>-</v>
      </c>
      <c r="J594" s="29" t="str">
        <f>IF(ROUND(Предыд!I593,0)=0,"-",ROUND(Предыд!I593,0))</f>
        <v>-</v>
      </c>
      <c r="K594" s="30" t="str">
        <f>Текущий!L593</f>
        <v>Рихтовка</v>
      </c>
      <c r="L594" s="29">
        <f>Текущий!AL593</f>
        <v>0</v>
      </c>
      <c r="M594" s="29">
        <f>Текущий!AM593</f>
        <v>0</v>
      </c>
      <c r="N594" s="29">
        <f>Текущий!AN593</f>
        <v>0</v>
      </c>
      <c r="O594" s="29">
        <f>Текущий!AP593</f>
        <v>0</v>
      </c>
      <c r="P594" s="29">
        <f>Предыд!AL593</f>
        <v>0</v>
      </c>
      <c r="Q594" s="29">
        <f>Предыд!AM593</f>
        <v>0</v>
      </c>
      <c r="R594" s="29">
        <f>Предыд!AN593</f>
        <v>0</v>
      </c>
      <c r="S594" s="29">
        <f>Предыд!AO593</f>
        <v>0</v>
      </c>
      <c r="T594" s="17" t="str">
        <f t="shared" si="9"/>
        <v>-</v>
      </c>
    </row>
    <row r="595" spans="1:20" x14ac:dyDescent="0.25">
      <c r="A595" s="29">
        <f>Текущий!A594</f>
        <v>14</v>
      </c>
      <c r="B595" s="29">
        <f>Текущий!B594</f>
        <v>13880</v>
      </c>
      <c r="C595" s="29">
        <f>Текущий!C594</f>
        <v>2</v>
      </c>
      <c r="D595" s="29" t="str">
        <f>Текущий!D594</f>
        <v>Смоляниново - Новонежино</v>
      </c>
      <c r="E595" s="29">
        <f>ROUND(Текущий!J594,0)</f>
        <v>0</v>
      </c>
      <c r="F595" s="29">
        <f>Текущий!E594</f>
        <v>0</v>
      </c>
      <c r="G595" s="16" t="str">
        <f>IF(Текущий!K594="-",Текущий!K594,ROUND(Текущий!K594,0))</f>
        <v>-</v>
      </c>
      <c r="H595" s="29" t="str">
        <f>IF(ROUND(Текущий!I594,0)=0,"-",ROUND(Текущий!I594,0))</f>
        <v>-</v>
      </c>
      <c r="I595" s="16" t="str">
        <f>IF(Предыд!K594="-",Предыд!K594,ROUND(Предыд!K594,0))</f>
        <v>-</v>
      </c>
      <c r="J595" s="29" t="str">
        <f>IF(ROUND(Предыд!I594,0)=0,"-",ROUND(Предыд!I594,0))</f>
        <v>-</v>
      </c>
      <c r="K595" s="30" t="str">
        <f>Текущий!L594</f>
        <v>Рихтовка</v>
      </c>
      <c r="L595" s="29">
        <f>Текущий!AL594</f>
        <v>0</v>
      </c>
      <c r="M595" s="29">
        <f>Текущий!AM594</f>
        <v>0</v>
      </c>
      <c r="N595" s="29">
        <f>Текущий!AN594</f>
        <v>0</v>
      </c>
      <c r="O595" s="29">
        <f>Текущий!AP594</f>
        <v>0</v>
      </c>
      <c r="P595" s="29">
        <f>Предыд!AL594</f>
        <v>0</v>
      </c>
      <c r="Q595" s="29">
        <f>Предыд!AM594</f>
        <v>0</v>
      </c>
      <c r="R595" s="29">
        <f>Предыд!AN594</f>
        <v>0</v>
      </c>
      <c r="S595" s="29">
        <f>Предыд!AO594</f>
        <v>0</v>
      </c>
      <c r="T595" s="17" t="str">
        <f t="shared" si="9"/>
        <v>-</v>
      </c>
    </row>
    <row r="596" spans="1:20" x14ac:dyDescent="0.25">
      <c r="A596" s="29">
        <f>Текущий!A595</f>
        <v>14</v>
      </c>
      <c r="B596" s="29">
        <f>Текущий!B595</f>
        <v>13880</v>
      </c>
      <c r="C596" s="29">
        <f>Текущий!C595</f>
        <v>2</v>
      </c>
      <c r="D596" s="29" t="str">
        <f>Текущий!D595</f>
        <v>Новонежино - Анисимовка</v>
      </c>
      <c r="E596" s="29">
        <f>ROUND(Текущий!J595,0)</f>
        <v>0</v>
      </c>
      <c r="F596" s="29">
        <f>Текущий!E595</f>
        <v>0</v>
      </c>
      <c r="G596" s="16" t="str">
        <f>IF(Текущий!K595="-",Текущий!K595,ROUND(Текущий!K595,0))</f>
        <v>-</v>
      </c>
      <c r="H596" s="29" t="str">
        <f>IF(ROUND(Текущий!I595,0)=0,"-",ROUND(Текущий!I595,0))</f>
        <v>-</v>
      </c>
      <c r="I596" s="16" t="str">
        <f>IF(Предыд!K595="-",Предыд!K595,ROUND(Предыд!K595,0))</f>
        <v>-</v>
      </c>
      <c r="J596" s="29" t="str">
        <f>IF(ROUND(Предыд!I595,0)=0,"-",ROUND(Предыд!I595,0))</f>
        <v>-</v>
      </c>
      <c r="K596" s="30" t="str">
        <f>Текущий!L595</f>
        <v>Рихтовка</v>
      </c>
      <c r="L596" s="29">
        <f>Текущий!AL595</f>
        <v>0</v>
      </c>
      <c r="M596" s="29">
        <f>Текущий!AM595</f>
        <v>0</v>
      </c>
      <c r="N596" s="29">
        <f>Текущий!AN595</f>
        <v>0</v>
      </c>
      <c r="O596" s="29">
        <f>Текущий!AP595</f>
        <v>0</v>
      </c>
      <c r="P596" s="29">
        <f>Предыд!AL595</f>
        <v>0</v>
      </c>
      <c r="Q596" s="29">
        <f>Предыд!AM595</f>
        <v>0</v>
      </c>
      <c r="R596" s="29">
        <f>Предыд!AN595</f>
        <v>0</v>
      </c>
      <c r="S596" s="29">
        <f>Предыд!AO595</f>
        <v>0</v>
      </c>
      <c r="T596" s="17" t="str">
        <f t="shared" si="9"/>
        <v>-</v>
      </c>
    </row>
    <row r="597" spans="1:20" x14ac:dyDescent="0.25">
      <c r="A597" s="29">
        <f>Текущий!A596</f>
        <v>14</v>
      </c>
      <c r="B597" s="29">
        <f>Текущий!B596</f>
        <v>13880</v>
      </c>
      <c r="C597" s="29">
        <f>Текущий!C596</f>
        <v>2</v>
      </c>
      <c r="D597" s="29" t="str">
        <f>Текущий!D596</f>
        <v>Анисимовка - Тигровый</v>
      </c>
      <c r="E597" s="29">
        <f>ROUND(Текущий!J596,0)</f>
        <v>0</v>
      </c>
      <c r="F597" s="29">
        <f>Текущий!E596</f>
        <v>0</v>
      </c>
      <c r="G597" s="16" t="str">
        <f>IF(Текущий!K596="-",Текущий!K596,ROUND(Текущий!K596,0))</f>
        <v>-</v>
      </c>
      <c r="H597" s="29" t="str">
        <f>IF(ROUND(Текущий!I596,0)=0,"-",ROUND(Текущий!I596,0))</f>
        <v>-</v>
      </c>
      <c r="I597" s="16" t="str">
        <f>IF(Предыд!K596="-",Предыд!K596,ROUND(Предыд!K596,0))</f>
        <v>-</v>
      </c>
      <c r="J597" s="29" t="str">
        <f>IF(ROUND(Предыд!I596,0)=0,"-",ROUND(Предыд!I596,0))</f>
        <v>-</v>
      </c>
      <c r="K597" s="30" t="str">
        <f>Текущий!L596</f>
        <v>Рихтовка</v>
      </c>
      <c r="L597" s="29">
        <f>Текущий!AL596</f>
        <v>0</v>
      </c>
      <c r="M597" s="29">
        <f>Текущий!AM596</f>
        <v>0</v>
      </c>
      <c r="N597" s="29">
        <f>Текущий!AN596</f>
        <v>0</v>
      </c>
      <c r="O597" s="29">
        <f>Текущий!AP596</f>
        <v>0</v>
      </c>
      <c r="P597" s="29">
        <f>Предыд!AL596</f>
        <v>0</v>
      </c>
      <c r="Q597" s="29">
        <f>Предыд!AM596</f>
        <v>0</v>
      </c>
      <c r="R597" s="29">
        <f>Предыд!AN596</f>
        <v>0</v>
      </c>
      <c r="S597" s="29">
        <f>Предыд!AO596</f>
        <v>0</v>
      </c>
      <c r="T597" s="17" t="str">
        <f t="shared" si="9"/>
        <v>-</v>
      </c>
    </row>
    <row r="598" spans="1:20" x14ac:dyDescent="0.25">
      <c r="A598" s="29">
        <f>Текущий!A597</f>
        <v>14</v>
      </c>
      <c r="B598" s="29">
        <f>Текущий!B597</f>
        <v>13880</v>
      </c>
      <c r="C598" s="29">
        <f>Текущий!C597</f>
        <v>2</v>
      </c>
      <c r="D598" s="29" t="str">
        <f>Текущий!D597</f>
        <v>Тигровый - Фридман</v>
      </c>
      <c r="E598" s="29">
        <f>ROUND(Текущий!J597,0)</f>
        <v>0</v>
      </c>
      <c r="F598" s="29">
        <f>Текущий!E597</f>
        <v>0</v>
      </c>
      <c r="G598" s="16" t="str">
        <f>IF(Текущий!K597="-",Текущий!K597,ROUND(Текущий!K597,0))</f>
        <v>-</v>
      </c>
      <c r="H598" s="29" t="str">
        <f>IF(ROUND(Текущий!I597,0)=0,"-",ROUND(Текущий!I597,0))</f>
        <v>-</v>
      </c>
      <c r="I598" s="16" t="str">
        <f>IF(Предыд!K597="-",Предыд!K597,ROUND(Предыд!K597,0))</f>
        <v>-</v>
      </c>
      <c r="J598" s="29" t="str">
        <f>IF(ROUND(Предыд!I597,0)=0,"-",ROUND(Предыд!I597,0))</f>
        <v>-</v>
      </c>
      <c r="K598" s="30" t="str">
        <f>Текущий!L597</f>
        <v>Рихтовка</v>
      </c>
      <c r="L598" s="29">
        <f>Текущий!AL597</f>
        <v>0</v>
      </c>
      <c r="M598" s="29">
        <f>Текущий!AM597</f>
        <v>0</v>
      </c>
      <c r="N598" s="29">
        <f>Текущий!AN597</f>
        <v>0</v>
      </c>
      <c r="O598" s="29">
        <f>Текущий!AP597</f>
        <v>0</v>
      </c>
      <c r="P598" s="29">
        <f>Предыд!AL597</f>
        <v>0</v>
      </c>
      <c r="Q598" s="29">
        <f>Предыд!AM597</f>
        <v>0</v>
      </c>
      <c r="R598" s="29">
        <f>Предыд!AN597</f>
        <v>0</v>
      </c>
      <c r="S598" s="29">
        <f>Предыд!AO597</f>
        <v>0</v>
      </c>
      <c r="T598" s="17" t="str">
        <f t="shared" si="9"/>
        <v>-</v>
      </c>
    </row>
    <row r="599" spans="1:20" x14ac:dyDescent="0.25">
      <c r="A599" s="29">
        <f>Текущий!A598</f>
        <v>14</v>
      </c>
      <c r="B599" s="29">
        <f>Текущий!B598</f>
        <v>13880</v>
      </c>
      <c r="C599" s="29">
        <f>Текущий!C598</f>
        <v>2</v>
      </c>
      <c r="D599" s="29" t="str">
        <f>Текущий!D598</f>
        <v>Фридман - Красноармейский</v>
      </c>
      <c r="E599" s="29">
        <f>ROUND(Текущий!J598,0)</f>
        <v>0</v>
      </c>
      <c r="F599" s="29">
        <f>Текущий!E598</f>
        <v>0</v>
      </c>
      <c r="G599" s="16" t="str">
        <f>IF(Текущий!K598="-",Текущий!K598,ROUND(Текущий!K598,0))</f>
        <v>-</v>
      </c>
      <c r="H599" s="29" t="str">
        <f>IF(ROUND(Текущий!I598,0)=0,"-",ROUND(Текущий!I598,0))</f>
        <v>-</v>
      </c>
      <c r="I599" s="16" t="str">
        <f>IF(Предыд!K598="-",Предыд!K598,ROUND(Предыд!K598,0))</f>
        <v>-</v>
      </c>
      <c r="J599" s="29" t="str">
        <f>IF(ROUND(Предыд!I598,0)=0,"-",ROUND(Предыд!I598,0))</f>
        <v>-</v>
      </c>
      <c r="K599" s="30" t="str">
        <f>Текущий!L598</f>
        <v>Рихтовка</v>
      </c>
      <c r="L599" s="29">
        <f>Текущий!AL598</f>
        <v>0</v>
      </c>
      <c r="M599" s="29">
        <f>Текущий!AM598</f>
        <v>0</v>
      </c>
      <c r="N599" s="29">
        <f>Текущий!AN598</f>
        <v>0</v>
      </c>
      <c r="O599" s="29">
        <f>Текущий!AP598</f>
        <v>0</v>
      </c>
      <c r="P599" s="29">
        <f>Предыд!AL598</f>
        <v>0</v>
      </c>
      <c r="Q599" s="29">
        <f>Предыд!AM598</f>
        <v>0</v>
      </c>
      <c r="R599" s="29">
        <f>Предыд!AN598</f>
        <v>0</v>
      </c>
      <c r="S599" s="29">
        <f>Предыд!AO598</f>
        <v>0</v>
      </c>
      <c r="T599" s="17" t="str">
        <f t="shared" si="9"/>
        <v>-</v>
      </c>
    </row>
    <row r="600" spans="1:20" x14ac:dyDescent="0.25">
      <c r="A600" s="29">
        <f>Текущий!A599</f>
        <v>14</v>
      </c>
      <c r="B600" s="29">
        <f>Текущий!B599</f>
        <v>13880</v>
      </c>
      <c r="C600" s="29">
        <f>Текущий!C599</f>
        <v>2</v>
      </c>
      <c r="D600" s="29" t="str">
        <f>Текущий!D599</f>
        <v>Красноармейский - Партизанск</v>
      </c>
      <c r="E600" s="29">
        <f>ROUND(Текущий!J599,0)</f>
        <v>0</v>
      </c>
      <c r="F600" s="29">
        <f>Текущий!E599</f>
        <v>0</v>
      </c>
      <c r="G600" s="16" t="str">
        <f>IF(Текущий!K599="-",Текущий!K599,ROUND(Текущий!K599,0))</f>
        <v>-</v>
      </c>
      <c r="H600" s="29" t="str">
        <f>IF(ROUND(Текущий!I599,0)=0,"-",ROUND(Текущий!I599,0))</f>
        <v>-</v>
      </c>
      <c r="I600" s="16" t="str">
        <f>IF(Предыд!K599="-",Предыд!K599,ROUND(Предыд!K599,0))</f>
        <v>-</v>
      </c>
      <c r="J600" s="29" t="str">
        <f>IF(ROUND(Предыд!I599,0)=0,"-",ROUND(Предыд!I599,0))</f>
        <v>-</v>
      </c>
      <c r="K600" s="30" t="str">
        <f>Текущий!L599</f>
        <v>Рихтовка</v>
      </c>
      <c r="L600" s="29">
        <f>Текущий!AL599</f>
        <v>0</v>
      </c>
      <c r="M600" s="29">
        <f>Текущий!AM599</f>
        <v>0</v>
      </c>
      <c r="N600" s="29">
        <f>Текущий!AN599</f>
        <v>0</v>
      </c>
      <c r="O600" s="29">
        <f>Текущий!AP599</f>
        <v>0</v>
      </c>
      <c r="P600" s="29">
        <f>Предыд!AL599</f>
        <v>0</v>
      </c>
      <c r="Q600" s="29">
        <f>Предыд!AM599</f>
        <v>0</v>
      </c>
      <c r="R600" s="29">
        <f>Предыд!AN599</f>
        <v>0</v>
      </c>
      <c r="S600" s="29">
        <f>Предыд!AO599</f>
        <v>0</v>
      </c>
      <c r="T600" s="17" t="str">
        <f t="shared" si="9"/>
        <v>-</v>
      </c>
    </row>
    <row r="601" spans="1:20" x14ac:dyDescent="0.25">
      <c r="A601" s="29">
        <f>Текущий!A600</f>
        <v>14</v>
      </c>
      <c r="B601" s="29">
        <f>Текущий!B600</f>
        <v>13880</v>
      </c>
      <c r="C601" s="29">
        <f>Текущий!C600</f>
        <v>2</v>
      </c>
      <c r="D601" s="29" t="str">
        <f>Текущий!D600</f>
        <v>Партизанск - Лозовый</v>
      </c>
      <c r="E601" s="29">
        <f>ROUND(Текущий!J600,0)</f>
        <v>0</v>
      </c>
      <c r="F601" s="29">
        <f>Текущий!E600</f>
        <v>0</v>
      </c>
      <c r="G601" s="16" t="str">
        <f>IF(Текущий!K600="-",Текущий!K600,ROUND(Текущий!K600,0))</f>
        <v>-</v>
      </c>
      <c r="H601" s="29" t="str">
        <f>IF(ROUND(Текущий!I600,0)=0,"-",ROUND(Текущий!I600,0))</f>
        <v>-</v>
      </c>
      <c r="I601" s="16" t="str">
        <f>IF(Предыд!K600="-",Предыд!K600,ROUND(Предыд!K600,0))</f>
        <v>-</v>
      </c>
      <c r="J601" s="29" t="str">
        <f>IF(ROUND(Предыд!I600,0)=0,"-",ROUND(Предыд!I600,0))</f>
        <v>-</v>
      </c>
      <c r="K601" s="30" t="str">
        <f>Текущий!L600</f>
        <v>Рихтовка</v>
      </c>
      <c r="L601" s="29">
        <f>Текущий!AL600</f>
        <v>0</v>
      </c>
      <c r="M601" s="29">
        <f>Текущий!AM600</f>
        <v>0</v>
      </c>
      <c r="N601" s="29">
        <f>Текущий!AN600</f>
        <v>0</v>
      </c>
      <c r="O601" s="29">
        <f>Текущий!AP600</f>
        <v>0</v>
      </c>
      <c r="P601" s="29">
        <f>Предыд!AL600</f>
        <v>0</v>
      </c>
      <c r="Q601" s="29">
        <f>Предыд!AM600</f>
        <v>0</v>
      </c>
      <c r="R601" s="29">
        <f>Предыд!AN600</f>
        <v>0</v>
      </c>
      <c r="S601" s="29">
        <f>Предыд!AO600</f>
        <v>0</v>
      </c>
      <c r="T601" s="17" t="str">
        <f t="shared" si="9"/>
        <v>-</v>
      </c>
    </row>
    <row r="602" spans="1:20" x14ac:dyDescent="0.25">
      <c r="A602" s="29">
        <f>Текущий!A601</f>
        <v>14</v>
      </c>
      <c r="B602" s="29">
        <f>Текущий!B601</f>
        <v>13880</v>
      </c>
      <c r="C602" s="29">
        <f>Текущий!C601</f>
        <v>2</v>
      </c>
      <c r="D602" s="29" t="str">
        <f>Текущий!D601</f>
        <v>Лозовый - Кузнецово</v>
      </c>
      <c r="E602" s="29">
        <f>ROUND(Текущий!J601,0)</f>
        <v>0</v>
      </c>
      <c r="F602" s="29">
        <f>Текущий!E601</f>
        <v>0</v>
      </c>
      <c r="G602" s="16" t="str">
        <f>IF(Текущий!K601="-",Текущий!K601,ROUND(Текущий!K601,0))</f>
        <v>-</v>
      </c>
      <c r="H602" s="29" t="str">
        <f>IF(ROUND(Текущий!I601,0)=0,"-",ROUND(Текущий!I601,0))</f>
        <v>-</v>
      </c>
      <c r="I602" s="16" t="str">
        <f>IF(Предыд!K601="-",Предыд!K601,ROUND(Предыд!K601,0))</f>
        <v>-</v>
      </c>
      <c r="J602" s="29" t="str">
        <f>IF(ROUND(Предыд!I601,0)=0,"-",ROUND(Предыд!I601,0))</f>
        <v>-</v>
      </c>
      <c r="K602" s="30" t="str">
        <f>Текущий!L601</f>
        <v>Рихтовка</v>
      </c>
      <c r="L602" s="29">
        <f>Текущий!AL601</f>
        <v>0</v>
      </c>
      <c r="M602" s="29">
        <f>Текущий!AM601</f>
        <v>0</v>
      </c>
      <c r="N602" s="29">
        <f>Текущий!AN601</f>
        <v>0</v>
      </c>
      <c r="O602" s="29">
        <f>Текущий!AP601</f>
        <v>0</v>
      </c>
      <c r="P602" s="29">
        <f>Предыд!AL601</f>
        <v>0</v>
      </c>
      <c r="Q602" s="29">
        <f>Предыд!AM601</f>
        <v>0</v>
      </c>
      <c r="R602" s="29">
        <f>Предыд!AN601</f>
        <v>0</v>
      </c>
      <c r="S602" s="29">
        <f>Предыд!AO601</f>
        <v>0</v>
      </c>
      <c r="T602" s="17" t="str">
        <f t="shared" si="9"/>
        <v>-</v>
      </c>
    </row>
    <row r="603" spans="1:20" x14ac:dyDescent="0.25">
      <c r="A603" s="29">
        <f>Текущий!A602</f>
        <v>14</v>
      </c>
      <c r="B603" s="29">
        <f>Текущий!B602</f>
        <v>13880</v>
      </c>
      <c r="C603" s="29">
        <f>Текущий!C602</f>
        <v>2</v>
      </c>
      <c r="D603" s="29" t="str">
        <f>Текущий!D602</f>
        <v>Кузнецово - Находка</v>
      </c>
      <c r="E603" s="29">
        <f>ROUND(Текущий!J602,0)</f>
        <v>0</v>
      </c>
      <c r="F603" s="29">
        <f>Текущий!E602</f>
        <v>0</v>
      </c>
      <c r="G603" s="16" t="str">
        <f>IF(Текущий!K602="-",Текущий!K602,ROUND(Текущий!K602,0))</f>
        <v>-</v>
      </c>
      <c r="H603" s="29" t="str">
        <f>IF(ROUND(Текущий!I602,0)=0,"-",ROUND(Текущий!I602,0))</f>
        <v>-</v>
      </c>
      <c r="I603" s="16" t="str">
        <f>IF(Предыд!K602="-",Предыд!K602,ROUND(Предыд!K602,0))</f>
        <v>-</v>
      </c>
      <c r="J603" s="29" t="str">
        <f>IF(ROUND(Предыд!I602,0)=0,"-",ROUND(Предыд!I602,0))</f>
        <v>-</v>
      </c>
      <c r="K603" s="30" t="str">
        <f>Текущий!L602</f>
        <v>Рихтовка</v>
      </c>
      <c r="L603" s="29">
        <f>Текущий!AL602</f>
        <v>0</v>
      </c>
      <c r="M603" s="29">
        <f>Текущий!AM602</f>
        <v>0</v>
      </c>
      <c r="N603" s="29">
        <f>Текущий!AN602</f>
        <v>0</v>
      </c>
      <c r="O603" s="29">
        <f>Текущий!AP602</f>
        <v>0</v>
      </c>
      <c r="P603" s="29">
        <f>Предыд!AL602</f>
        <v>0</v>
      </c>
      <c r="Q603" s="29">
        <f>Предыд!AM602</f>
        <v>0</v>
      </c>
      <c r="R603" s="29">
        <f>Предыд!AN602</f>
        <v>0</v>
      </c>
      <c r="S603" s="29">
        <f>Предыд!AO602</f>
        <v>0</v>
      </c>
      <c r="T603" s="17" t="str">
        <f t="shared" si="9"/>
        <v>-</v>
      </c>
    </row>
    <row r="604" spans="1:20" x14ac:dyDescent="0.25">
      <c r="A604" s="29">
        <f>Текущий!A603</f>
        <v>14</v>
      </c>
      <c r="B604" s="29">
        <f>Текущий!B603</f>
        <v>13880</v>
      </c>
      <c r="C604" s="29">
        <f>Текущий!C603</f>
        <v>2</v>
      </c>
      <c r="D604" s="29" t="str">
        <f>Текущий!D603</f>
        <v>ст. Находка</v>
      </c>
      <c r="E604" s="29">
        <f>ROUND(Текущий!J603,0)</f>
        <v>0</v>
      </c>
      <c r="F604" s="29">
        <f>Текущий!E603</f>
        <v>0</v>
      </c>
      <c r="G604" s="16" t="str">
        <f>IF(Текущий!K603="-",Текущий!K603,ROUND(Текущий!K603,0))</f>
        <v>-</v>
      </c>
      <c r="H604" s="29" t="str">
        <f>IF(ROUND(Текущий!I603,0)=0,"-",ROUND(Текущий!I603,0))</f>
        <v>-</v>
      </c>
      <c r="I604" s="16" t="str">
        <f>IF(Предыд!K603="-",Предыд!K603,ROUND(Предыд!K603,0))</f>
        <v>-</v>
      </c>
      <c r="J604" s="29" t="str">
        <f>IF(ROUND(Предыд!I603,0)=0,"-",ROUND(Предыд!I603,0))</f>
        <v>-</v>
      </c>
      <c r="K604" s="30" t="str">
        <f>Текущий!L603</f>
        <v>Рихтовка</v>
      </c>
      <c r="L604" s="29">
        <f>Текущий!AL603</f>
        <v>0</v>
      </c>
      <c r="M604" s="29">
        <f>Текущий!AM603</f>
        <v>0</v>
      </c>
      <c r="N604" s="29">
        <f>Текущий!AN603</f>
        <v>0</v>
      </c>
      <c r="O604" s="29">
        <f>Текущий!AP603</f>
        <v>0</v>
      </c>
      <c r="P604" s="29">
        <f>Предыд!AL603</f>
        <v>0</v>
      </c>
      <c r="Q604" s="29">
        <f>Предыд!AM603</f>
        <v>0</v>
      </c>
      <c r="R604" s="29">
        <f>Предыд!AN603</f>
        <v>0</v>
      </c>
      <c r="S604" s="29">
        <f>Предыд!AO603</f>
        <v>0</v>
      </c>
      <c r="T604" s="17" t="str">
        <f t="shared" si="9"/>
        <v>-</v>
      </c>
    </row>
    <row r="605" spans="1:20" x14ac:dyDescent="0.25">
      <c r="A605" s="29">
        <f>Текущий!A604</f>
        <v>14</v>
      </c>
      <c r="B605" s="29">
        <f>Текущий!B604</f>
        <v>13880</v>
      </c>
      <c r="C605" s="29">
        <f>Текущий!C604</f>
        <v>2</v>
      </c>
      <c r="D605" s="29" t="str">
        <f>Текущий!D604</f>
        <v>Находка - Бархатная</v>
      </c>
      <c r="E605" s="29">
        <f>ROUND(Текущий!J604,0)</f>
        <v>0</v>
      </c>
      <c r="F605" s="29">
        <f>Текущий!E604</f>
        <v>0</v>
      </c>
      <c r="G605" s="16" t="str">
        <f>IF(Текущий!K604="-",Текущий!K604,ROUND(Текущий!K604,0))</f>
        <v>-</v>
      </c>
      <c r="H605" s="29" t="str">
        <f>IF(ROUND(Текущий!I604,0)=0,"-",ROUND(Текущий!I604,0))</f>
        <v>-</v>
      </c>
      <c r="I605" s="16" t="str">
        <f>IF(Предыд!K604="-",Предыд!K604,ROUND(Предыд!K604,0))</f>
        <v>-</v>
      </c>
      <c r="J605" s="29" t="str">
        <f>IF(ROUND(Предыд!I604,0)=0,"-",ROUND(Предыд!I604,0))</f>
        <v>-</v>
      </c>
      <c r="K605" s="30" t="str">
        <f>Текущий!L604</f>
        <v>Рихтовка</v>
      </c>
      <c r="L605" s="29">
        <f>Текущий!AL604</f>
        <v>0</v>
      </c>
      <c r="M605" s="29">
        <f>Текущий!AM604</f>
        <v>0</v>
      </c>
      <c r="N605" s="29">
        <f>Текущий!AN604</f>
        <v>0</v>
      </c>
      <c r="O605" s="29">
        <f>Текущий!AP604</f>
        <v>0</v>
      </c>
      <c r="P605" s="29">
        <f>Предыд!AL604</f>
        <v>0</v>
      </c>
      <c r="Q605" s="29">
        <f>Предыд!AM604</f>
        <v>0</v>
      </c>
      <c r="R605" s="29">
        <f>Предыд!AN604</f>
        <v>0</v>
      </c>
      <c r="S605" s="29">
        <f>Предыд!AO604</f>
        <v>0</v>
      </c>
      <c r="T605" s="17" t="str">
        <f t="shared" si="9"/>
        <v>-</v>
      </c>
    </row>
    <row r="606" spans="1:20" x14ac:dyDescent="0.25">
      <c r="A606" s="29">
        <f>Текущий!A605</f>
        <v>14</v>
      </c>
      <c r="B606" s="29">
        <f>Текущий!B605</f>
        <v>13880</v>
      </c>
      <c r="C606" s="29">
        <f>Текущий!C605</f>
        <v>1</v>
      </c>
      <c r="D606" s="29" t="str">
        <f>Текущий!D605</f>
        <v>Бархатная - Тихоокеанская</v>
      </c>
      <c r="E606" s="29">
        <f>ROUND(Текущий!J605,0)</f>
        <v>0</v>
      </c>
      <c r="F606" s="29">
        <f>Текущий!E605</f>
        <v>0</v>
      </c>
      <c r="G606" s="16" t="str">
        <f>IF(Текущий!K605="-",Текущий!K605,ROUND(Текущий!K605,0))</f>
        <v>-</v>
      </c>
      <c r="H606" s="29" t="str">
        <f>IF(ROUND(Текущий!I605,0)=0,"-",ROUND(Текущий!I605,0))</f>
        <v>-</v>
      </c>
      <c r="I606" s="16" t="str">
        <f>IF(Предыд!K605="-",Предыд!K605,ROUND(Предыд!K605,0))</f>
        <v>-</v>
      </c>
      <c r="J606" s="29" t="str">
        <f>IF(ROUND(Предыд!I605,0)=0,"-",ROUND(Предыд!I605,0))</f>
        <v>-</v>
      </c>
      <c r="K606" s="30" t="str">
        <f>Текущий!L605</f>
        <v>Рихтовка</v>
      </c>
      <c r="L606" s="29">
        <f>Текущий!AL605</f>
        <v>0</v>
      </c>
      <c r="M606" s="29">
        <f>Текущий!AM605</f>
        <v>0</v>
      </c>
      <c r="N606" s="29">
        <f>Текущий!AN605</f>
        <v>0</v>
      </c>
      <c r="O606" s="29">
        <f>Текущий!AP605</f>
        <v>0</v>
      </c>
      <c r="P606" s="29">
        <f>Предыд!AL605</f>
        <v>0</v>
      </c>
      <c r="Q606" s="29">
        <f>Предыд!AM605</f>
        <v>0</v>
      </c>
      <c r="R606" s="29">
        <f>Предыд!AN605</f>
        <v>0</v>
      </c>
      <c r="S606" s="29">
        <f>Предыд!AO605</f>
        <v>0</v>
      </c>
      <c r="T606" s="17" t="str">
        <f t="shared" si="9"/>
        <v>-</v>
      </c>
    </row>
    <row r="607" spans="1:20" x14ac:dyDescent="0.25">
      <c r="A607" s="29">
        <f>Текущий!A606</f>
        <v>14</v>
      </c>
      <c r="B607" s="29">
        <f>Текущий!B606</f>
        <v>13880</v>
      </c>
      <c r="C607" s="29">
        <f>Текущий!C606</f>
        <v>1</v>
      </c>
      <c r="D607" s="29" t="str">
        <f>Текущий!D606</f>
        <v>Тихоокеанская - Рыбники</v>
      </c>
      <c r="E607" s="29">
        <f>ROUND(Текущий!J606,0)</f>
        <v>0</v>
      </c>
      <c r="F607" s="29">
        <f>Текущий!E606</f>
        <v>0</v>
      </c>
      <c r="G607" s="16" t="str">
        <f>IF(Текущий!K606="-",Текущий!K606,ROUND(Текущий!K606,0))</f>
        <v>-</v>
      </c>
      <c r="H607" s="29" t="str">
        <f>IF(ROUND(Текущий!I606,0)=0,"-",ROUND(Текущий!I606,0))</f>
        <v>-</v>
      </c>
      <c r="I607" s="16" t="str">
        <f>IF(Предыд!K606="-",Предыд!K606,ROUND(Предыд!K606,0))</f>
        <v>-</v>
      </c>
      <c r="J607" s="29" t="str">
        <f>IF(ROUND(Предыд!I606,0)=0,"-",ROUND(Предыд!I606,0))</f>
        <v>-</v>
      </c>
      <c r="K607" s="30" t="str">
        <f>Текущий!L606</f>
        <v>Рихтовка</v>
      </c>
      <c r="L607" s="29">
        <f>Текущий!AL606</f>
        <v>0</v>
      </c>
      <c r="M607" s="29">
        <f>Текущий!AM606</f>
        <v>0</v>
      </c>
      <c r="N607" s="29">
        <f>Текущий!AN606</f>
        <v>0</v>
      </c>
      <c r="O607" s="29">
        <f>Текущий!AP606</f>
        <v>0</v>
      </c>
      <c r="P607" s="29">
        <f>Предыд!AL606</f>
        <v>0</v>
      </c>
      <c r="Q607" s="29">
        <f>Предыд!AM606</f>
        <v>0</v>
      </c>
      <c r="R607" s="29">
        <f>Предыд!AN606</f>
        <v>0</v>
      </c>
      <c r="S607" s="29">
        <f>Предыд!AO606</f>
        <v>0</v>
      </c>
      <c r="T607" s="17" t="str">
        <f t="shared" si="9"/>
        <v>-</v>
      </c>
    </row>
    <row r="608" spans="1:20" x14ac:dyDescent="0.25">
      <c r="A608" s="29">
        <f>Текущий!A607</f>
        <v>14</v>
      </c>
      <c r="B608" s="29">
        <f>Текущий!B607</f>
        <v>13880</v>
      </c>
      <c r="C608" s="29">
        <f>Текущий!C607</f>
        <v>1</v>
      </c>
      <c r="D608" s="29" t="str">
        <f>Текущий!D607</f>
        <v>Рыбники - Крабовая</v>
      </c>
      <c r="E608" s="29">
        <f>ROUND(Текущий!J607,0)</f>
        <v>0</v>
      </c>
      <c r="F608" s="29">
        <f>Текущий!E607</f>
        <v>0</v>
      </c>
      <c r="G608" s="16" t="str">
        <f>IF(Текущий!K607="-",Текущий!K607,ROUND(Текущий!K607,0))</f>
        <v>-</v>
      </c>
      <c r="H608" s="29" t="str">
        <f>IF(ROUND(Текущий!I607,0)=0,"-",ROUND(Текущий!I607,0))</f>
        <v>-</v>
      </c>
      <c r="I608" s="16" t="str">
        <f>IF(Предыд!K607="-",Предыд!K607,ROUND(Предыд!K607,0))</f>
        <v>-</v>
      </c>
      <c r="J608" s="29" t="str">
        <f>IF(ROUND(Предыд!I607,0)=0,"-",ROUND(Предыд!I607,0))</f>
        <v>-</v>
      </c>
      <c r="K608" s="30" t="str">
        <f>Текущий!L607</f>
        <v>Рихтовка</v>
      </c>
      <c r="L608" s="29">
        <f>Текущий!AL607</f>
        <v>0</v>
      </c>
      <c r="M608" s="29">
        <f>Текущий!AM607</f>
        <v>0</v>
      </c>
      <c r="N608" s="29">
        <f>Текущий!AN607</f>
        <v>0</v>
      </c>
      <c r="O608" s="29">
        <f>Текущий!AP607</f>
        <v>0</v>
      </c>
      <c r="P608" s="29">
        <f>Предыд!AL607</f>
        <v>0</v>
      </c>
      <c r="Q608" s="29">
        <f>Предыд!AM607</f>
        <v>0</v>
      </c>
      <c r="R608" s="29">
        <f>Предыд!AN607</f>
        <v>0</v>
      </c>
      <c r="S608" s="29">
        <f>Предыд!AO607</f>
        <v>0</v>
      </c>
      <c r="T608" s="17" t="str">
        <f t="shared" si="9"/>
        <v>-</v>
      </c>
    </row>
    <row r="609" spans="1:20" x14ac:dyDescent="0.25">
      <c r="A609" s="29">
        <f>Текущий!A608</f>
        <v>14</v>
      </c>
      <c r="B609" s="29">
        <f>Текущий!B608</f>
        <v>13880</v>
      </c>
      <c r="C609" s="29">
        <f>Текущий!C608</f>
        <v>1</v>
      </c>
      <c r="D609" s="29" t="str">
        <f>Текущий!D608</f>
        <v>Крабовая - Мыс Астафьева</v>
      </c>
      <c r="E609" s="29">
        <f>ROUND(Текущий!J608,0)</f>
        <v>0</v>
      </c>
      <c r="F609" s="29">
        <f>Текущий!E608</f>
        <v>0</v>
      </c>
      <c r="G609" s="16" t="str">
        <f>IF(Текущий!K608="-",Текущий!K608,ROUND(Текущий!K608,0))</f>
        <v>-</v>
      </c>
      <c r="H609" s="29" t="str">
        <f>IF(ROUND(Текущий!I608,0)=0,"-",ROUND(Текущий!I608,0))</f>
        <v>-</v>
      </c>
      <c r="I609" s="16" t="str">
        <f>IF(Предыд!K608="-",Предыд!K608,ROUND(Предыд!K608,0))</f>
        <v>-</v>
      </c>
      <c r="J609" s="29" t="str">
        <f>IF(ROUND(Предыд!I608,0)=0,"-",ROUND(Предыд!I608,0))</f>
        <v>-</v>
      </c>
      <c r="K609" s="30" t="str">
        <f>Текущий!L608</f>
        <v>Рихтовка</v>
      </c>
      <c r="L609" s="29">
        <f>Текущий!AL608</f>
        <v>0</v>
      </c>
      <c r="M609" s="29">
        <f>Текущий!AM608</f>
        <v>0</v>
      </c>
      <c r="N609" s="29">
        <f>Текущий!AN608</f>
        <v>0</v>
      </c>
      <c r="O609" s="29">
        <f>Текущий!AP608</f>
        <v>0</v>
      </c>
      <c r="P609" s="29">
        <f>Предыд!AL608</f>
        <v>0</v>
      </c>
      <c r="Q609" s="29">
        <f>Предыд!AM608</f>
        <v>0</v>
      </c>
      <c r="R609" s="29">
        <f>Предыд!AN608</f>
        <v>0</v>
      </c>
      <c r="S609" s="29">
        <f>Предыд!AO608</f>
        <v>0</v>
      </c>
      <c r="T609" s="17" t="str">
        <f t="shared" si="9"/>
        <v>-</v>
      </c>
    </row>
    <row r="610" spans="1:20" x14ac:dyDescent="0.25">
      <c r="A610" s="29">
        <f>Текущий!A609</f>
        <v>14</v>
      </c>
      <c r="B610" s="29">
        <f>Текущий!B609</f>
        <v>25136</v>
      </c>
      <c r="C610" s="29">
        <f>Текущий!C609</f>
        <v>1</v>
      </c>
      <c r="D610" s="29" t="str">
        <f>Текущий!D609</f>
        <v>Находка - Хмыловский</v>
      </c>
      <c r="E610" s="29">
        <f>ROUND(Текущий!J609,0)</f>
        <v>0</v>
      </c>
      <c r="F610" s="29">
        <f>Текущий!E609</f>
        <v>0</v>
      </c>
      <c r="G610" s="16" t="str">
        <f>IF(Текущий!K609="-",Текущий!K609,ROUND(Текущий!K609,0))</f>
        <v>-</v>
      </c>
      <c r="H610" s="29" t="str">
        <f>IF(ROUND(Текущий!I609,0)=0,"-",ROUND(Текущий!I609,0))</f>
        <v>-</v>
      </c>
      <c r="I610" s="16" t="str">
        <f>IF(Предыд!K609="-",Предыд!K609,ROUND(Предыд!K609,0))</f>
        <v>-</v>
      </c>
      <c r="J610" s="29" t="str">
        <f>IF(ROUND(Предыд!I609,0)=0,"-",ROUND(Предыд!I609,0))</f>
        <v>-</v>
      </c>
      <c r="K610" s="30" t="str">
        <f>Текущий!L609</f>
        <v>Рихтовка</v>
      </c>
      <c r="L610" s="29">
        <f>Текущий!AL609</f>
        <v>0</v>
      </c>
      <c r="M610" s="29">
        <f>Текущий!AM609</f>
        <v>0</v>
      </c>
      <c r="N610" s="29">
        <f>Текущий!AN609</f>
        <v>0</v>
      </c>
      <c r="O610" s="29">
        <f>Текущий!AP609</f>
        <v>0</v>
      </c>
      <c r="P610" s="29">
        <f>Предыд!AL609</f>
        <v>0</v>
      </c>
      <c r="Q610" s="29">
        <f>Предыд!AM609</f>
        <v>0</v>
      </c>
      <c r="R610" s="29">
        <f>Предыд!AN609</f>
        <v>0</v>
      </c>
      <c r="S610" s="29">
        <f>Предыд!AO609</f>
        <v>0</v>
      </c>
      <c r="T610" s="17" t="str">
        <f t="shared" si="9"/>
        <v>-</v>
      </c>
    </row>
    <row r="611" spans="1:20" x14ac:dyDescent="0.25">
      <c r="A611" s="29">
        <f>Текущий!A610</f>
        <v>14</v>
      </c>
      <c r="B611" s="29">
        <f>Текущий!B610</f>
        <v>25136</v>
      </c>
      <c r="C611" s="29">
        <f>Текущий!C610</f>
        <v>1</v>
      </c>
      <c r="D611" s="29" t="str">
        <f>Текущий!D610</f>
        <v>Хмыловский - Находка-Восточная</v>
      </c>
      <c r="E611" s="29">
        <f>ROUND(Текущий!J610,0)</f>
        <v>0</v>
      </c>
      <c r="F611" s="29">
        <f>Текущий!E610</f>
        <v>0</v>
      </c>
      <c r="G611" s="16" t="str">
        <f>IF(Текущий!K610="-",Текущий!K610,ROUND(Текущий!K610,0))</f>
        <v>-</v>
      </c>
      <c r="H611" s="29" t="str">
        <f>IF(ROUND(Текущий!I610,0)=0,"-",ROUND(Текущий!I610,0))</f>
        <v>-</v>
      </c>
      <c r="I611" s="16" t="str">
        <f>IF(Предыд!K610="-",Предыд!K610,ROUND(Предыд!K610,0))</f>
        <v>-</v>
      </c>
      <c r="J611" s="29" t="str">
        <f>IF(ROUND(Предыд!I610,0)=0,"-",ROUND(Предыд!I610,0))</f>
        <v>-</v>
      </c>
      <c r="K611" s="30" t="str">
        <f>Текущий!L610</f>
        <v>Рихтовка</v>
      </c>
      <c r="L611" s="29">
        <f>Текущий!AL610</f>
        <v>0</v>
      </c>
      <c r="M611" s="29">
        <f>Текущий!AM610</f>
        <v>0</v>
      </c>
      <c r="N611" s="29">
        <f>Текущий!AN610</f>
        <v>0</v>
      </c>
      <c r="O611" s="29">
        <f>Текущий!AP610</f>
        <v>0</v>
      </c>
      <c r="P611" s="29">
        <f>Предыд!AL610</f>
        <v>0</v>
      </c>
      <c r="Q611" s="29">
        <f>Предыд!AM610</f>
        <v>0</v>
      </c>
      <c r="R611" s="29">
        <f>Предыд!AN610</f>
        <v>0</v>
      </c>
      <c r="S611" s="29">
        <f>Предыд!AO610</f>
        <v>0</v>
      </c>
      <c r="T611" s="17" t="str">
        <f t="shared" si="9"/>
        <v>-</v>
      </c>
    </row>
    <row r="612" spans="1:20" x14ac:dyDescent="0.25">
      <c r="A612" s="29">
        <f>Текущий!A611</f>
        <v>14</v>
      </c>
      <c r="B612" s="29">
        <f>Текущий!B611</f>
        <v>25136</v>
      </c>
      <c r="C612" s="29">
        <f>Текущий!C611</f>
        <v>2</v>
      </c>
      <c r="D612" s="29" t="str">
        <f>Текущий!D611</f>
        <v>Находка - Хмыловский</v>
      </c>
      <c r="E612" s="29">
        <f>ROUND(Текущий!J611,0)</f>
        <v>0</v>
      </c>
      <c r="F612" s="29">
        <f>Текущий!E611</f>
        <v>0</v>
      </c>
      <c r="G612" s="16" t="str">
        <f>IF(Текущий!K611="-",Текущий!K611,ROUND(Текущий!K611,0))</f>
        <v>-</v>
      </c>
      <c r="H612" s="29" t="str">
        <f>IF(ROUND(Текущий!I611,0)=0,"-",ROUND(Текущий!I611,0))</f>
        <v>-</v>
      </c>
      <c r="I612" s="16" t="str">
        <f>IF(Предыд!K611="-",Предыд!K611,ROUND(Предыд!K611,0))</f>
        <v>-</v>
      </c>
      <c r="J612" s="29" t="str">
        <f>IF(ROUND(Предыд!I611,0)=0,"-",ROUND(Предыд!I611,0))</f>
        <v>-</v>
      </c>
      <c r="K612" s="30" t="str">
        <f>Текущий!L611</f>
        <v>Рихтовка</v>
      </c>
      <c r="L612" s="29">
        <f>Текущий!AL611</f>
        <v>0</v>
      </c>
      <c r="M612" s="29">
        <f>Текущий!AM611</f>
        <v>0</v>
      </c>
      <c r="N612" s="29">
        <f>Текущий!AN611</f>
        <v>0</v>
      </c>
      <c r="O612" s="29">
        <f>Текущий!AP611</f>
        <v>0</v>
      </c>
      <c r="P612" s="29">
        <f>Предыд!AL611</f>
        <v>0</v>
      </c>
      <c r="Q612" s="29">
        <f>Предыд!AM611</f>
        <v>0</v>
      </c>
      <c r="R612" s="29">
        <f>Предыд!AN611</f>
        <v>0</v>
      </c>
      <c r="S612" s="29">
        <f>Предыд!AO611</f>
        <v>0</v>
      </c>
      <c r="T612" s="17" t="str">
        <f t="shared" si="9"/>
        <v>-</v>
      </c>
    </row>
    <row r="613" spans="1:20" x14ac:dyDescent="0.25">
      <c r="A613" s="29">
        <f>Текущий!A612</f>
        <v>14</v>
      </c>
      <c r="B613" s="29">
        <f>Текущий!B612</f>
        <v>25136</v>
      </c>
      <c r="C613" s="29">
        <f>Текущий!C612</f>
        <v>2</v>
      </c>
      <c r="D613" s="29" t="str">
        <f>Текущий!D612</f>
        <v>Хмыловский - Находка-Восточная</v>
      </c>
      <c r="E613" s="29">
        <f>ROUND(Текущий!J612,0)</f>
        <v>0</v>
      </c>
      <c r="F613" s="29">
        <f>Текущий!E612</f>
        <v>0</v>
      </c>
      <c r="G613" s="16" t="str">
        <f>IF(Текущий!K612="-",Текущий!K612,ROUND(Текущий!K612,0))</f>
        <v>-</v>
      </c>
      <c r="H613" s="29" t="str">
        <f>IF(ROUND(Текущий!I612,0)=0,"-",ROUND(Текущий!I612,0))</f>
        <v>-</v>
      </c>
      <c r="I613" s="16" t="str">
        <f>IF(Предыд!K612="-",Предыд!K612,ROUND(Предыд!K612,0))</f>
        <v>-</v>
      </c>
      <c r="J613" s="29" t="str">
        <f>IF(ROUND(Предыд!I612,0)=0,"-",ROUND(Предыд!I612,0))</f>
        <v>-</v>
      </c>
      <c r="K613" s="30" t="str">
        <f>Текущий!L612</f>
        <v>Рихтовка</v>
      </c>
      <c r="L613" s="29">
        <f>Текущий!AL612</f>
        <v>0</v>
      </c>
      <c r="M613" s="29">
        <f>Текущий!AM612</f>
        <v>0</v>
      </c>
      <c r="N613" s="29">
        <f>Текущий!AN612</f>
        <v>0</v>
      </c>
      <c r="O613" s="29">
        <f>Текущий!AP612</f>
        <v>0</v>
      </c>
      <c r="P613" s="29">
        <f>Предыд!AL612</f>
        <v>0</v>
      </c>
      <c r="Q613" s="29">
        <f>Предыд!AM612</f>
        <v>0</v>
      </c>
      <c r="R613" s="29">
        <f>Предыд!AN612</f>
        <v>0</v>
      </c>
      <c r="S613" s="29">
        <f>Предыд!AO612</f>
        <v>0</v>
      </c>
      <c r="T613" s="17" t="str">
        <f t="shared" si="9"/>
        <v>-</v>
      </c>
    </row>
    <row r="614" spans="1:20" x14ac:dyDescent="0.25">
      <c r="A614" s="29">
        <f>Текущий!A613</f>
        <v>14</v>
      </c>
      <c r="B614" s="29">
        <f>Текущий!B613</f>
        <v>25136</v>
      </c>
      <c r="C614" s="29">
        <f>Текущий!C613</f>
        <v>2</v>
      </c>
      <c r="D614" s="29" t="str">
        <f>Текущий!D613</f>
        <v>Находка-Восточная - Находка-Восточная 3й парк</v>
      </c>
      <c r="E614" s="29">
        <f>ROUND(Текущий!J613,0)</f>
        <v>0</v>
      </c>
      <c r="F614" s="29">
        <f>Текущий!E613</f>
        <v>0</v>
      </c>
      <c r="G614" s="16" t="str">
        <f>IF(Текущий!K613="-",Текущий!K613,ROUND(Текущий!K613,0))</f>
        <v>-</v>
      </c>
      <c r="H614" s="29" t="str">
        <f>IF(ROUND(Текущий!I613,0)=0,"-",ROUND(Текущий!I613,0))</f>
        <v>-</v>
      </c>
      <c r="I614" s="16" t="str">
        <f>IF(Предыд!K613="-",Предыд!K613,ROUND(Предыд!K613,0))</f>
        <v>-</v>
      </c>
      <c r="J614" s="29" t="str">
        <f>IF(ROUND(Предыд!I613,0)=0,"-",ROUND(Предыд!I613,0))</f>
        <v>-</v>
      </c>
      <c r="K614" s="30" t="str">
        <f>Текущий!L613</f>
        <v>Рихтовка</v>
      </c>
      <c r="L614" s="29">
        <f>Текущий!AL613</f>
        <v>0</v>
      </c>
      <c r="M614" s="29">
        <f>Текущий!AM613</f>
        <v>0</v>
      </c>
      <c r="N614" s="29">
        <f>Текущий!AN613</f>
        <v>0</v>
      </c>
      <c r="O614" s="29">
        <f>Текущий!AP613</f>
        <v>0</v>
      </c>
      <c r="P614" s="29">
        <f>Предыд!AL613</f>
        <v>0</v>
      </c>
      <c r="Q614" s="29">
        <f>Предыд!AM613</f>
        <v>0</v>
      </c>
      <c r="R614" s="29">
        <f>Предыд!AN613</f>
        <v>0</v>
      </c>
      <c r="S614" s="29">
        <f>Предыд!AO613</f>
        <v>0</v>
      </c>
      <c r="T614" s="17" t="str">
        <f t="shared" si="9"/>
        <v>-</v>
      </c>
    </row>
    <row r="615" spans="1:20" x14ac:dyDescent="0.25">
      <c r="A615" s="29">
        <f>Текущий!A614</f>
        <v>14</v>
      </c>
      <c r="B615" s="29">
        <f>Текущий!B614</f>
        <v>25191</v>
      </c>
      <c r="C615" s="29" t="str">
        <f>Текущий!C614</f>
        <v>Одн</v>
      </c>
      <c r="D615" s="29" t="str">
        <f>Текущий!D614</f>
        <v>Пост 132 км - Сергеевка</v>
      </c>
      <c r="E615" s="29">
        <f>ROUND(Текущий!J614,0)</f>
        <v>0</v>
      </c>
      <c r="F615" s="29">
        <f>Текущий!E614</f>
        <v>0</v>
      </c>
      <c r="G615" s="16" t="str">
        <f>IF(Текущий!K614="-",Текущий!K614,ROUND(Текущий!K614,0))</f>
        <v>-</v>
      </c>
      <c r="H615" s="29" t="str">
        <f>IF(ROUND(Текущий!I614,0)=0,"-",ROUND(Текущий!I614,0))</f>
        <v>-</v>
      </c>
      <c r="I615" s="16" t="str">
        <f>IF(Предыд!K614="-",Предыд!K614,ROUND(Предыд!K614,0))</f>
        <v>-</v>
      </c>
      <c r="J615" s="29" t="str">
        <f>IF(ROUND(Предыд!I614,0)=0,"-",ROUND(Предыд!I614,0))</f>
        <v>-</v>
      </c>
      <c r="K615" s="30" t="str">
        <f>Текущий!L614</f>
        <v>Рихтовка</v>
      </c>
      <c r="L615" s="29">
        <f>Текущий!AL614</f>
        <v>0</v>
      </c>
      <c r="M615" s="29">
        <f>Текущий!AM614</f>
        <v>0</v>
      </c>
      <c r="N615" s="29">
        <f>Текущий!AN614</f>
        <v>0</v>
      </c>
      <c r="O615" s="29">
        <f>Текущий!AP614</f>
        <v>0</v>
      </c>
      <c r="P615" s="29">
        <f>Предыд!AL614</f>
        <v>0</v>
      </c>
      <c r="Q615" s="29">
        <f>Предыд!AM614</f>
        <v>0</v>
      </c>
      <c r="R615" s="29">
        <f>Предыд!AN614</f>
        <v>0</v>
      </c>
      <c r="S615" s="29">
        <f>Предыд!AO614</f>
        <v>0</v>
      </c>
      <c r="T615" s="17" t="str">
        <f t="shared" si="9"/>
        <v>-</v>
      </c>
    </row>
    <row r="616" spans="1:20" x14ac:dyDescent="0.25">
      <c r="A616" s="29">
        <f>Текущий!A615</f>
        <v>32</v>
      </c>
      <c r="B616" s="29">
        <f>Текущий!B615</f>
        <v>25202</v>
      </c>
      <c r="C616" s="29">
        <f>Текущий!C615</f>
        <v>1</v>
      </c>
      <c r="D616" s="29" t="str">
        <f>Текущий!D615</f>
        <v>Шахта - Невельск</v>
      </c>
      <c r="E616" s="29">
        <f>ROUND(Текущий!J615,0)</f>
        <v>0</v>
      </c>
      <c r="F616" s="29">
        <f>Текущий!E615</f>
        <v>0</v>
      </c>
      <c r="G616" s="16" t="str">
        <f>IF(Текущий!K615="-",Текущий!K615,ROUND(Текущий!K615,0))</f>
        <v>-</v>
      </c>
      <c r="H616" s="29" t="str">
        <f>IF(ROUND(Текущий!I615,0)=0,"-",ROUND(Текущий!I615,0))</f>
        <v>-</v>
      </c>
      <c r="I616" s="16" t="str">
        <f>IF(Предыд!K615="-",Предыд!K615,ROUND(Предыд!K615,0))</f>
        <v>-</v>
      </c>
      <c r="J616" s="29" t="str">
        <f>IF(ROUND(Предыд!I615,0)=0,"-",ROUND(Предыд!I615,0))</f>
        <v>-</v>
      </c>
      <c r="K616" s="30" t="str">
        <f>Текущий!L615</f>
        <v>Рихтовка</v>
      </c>
      <c r="L616" s="29">
        <f>Текущий!AL615</f>
        <v>0</v>
      </c>
      <c r="M616" s="29">
        <f>Текущий!AM615</f>
        <v>0</v>
      </c>
      <c r="N616" s="29">
        <f>Текущий!AN615</f>
        <v>0</v>
      </c>
      <c r="O616" s="29">
        <f>Текущий!AP615</f>
        <v>0</v>
      </c>
      <c r="P616" s="29">
        <f>Предыд!AL615</f>
        <v>0</v>
      </c>
      <c r="Q616" s="29">
        <f>Предыд!AM615</f>
        <v>0</v>
      </c>
      <c r="R616" s="29">
        <f>Предыд!AN615</f>
        <v>0</v>
      </c>
      <c r="S616" s="29">
        <f>Предыд!AO615</f>
        <v>0</v>
      </c>
      <c r="T616" s="17" t="str">
        <f t="shared" si="9"/>
        <v>-</v>
      </c>
    </row>
    <row r="617" spans="1:20" x14ac:dyDescent="0.25">
      <c r="A617" s="29">
        <f>Текущий!A616</f>
        <v>32</v>
      </c>
      <c r="B617" s="29">
        <f>Текущий!B616</f>
        <v>25202</v>
      </c>
      <c r="C617" s="29">
        <f>Текущий!C616</f>
        <v>3</v>
      </c>
      <c r="D617" s="29" t="str">
        <f>Текущий!D616</f>
        <v>ст. Невельск</v>
      </c>
      <c r="E617" s="29">
        <f>ROUND(Текущий!J616,0)</f>
        <v>0</v>
      </c>
      <c r="F617" s="29">
        <f>Текущий!E616</f>
        <v>0</v>
      </c>
      <c r="G617" s="16" t="str">
        <f>IF(Текущий!K616="-",Текущий!K616,ROUND(Текущий!K616,0))</f>
        <v>-</v>
      </c>
      <c r="H617" s="29" t="str">
        <f>IF(ROUND(Текущий!I616,0)=0,"-",ROUND(Текущий!I616,0))</f>
        <v>-</v>
      </c>
      <c r="I617" s="16" t="str">
        <f>IF(Предыд!K616="-",Предыд!K616,ROUND(Предыд!K616,0))</f>
        <v>-</v>
      </c>
      <c r="J617" s="29" t="str">
        <f>IF(ROUND(Предыд!I616,0)=0,"-",ROUND(Предыд!I616,0))</f>
        <v>-</v>
      </c>
      <c r="K617" s="30" t="str">
        <f>Текущий!L616</f>
        <v>Рихтовка</v>
      </c>
      <c r="L617" s="29">
        <f>Текущий!AL616</f>
        <v>0</v>
      </c>
      <c r="M617" s="29">
        <f>Текущий!AM616</f>
        <v>0</v>
      </c>
      <c r="N617" s="29">
        <f>Текущий!AN616</f>
        <v>0</v>
      </c>
      <c r="O617" s="29">
        <f>Текущий!AP616</f>
        <v>0</v>
      </c>
      <c r="P617" s="29">
        <f>Предыд!AL616</f>
        <v>0</v>
      </c>
      <c r="Q617" s="29">
        <f>Предыд!AM616</f>
        <v>0</v>
      </c>
      <c r="R617" s="29">
        <f>Предыд!AN616</f>
        <v>0</v>
      </c>
      <c r="S617" s="29">
        <f>Предыд!AO616</f>
        <v>0</v>
      </c>
      <c r="T617" s="17" t="str">
        <f t="shared" si="9"/>
        <v>-</v>
      </c>
    </row>
    <row r="618" spans="1:20" x14ac:dyDescent="0.25">
      <c r="A618" s="29">
        <f>Текущий!A617</f>
        <v>32</v>
      </c>
      <c r="B618" s="29">
        <f>Текущий!B617</f>
        <v>25202</v>
      </c>
      <c r="C618" s="29">
        <f>Текущий!C617</f>
        <v>1</v>
      </c>
      <c r="D618" s="29" t="str">
        <f>Текущий!D617</f>
        <v>Невельск - Холмск</v>
      </c>
      <c r="E618" s="29">
        <f>ROUND(Текущий!J617,0)</f>
        <v>0</v>
      </c>
      <c r="F618" s="29">
        <f>Текущий!E617</f>
        <v>0</v>
      </c>
      <c r="G618" s="16" t="str">
        <f>IF(Текущий!K617="-",Текущий!K617,ROUND(Текущий!K617,0))</f>
        <v>-</v>
      </c>
      <c r="H618" s="29" t="str">
        <f>IF(ROUND(Текущий!I617,0)=0,"-",ROUND(Текущий!I617,0))</f>
        <v>-</v>
      </c>
      <c r="I618" s="16" t="str">
        <f>IF(Предыд!K617="-",Предыд!K617,ROUND(Предыд!K617,0))</f>
        <v>-</v>
      </c>
      <c r="J618" s="29" t="str">
        <f>IF(ROUND(Предыд!I617,0)=0,"-",ROUND(Предыд!I617,0))</f>
        <v>-</v>
      </c>
      <c r="K618" s="30" t="str">
        <f>Текущий!L617</f>
        <v>Рихтовка</v>
      </c>
      <c r="L618" s="29">
        <f>Текущий!AL617</f>
        <v>0</v>
      </c>
      <c r="M618" s="29">
        <f>Текущий!AM617</f>
        <v>0</v>
      </c>
      <c r="N618" s="29">
        <f>Текущий!AN617</f>
        <v>0</v>
      </c>
      <c r="O618" s="29">
        <f>Текущий!AP617</f>
        <v>0</v>
      </c>
      <c r="P618" s="29">
        <f>Предыд!AL617</f>
        <v>0</v>
      </c>
      <c r="Q618" s="29">
        <f>Предыд!AM617</f>
        <v>0</v>
      </c>
      <c r="R618" s="29">
        <f>Предыд!AN617</f>
        <v>0</v>
      </c>
      <c r="S618" s="29">
        <f>Предыд!AO617</f>
        <v>0</v>
      </c>
      <c r="T618" s="17" t="str">
        <f t="shared" si="9"/>
        <v>-</v>
      </c>
    </row>
    <row r="619" spans="1:20" x14ac:dyDescent="0.25">
      <c r="A619" s="29">
        <f>Текущий!A618</f>
        <v>32</v>
      </c>
      <c r="B619" s="29">
        <f>Текущий!B618</f>
        <v>25202</v>
      </c>
      <c r="C619" s="29">
        <f>Текущий!C618</f>
        <v>2</v>
      </c>
      <c r="D619" s="29" t="str">
        <f>Текущий!D618</f>
        <v>ст. Холмск</v>
      </c>
      <c r="E619" s="29">
        <f>ROUND(Текущий!J618,0)</f>
        <v>0</v>
      </c>
      <c r="F619" s="29">
        <f>Текущий!E618</f>
        <v>0</v>
      </c>
      <c r="G619" s="16" t="str">
        <f>IF(Текущий!K618="-",Текущий!K618,ROUND(Текущий!K618,0))</f>
        <v>-</v>
      </c>
      <c r="H619" s="29" t="str">
        <f>IF(ROUND(Текущий!I618,0)=0,"-",ROUND(Текущий!I618,0))</f>
        <v>-</v>
      </c>
      <c r="I619" s="16" t="str">
        <f>IF(Предыд!K618="-",Предыд!K618,ROUND(Предыд!K618,0))</f>
        <v>-</v>
      </c>
      <c r="J619" s="29" t="str">
        <f>IF(ROUND(Предыд!I618,0)=0,"-",ROUND(Предыд!I618,0))</f>
        <v>-</v>
      </c>
      <c r="K619" s="30" t="str">
        <f>Текущий!L618</f>
        <v>Рихтовка</v>
      </c>
      <c r="L619" s="29">
        <f>Текущий!AL618</f>
        <v>0</v>
      </c>
      <c r="M619" s="29">
        <f>Текущий!AM618</f>
        <v>0</v>
      </c>
      <c r="N619" s="29">
        <f>Текущий!AN618</f>
        <v>0</v>
      </c>
      <c r="O619" s="29">
        <f>Текущий!AP618</f>
        <v>0</v>
      </c>
      <c r="P619" s="29">
        <f>Предыд!AL618</f>
        <v>0</v>
      </c>
      <c r="Q619" s="29">
        <f>Предыд!AM618</f>
        <v>0</v>
      </c>
      <c r="R619" s="29">
        <f>Предыд!AN618</f>
        <v>0</v>
      </c>
      <c r="S619" s="29">
        <f>Предыд!AO618</f>
        <v>0</v>
      </c>
      <c r="T619" s="17" t="str">
        <f t="shared" si="9"/>
        <v>-</v>
      </c>
    </row>
    <row r="620" spans="1:20" x14ac:dyDescent="0.25">
      <c r="A620" s="29">
        <f>Текущий!A619</f>
        <v>32</v>
      </c>
      <c r="B620" s="29">
        <f>Текущий!B619</f>
        <v>25202</v>
      </c>
      <c r="C620" s="29">
        <f>Текущий!C619</f>
        <v>45</v>
      </c>
      <c r="D620" s="29" t="str">
        <f>Текущий!D619</f>
        <v>Холмск - Холмск-Северный</v>
      </c>
      <c r="E620" s="29">
        <f>ROUND(Текущий!J619,0)</f>
        <v>0</v>
      </c>
      <c r="F620" s="29">
        <f>Текущий!E619</f>
        <v>0</v>
      </c>
      <c r="G620" s="16" t="str">
        <f>IF(Текущий!K619="-",Текущий!K619,ROUND(Текущий!K619,0))</f>
        <v>-</v>
      </c>
      <c r="H620" s="29" t="str">
        <f>IF(ROUND(Текущий!I619,0)=0,"-",ROUND(Текущий!I619,0))</f>
        <v>-</v>
      </c>
      <c r="I620" s="16" t="str">
        <f>IF(Предыд!K619="-",Предыд!K619,ROUND(Предыд!K619,0))</f>
        <v>-</v>
      </c>
      <c r="J620" s="29" t="str">
        <f>IF(ROUND(Предыд!I619,0)=0,"-",ROUND(Предыд!I619,0))</f>
        <v>-</v>
      </c>
      <c r="K620" s="30" t="str">
        <f>Текущий!L619</f>
        <v>Рихтовка</v>
      </c>
      <c r="L620" s="29">
        <f>Текущий!AL619</f>
        <v>0</v>
      </c>
      <c r="M620" s="29">
        <f>Текущий!AM619</f>
        <v>0</v>
      </c>
      <c r="N620" s="29">
        <f>Текущий!AN619</f>
        <v>0</v>
      </c>
      <c r="O620" s="29">
        <f>Текущий!AP619</f>
        <v>0</v>
      </c>
      <c r="P620" s="29">
        <f>Предыд!AL619</f>
        <v>0</v>
      </c>
      <c r="Q620" s="29">
        <f>Предыд!AM619</f>
        <v>0</v>
      </c>
      <c r="R620" s="29">
        <f>Предыд!AN619</f>
        <v>0</v>
      </c>
      <c r="S620" s="29">
        <f>Предыд!AO619</f>
        <v>0</v>
      </c>
      <c r="T620" s="17" t="str">
        <f t="shared" si="9"/>
        <v>-</v>
      </c>
    </row>
    <row r="621" spans="1:20" x14ac:dyDescent="0.25">
      <c r="A621" s="29">
        <f>Текущий!A620</f>
        <v>32</v>
      </c>
      <c r="B621" s="29">
        <f>Текущий!B620</f>
        <v>25202</v>
      </c>
      <c r="C621" s="29">
        <f>Текущий!C620</f>
        <v>24</v>
      </c>
      <c r="D621" s="29" t="str">
        <f>Текущий!D620</f>
        <v>Холмск - Холмск-Северный</v>
      </c>
      <c r="E621" s="29">
        <f>ROUND(Текущий!J620,0)</f>
        <v>0</v>
      </c>
      <c r="F621" s="29">
        <f>Текущий!E620</f>
        <v>0</v>
      </c>
      <c r="G621" s="16" t="str">
        <f>IF(Текущий!K620="-",Текущий!K620,ROUND(Текущий!K620,0))</f>
        <v>-</v>
      </c>
      <c r="H621" s="29" t="str">
        <f>IF(ROUND(Текущий!I620,0)=0,"-",ROUND(Текущий!I620,0))</f>
        <v>-</v>
      </c>
      <c r="I621" s="16" t="str">
        <f>IF(Предыд!K620="-",Предыд!K620,ROUND(Предыд!K620,0))</f>
        <v>-</v>
      </c>
      <c r="J621" s="29" t="str">
        <f>IF(ROUND(Предыд!I620,0)=0,"-",ROUND(Предыд!I620,0))</f>
        <v>-</v>
      </c>
      <c r="K621" s="30" t="str">
        <f>Текущий!L620</f>
        <v>Рихтовка</v>
      </c>
      <c r="L621" s="29">
        <f>Текущий!AL620</f>
        <v>0</v>
      </c>
      <c r="M621" s="29">
        <f>Текущий!AM620</f>
        <v>0</v>
      </c>
      <c r="N621" s="29">
        <f>Текущий!AN620</f>
        <v>0</v>
      </c>
      <c r="O621" s="29">
        <f>Текущий!AP620</f>
        <v>0</v>
      </c>
      <c r="P621" s="29">
        <f>Предыд!AL620</f>
        <v>0</v>
      </c>
      <c r="Q621" s="29">
        <f>Предыд!AM620</f>
        <v>0</v>
      </c>
      <c r="R621" s="29">
        <f>Предыд!AN620</f>
        <v>0</v>
      </c>
      <c r="S621" s="29">
        <f>Предыд!AO620</f>
        <v>0</v>
      </c>
      <c r="T621" s="17" t="str">
        <f t="shared" si="9"/>
        <v>-</v>
      </c>
    </row>
    <row r="622" spans="1:20" x14ac:dyDescent="0.25">
      <c r="A622" s="29">
        <f>Текущий!A621</f>
        <v>32</v>
      </c>
      <c r="B622" s="29">
        <f>Текущий!B621</f>
        <v>25202</v>
      </c>
      <c r="C622" s="29">
        <f>Текущий!C621</f>
        <v>1</v>
      </c>
      <c r="D622" s="29" t="str">
        <f>Текущий!D621</f>
        <v>Холмск - Холмск-Северный</v>
      </c>
      <c r="E622" s="29">
        <f>ROUND(Текущий!J621,0)</f>
        <v>0</v>
      </c>
      <c r="F622" s="29">
        <f>Текущий!E621</f>
        <v>0</v>
      </c>
      <c r="G622" s="16" t="str">
        <f>IF(Текущий!K621="-",Текущий!K621,ROUND(Текущий!K621,0))</f>
        <v>-</v>
      </c>
      <c r="H622" s="29" t="str">
        <f>IF(ROUND(Текущий!I621,0)=0,"-",ROUND(Текущий!I621,0))</f>
        <v>-</v>
      </c>
      <c r="I622" s="16" t="str">
        <f>IF(Предыд!K621="-",Предыд!K621,ROUND(Предыд!K621,0))</f>
        <v>-</v>
      </c>
      <c r="J622" s="29" t="str">
        <f>IF(ROUND(Предыд!I621,0)=0,"-",ROUND(Предыд!I621,0))</f>
        <v>-</v>
      </c>
      <c r="K622" s="30" t="str">
        <f>Текущий!L621</f>
        <v>Рихтовка</v>
      </c>
      <c r="L622" s="29">
        <f>Текущий!AL621</f>
        <v>0</v>
      </c>
      <c r="M622" s="29">
        <f>Текущий!AM621</f>
        <v>0</v>
      </c>
      <c r="N622" s="29">
        <f>Текущий!AN621</f>
        <v>0</v>
      </c>
      <c r="O622" s="29">
        <f>Текущий!AP621</f>
        <v>0</v>
      </c>
      <c r="P622" s="29">
        <f>Предыд!AL621</f>
        <v>0</v>
      </c>
      <c r="Q622" s="29">
        <f>Предыд!AM621</f>
        <v>0</v>
      </c>
      <c r="R622" s="29">
        <f>Предыд!AN621</f>
        <v>0</v>
      </c>
      <c r="S622" s="29">
        <f>Предыд!AO621</f>
        <v>0</v>
      </c>
      <c r="T622" s="17" t="str">
        <f t="shared" si="9"/>
        <v>-</v>
      </c>
    </row>
    <row r="623" spans="1:20" x14ac:dyDescent="0.25">
      <c r="A623" s="29">
        <f>Текущий!A622</f>
        <v>32</v>
      </c>
      <c r="B623" s="29">
        <f>Текущий!B622</f>
        <v>25202</v>
      </c>
      <c r="C623" s="29">
        <f>Текущий!C622</f>
        <v>1</v>
      </c>
      <c r="D623" s="29" t="str">
        <f>Текущий!D622</f>
        <v>Холмск-Северный - Пионеры</v>
      </c>
      <c r="E623" s="29">
        <f>ROUND(Текущий!J622,0)</f>
        <v>0</v>
      </c>
      <c r="F623" s="29">
        <f>Текущий!E622</f>
        <v>0</v>
      </c>
      <c r="G623" s="16" t="str">
        <f>IF(Текущий!K622="-",Текущий!K622,ROUND(Текущий!K622,0))</f>
        <v>-</v>
      </c>
      <c r="H623" s="29" t="str">
        <f>IF(ROUND(Текущий!I622,0)=0,"-",ROUND(Текущий!I622,0))</f>
        <v>-</v>
      </c>
      <c r="I623" s="16" t="str">
        <f>IF(Предыд!K622="-",Предыд!K622,ROUND(Предыд!K622,0))</f>
        <v>-</v>
      </c>
      <c r="J623" s="29" t="str">
        <f>IF(ROUND(Предыд!I622,0)=0,"-",ROUND(Предыд!I622,0))</f>
        <v>-</v>
      </c>
      <c r="K623" s="30" t="str">
        <f>Текущий!L622</f>
        <v>Рихтовка</v>
      </c>
      <c r="L623" s="29">
        <f>Текущий!AL622</f>
        <v>0</v>
      </c>
      <c r="M623" s="29">
        <f>Текущий!AM622</f>
        <v>0</v>
      </c>
      <c r="N623" s="29">
        <f>Текущий!AN622</f>
        <v>0</v>
      </c>
      <c r="O623" s="29">
        <f>Текущий!AP622</f>
        <v>0</v>
      </c>
      <c r="P623" s="29">
        <f>Предыд!AL622</f>
        <v>0</v>
      </c>
      <c r="Q623" s="29">
        <f>Предыд!AM622</f>
        <v>0</v>
      </c>
      <c r="R623" s="29">
        <f>Предыд!AN622</f>
        <v>0</v>
      </c>
      <c r="S623" s="29">
        <f>Предыд!AO622</f>
        <v>0</v>
      </c>
      <c r="T623" s="17" t="str">
        <f t="shared" si="9"/>
        <v>-</v>
      </c>
    </row>
    <row r="624" spans="1:20" x14ac:dyDescent="0.25">
      <c r="A624" s="29">
        <f>Текущий!A623</f>
        <v>32</v>
      </c>
      <c r="B624" s="29">
        <f>Текущий!B623</f>
        <v>25202</v>
      </c>
      <c r="C624" s="29">
        <f>Текущий!C623</f>
        <v>1</v>
      </c>
      <c r="D624" s="29" t="str">
        <f>Текущий!D623</f>
        <v>Пионеры - Чехов</v>
      </c>
      <c r="E624" s="29">
        <f>ROUND(Текущий!J623,0)</f>
        <v>0</v>
      </c>
      <c r="F624" s="29">
        <f>Текущий!E623</f>
        <v>0</v>
      </c>
      <c r="G624" s="16" t="str">
        <f>IF(Текущий!K623="-",Текущий!K623,ROUND(Текущий!K623,0))</f>
        <v>-</v>
      </c>
      <c r="H624" s="29" t="str">
        <f>IF(ROUND(Текущий!I623,0)=0,"-",ROUND(Текущий!I623,0))</f>
        <v>-</v>
      </c>
      <c r="I624" s="16" t="str">
        <f>IF(Предыд!K623="-",Предыд!K623,ROUND(Предыд!K623,0))</f>
        <v>-</v>
      </c>
      <c r="J624" s="29" t="str">
        <f>IF(ROUND(Предыд!I623,0)=0,"-",ROUND(Предыд!I623,0))</f>
        <v>-</v>
      </c>
      <c r="K624" s="30" t="str">
        <f>Текущий!L623</f>
        <v>Рихтовка</v>
      </c>
      <c r="L624" s="29">
        <f>Текущий!AL623</f>
        <v>0</v>
      </c>
      <c r="M624" s="29">
        <f>Текущий!AM623</f>
        <v>0</v>
      </c>
      <c r="N624" s="29">
        <f>Текущий!AN623</f>
        <v>0</v>
      </c>
      <c r="O624" s="29">
        <f>Текущий!AP623</f>
        <v>0</v>
      </c>
      <c r="P624" s="29">
        <f>Предыд!AL623</f>
        <v>0</v>
      </c>
      <c r="Q624" s="29">
        <f>Предыд!AM623</f>
        <v>0</v>
      </c>
      <c r="R624" s="29">
        <f>Предыд!AN623</f>
        <v>0</v>
      </c>
      <c r="S624" s="29">
        <f>Предыд!AO623</f>
        <v>0</v>
      </c>
      <c r="T624" s="17" t="str">
        <f t="shared" si="9"/>
        <v>-</v>
      </c>
    </row>
    <row r="625" spans="1:20" x14ac:dyDescent="0.25">
      <c r="A625" s="29">
        <f>Текущий!A624</f>
        <v>32</v>
      </c>
      <c r="B625" s="29">
        <f>Текущий!B624</f>
        <v>25202</v>
      </c>
      <c r="C625" s="29">
        <f>Текущий!C624</f>
        <v>2</v>
      </c>
      <c r="D625" s="29" t="str">
        <f>Текущий!D624</f>
        <v>ст. Чехов</v>
      </c>
      <c r="E625" s="29">
        <f>ROUND(Текущий!J624,0)</f>
        <v>0</v>
      </c>
      <c r="F625" s="29">
        <f>Текущий!E624</f>
        <v>0</v>
      </c>
      <c r="G625" s="16" t="str">
        <f>IF(Текущий!K624="-",Текущий!K624,ROUND(Текущий!K624,0))</f>
        <v>-</v>
      </c>
      <c r="H625" s="29" t="str">
        <f>IF(ROUND(Текущий!I624,0)=0,"-",ROUND(Текущий!I624,0))</f>
        <v>-</v>
      </c>
      <c r="I625" s="16" t="str">
        <f>IF(Предыд!K624="-",Предыд!K624,ROUND(Предыд!K624,0))</f>
        <v>-</v>
      </c>
      <c r="J625" s="29" t="str">
        <f>IF(ROUND(Предыд!I624,0)=0,"-",ROUND(Предыд!I624,0))</f>
        <v>-</v>
      </c>
      <c r="K625" s="30" t="str">
        <f>Текущий!L624</f>
        <v>Рихтовка</v>
      </c>
      <c r="L625" s="29">
        <f>Текущий!AL624</f>
        <v>0</v>
      </c>
      <c r="M625" s="29">
        <f>Текущий!AM624</f>
        <v>0</v>
      </c>
      <c r="N625" s="29">
        <f>Текущий!AN624</f>
        <v>0</v>
      </c>
      <c r="O625" s="29">
        <f>Текущий!AP624</f>
        <v>0</v>
      </c>
      <c r="P625" s="29">
        <f>Предыд!AL624</f>
        <v>0</v>
      </c>
      <c r="Q625" s="29">
        <f>Предыд!AM624</f>
        <v>0</v>
      </c>
      <c r="R625" s="29">
        <f>Предыд!AN624</f>
        <v>0</v>
      </c>
      <c r="S625" s="29">
        <f>Предыд!AO624</f>
        <v>0</v>
      </c>
      <c r="T625" s="17" t="str">
        <f t="shared" si="9"/>
        <v>-</v>
      </c>
    </row>
    <row r="626" spans="1:20" x14ac:dyDescent="0.25">
      <c r="A626" s="29">
        <f>Текущий!A625</f>
        <v>32</v>
      </c>
      <c r="B626" s="29">
        <f>Текущий!B625</f>
        <v>25202</v>
      </c>
      <c r="C626" s="29">
        <f>Текущий!C625</f>
        <v>1</v>
      </c>
      <c r="D626" s="29" t="str">
        <f>Текущий!D625</f>
        <v>Чехов - Новоселово</v>
      </c>
      <c r="E626" s="29">
        <f>ROUND(Текущий!J625,0)</f>
        <v>0</v>
      </c>
      <c r="F626" s="29">
        <f>Текущий!E625</f>
        <v>0</v>
      </c>
      <c r="G626" s="16" t="str">
        <f>IF(Текущий!K625="-",Текущий!K625,ROUND(Текущий!K625,0))</f>
        <v>-</v>
      </c>
      <c r="H626" s="29" t="str">
        <f>IF(ROUND(Текущий!I625,0)=0,"-",ROUND(Текущий!I625,0))</f>
        <v>-</v>
      </c>
      <c r="I626" s="16" t="str">
        <f>IF(Предыд!K625="-",Предыд!K625,ROUND(Предыд!K625,0))</f>
        <v>-</v>
      </c>
      <c r="J626" s="29" t="str">
        <f>IF(ROUND(Предыд!I625,0)=0,"-",ROUND(Предыд!I625,0))</f>
        <v>-</v>
      </c>
      <c r="K626" s="30" t="str">
        <f>Текущий!L625</f>
        <v>Рихтовка</v>
      </c>
      <c r="L626" s="29">
        <f>Текущий!AL625</f>
        <v>0</v>
      </c>
      <c r="M626" s="29">
        <f>Текущий!AM625</f>
        <v>0</v>
      </c>
      <c r="N626" s="29">
        <f>Текущий!AN625</f>
        <v>0</v>
      </c>
      <c r="O626" s="29">
        <f>Текущий!AP625</f>
        <v>0</v>
      </c>
      <c r="P626" s="29">
        <f>Предыд!AL625</f>
        <v>0</v>
      </c>
      <c r="Q626" s="29">
        <f>Предыд!AM625</f>
        <v>0</v>
      </c>
      <c r="R626" s="29">
        <f>Предыд!AN625</f>
        <v>0</v>
      </c>
      <c r="S626" s="29">
        <f>Предыд!AO625</f>
        <v>0</v>
      </c>
      <c r="T626" s="17" t="str">
        <f t="shared" si="9"/>
        <v>-</v>
      </c>
    </row>
    <row r="627" spans="1:20" x14ac:dyDescent="0.25">
      <c r="A627" s="29">
        <f>Текущий!A626</f>
        <v>32</v>
      </c>
      <c r="B627" s="29">
        <f>Текущий!B626</f>
        <v>25202</v>
      </c>
      <c r="C627" s="29">
        <f>Текущий!C626</f>
        <v>1</v>
      </c>
      <c r="D627" s="29" t="str">
        <f>Текущий!D626</f>
        <v>Новоселово - Томари</v>
      </c>
      <c r="E627" s="29">
        <f>ROUND(Текущий!J626,0)</f>
        <v>0</v>
      </c>
      <c r="F627" s="29">
        <f>Текущий!E626</f>
        <v>0</v>
      </c>
      <c r="G627" s="16" t="str">
        <f>IF(Текущий!K626="-",Текущий!K626,ROUND(Текущий!K626,0))</f>
        <v>-</v>
      </c>
      <c r="H627" s="29" t="str">
        <f>IF(ROUND(Текущий!I626,0)=0,"-",ROUND(Текущий!I626,0))</f>
        <v>-</v>
      </c>
      <c r="I627" s="16" t="str">
        <f>IF(Предыд!K626="-",Предыд!K626,ROUND(Предыд!K626,0))</f>
        <v>-</v>
      </c>
      <c r="J627" s="29" t="str">
        <f>IF(ROUND(Предыд!I626,0)=0,"-",ROUND(Предыд!I626,0))</f>
        <v>-</v>
      </c>
      <c r="K627" s="30" t="str">
        <f>Текущий!L626</f>
        <v>Рихтовка</v>
      </c>
      <c r="L627" s="29">
        <f>Текущий!AL626</f>
        <v>0</v>
      </c>
      <c r="M627" s="29">
        <f>Текущий!AM626</f>
        <v>0</v>
      </c>
      <c r="N627" s="29">
        <f>Текущий!AN626</f>
        <v>0</v>
      </c>
      <c r="O627" s="29">
        <f>Текущий!AP626</f>
        <v>0</v>
      </c>
      <c r="P627" s="29">
        <f>Предыд!AL626</f>
        <v>0</v>
      </c>
      <c r="Q627" s="29">
        <f>Предыд!AM626</f>
        <v>0</v>
      </c>
      <c r="R627" s="29">
        <f>Предыд!AN626</f>
        <v>0</v>
      </c>
      <c r="S627" s="29">
        <f>Предыд!AO626</f>
        <v>0</v>
      </c>
      <c r="T627" s="17" t="str">
        <f t="shared" si="9"/>
        <v>-</v>
      </c>
    </row>
    <row r="628" spans="1:20" x14ac:dyDescent="0.25">
      <c r="A628" s="29">
        <f>Текущий!A627</f>
        <v>32</v>
      </c>
      <c r="B628" s="29">
        <f>Текущий!B627</f>
        <v>25202</v>
      </c>
      <c r="C628" s="29">
        <f>Текущий!C627</f>
        <v>1</v>
      </c>
      <c r="D628" s="29" t="str">
        <f>Текущий!D627</f>
        <v>Томари - Пензенская</v>
      </c>
      <c r="E628" s="29">
        <f>ROUND(Текущий!J627,0)</f>
        <v>0</v>
      </c>
      <c r="F628" s="29">
        <f>Текущий!E627</f>
        <v>0</v>
      </c>
      <c r="G628" s="16" t="str">
        <f>IF(Текущий!K627="-",Текущий!K627,ROUND(Текущий!K627,0))</f>
        <v>-</v>
      </c>
      <c r="H628" s="29" t="str">
        <f>IF(ROUND(Текущий!I627,0)=0,"-",ROUND(Текущий!I627,0))</f>
        <v>-</v>
      </c>
      <c r="I628" s="16" t="str">
        <f>IF(Предыд!K627="-",Предыд!K627,ROUND(Предыд!K627,0))</f>
        <v>-</v>
      </c>
      <c r="J628" s="29" t="str">
        <f>IF(ROUND(Предыд!I627,0)=0,"-",ROUND(Предыд!I627,0))</f>
        <v>-</v>
      </c>
      <c r="K628" s="30" t="str">
        <f>Текущий!L627</f>
        <v>Рихтовка</v>
      </c>
      <c r="L628" s="29">
        <f>Текущий!AL627</f>
        <v>0</v>
      </c>
      <c r="M628" s="29">
        <f>Текущий!AM627</f>
        <v>0</v>
      </c>
      <c r="N628" s="29">
        <f>Текущий!AN627</f>
        <v>0</v>
      </c>
      <c r="O628" s="29">
        <f>Текущий!AP627</f>
        <v>0</v>
      </c>
      <c r="P628" s="29">
        <f>Предыд!AL627</f>
        <v>0</v>
      </c>
      <c r="Q628" s="29">
        <f>Предыд!AM627</f>
        <v>0</v>
      </c>
      <c r="R628" s="29">
        <f>Предыд!AN627</f>
        <v>0</v>
      </c>
      <c r="S628" s="29">
        <f>Предыд!AO627</f>
        <v>0</v>
      </c>
      <c r="T628" s="17" t="str">
        <f t="shared" si="9"/>
        <v>-</v>
      </c>
    </row>
    <row r="629" spans="1:20" x14ac:dyDescent="0.25">
      <c r="A629" s="29">
        <f>Текущий!A628</f>
        <v>32</v>
      </c>
      <c r="B629" s="29">
        <f>Текущий!B628</f>
        <v>25202</v>
      </c>
      <c r="C629" s="29">
        <f>Текущий!C628</f>
        <v>1</v>
      </c>
      <c r="D629" s="29" t="str">
        <f>Текущий!D628</f>
        <v>Пензенская - Ильинск</v>
      </c>
      <c r="E629" s="29">
        <f>ROUND(Текущий!J628,0)</f>
        <v>0</v>
      </c>
      <c r="F629" s="29">
        <f>Текущий!E628</f>
        <v>0</v>
      </c>
      <c r="G629" s="16" t="str">
        <f>IF(Текущий!K628="-",Текущий!K628,ROUND(Текущий!K628,0))</f>
        <v>-</v>
      </c>
      <c r="H629" s="29" t="str">
        <f>IF(ROUND(Текущий!I628,0)=0,"-",ROUND(Текущий!I628,0))</f>
        <v>-</v>
      </c>
      <c r="I629" s="16" t="str">
        <f>IF(Предыд!K628="-",Предыд!K628,ROUND(Предыд!K628,0))</f>
        <v>-</v>
      </c>
      <c r="J629" s="29" t="str">
        <f>IF(ROUND(Предыд!I628,0)=0,"-",ROUND(Предыд!I628,0))</f>
        <v>-</v>
      </c>
      <c r="K629" s="30" t="str">
        <f>Текущий!L628</f>
        <v>Рихтовка</v>
      </c>
      <c r="L629" s="29">
        <f>Текущий!AL628</f>
        <v>0</v>
      </c>
      <c r="M629" s="29">
        <f>Текущий!AM628</f>
        <v>0</v>
      </c>
      <c r="N629" s="29">
        <f>Текущий!AN628</f>
        <v>0</v>
      </c>
      <c r="O629" s="29">
        <f>Текущий!AP628</f>
        <v>0</v>
      </c>
      <c r="P629" s="29">
        <f>Предыд!AL628</f>
        <v>0</v>
      </c>
      <c r="Q629" s="29">
        <f>Предыд!AM628</f>
        <v>0</v>
      </c>
      <c r="R629" s="29">
        <f>Предыд!AN628</f>
        <v>0</v>
      </c>
      <c r="S629" s="29">
        <f>Предыд!AO628</f>
        <v>0</v>
      </c>
      <c r="T629" s="17" t="str">
        <f t="shared" si="9"/>
        <v>-</v>
      </c>
    </row>
    <row r="630" spans="1:20" x14ac:dyDescent="0.25">
      <c r="A630" s="29">
        <f>Текущий!A629</f>
        <v>32</v>
      </c>
      <c r="B630" s="29">
        <f>Текущий!B629</f>
        <v>25202</v>
      </c>
      <c r="C630" s="29">
        <f>Текущий!C629</f>
        <v>31</v>
      </c>
      <c r="D630" s="29" t="str">
        <f>Текущий!D629</f>
        <v>Пензенская - Ильинск</v>
      </c>
      <c r="E630" s="29">
        <f>ROUND(Текущий!J629,0)</f>
        <v>0</v>
      </c>
      <c r="F630" s="29">
        <f>Текущий!E629</f>
        <v>0</v>
      </c>
      <c r="G630" s="16" t="str">
        <f>IF(Текущий!K629="-",Текущий!K629,ROUND(Текущий!K629,0))</f>
        <v>-</v>
      </c>
      <c r="H630" s="29" t="str">
        <f>IF(ROUND(Текущий!I629,0)=0,"-",ROUND(Текущий!I629,0))</f>
        <v>-</v>
      </c>
      <c r="I630" s="16" t="str">
        <f>IF(Предыд!K629="-",Предыд!K629,ROUND(Предыд!K629,0))</f>
        <v>-</v>
      </c>
      <c r="J630" s="29" t="str">
        <f>IF(ROUND(Предыд!I629,0)=0,"-",ROUND(Предыд!I629,0))</f>
        <v>-</v>
      </c>
      <c r="K630" s="30" t="str">
        <f>Текущий!L629</f>
        <v>Рихтовка</v>
      </c>
      <c r="L630" s="29">
        <f>Текущий!AL629</f>
        <v>0</v>
      </c>
      <c r="M630" s="29">
        <f>Текущий!AM629</f>
        <v>0</v>
      </c>
      <c r="N630" s="29">
        <f>Текущий!AN629</f>
        <v>0</v>
      </c>
      <c r="O630" s="29">
        <f>Текущий!AP629</f>
        <v>0</v>
      </c>
      <c r="P630" s="29">
        <f>Предыд!AL629</f>
        <v>0</v>
      </c>
      <c r="Q630" s="29">
        <f>Предыд!AM629</f>
        <v>0</v>
      </c>
      <c r="R630" s="29">
        <f>Предыд!AN629</f>
        <v>0</v>
      </c>
      <c r="S630" s="29">
        <f>Предыд!AO629</f>
        <v>0</v>
      </c>
      <c r="T630" s="17" t="str">
        <f t="shared" si="9"/>
        <v>-</v>
      </c>
    </row>
    <row r="631" spans="1:20" x14ac:dyDescent="0.25">
      <c r="A631" s="29">
        <f>Текущий!A630</f>
        <v>32</v>
      </c>
      <c r="B631" s="29">
        <f>Текущий!B630</f>
        <v>25202</v>
      </c>
      <c r="C631" s="29">
        <f>Текущий!C630</f>
        <v>11</v>
      </c>
      <c r="D631" s="29" t="str">
        <f>Текущий!D630</f>
        <v>Пензенская - Ильинск</v>
      </c>
      <c r="E631" s="29">
        <f>ROUND(Текущий!J630,0)</f>
        <v>0</v>
      </c>
      <c r="F631" s="29">
        <f>Текущий!E630</f>
        <v>0</v>
      </c>
      <c r="G631" s="16" t="str">
        <f>IF(Текущий!K630="-",Текущий!K630,ROUND(Текущий!K630,0))</f>
        <v>-</v>
      </c>
      <c r="H631" s="29" t="str">
        <f>IF(ROUND(Текущий!I630,0)=0,"-",ROUND(Текущий!I630,0))</f>
        <v>-</v>
      </c>
      <c r="I631" s="16" t="str">
        <f>IF(Предыд!K630="-",Предыд!K630,ROUND(Предыд!K630,0))</f>
        <v>-</v>
      </c>
      <c r="J631" s="29" t="str">
        <f>IF(ROUND(Предыд!I630,0)=0,"-",ROUND(Предыд!I630,0))</f>
        <v>-</v>
      </c>
      <c r="K631" s="30" t="str">
        <f>Текущий!L630</f>
        <v>Рихтовка</v>
      </c>
      <c r="L631" s="29">
        <f>Текущий!AL630</f>
        <v>0</v>
      </c>
      <c r="M631" s="29">
        <f>Текущий!AM630</f>
        <v>0</v>
      </c>
      <c r="N631" s="29">
        <f>Текущий!AN630</f>
        <v>0</v>
      </c>
      <c r="O631" s="29">
        <f>Текущий!AP630</f>
        <v>0</v>
      </c>
      <c r="P631" s="29">
        <f>Предыд!AL630</f>
        <v>0</v>
      </c>
      <c r="Q631" s="29">
        <f>Предыд!AM630</f>
        <v>0</v>
      </c>
      <c r="R631" s="29">
        <f>Предыд!AN630</f>
        <v>0</v>
      </c>
      <c r="S631" s="29">
        <f>Предыд!AO630</f>
        <v>0</v>
      </c>
      <c r="T631" s="17" t="str">
        <f t="shared" si="9"/>
        <v>-</v>
      </c>
    </row>
    <row r="632" spans="1:20" x14ac:dyDescent="0.25">
      <c r="A632" s="29">
        <f>Текущий!A631</f>
        <v>32</v>
      </c>
      <c r="B632" s="29">
        <f>Текущий!B631</f>
        <v>25202</v>
      </c>
      <c r="C632" s="29">
        <f>Текущий!C631</f>
        <v>41</v>
      </c>
      <c r="D632" s="29" t="str">
        <f>Текущий!D631</f>
        <v>Пензенская - Ильинск</v>
      </c>
      <c r="E632" s="29">
        <f>ROUND(Текущий!J631,0)</f>
        <v>0</v>
      </c>
      <c r="F632" s="29">
        <f>Текущий!E631</f>
        <v>0</v>
      </c>
      <c r="G632" s="16" t="str">
        <f>IF(Текущий!K631="-",Текущий!K631,ROUND(Текущий!K631,0))</f>
        <v>-</v>
      </c>
      <c r="H632" s="29" t="str">
        <f>IF(ROUND(Текущий!I631,0)=0,"-",ROUND(Текущий!I631,0))</f>
        <v>-</v>
      </c>
      <c r="I632" s="16" t="str">
        <f>IF(Предыд!K631="-",Предыд!K631,ROUND(Предыд!K631,0))</f>
        <v>-</v>
      </c>
      <c r="J632" s="29" t="str">
        <f>IF(ROUND(Предыд!I631,0)=0,"-",ROUND(Предыд!I631,0))</f>
        <v>-</v>
      </c>
      <c r="K632" s="30" t="str">
        <f>Текущий!L631</f>
        <v>Рихтовка</v>
      </c>
      <c r="L632" s="29">
        <f>Текущий!AL631</f>
        <v>0</v>
      </c>
      <c r="M632" s="29">
        <f>Текущий!AM631</f>
        <v>0</v>
      </c>
      <c r="N632" s="29">
        <f>Текущий!AN631</f>
        <v>0</v>
      </c>
      <c r="O632" s="29">
        <f>Текущий!AP631</f>
        <v>0</v>
      </c>
      <c r="P632" s="29">
        <f>Предыд!AL631</f>
        <v>0</v>
      </c>
      <c r="Q632" s="29">
        <f>Предыд!AM631</f>
        <v>0</v>
      </c>
      <c r="R632" s="29">
        <f>Предыд!AN631</f>
        <v>0</v>
      </c>
      <c r="S632" s="29">
        <f>Предыд!AO631</f>
        <v>0</v>
      </c>
      <c r="T632" s="17" t="str">
        <f t="shared" si="9"/>
        <v>-</v>
      </c>
    </row>
    <row r="633" spans="1:20" x14ac:dyDescent="0.25">
      <c r="A633" s="29">
        <f>Текущий!A632</f>
        <v>32</v>
      </c>
      <c r="B633" s="29">
        <f>Текущий!B632</f>
        <v>25202</v>
      </c>
      <c r="C633" s="29">
        <f>Текущий!C632</f>
        <v>1</v>
      </c>
      <c r="D633" s="29" t="str">
        <f>Текущий!D632</f>
        <v>ст. Ильинск</v>
      </c>
      <c r="E633" s="29">
        <f>ROUND(Текущий!J632,0)</f>
        <v>0</v>
      </c>
      <c r="F633" s="29">
        <f>Текущий!E632</f>
        <v>0</v>
      </c>
      <c r="G633" s="16" t="str">
        <f>IF(Текущий!K632="-",Текущий!K632,ROUND(Текущий!K632,0))</f>
        <v>-</v>
      </c>
      <c r="H633" s="29" t="str">
        <f>IF(ROUND(Текущий!I632,0)=0,"-",ROUND(Текущий!I632,0))</f>
        <v>-</v>
      </c>
      <c r="I633" s="16" t="str">
        <f>IF(Предыд!K632="-",Предыд!K632,ROUND(Предыд!K632,0))</f>
        <v>-</v>
      </c>
      <c r="J633" s="29" t="str">
        <f>IF(ROUND(Предыд!I632,0)=0,"-",ROUND(Предыд!I632,0))</f>
        <v>-</v>
      </c>
      <c r="K633" s="30" t="str">
        <f>Текущий!L632</f>
        <v>Рихтовка</v>
      </c>
      <c r="L633" s="29">
        <f>Текущий!AL632</f>
        <v>0</v>
      </c>
      <c r="M633" s="29">
        <f>Текущий!AM632</f>
        <v>0</v>
      </c>
      <c r="N633" s="29">
        <f>Текущий!AN632</f>
        <v>0</v>
      </c>
      <c r="O633" s="29">
        <f>Текущий!AP632</f>
        <v>0</v>
      </c>
      <c r="P633" s="29">
        <f>Предыд!AL632</f>
        <v>0</v>
      </c>
      <c r="Q633" s="29">
        <f>Предыд!AM632</f>
        <v>0</v>
      </c>
      <c r="R633" s="29">
        <f>Предыд!AN632</f>
        <v>0</v>
      </c>
      <c r="S633" s="29">
        <f>Предыд!AO632</f>
        <v>0</v>
      </c>
      <c r="T633" s="17" t="str">
        <f t="shared" si="9"/>
        <v>-</v>
      </c>
    </row>
    <row r="634" spans="1:20" x14ac:dyDescent="0.25">
      <c r="A634" s="29">
        <f>Текущий!A633</f>
        <v>32</v>
      </c>
      <c r="B634" s="29">
        <f>Текущий!B633</f>
        <v>25236</v>
      </c>
      <c r="C634" s="29">
        <f>Текущий!C633</f>
        <v>12</v>
      </c>
      <c r="D634" s="29" t="str">
        <f>Текущий!D633</f>
        <v>Ильинск - Арсентьевка</v>
      </c>
      <c r="E634" s="29">
        <f>ROUND(Текущий!J633,0)</f>
        <v>0</v>
      </c>
      <c r="F634" s="29">
        <f>Текущий!E633</f>
        <v>0</v>
      </c>
      <c r="G634" s="16" t="str">
        <f>IF(Текущий!K633="-",Текущий!K633,ROUND(Текущий!K633,0))</f>
        <v>-</v>
      </c>
      <c r="H634" s="29" t="str">
        <f>IF(ROUND(Текущий!I633,0)=0,"-",ROUND(Текущий!I633,0))</f>
        <v>-</v>
      </c>
      <c r="I634" s="16" t="str">
        <f>IF(Предыд!K633="-",Предыд!K633,ROUND(Предыд!K633,0))</f>
        <v>-</v>
      </c>
      <c r="J634" s="29" t="str">
        <f>IF(ROUND(Предыд!I633,0)=0,"-",ROUND(Предыд!I633,0))</f>
        <v>-</v>
      </c>
      <c r="K634" s="30" t="str">
        <f>Текущий!L633</f>
        <v>Рихтовка</v>
      </c>
      <c r="L634" s="29">
        <f>Текущий!AL633</f>
        <v>0</v>
      </c>
      <c r="M634" s="29">
        <f>Текущий!AM633</f>
        <v>0</v>
      </c>
      <c r="N634" s="29">
        <f>Текущий!AN633</f>
        <v>0</v>
      </c>
      <c r="O634" s="29">
        <f>Текущий!AP633</f>
        <v>0</v>
      </c>
      <c r="P634" s="29">
        <f>Предыд!AL633</f>
        <v>0</v>
      </c>
      <c r="Q634" s="29">
        <f>Предыд!AM633</f>
        <v>0</v>
      </c>
      <c r="R634" s="29">
        <f>Предыд!AN633</f>
        <v>0</v>
      </c>
      <c r="S634" s="29">
        <f>Предыд!AO633</f>
        <v>0</v>
      </c>
      <c r="T634" s="17" t="str">
        <f t="shared" si="9"/>
        <v>-</v>
      </c>
    </row>
    <row r="635" spans="1:20" x14ac:dyDescent="0.25">
      <c r="A635" s="29">
        <f>Текущий!A634</f>
        <v>32</v>
      </c>
      <c r="B635" s="29">
        <f>Текущий!B634</f>
        <v>25202</v>
      </c>
      <c r="C635" s="29">
        <f>Текущий!C634</f>
        <v>13</v>
      </c>
      <c r="D635" s="29" t="str">
        <f>Текущий!D634</f>
        <v>Ильинск - Арсентьевка</v>
      </c>
      <c r="E635" s="29">
        <f>ROUND(Текущий!J634,0)</f>
        <v>0</v>
      </c>
      <c r="F635" s="29">
        <f>Текущий!E634</f>
        <v>0</v>
      </c>
      <c r="G635" s="16" t="str">
        <f>IF(Текущий!K634="-",Текущий!K634,ROUND(Текущий!K634,0))</f>
        <v>-</v>
      </c>
      <c r="H635" s="29" t="str">
        <f>IF(ROUND(Текущий!I634,0)=0,"-",ROUND(Текущий!I634,0))</f>
        <v>-</v>
      </c>
      <c r="I635" s="16" t="str">
        <f>IF(Предыд!K634="-",Предыд!K634,ROUND(Предыд!K634,0))</f>
        <v>-</v>
      </c>
      <c r="J635" s="29" t="str">
        <f>IF(ROUND(Предыд!I634,0)=0,"-",ROUND(Предыд!I634,0))</f>
        <v>-</v>
      </c>
      <c r="K635" s="30" t="str">
        <f>Текущий!L634</f>
        <v>Рихтовка</v>
      </c>
      <c r="L635" s="29">
        <f>Текущий!AL634</f>
        <v>0</v>
      </c>
      <c r="M635" s="29">
        <f>Текущий!AM634</f>
        <v>0</v>
      </c>
      <c r="N635" s="29">
        <f>Текущий!AN634</f>
        <v>0</v>
      </c>
      <c r="O635" s="29">
        <f>Текущий!AP634</f>
        <v>0</v>
      </c>
      <c r="P635" s="29">
        <f>Предыд!AL634</f>
        <v>0</v>
      </c>
      <c r="Q635" s="29">
        <f>Предыд!AM634</f>
        <v>0</v>
      </c>
      <c r="R635" s="29">
        <f>Предыд!AN634</f>
        <v>0</v>
      </c>
      <c r="S635" s="29">
        <f>Предыд!AO634</f>
        <v>0</v>
      </c>
      <c r="T635" s="17" t="str">
        <f t="shared" si="9"/>
        <v>-</v>
      </c>
    </row>
    <row r="636" spans="1:20" x14ac:dyDescent="0.25">
      <c r="A636" s="29">
        <f>Текущий!A635</f>
        <v>32</v>
      </c>
      <c r="B636" s="29">
        <f>Текущий!B635</f>
        <v>25236</v>
      </c>
      <c r="C636" s="29">
        <f>Текущий!C635</f>
        <v>21</v>
      </c>
      <c r="D636" s="29" t="str">
        <f>Текущий!D635</f>
        <v>Ильинск - Арсентьевка</v>
      </c>
      <c r="E636" s="29">
        <f>ROUND(Текущий!J635,0)</f>
        <v>0</v>
      </c>
      <c r="F636" s="29">
        <f>Текущий!E635</f>
        <v>0</v>
      </c>
      <c r="G636" s="16" t="str">
        <f>IF(Текущий!K635="-",Текущий!K635,ROUND(Текущий!K635,0))</f>
        <v>-</v>
      </c>
      <c r="H636" s="29" t="str">
        <f>IF(ROUND(Текущий!I635,0)=0,"-",ROUND(Текущий!I635,0))</f>
        <v>-</v>
      </c>
      <c r="I636" s="16" t="str">
        <f>IF(Предыд!K635="-",Предыд!K635,ROUND(Предыд!K635,0))</f>
        <v>-</v>
      </c>
      <c r="J636" s="29" t="str">
        <f>IF(ROUND(Предыд!I635,0)=0,"-",ROUND(Предыд!I635,0))</f>
        <v>-</v>
      </c>
      <c r="K636" s="30" t="str">
        <f>Текущий!L635</f>
        <v>Рихтовка</v>
      </c>
      <c r="L636" s="29">
        <f>Текущий!AL635</f>
        <v>0</v>
      </c>
      <c r="M636" s="29">
        <f>Текущий!AM635</f>
        <v>0</v>
      </c>
      <c r="N636" s="29">
        <f>Текущий!AN635</f>
        <v>0</v>
      </c>
      <c r="O636" s="29">
        <f>Текущий!AP635</f>
        <v>0</v>
      </c>
      <c r="P636" s="29">
        <f>Предыд!AL635</f>
        <v>0</v>
      </c>
      <c r="Q636" s="29">
        <f>Предыд!AM635</f>
        <v>0</v>
      </c>
      <c r="R636" s="29">
        <f>Предыд!AN635</f>
        <v>0</v>
      </c>
      <c r="S636" s="29">
        <f>Предыд!AO635</f>
        <v>0</v>
      </c>
      <c r="T636" s="17" t="str">
        <f t="shared" si="9"/>
        <v>-</v>
      </c>
    </row>
    <row r="637" spans="1:20" x14ac:dyDescent="0.25">
      <c r="A637" s="29">
        <f>Текущий!A636</f>
        <v>32</v>
      </c>
      <c r="B637" s="29">
        <f>Текущий!B636</f>
        <v>25236</v>
      </c>
      <c r="C637" s="29">
        <f>Текущий!C636</f>
        <v>1</v>
      </c>
      <c r="D637" s="29" t="str">
        <f>Текущий!D636</f>
        <v>Ильинск - Арсентьевка</v>
      </c>
      <c r="E637" s="29">
        <f>ROUND(Текущий!J636,0)</f>
        <v>0</v>
      </c>
      <c r="F637" s="29">
        <f>Текущий!E636</f>
        <v>0</v>
      </c>
      <c r="G637" s="16" t="str">
        <f>IF(Текущий!K636="-",Текущий!K636,ROUND(Текущий!K636,0))</f>
        <v>-</v>
      </c>
      <c r="H637" s="29" t="str">
        <f>IF(ROUND(Текущий!I636,0)=0,"-",ROUND(Текущий!I636,0))</f>
        <v>-</v>
      </c>
      <c r="I637" s="16" t="str">
        <f>IF(Предыд!K636="-",Предыд!K636,ROUND(Предыд!K636,0))</f>
        <v>-</v>
      </c>
      <c r="J637" s="29" t="str">
        <f>IF(ROUND(Предыд!I636,0)=0,"-",ROUND(Предыд!I636,0))</f>
        <v>-</v>
      </c>
      <c r="K637" s="30" t="str">
        <f>Текущий!L636</f>
        <v>Рихтовка</v>
      </c>
      <c r="L637" s="29">
        <f>Текущий!AL636</f>
        <v>0</v>
      </c>
      <c r="M637" s="29">
        <f>Текущий!AM636</f>
        <v>0</v>
      </c>
      <c r="N637" s="29">
        <f>Текущий!AN636</f>
        <v>0</v>
      </c>
      <c r="O637" s="29">
        <f>Текущий!AP636</f>
        <v>0</v>
      </c>
      <c r="P637" s="29">
        <f>Предыд!AL636</f>
        <v>0</v>
      </c>
      <c r="Q637" s="29">
        <f>Предыд!AM636</f>
        <v>0</v>
      </c>
      <c r="R637" s="29">
        <f>Предыд!AN636</f>
        <v>0</v>
      </c>
      <c r="S637" s="29">
        <f>Предыд!AO636</f>
        <v>0</v>
      </c>
      <c r="T637" s="17" t="str">
        <f t="shared" si="9"/>
        <v>-</v>
      </c>
    </row>
    <row r="638" spans="1:20" x14ac:dyDescent="0.25">
      <c r="A638" s="29">
        <f>Текущий!A637</f>
        <v>32</v>
      </c>
      <c r="B638" s="29">
        <f>Текущий!B637</f>
        <v>25236</v>
      </c>
      <c r="C638" s="29">
        <f>Текущий!C637</f>
        <v>12</v>
      </c>
      <c r="D638" s="29" t="str">
        <f>Текущий!D637</f>
        <v>Ильинск - Арсентьевка</v>
      </c>
      <c r="E638" s="29">
        <f>ROUND(Текущий!J637,0)</f>
        <v>0</v>
      </c>
      <c r="F638" s="29">
        <f>Текущий!E637</f>
        <v>0</v>
      </c>
      <c r="G638" s="16" t="str">
        <f>IF(Текущий!K637="-",Текущий!K637,ROUND(Текущий!K637,0))</f>
        <v>-</v>
      </c>
      <c r="H638" s="29" t="str">
        <f>IF(ROUND(Текущий!I637,0)=0,"-",ROUND(Текущий!I637,0))</f>
        <v>-</v>
      </c>
      <c r="I638" s="16" t="str">
        <f>IF(Предыд!K637="-",Предыд!K637,ROUND(Предыд!K637,0))</f>
        <v>-</v>
      </c>
      <c r="J638" s="29" t="str">
        <f>IF(ROUND(Предыд!I637,0)=0,"-",ROUND(Предыд!I637,0))</f>
        <v>-</v>
      </c>
      <c r="K638" s="30" t="str">
        <f>Текущий!L637</f>
        <v>Рихтовка</v>
      </c>
      <c r="L638" s="29">
        <f>Текущий!AL637</f>
        <v>0</v>
      </c>
      <c r="M638" s="29">
        <f>Текущий!AM637</f>
        <v>0</v>
      </c>
      <c r="N638" s="29">
        <f>Текущий!AN637</f>
        <v>0</v>
      </c>
      <c r="O638" s="29">
        <f>Текущий!AP637</f>
        <v>0</v>
      </c>
      <c r="P638" s="29">
        <f>Предыд!AL637</f>
        <v>0</v>
      </c>
      <c r="Q638" s="29">
        <f>Предыд!AM637</f>
        <v>0</v>
      </c>
      <c r="R638" s="29">
        <f>Предыд!AN637</f>
        <v>0</v>
      </c>
      <c r="S638" s="29">
        <f>Предыд!AO637</f>
        <v>0</v>
      </c>
      <c r="T638" s="17" t="str">
        <f t="shared" si="9"/>
        <v>-</v>
      </c>
    </row>
    <row r="639" spans="1:20" x14ac:dyDescent="0.25">
      <c r="A639" s="29">
        <f>Текущий!A638</f>
        <v>32</v>
      </c>
      <c r="B639" s="29">
        <f>Текущий!B638</f>
        <v>25236</v>
      </c>
      <c r="C639" s="29">
        <f>Текущий!C638</f>
        <v>11</v>
      </c>
      <c r="D639" s="29" t="str">
        <f>Текущий!D638</f>
        <v>Ильинск - Арсентьевка</v>
      </c>
      <c r="E639" s="29">
        <f>ROUND(Текущий!J638,0)</f>
        <v>0</v>
      </c>
      <c r="F639" s="29">
        <f>Текущий!E638</f>
        <v>0</v>
      </c>
      <c r="G639" s="16" t="str">
        <f>IF(Текущий!K638="-",Текущий!K638,ROUND(Текущий!K638,0))</f>
        <v>-</v>
      </c>
      <c r="H639" s="29" t="str">
        <f>IF(ROUND(Текущий!I638,0)=0,"-",ROUND(Текущий!I638,0))</f>
        <v>-</v>
      </c>
      <c r="I639" s="16" t="str">
        <f>IF(Предыд!K638="-",Предыд!K638,ROUND(Предыд!K638,0))</f>
        <v>-</v>
      </c>
      <c r="J639" s="29" t="str">
        <f>IF(ROUND(Предыд!I638,0)=0,"-",ROUND(Предыд!I638,0))</f>
        <v>-</v>
      </c>
      <c r="K639" s="30" t="str">
        <f>Текущий!L638</f>
        <v>Рихтовка</v>
      </c>
      <c r="L639" s="29">
        <f>Текущий!AL638</f>
        <v>0</v>
      </c>
      <c r="M639" s="29">
        <f>Текущий!AM638</f>
        <v>0</v>
      </c>
      <c r="N639" s="29">
        <f>Текущий!AN638</f>
        <v>0</v>
      </c>
      <c r="O639" s="29">
        <f>Текущий!AP638</f>
        <v>0</v>
      </c>
      <c r="P639" s="29">
        <f>Предыд!AL638</f>
        <v>0</v>
      </c>
      <c r="Q639" s="29">
        <f>Предыд!AM638</f>
        <v>0</v>
      </c>
      <c r="R639" s="29">
        <f>Предыд!AN638</f>
        <v>0</v>
      </c>
      <c r="S639" s="29">
        <f>Предыд!AO638</f>
        <v>0</v>
      </c>
      <c r="T639" s="17" t="str">
        <f t="shared" si="9"/>
        <v>-</v>
      </c>
    </row>
    <row r="640" spans="1:20" x14ac:dyDescent="0.25">
      <c r="A640" s="29">
        <f>Текущий!A639</f>
        <v>32</v>
      </c>
      <c r="B640" s="29">
        <f>Текущий!B639</f>
        <v>25237</v>
      </c>
      <c r="C640" s="29">
        <f>Текущий!C639</f>
        <v>1</v>
      </c>
      <c r="D640" s="29" t="str">
        <f>Текущий!D639</f>
        <v>Холмск - Николайчук</v>
      </c>
      <c r="E640" s="29">
        <f>ROUND(Текущий!J639,0)</f>
        <v>0</v>
      </c>
      <c r="F640" s="29">
        <f>Текущий!E639</f>
        <v>0</v>
      </c>
      <c r="G640" s="16" t="str">
        <f>IF(Текущий!K639="-",Текущий!K639,ROUND(Текущий!K639,0))</f>
        <v>-</v>
      </c>
      <c r="H640" s="29" t="str">
        <f>IF(ROUND(Текущий!I639,0)=0,"-",ROUND(Текущий!I639,0))</f>
        <v>-</v>
      </c>
      <c r="I640" s="16" t="str">
        <f>IF(Предыд!K639="-",Предыд!K639,ROUND(Предыд!K639,0))</f>
        <v>-</v>
      </c>
      <c r="J640" s="29" t="str">
        <f>IF(ROUND(Предыд!I639,0)=0,"-",ROUND(Предыд!I639,0))</f>
        <v>-</v>
      </c>
      <c r="K640" s="30" t="str">
        <f>Текущий!L639</f>
        <v>Рихтовка</v>
      </c>
      <c r="L640" s="29">
        <f>Текущий!AL639</f>
        <v>0</v>
      </c>
      <c r="M640" s="29">
        <f>Текущий!AM639</f>
        <v>0</v>
      </c>
      <c r="N640" s="29">
        <f>Текущий!AN639</f>
        <v>0</v>
      </c>
      <c r="O640" s="29">
        <f>Текущий!AP639</f>
        <v>0</v>
      </c>
      <c r="P640" s="29">
        <f>Предыд!AL639</f>
        <v>0</v>
      </c>
      <c r="Q640" s="29">
        <f>Предыд!AM639</f>
        <v>0</v>
      </c>
      <c r="R640" s="29">
        <f>Предыд!AN639</f>
        <v>0</v>
      </c>
      <c r="S640" s="29">
        <f>Предыд!AO639</f>
        <v>0</v>
      </c>
      <c r="T640" s="17" t="str">
        <f t="shared" si="9"/>
        <v>-</v>
      </c>
    </row>
    <row r="641" spans="1:20" x14ac:dyDescent="0.25">
      <c r="A641" s="29">
        <f>Текущий!A640</f>
        <v>32</v>
      </c>
      <c r="B641" s="29">
        <f>Текущий!B640</f>
        <v>25231</v>
      </c>
      <c r="C641" s="29">
        <f>Текущий!C640</f>
        <v>1</v>
      </c>
      <c r="D641" s="29" t="str">
        <f>Текущий!D640</f>
        <v>Южно-Сахалинск - Новодеревенская</v>
      </c>
      <c r="E641" s="29">
        <f>ROUND(Текущий!J640,0)</f>
        <v>0</v>
      </c>
      <c r="F641" s="29">
        <f>Текущий!E640</f>
        <v>0</v>
      </c>
      <c r="G641" s="16" t="str">
        <f>IF(Текущий!K640="-",Текущий!K640,ROUND(Текущий!K640,0))</f>
        <v>-</v>
      </c>
      <c r="H641" s="29" t="str">
        <f>IF(ROUND(Текущий!I640,0)=0,"-",ROUND(Текущий!I640,0))</f>
        <v>-</v>
      </c>
      <c r="I641" s="16" t="str">
        <f>IF(Предыд!K640="-",Предыд!K640,ROUND(Предыд!K640,0))</f>
        <v>-</v>
      </c>
      <c r="J641" s="29" t="str">
        <f>IF(ROUND(Предыд!I640,0)=0,"-",ROUND(Предыд!I640,0))</f>
        <v>-</v>
      </c>
      <c r="K641" s="30" t="str">
        <f>Текущий!L640</f>
        <v>Рихтовка</v>
      </c>
      <c r="L641" s="29">
        <f>Текущий!AL640</f>
        <v>0</v>
      </c>
      <c r="M641" s="29">
        <f>Текущий!AM640</f>
        <v>0</v>
      </c>
      <c r="N641" s="29">
        <f>Текущий!AN640</f>
        <v>0</v>
      </c>
      <c r="O641" s="29">
        <f>Текущий!AP640</f>
        <v>0</v>
      </c>
      <c r="P641" s="29">
        <f>Предыд!AL640</f>
        <v>0</v>
      </c>
      <c r="Q641" s="29">
        <f>Предыд!AM640</f>
        <v>0</v>
      </c>
      <c r="R641" s="29">
        <f>Предыд!AN640</f>
        <v>0</v>
      </c>
      <c r="S641" s="29">
        <f>Предыд!AO640</f>
        <v>0</v>
      </c>
      <c r="T641" s="17" t="str">
        <f t="shared" si="9"/>
        <v>-</v>
      </c>
    </row>
    <row r="642" spans="1:20" x14ac:dyDescent="0.25">
      <c r="A642" s="29">
        <f>Текущий!A641</f>
        <v>32</v>
      </c>
      <c r="B642" s="29">
        <f>Текущий!B641</f>
        <v>25233</v>
      </c>
      <c r="C642" s="29">
        <f>Текущий!C641</f>
        <v>1</v>
      </c>
      <c r="D642" s="29" t="str">
        <f>Текущий!D641</f>
        <v>Сокол - Быков</v>
      </c>
      <c r="E642" s="29">
        <f>ROUND(Текущий!J641,0)</f>
        <v>0</v>
      </c>
      <c r="F642" s="29">
        <f>Текущий!E641</f>
        <v>0</v>
      </c>
      <c r="G642" s="16" t="str">
        <f>IF(Текущий!K641="-",Текущий!K641,ROUND(Текущий!K641,0))</f>
        <v>-</v>
      </c>
      <c r="H642" s="29" t="str">
        <f>IF(ROUND(Текущий!I641,0)=0,"-",ROUND(Текущий!I641,0))</f>
        <v>-</v>
      </c>
      <c r="I642" s="16" t="str">
        <f>IF(Предыд!K641="-",Предыд!K641,ROUND(Предыд!K641,0))</f>
        <v>-</v>
      </c>
      <c r="J642" s="29" t="str">
        <f>IF(ROUND(Предыд!I641,0)=0,"-",ROUND(Предыд!I641,0))</f>
        <v>-</v>
      </c>
      <c r="K642" s="30" t="str">
        <f>Текущий!L641</f>
        <v>Рихтовка</v>
      </c>
      <c r="L642" s="29">
        <f>Текущий!AL641</f>
        <v>0</v>
      </c>
      <c r="M642" s="29">
        <f>Текущий!AM641</f>
        <v>0</v>
      </c>
      <c r="N642" s="29">
        <f>Текущий!AN641</f>
        <v>0</v>
      </c>
      <c r="O642" s="29">
        <f>Текущий!AP641</f>
        <v>0</v>
      </c>
      <c r="P642" s="29">
        <f>Предыд!AL641</f>
        <v>0</v>
      </c>
      <c r="Q642" s="29">
        <f>Предыд!AM641</f>
        <v>0</v>
      </c>
      <c r="R642" s="29">
        <f>Предыд!AN641</f>
        <v>0</v>
      </c>
      <c r="S642" s="29">
        <f>Предыд!AO641</f>
        <v>0</v>
      </c>
      <c r="T642" s="17" t="str">
        <f t="shared" si="9"/>
        <v>-</v>
      </c>
    </row>
    <row r="643" spans="1:20" x14ac:dyDescent="0.25">
      <c r="A643" s="29">
        <f>Текущий!A642</f>
        <v>32</v>
      </c>
      <c r="B643" s="29">
        <f>Текущий!B642</f>
        <v>25235</v>
      </c>
      <c r="C643" s="29">
        <f>Текущий!C642</f>
        <v>1</v>
      </c>
      <c r="D643" s="29" t="str">
        <f>Текущий!D642</f>
        <v>Вахрушев - Вахрушев угольн.</v>
      </c>
      <c r="E643" s="29">
        <f>ROUND(Текущий!J642,0)</f>
        <v>0</v>
      </c>
      <c r="F643" s="29">
        <f>Текущий!E642</f>
        <v>0</v>
      </c>
      <c r="G643" s="16" t="str">
        <f>IF(Текущий!K642="-",Текущий!K642,ROUND(Текущий!K642,0))</f>
        <v>-</v>
      </c>
      <c r="H643" s="29" t="str">
        <f>IF(ROUND(Текущий!I642,0)=0,"-",ROUND(Текущий!I642,0))</f>
        <v>-</v>
      </c>
      <c r="I643" s="16" t="str">
        <f>IF(Предыд!K642="-",Предыд!K642,ROUND(Предыд!K642,0))</f>
        <v>-</v>
      </c>
      <c r="J643" s="29" t="str">
        <f>IF(ROUND(Предыд!I642,0)=0,"-",ROUND(Предыд!I642,0))</f>
        <v>-</v>
      </c>
      <c r="K643" s="30" t="str">
        <f>Текущий!L642</f>
        <v>Рихтовка</v>
      </c>
      <c r="L643" s="29">
        <f>Текущий!AL642</f>
        <v>0</v>
      </c>
      <c r="M643" s="29">
        <f>Текущий!AM642</f>
        <v>0</v>
      </c>
      <c r="N643" s="29">
        <f>Текущий!AN642</f>
        <v>0</v>
      </c>
      <c r="O643" s="29">
        <f>Текущий!AP642</f>
        <v>0</v>
      </c>
      <c r="P643" s="29">
        <f>Предыд!AL642</f>
        <v>0</v>
      </c>
      <c r="Q643" s="29">
        <f>Предыд!AM642</f>
        <v>0</v>
      </c>
      <c r="R643" s="29">
        <f>Предыд!AN642</f>
        <v>0</v>
      </c>
      <c r="S643" s="29">
        <f>Предыд!AO642</f>
        <v>0</v>
      </c>
      <c r="T643" s="17" t="str">
        <f t="shared" si="9"/>
        <v>-</v>
      </c>
    </row>
    <row r="644" spans="1:20" x14ac:dyDescent="0.25">
      <c r="A644" s="29">
        <f>Текущий!A643</f>
        <v>32</v>
      </c>
      <c r="B644" s="29">
        <f>Текущий!B643</f>
        <v>25201</v>
      </c>
      <c r="C644" s="29">
        <f>Текущий!C643</f>
        <v>1</v>
      </c>
      <c r="D644" s="29" t="str">
        <f>Текущий!D643</f>
        <v>Корсаков - Христофоровка</v>
      </c>
      <c r="E644" s="29">
        <f>ROUND(Текущий!J643,0)</f>
        <v>0</v>
      </c>
      <c r="F644" s="29">
        <f>Текущий!E643</f>
        <v>0</v>
      </c>
      <c r="G644" s="16" t="str">
        <f>IF(Текущий!K643="-",Текущий!K643,ROUND(Текущий!K643,0))</f>
        <v>-</v>
      </c>
      <c r="H644" s="29" t="str">
        <f>IF(ROUND(Текущий!I643,0)=0,"-",ROUND(Текущий!I643,0))</f>
        <v>-</v>
      </c>
      <c r="I644" s="16" t="str">
        <f>IF(Предыд!K643="-",Предыд!K643,ROUND(Предыд!K643,0))</f>
        <v>-</v>
      </c>
      <c r="J644" s="29" t="str">
        <f>IF(ROUND(Предыд!I643,0)=0,"-",ROUND(Предыд!I643,0))</f>
        <v>-</v>
      </c>
      <c r="K644" s="30" t="str">
        <f>Текущий!L643</f>
        <v>Рихтовка</v>
      </c>
      <c r="L644" s="29">
        <f>Текущий!AL643</f>
        <v>0</v>
      </c>
      <c r="M644" s="29">
        <f>Текущий!AM643</f>
        <v>0</v>
      </c>
      <c r="N644" s="29">
        <f>Текущий!AN643</f>
        <v>0</v>
      </c>
      <c r="O644" s="29">
        <f>Текущий!AP643</f>
        <v>0</v>
      </c>
      <c r="P644" s="29">
        <f>Предыд!AL643</f>
        <v>0</v>
      </c>
      <c r="Q644" s="29">
        <f>Предыд!AM643</f>
        <v>0</v>
      </c>
      <c r="R644" s="29">
        <f>Предыд!AN643</f>
        <v>0</v>
      </c>
      <c r="S644" s="29">
        <f>Предыд!AO643</f>
        <v>0</v>
      </c>
      <c r="T644" s="17" t="str">
        <f t="shared" si="9"/>
        <v>-</v>
      </c>
    </row>
    <row r="645" spans="1:20" x14ac:dyDescent="0.25">
      <c r="A645" s="29">
        <f>Текущий!A644</f>
        <v>32</v>
      </c>
      <c r="B645" s="29">
        <f>Текущий!B644</f>
        <v>25201</v>
      </c>
      <c r="C645" s="29">
        <f>Текущий!C644</f>
        <v>3</v>
      </c>
      <c r="D645" s="29" t="str">
        <f>Текущий!D644</f>
        <v>ст. Христофоровка</v>
      </c>
      <c r="E645" s="29">
        <f>ROUND(Текущий!J644,0)</f>
        <v>0</v>
      </c>
      <c r="F645" s="29">
        <f>Текущий!E644</f>
        <v>0</v>
      </c>
      <c r="G645" s="16" t="str">
        <f>IF(Текущий!K644="-",Текущий!K644,ROUND(Текущий!K644,0))</f>
        <v>-</v>
      </c>
      <c r="H645" s="29" t="str">
        <f>IF(ROUND(Текущий!I644,0)=0,"-",ROUND(Текущий!I644,0))</f>
        <v>-</v>
      </c>
      <c r="I645" s="16" t="str">
        <f>IF(Предыд!K644="-",Предыд!K644,ROUND(Предыд!K644,0))</f>
        <v>-</v>
      </c>
      <c r="J645" s="29" t="str">
        <f>IF(ROUND(Предыд!I644,0)=0,"-",ROUND(Предыд!I644,0))</f>
        <v>-</v>
      </c>
      <c r="K645" s="30" t="str">
        <f>Текущий!L644</f>
        <v>Рихтовка</v>
      </c>
      <c r="L645" s="29">
        <f>Текущий!AL644</f>
        <v>0</v>
      </c>
      <c r="M645" s="29">
        <f>Текущий!AM644</f>
        <v>0</v>
      </c>
      <c r="N645" s="29">
        <f>Текущий!AN644</f>
        <v>0</v>
      </c>
      <c r="O645" s="29">
        <f>Текущий!AP644</f>
        <v>0</v>
      </c>
      <c r="P645" s="29">
        <f>Предыд!AL644</f>
        <v>0</v>
      </c>
      <c r="Q645" s="29">
        <f>Предыд!AM644</f>
        <v>0</v>
      </c>
      <c r="R645" s="29">
        <f>Предыд!AN644</f>
        <v>0</v>
      </c>
      <c r="S645" s="29">
        <f>Предыд!AO644</f>
        <v>0</v>
      </c>
      <c r="T645" s="17" t="str">
        <f t="shared" ref="T645:T689" si="10">IF(G645&gt;I645,"+","-")</f>
        <v>-</v>
      </c>
    </row>
    <row r="646" spans="1:20" x14ac:dyDescent="0.25">
      <c r="A646" s="29">
        <f>Текущий!A645</f>
        <v>32</v>
      </c>
      <c r="B646" s="29">
        <f>Текущий!B645</f>
        <v>25201</v>
      </c>
      <c r="C646" s="29">
        <f>Текущий!C645</f>
        <v>1</v>
      </c>
      <c r="D646" s="29" t="str">
        <f>Текущий!D645</f>
        <v>Христофоровка - Южно-Сахалинск</v>
      </c>
      <c r="E646" s="29">
        <f>ROUND(Текущий!J645,0)</f>
        <v>0</v>
      </c>
      <c r="F646" s="29">
        <f>Текущий!E645</f>
        <v>0</v>
      </c>
      <c r="G646" s="16" t="str">
        <f>IF(Текущий!K645="-",Текущий!K645,ROUND(Текущий!K645,0))</f>
        <v>-</v>
      </c>
      <c r="H646" s="29" t="str">
        <f>IF(ROUND(Текущий!I645,0)=0,"-",ROUND(Текущий!I645,0))</f>
        <v>-</v>
      </c>
      <c r="I646" s="16" t="str">
        <f>IF(Предыд!K645="-",Предыд!K645,ROUND(Предыд!K645,0))</f>
        <v>-</v>
      </c>
      <c r="J646" s="29" t="str">
        <f>IF(ROUND(Предыд!I645,0)=0,"-",ROUND(Предыд!I645,0))</f>
        <v>-</v>
      </c>
      <c r="K646" s="30" t="str">
        <f>Текущий!L645</f>
        <v>Рихтовка</v>
      </c>
      <c r="L646" s="29">
        <f>Текущий!AL645</f>
        <v>0</v>
      </c>
      <c r="M646" s="29">
        <f>Текущий!AM645</f>
        <v>0</v>
      </c>
      <c r="N646" s="29">
        <f>Текущий!AN645</f>
        <v>0</v>
      </c>
      <c r="O646" s="29">
        <f>Текущий!AP645</f>
        <v>0</v>
      </c>
      <c r="P646" s="29">
        <f>Предыд!AL645</f>
        <v>0</v>
      </c>
      <c r="Q646" s="29">
        <f>Предыд!AM645</f>
        <v>0</v>
      </c>
      <c r="R646" s="29">
        <f>Предыд!AN645</f>
        <v>0</v>
      </c>
      <c r="S646" s="29">
        <f>Предыд!AO645</f>
        <v>0</v>
      </c>
      <c r="T646" s="17" t="str">
        <f t="shared" si="10"/>
        <v>-</v>
      </c>
    </row>
    <row r="647" spans="1:20" x14ac:dyDescent="0.25">
      <c r="A647" s="29">
        <f>Текущий!A646</f>
        <v>32</v>
      </c>
      <c r="B647" s="29">
        <f>Текущий!B646</f>
        <v>25201</v>
      </c>
      <c r="C647" s="29">
        <f>Текущий!C646</f>
        <v>1</v>
      </c>
      <c r="D647" s="29" t="str">
        <f>Текущий!D646</f>
        <v>ст. Южно-Сахалинск</v>
      </c>
      <c r="E647" s="29">
        <f>ROUND(Текущий!J646,0)</f>
        <v>0</v>
      </c>
      <c r="F647" s="29">
        <f>Текущий!E646</f>
        <v>0</v>
      </c>
      <c r="G647" s="16" t="str">
        <f>IF(Текущий!K646="-",Текущий!K646,ROUND(Текущий!K646,0))</f>
        <v>-</v>
      </c>
      <c r="H647" s="29" t="str">
        <f>IF(ROUND(Текущий!I646,0)=0,"-",ROUND(Текущий!I646,0))</f>
        <v>-</v>
      </c>
      <c r="I647" s="16" t="str">
        <f>IF(Предыд!K646="-",Предыд!K646,ROUND(Предыд!K646,0))</f>
        <v>-</v>
      </c>
      <c r="J647" s="29" t="str">
        <f>IF(ROUND(Предыд!I646,0)=0,"-",ROUND(Предыд!I646,0))</f>
        <v>-</v>
      </c>
      <c r="K647" s="30" t="str">
        <f>Текущий!L646</f>
        <v>Рихтовка</v>
      </c>
      <c r="L647" s="29">
        <f>Текущий!AL646</f>
        <v>0</v>
      </c>
      <c r="M647" s="29">
        <f>Текущий!AM646</f>
        <v>0</v>
      </c>
      <c r="N647" s="29">
        <f>Текущий!AN646</f>
        <v>0</v>
      </c>
      <c r="O647" s="29">
        <f>Текущий!AP646</f>
        <v>0</v>
      </c>
      <c r="P647" s="29">
        <f>Предыд!AL646</f>
        <v>0</v>
      </c>
      <c r="Q647" s="29">
        <f>Предыд!AM646</f>
        <v>0</v>
      </c>
      <c r="R647" s="29">
        <f>Предыд!AN646</f>
        <v>0</v>
      </c>
      <c r="S647" s="29">
        <f>Предыд!AO646</f>
        <v>0</v>
      </c>
      <c r="T647" s="17" t="str">
        <f t="shared" si="10"/>
        <v>-</v>
      </c>
    </row>
    <row r="648" spans="1:20" x14ac:dyDescent="0.25">
      <c r="A648" s="29">
        <f>Текущий!A647</f>
        <v>32</v>
      </c>
      <c r="B648" s="29">
        <f>Текущий!B647</f>
        <v>25201</v>
      </c>
      <c r="C648" s="29">
        <f>Текущий!C647</f>
        <v>2</v>
      </c>
      <c r="D648" s="29" t="str">
        <f>Текущий!D647</f>
        <v>ст. Южно-Сахалинск</v>
      </c>
      <c r="E648" s="29">
        <f>ROUND(Текущий!J647,0)</f>
        <v>0</v>
      </c>
      <c r="F648" s="29">
        <f>Текущий!E647</f>
        <v>0</v>
      </c>
      <c r="G648" s="16" t="str">
        <f>IF(Текущий!K647="-",Текущий!K647,ROUND(Текущий!K647,0))</f>
        <v>-</v>
      </c>
      <c r="H648" s="29" t="str">
        <f>IF(ROUND(Текущий!I647,0)=0,"-",ROUND(Текущий!I647,0))</f>
        <v>-</v>
      </c>
      <c r="I648" s="16" t="str">
        <f>IF(Предыд!K647="-",Предыд!K647,ROUND(Предыд!K647,0))</f>
        <v>-</v>
      </c>
      <c r="J648" s="29" t="str">
        <f>IF(ROUND(Предыд!I647,0)=0,"-",ROUND(Предыд!I647,0))</f>
        <v>-</v>
      </c>
      <c r="K648" s="30" t="str">
        <f>Текущий!L647</f>
        <v>Рихтовка</v>
      </c>
      <c r="L648" s="29">
        <f>Текущий!AL647</f>
        <v>0</v>
      </c>
      <c r="M648" s="29">
        <f>Текущий!AM647</f>
        <v>0</v>
      </c>
      <c r="N648" s="29">
        <f>Текущий!AN647</f>
        <v>0</v>
      </c>
      <c r="O648" s="29">
        <f>Текущий!AP647</f>
        <v>0</v>
      </c>
      <c r="P648" s="29">
        <f>Предыд!AL647</f>
        <v>0</v>
      </c>
      <c r="Q648" s="29">
        <f>Предыд!AM647</f>
        <v>0</v>
      </c>
      <c r="R648" s="29">
        <f>Предыд!AN647</f>
        <v>0</v>
      </c>
      <c r="S648" s="29">
        <f>Предыд!AO647</f>
        <v>0</v>
      </c>
      <c r="T648" s="17" t="str">
        <f t="shared" si="10"/>
        <v>-</v>
      </c>
    </row>
    <row r="649" spans="1:20" x14ac:dyDescent="0.25">
      <c r="A649" s="29">
        <f>Текущий!A648</f>
        <v>32</v>
      </c>
      <c r="B649" s="29">
        <f>Текущий!B648</f>
        <v>25201</v>
      </c>
      <c r="C649" s="29">
        <f>Текущий!C648</f>
        <v>1</v>
      </c>
      <c r="D649" s="29" t="str">
        <f>Текущий!D648</f>
        <v>Южно-Сахалинск - Ново-Александровка</v>
      </c>
      <c r="E649" s="29">
        <f>ROUND(Текущий!J648,0)</f>
        <v>0</v>
      </c>
      <c r="F649" s="29">
        <f>Текущий!E648</f>
        <v>0</v>
      </c>
      <c r="G649" s="16" t="str">
        <f>IF(Текущий!K648="-",Текущий!K648,ROUND(Текущий!K648,0))</f>
        <v>-</v>
      </c>
      <c r="H649" s="29" t="str">
        <f>IF(ROUND(Текущий!I648,0)=0,"-",ROUND(Текущий!I648,0))</f>
        <v>-</v>
      </c>
      <c r="I649" s="16" t="str">
        <f>IF(Предыд!K648="-",Предыд!K648,ROUND(Предыд!K648,0))</f>
        <v>-</v>
      </c>
      <c r="J649" s="29" t="str">
        <f>IF(ROUND(Предыд!I648,0)=0,"-",ROUND(Предыд!I648,0))</f>
        <v>-</v>
      </c>
      <c r="K649" s="30" t="str">
        <f>Текущий!L648</f>
        <v>Рихтовка</v>
      </c>
      <c r="L649" s="29">
        <f>Текущий!AL648</f>
        <v>0</v>
      </c>
      <c r="M649" s="29">
        <f>Текущий!AM648</f>
        <v>0</v>
      </c>
      <c r="N649" s="29">
        <f>Текущий!AN648</f>
        <v>0</v>
      </c>
      <c r="O649" s="29">
        <f>Текущий!AP648</f>
        <v>0</v>
      </c>
      <c r="P649" s="29">
        <f>Предыд!AL648</f>
        <v>0</v>
      </c>
      <c r="Q649" s="29">
        <f>Предыд!AM648</f>
        <v>0</v>
      </c>
      <c r="R649" s="29">
        <f>Предыд!AN648</f>
        <v>0</v>
      </c>
      <c r="S649" s="29">
        <f>Предыд!AO648</f>
        <v>0</v>
      </c>
      <c r="T649" s="17" t="str">
        <f t="shared" si="10"/>
        <v>-</v>
      </c>
    </row>
    <row r="650" spans="1:20" x14ac:dyDescent="0.25">
      <c r="A650" s="29">
        <f>Текущий!A649</f>
        <v>32</v>
      </c>
      <c r="B650" s="29">
        <f>Текущий!B649</f>
        <v>25201</v>
      </c>
      <c r="C650" s="29">
        <f>Текущий!C649</f>
        <v>4</v>
      </c>
      <c r="D650" s="29" t="str">
        <f>Текущий!D649</f>
        <v>ст. Ново-Александровка</v>
      </c>
      <c r="E650" s="29">
        <f>ROUND(Текущий!J649,0)</f>
        <v>0</v>
      </c>
      <c r="F650" s="29">
        <f>Текущий!E649</f>
        <v>0</v>
      </c>
      <c r="G650" s="16" t="str">
        <f>IF(Текущий!K649="-",Текущий!K649,ROUND(Текущий!K649,0))</f>
        <v>-</v>
      </c>
      <c r="H650" s="29" t="str">
        <f>IF(ROUND(Текущий!I649,0)=0,"-",ROUND(Текущий!I649,0))</f>
        <v>-</v>
      </c>
      <c r="I650" s="16" t="str">
        <f>IF(Предыд!K649="-",Предыд!K649,ROUND(Предыд!K649,0))</f>
        <v>-</v>
      </c>
      <c r="J650" s="29" t="str">
        <f>IF(ROUND(Предыд!I649,0)=0,"-",ROUND(Предыд!I649,0))</f>
        <v>-</v>
      </c>
      <c r="K650" s="30" t="str">
        <f>Текущий!L649</f>
        <v>Рихтовка</v>
      </c>
      <c r="L650" s="29">
        <f>Текущий!AL649</f>
        <v>0</v>
      </c>
      <c r="M650" s="29">
        <f>Текущий!AM649</f>
        <v>0</v>
      </c>
      <c r="N650" s="29">
        <f>Текущий!AN649</f>
        <v>0</v>
      </c>
      <c r="O650" s="29">
        <f>Текущий!AP649</f>
        <v>0</v>
      </c>
      <c r="P650" s="29">
        <f>Предыд!AL649</f>
        <v>0</v>
      </c>
      <c r="Q650" s="29">
        <f>Предыд!AM649</f>
        <v>0</v>
      </c>
      <c r="R650" s="29">
        <f>Предыд!AN649</f>
        <v>0</v>
      </c>
      <c r="S650" s="29">
        <f>Предыд!AO649</f>
        <v>0</v>
      </c>
      <c r="T650" s="17" t="str">
        <f t="shared" si="10"/>
        <v>-</v>
      </c>
    </row>
    <row r="651" spans="1:20" x14ac:dyDescent="0.25">
      <c r="A651" s="29">
        <f>Текущий!A650</f>
        <v>32</v>
      </c>
      <c r="B651" s="29">
        <f>Текущий!B650</f>
        <v>25201</v>
      </c>
      <c r="C651" s="29">
        <f>Текущий!C650</f>
        <v>1</v>
      </c>
      <c r="D651" s="29" t="str">
        <f>Текущий!D650</f>
        <v>Ново-Александровка - Сокол</v>
      </c>
      <c r="E651" s="29">
        <f>ROUND(Текущий!J650,0)</f>
        <v>0</v>
      </c>
      <c r="F651" s="29">
        <f>Текущий!E650</f>
        <v>0</v>
      </c>
      <c r="G651" s="16" t="str">
        <f>IF(Текущий!K650="-",Текущий!K650,ROUND(Текущий!K650,0))</f>
        <v>-</v>
      </c>
      <c r="H651" s="29" t="str">
        <f>IF(ROUND(Текущий!I650,0)=0,"-",ROUND(Текущий!I650,0))</f>
        <v>-</v>
      </c>
      <c r="I651" s="16" t="str">
        <f>IF(Предыд!K650="-",Предыд!K650,ROUND(Предыд!K650,0))</f>
        <v>-</v>
      </c>
      <c r="J651" s="29" t="str">
        <f>IF(ROUND(Предыд!I650,0)=0,"-",ROUND(Предыд!I650,0))</f>
        <v>-</v>
      </c>
      <c r="K651" s="30" t="str">
        <f>Текущий!L650</f>
        <v>Рихтовка</v>
      </c>
      <c r="L651" s="29">
        <f>Текущий!AL650</f>
        <v>0</v>
      </c>
      <c r="M651" s="29">
        <f>Текущий!AM650</f>
        <v>0</v>
      </c>
      <c r="N651" s="29">
        <f>Текущий!AN650</f>
        <v>0</v>
      </c>
      <c r="O651" s="29">
        <f>Текущий!AP650</f>
        <v>0</v>
      </c>
      <c r="P651" s="29">
        <f>Предыд!AL650</f>
        <v>0</v>
      </c>
      <c r="Q651" s="29">
        <f>Предыд!AM650</f>
        <v>0</v>
      </c>
      <c r="R651" s="29">
        <f>Предыд!AN650</f>
        <v>0</v>
      </c>
      <c r="S651" s="29">
        <f>Предыд!AO650</f>
        <v>0</v>
      </c>
      <c r="T651" s="17" t="str">
        <f t="shared" si="10"/>
        <v>-</v>
      </c>
    </row>
    <row r="652" spans="1:20" x14ac:dyDescent="0.25">
      <c r="A652" s="29">
        <f>Текущий!A651</f>
        <v>32</v>
      </c>
      <c r="B652" s="29">
        <f>Текущий!B651</f>
        <v>25201</v>
      </c>
      <c r="C652" s="29">
        <f>Текущий!C651</f>
        <v>2</v>
      </c>
      <c r="D652" s="29" t="str">
        <f>Текущий!D651</f>
        <v>ст. Сокол</v>
      </c>
      <c r="E652" s="29">
        <f>ROUND(Текущий!J651,0)</f>
        <v>0</v>
      </c>
      <c r="F652" s="29">
        <f>Текущий!E651</f>
        <v>0</v>
      </c>
      <c r="G652" s="16" t="str">
        <f>IF(Текущий!K651="-",Текущий!K651,ROUND(Текущий!K651,0))</f>
        <v>-</v>
      </c>
      <c r="H652" s="29" t="str">
        <f>IF(ROUND(Текущий!I651,0)=0,"-",ROUND(Текущий!I651,0))</f>
        <v>-</v>
      </c>
      <c r="I652" s="16" t="str">
        <f>IF(Предыд!K651="-",Предыд!K651,ROUND(Предыд!K651,0))</f>
        <v>-</v>
      </c>
      <c r="J652" s="29" t="str">
        <f>IF(ROUND(Предыд!I651,0)=0,"-",ROUND(Предыд!I651,0))</f>
        <v>-</v>
      </c>
      <c r="K652" s="30" t="str">
        <f>Текущий!L651</f>
        <v>Рихтовка</v>
      </c>
      <c r="L652" s="29">
        <f>Текущий!AL651</f>
        <v>0</v>
      </c>
      <c r="M652" s="29">
        <f>Текущий!AM651</f>
        <v>0</v>
      </c>
      <c r="N652" s="29">
        <f>Текущий!AN651</f>
        <v>0</v>
      </c>
      <c r="O652" s="29">
        <f>Текущий!AP651</f>
        <v>0</v>
      </c>
      <c r="P652" s="29">
        <f>Предыд!AL651</f>
        <v>0</v>
      </c>
      <c r="Q652" s="29">
        <f>Предыд!AM651</f>
        <v>0</v>
      </c>
      <c r="R652" s="29">
        <f>Предыд!AN651</f>
        <v>0</v>
      </c>
      <c r="S652" s="29">
        <f>Предыд!AO651</f>
        <v>0</v>
      </c>
      <c r="T652" s="17" t="str">
        <f t="shared" si="10"/>
        <v>-</v>
      </c>
    </row>
    <row r="653" spans="1:20" x14ac:dyDescent="0.25">
      <c r="A653" s="29">
        <f>Текущий!A652</f>
        <v>32</v>
      </c>
      <c r="B653" s="29">
        <f>Текущий!B652</f>
        <v>25201</v>
      </c>
      <c r="C653" s="29">
        <f>Текущий!C652</f>
        <v>3</v>
      </c>
      <c r="D653" s="29" t="str">
        <f>Текущий!D652</f>
        <v>ст. Сокол</v>
      </c>
      <c r="E653" s="29">
        <f>ROUND(Текущий!J652,0)</f>
        <v>0</v>
      </c>
      <c r="F653" s="29">
        <f>Текущий!E652</f>
        <v>0</v>
      </c>
      <c r="G653" s="16" t="str">
        <f>IF(Текущий!K652="-",Текущий!K652,ROUND(Текущий!K652,0))</f>
        <v>-</v>
      </c>
      <c r="H653" s="29" t="str">
        <f>IF(ROUND(Текущий!I652,0)=0,"-",ROUND(Текущий!I652,0))</f>
        <v>-</v>
      </c>
      <c r="I653" s="16" t="str">
        <f>IF(Предыд!K652="-",Предыд!K652,ROUND(Предыд!K652,0))</f>
        <v>-</v>
      </c>
      <c r="J653" s="29" t="str">
        <f>IF(ROUND(Предыд!I652,0)=0,"-",ROUND(Предыд!I652,0))</f>
        <v>-</v>
      </c>
      <c r="K653" s="30" t="str">
        <f>Текущий!L652</f>
        <v>Рихтовка</v>
      </c>
      <c r="L653" s="29">
        <f>Текущий!AL652</f>
        <v>0</v>
      </c>
      <c r="M653" s="29">
        <f>Текущий!AM652</f>
        <v>0</v>
      </c>
      <c r="N653" s="29">
        <f>Текущий!AN652</f>
        <v>0</v>
      </c>
      <c r="O653" s="29">
        <f>Текущий!AP652</f>
        <v>0</v>
      </c>
      <c r="P653" s="29">
        <f>Предыд!AL652</f>
        <v>0</v>
      </c>
      <c r="Q653" s="29">
        <f>Предыд!AM652</f>
        <v>0</v>
      </c>
      <c r="R653" s="29">
        <f>Предыд!AN652</f>
        <v>0</v>
      </c>
      <c r="S653" s="29">
        <f>Предыд!AO652</f>
        <v>0</v>
      </c>
      <c r="T653" s="17" t="str">
        <f t="shared" si="10"/>
        <v>-</v>
      </c>
    </row>
    <row r="654" spans="1:20" x14ac:dyDescent="0.25">
      <c r="A654" s="29">
        <f>Текущий!A653</f>
        <v>32</v>
      </c>
      <c r="B654" s="29">
        <f>Текущий!B653</f>
        <v>25201</v>
      </c>
      <c r="C654" s="29">
        <f>Текущий!C653</f>
        <v>1</v>
      </c>
      <c r="D654" s="29" t="str">
        <f>Текущий!D653</f>
        <v>Сокол - Долинск</v>
      </c>
      <c r="E654" s="29">
        <f>ROUND(Текущий!J653,0)</f>
        <v>0</v>
      </c>
      <c r="F654" s="29">
        <f>Текущий!E653</f>
        <v>0</v>
      </c>
      <c r="G654" s="16" t="str">
        <f>IF(Текущий!K653="-",Текущий!K653,ROUND(Текущий!K653,0))</f>
        <v>-</v>
      </c>
      <c r="H654" s="29" t="str">
        <f>IF(ROUND(Текущий!I653,0)=0,"-",ROUND(Текущий!I653,0))</f>
        <v>-</v>
      </c>
      <c r="I654" s="16" t="str">
        <f>IF(Предыд!K653="-",Предыд!K653,ROUND(Предыд!K653,0))</f>
        <v>-</v>
      </c>
      <c r="J654" s="29" t="str">
        <f>IF(ROUND(Предыд!I653,0)=0,"-",ROUND(Предыд!I653,0))</f>
        <v>-</v>
      </c>
      <c r="K654" s="30" t="str">
        <f>Текущий!L653</f>
        <v>Рихтовка</v>
      </c>
      <c r="L654" s="29">
        <f>Текущий!AL653</f>
        <v>0</v>
      </c>
      <c r="M654" s="29">
        <f>Текущий!AM653</f>
        <v>0</v>
      </c>
      <c r="N654" s="29">
        <f>Текущий!AN653</f>
        <v>0</v>
      </c>
      <c r="O654" s="29">
        <f>Текущий!AP653</f>
        <v>0</v>
      </c>
      <c r="P654" s="29">
        <f>Предыд!AL653</f>
        <v>0</v>
      </c>
      <c r="Q654" s="29">
        <f>Предыд!AM653</f>
        <v>0</v>
      </c>
      <c r="R654" s="29">
        <f>Предыд!AN653</f>
        <v>0</v>
      </c>
      <c r="S654" s="29">
        <f>Предыд!AO653</f>
        <v>0</v>
      </c>
      <c r="T654" s="17" t="str">
        <f t="shared" si="10"/>
        <v>-</v>
      </c>
    </row>
    <row r="655" spans="1:20" x14ac:dyDescent="0.25">
      <c r="A655" s="29">
        <f>Текущий!A654</f>
        <v>32</v>
      </c>
      <c r="B655" s="29">
        <f>Текущий!B654</f>
        <v>25201</v>
      </c>
      <c r="C655" s="29">
        <f>Текущий!C654</f>
        <v>1</v>
      </c>
      <c r="D655" s="29" t="str">
        <f>Текущий!D654</f>
        <v>Долинск - Советское</v>
      </c>
      <c r="E655" s="29">
        <f>ROUND(Текущий!J654,0)</f>
        <v>0</v>
      </c>
      <c r="F655" s="29">
        <f>Текущий!E654</f>
        <v>0</v>
      </c>
      <c r="G655" s="16" t="str">
        <f>IF(Текущий!K654="-",Текущий!K654,ROUND(Текущий!K654,0))</f>
        <v>-</v>
      </c>
      <c r="H655" s="29" t="str">
        <f>IF(ROUND(Текущий!I654,0)=0,"-",ROUND(Текущий!I654,0))</f>
        <v>-</v>
      </c>
      <c r="I655" s="16" t="str">
        <f>IF(Предыд!K654="-",Предыд!K654,ROUND(Предыд!K654,0))</f>
        <v>-</v>
      </c>
      <c r="J655" s="29" t="str">
        <f>IF(ROUND(Предыд!I654,0)=0,"-",ROUND(Предыд!I654,0))</f>
        <v>-</v>
      </c>
      <c r="K655" s="30" t="str">
        <f>Текущий!L654</f>
        <v>Рихтовка</v>
      </c>
      <c r="L655" s="29">
        <f>Текущий!AL654</f>
        <v>0</v>
      </c>
      <c r="M655" s="29">
        <f>Текущий!AM654</f>
        <v>0</v>
      </c>
      <c r="N655" s="29">
        <f>Текущий!AN654</f>
        <v>0</v>
      </c>
      <c r="O655" s="29">
        <f>Текущий!AP654</f>
        <v>0</v>
      </c>
      <c r="P655" s="29">
        <f>Предыд!AL654</f>
        <v>0</v>
      </c>
      <c r="Q655" s="29">
        <f>Предыд!AM654</f>
        <v>0</v>
      </c>
      <c r="R655" s="29">
        <f>Предыд!AN654</f>
        <v>0</v>
      </c>
      <c r="S655" s="29">
        <f>Предыд!AO654</f>
        <v>0</v>
      </c>
      <c r="T655" s="17" t="str">
        <f t="shared" si="10"/>
        <v>-</v>
      </c>
    </row>
    <row r="656" spans="1:20" x14ac:dyDescent="0.25">
      <c r="A656" s="29">
        <f>Текущий!A655</f>
        <v>32</v>
      </c>
      <c r="B656" s="29">
        <f>Текущий!B655</f>
        <v>25201</v>
      </c>
      <c r="C656" s="29">
        <f>Текущий!C655</f>
        <v>2</v>
      </c>
      <c r="D656" s="29" t="str">
        <f>Текущий!D655</f>
        <v>ст. Советское</v>
      </c>
      <c r="E656" s="29">
        <f>ROUND(Текущий!J655,0)</f>
        <v>0</v>
      </c>
      <c r="F656" s="29">
        <f>Текущий!E655</f>
        <v>0</v>
      </c>
      <c r="G656" s="16" t="str">
        <f>IF(Текущий!K655="-",Текущий!K655,ROUND(Текущий!K655,0))</f>
        <v>-</v>
      </c>
      <c r="H656" s="29" t="str">
        <f>IF(ROUND(Текущий!I655,0)=0,"-",ROUND(Текущий!I655,0))</f>
        <v>-</v>
      </c>
      <c r="I656" s="16" t="str">
        <f>IF(Предыд!K655="-",Предыд!K655,ROUND(Предыд!K655,0))</f>
        <v>-</v>
      </c>
      <c r="J656" s="29" t="str">
        <f>IF(ROUND(Предыд!I655,0)=0,"-",ROUND(Предыд!I655,0))</f>
        <v>-</v>
      </c>
      <c r="K656" s="30" t="str">
        <f>Текущий!L655</f>
        <v>Рихтовка</v>
      </c>
      <c r="L656" s="29">
        <f>Текущий!AL655</f>
        <v>0</v>
      </c>
      <c r="M656" s="29">
        <f>Текущий!AM655</f>
        <v>0</v>
      </c>
      <c r="N656" s="29">
        <f>Текущий!AN655</f>
        <v>0</v>
      </c>
      <c r="O656" s="29">
        <f>Текущий!AP655</f>
        <v>0</v>
      </c>
      <c r="P656" s="29">
        <f>Предыд!AL655</f>
        <v>0</v>
      </c>
      <c r="Q656" s="29">
        <f>Предыд!AM655</f>
        <v>0</v>
      </c>
      <c r="R656" s="29">
        <f>Предыд!AN655</f>
        <v>0</v>
      </c>
      <c r="S656" s="29">
        <f>Предыд!AO655</f>
        <v>0</v>
      </c>
      <c r="T656" s="17" t="str">
        <f t="shared" si="10"/>
        <v>-</v>
      </c>
    </row>
    <row r="657" spans="1:20" x14ac:dyDescent="0.25">
      <c r="A657" s="29">
        <f>Текущий!A656</f>
        <v>32</v>
      </c>
      <c r="B657" s="29">
        <f>Текущий!B656</f>
        <v>25201</v>
      </c>
      <c r="C657" s="29">
        <f>Текущий!C656</f>
        <v>1</v>
      </c>
      <c r="D657" s="29" t="str">
        <f>Текущий!D656</f>
        <v>Советское - Взморье</v>
      </c>
      <c r="E657" s="29">
        <f>ROUND(Текущий!J656,0)</f>
        <v>0</v>
      </c>
      <c r="F657" s="29">
        <f>Текущий!E656</f>
        <v>0</v>
      </c>
      <c r="G657" s="16" t="str">
        <f>IF(Текущий!K656="-",Текущий!K656,ROUND(Текущий!K656,0))</f>
        <v>-</v>
      </c>
      <c r="H657" s="29" t="str">
        <f>IF(ROUND(Текущий!I656,0)=0,"-",ROUND(Текущий!I656,0))</f>
        <v>-</v>
      </c>
      <c r="I657" s="16" t="str">
        <f>IF(Предыд!K656="-",Предыд!K656,ROUND(Предыд!K656,0))</f>
        <v>-</v>
      </c>
      <c r="J657" s="29" t="str">
        <f>IF(ROUND(Предыд!I656,0)=0,"-",ROUND(Предыд!I656,0))</f>
        <v>-</v>
      </c>
      <c r="K657" s="30" t="str">
        <f>Текущий!L656</f>
        <v>Рихтовка</v>
      </c>
      <c r="L657" s="29">
        <f>Текущий!AL656</f>
        <v>0</v>
      </c>
      <c r="M657" s="29">
        <f>Текущий!AM656</f>
        <v>0</v>
      </c>
      <c r="N657" s="29">
        <f>Текущий!AN656</f>
        <v>0</v>
      </c>
      <c r="O657" s="29">
        <f>Текущий!AP656</f>
        <v>0</v>
      </c>
      <c r="P657" s="29">
        <f>Предыд!AL656</f>
        <v>0</v>
      </c>
      <c r="Q657" s="29">
        <f>Предыд!AM656</f>
        <v>0</v>
      </c>
      <c r="R657" s="29">
        <f>Предыд!AN656</f>
        <v>0</v>
      </c>
      <c r="S657" s="29">
        <f>Предыд!AO656</f>
        <v>0</v>
      </c>
      <c r="T657" s="17" t="str">
        <f t="shared" si="10"/>
        <v>-</v>
      </c>
    </row>
    <row r="658" spans="1:20" x14ac:dyDescent="0.25">
      <c r="A658" s="29">
        <f>Текущий!A657</f>
        <v>32</v>
      </c>
      <c r="B658" s="29">
        <f>Текущий!B657</f>
        <v>25201</v>
      </c>
      <c r="C658" s="29">
        <f>Текущий!C657</f>
        <v>4</v>
      </c>
      <c r="D658" s="29" t="str">
        <f>Текущий!D657</f>
        <v>ст. Взморье</v>
      </c>
      <c r="E658" s="29">
        <f>ROUND(Текущий!J657,0)</f>
        <v>0</v>
      </c>
      <c r="F658" s="29">
        <f>Текущий!E657</f>
        <v>0</v>
      </c>
      <c r="G658" s="16" t="str">
        <f>IF(Текущий!K657="-",Текущий!K657,ROUND(Текущий!K657,0))</f>
        <v>-</v>
      </c>
      <c r="H658" s="29" t="str">
        <f>IF(ROUND(Текущий!I657,0)=0,"-",ROUND(Текущий!I657,0))</f>
        <v>-</v>
      </c>
      <c r="I658" s="16" t="str">
        <f>IF(Предыд!K657="-",Предыд!K657,ROUND(Предыд!K657,0))</f>
        <v>-</v>
      </c>
      <c r="J658" s="29" t="str">
        <f>IF(ROUND(Предыд!I657,0)=0,"-",ROUND(Предыд!I657,0))</f>
        <v>-</v>
      </c>
      <c r="K658" s="30" t="str">
        <f>Текущий!L657</f>
        <v>Рихтовка</v>
      </c>
      <c r="L658" s="29">
        <f>Текущий!AL657</f>
        <v>0</v>
      </c>
      <c r="M658" s="29">
        <f>Текущий!AM657</f>
        <v>0</v>
      </c>
      <c r="N658" s="29">
        <f>Текущий!AN657</f>
        <v>0</v>
      </c>
      <c r="O658" s="29">
        <f>Текущий!AP657</f>
        <v>0</v>
      </c>
      <c r="P658" s="29">
        <f>Предыд!AL657</f>
        <v>0</v>
      </c>
      <c r="Q658" s="29">
        <f>Предыд!AM657</f>
        <v>0</v>
      </c>
      <c r="R658" s="29">
        <f>Предыд!AN657</f>
        <v>0</v>
      </c>
      <c r="S658" s="29">
        <f>Предыд!AO657</f>
        <v>0</v>
      </c>
      <c r="T658" s="17" t="str">
        <f t="shared" si="10"/>
        <v>-</v>
      </c>
    </row>
    <row r="659" spans="1:20" x14ac:dyDescent="0.25">
      <c r="A659" s="29">
        <f>Текущий!A658</f>
        <v>32</v>
      </c>
      <c r="B659" s="29">
        <f>Текущий!B658</f>
        <v>25201</v>
      </c>
      <c r="C659" s="29">
        <f>Текущий!C658</f>
        <v>1</v>
      </c>
      <c r="D659" s="29" t="str">
        <f>Текущий!D658</f>
        <v>Взморье - Арсентьевка</v>
      </c>
      <c r="E659" s="29">
        <f>ROUND(Текущий!J658,0)</f>
        <v>0</v>
      </c>
      <c r="F659" s="29">
        <f>Текущий!E658</f>
        <v>0</v>
      </c>
      <c r="G659" s="16" t="str">
        <f>IF(Текущий!K658="-",Текущий!K658,ROUND(Текущий!K658,0))</f>
        <v>-</v>
      </c>
      <c r="H659" s="29" t="str">
        <f>IF(ROUND(Текущий!I658,0)=0,"-",ROUND(Текущий!I658,0))</f>
        <v>-</v>
      </c>
      <c r="I659" s="16" t="str">
        <f>IF(Предыд!K658="-",Предыд!K658,ROUND(Предыд!K658,0))</f>
        <v>-</v>
      </c>
      <c r="J659" s="29" t="str">
        <f>IF(ROUND(Предыд!I658,0)=0,"-",ROUND(Предыд!I658,0))</f>
        <v>-</v>
      </c>
      <c r="K659" s="30" t="str">
        <f>Текущий!L658</f>
        <v>Рихтовка</v>
      </c>
      <c r="L659" s="29">
        <f>Текущий!AL658</f>
        <v>0</v>
      </c>
      <c r="M659" s="29">
        <f>Текущий!AM658</f>
        <v>0</v>
      </c>
      <c r="N659" s="29">
        <f>Текущий!AN658</f>
        <v>0</v>
      </c>
      <c r="O659" s="29">
        <f>Текущий!AP658</f>
        <v>0</v>
      </c>
      <c r="P659" s="29">
        <f>Предыд!AL658</f>
        <v>0</v>
      </c>
      <c r="Q659" s="29">
        <f>Предыд!AM658</f>
        <v>0</v>
      </c>
      <c r="R659" s="29">
        <f>Предыд!AN658</f>
        <v>0</v>
      </c>
      <c r="S659" s="29">
        <f>Предыд!AO658</f>
        <v>0</v>
      </c>
      <c r="T659" s="17" t="str">
        <f t="shared" si="10"/>
        <v>-</v>
      </c>
    </row>
    <row r="660" spans="1:20" x14ac:dyDescent="0.25">
      <c r="A660" s="29">
        <f>Текущий!A659</f>
        <v>32</v>
      </c>
      <c r="B660" s="29">
        <f>Текущий!B659</f>
        <v>25201</v>
      </c>
      <c r="C660" s="29">
        <f>Текущий!C659</f>
        <v>1</v>
      </c>
      <c r="D660" s="29" t="str">
        <f>Текущий!D659</f>
        <v>Арсентьевка - Тихая</v>
      </c>
      <c r="E660" s="29">
        <f>ROUND(Текущий!J659,0)</f>
        <v>0</v>
      </c>
      <c r="F660" s="29">
        <f>Текущий!E659</f>
        <v>0</v>
      </c>
      <c r="G660" s="16" t="str">
        <f>IF(Текущий!K659="-",Текущий!K659,ROUND(Текущий!K659,0))</f>
        <v>-</v>
      </c>
      <c r="H660" s="29" t="str">
        <f>IF(ROUND(Текущий!I659,0)=0,"-",ROUND(Текущий!I659,0))</f>
        <v>-</v>
      </c>
      <c r="I660" s="16" t="str">
        <f>IF(Предыд!K659="-",Предыд!K659,ROUND(Предыд!K659,0))</f>
        <v>-</v>
      </c>
      <c r="J660" s="29" t="str">
        <f>IF(ROUND(Предыд!I659,0)=0,"-",ROUND(Предыд!I659,0))</f>
        <v>-</v>
      </c>
      <c r="K660" s="30" t="str">
        <f>Текущий!L659</f>
        <v>Рихтовка</v>
      </c>
      <c r="L660" s="29">
        <f>Текущий!AL659</f>
        <v>0</v>
      </c>
      <c r="M660" s="29">
        <f>Текущий!AM659</f>
        <v>0</v>
      </c>
      <c r="N660" s="29">
        <f>Текущий!AN659</f>
        <v>0</v>
      </c>
      <c r="O660" s="29">
        <f>Текущий!AP659</f>
        <v>0</v>
      </c>
      <c r="P660" s="29">
        <f>Предыд!AL659</f>
        <v>0</v>
      </c>
      <c r="Q660" s="29">
        <f>Предыд!AM659</f>
        <v>0</v>
      </c>
      <c r="R660" s="29">
        <f>Предыд!AN659</f>
        <v>0</v>
      </c>
      <c r="S660" s="29">
        <f>Предыд!AO659</f>
        <v>0</v>
      </c>
      <c r="T660" s="17" t="str">
        <f t="shared" si="10"/>
        <v>-</v>
      </c>
    </row>
    <row r="661" spans="1:20" x14ac:dyDescent="0.25">
      <c r="A661" s="29">
        <f>Текущий!A660</f>
        <v>32</v>
      </c>
      <c r="B661" s="29">
        <f>Текущий!B660</f>
        <v>25201</v>
      </c>
      <c r="C661" s="29">
        <f>Текущий!C660</f>
        <v>2</v>
      </c>
      <c r="D661" s="29" t="str">
        <f>Текущий!D660</f>
        <v>ст. Тихая</v>
      </c>
      <c r="E661" s="29">
        <f>ROUND(Текущий!J660,0)</f>
        <v>0</v>
      </c>
      <c r="F661" s="29">
        <f>Текущий!E660</f>
        <v>0</v>
      </c>
      <c r="G661" s="16" t="str">
        <f>IF(Текущий!K660="-",Текущий!K660,ROUND(Текущий!K660,0))</f>
        <v>-</v>
      </c>
      <c r="H661" s="29" t="str">
        <f>IF(ROUND(Текущий!I660,0)=0,"-",ROUND(Текущий!I660,0))</f>
        <v>-</v>
      </c>
      <c r="I661" s="16" t="str">
        <f>IF(Предыд!K660="-",Предыд!K660,ROUND(Предыд!K660,0))</f>
        <v>-</v>
      </c>
      <c r="J661" s="29" t="str">
        <f>IF(ROUND(Предыд!I660,0)=0,"-",ROUND(Предыд!I660,0))</f>
        <v>-</v>
      </c>
      <c r="K661" s="30" t="str">
        <f>Текущий!L660</f>
        <v>Рихтовка</v>
      </c>
      <c r="L661" s="29">
        <f>Текущий!AL660</f>
        <v>0</v>
      </c>
      <c r="M661" s="29">
        <f>Текущий!AM660</f>
        <v>0</v>
      </c>
      <c r="N661" s="29">
        <f>Текущий!AN660</f>
        <v>0</v>
      </c>
      <c r="O661" s="29">
        <f>Текущий!AP660</f>
        <v>0</v>
      </c>
      <c r="P661" s="29">
        <f>Предыд!AL660</f>
        <v>0</v>
      </c>
      <c r="Q661" s="29">
        <f>Предыд!AM660</f>
        <v>0</v>
      </c>
      <c r="R661" s="29">
        <f>Предыд!AN660</f>
        <v>0</v>
      </c>
      <c r="S661" s="29">
        <f>Предыд!AO660</f>
        <v>0</v>
      </c>
      <c r="T661" s="17" t="str">
        <f t="shared" si="10"/>
        <v>-</v>
      </c>
    </row>
    <row r="662" spans="1:20" x14ac:dyDescent="0.25">
      <c r="A662" s="29">
        <f>Текущий!A661</f>
        <v>32</v>
      </c>
      <c r="B662" s="29">
        <f>Текущий!B661</f>
        <v>25201</v>
      </c>
      <c r="C662" s="29">
        <f>Текущий!C661</f>
        <v>1</v>
      </c>
      <c r="D662" s="29" t="str">
        <f>Текущий!D661</f>
        <v>Тихая - Пугачево</v>
      </c>
      <c r="E662" s="29">
        <f>ROUND(Текущий!J661,0)</f>
        <v>0</v>
      </c>
      <c r="F662" s="29">
        <f>Текущий!E661</f>
        <v>0</v>
      </c>
      <c r="G662" s="16" t="str">
        <f>IF(Текущий!K661="-",Текущий!K661,ROUND(Текущий!K661,0))</f>
        <v>-</v>
      </c>
      <c r="H662" s="29" t="str">
        <f>IF(ROUND(Текущий!I661,0)=0,"-",ROUND(Текущий!I661,0))</f>
        <v>-</v>
      </c>
      <c r="I662" s="16" t="str">
        <f>IF(Предыд!K661="-",Предыд!K661,ROUND(Предыд!K661,0))</f>
        <v>-</v>
      </c>
      <c r="J662" s="29" t="str">
        <f>IF(ROUND(Предыд!I661,0)=0,"-",ROUND(Предыд!I661,0))</f>
        <v>-</v>
      </c>
      <c r="K662" s="30" t="str">
        <f>Текущий!L661</f>
        <v>Рихтовка</v>
      </c>
      <c r="L662" s="29">
        <f>Текущий!AL661</f>
        <v>0</v>
      </c>
      <c r="M662" s="29">
        <f>Текущий!AM661</f>
        <v>0</v>
      </c>
      <c r="N662" s="29">
        <f>Текущий!AN661</f>
        <v>0</v>
      </c>
      <c r="O662" s="29">
        <f>Текущий!AP661</f>
        <v>0</v>
      </c>
      <c r="P662" s="29">
        <f>Предыд!AL661</f>
        <v>0</v>
      </c>
      <c r="Q662" s="29">
        <f>Предыд!AM661</f>
        <v>0</v>
      </c>
      <c r="R662" s="29">
        <f>Предыд!AN661</f>
        <v>0</v>
      </c>
      <c r="S662" s="29">
        <f>Предыд!AO661</f>
        <v>0</v>
      </c>
      <c r="T662" s="17" t="str">
        <f t="shared" si="10"/>
        <v>-</v>
      </c>
    </row>
    <row r="663" spans="1:20" x14ac:dyDescent="0.25">
      <c r="A663" s="29">
        <f>Текущий!A662</f>
        <v>32</v>
      </c>
      <c r="B663" s="29">
        <f>Текущий!B662</f>
        <v>25201</v>
      </c>
      <c r="C663" s="29">
        <f>Текущий!C662</f>
        <v>2</v>
      </c>
      <c r="D663" s="29" t="str">
        <f>Текущий!D662</f>
        <v>ст. Пугачево</v>
      </c>
      <c r="E663" s="29">
        <f>ROUND(Текущий!J662,0)</f>
        <v>0</v>
      </c>
      <c r="F663" s="29">
        <f>Текущий!E662</f>
        <v>0</v>
      </c>
      <c r="G663" s="16" t="str">
        <f>IF(Текущий!K662="-",Текущий!K662,ROUND(Текущий!K662,0))</f>
        <v>-</v>
      </c>
      <c r="H663" s="29" t="str">
        <f>IF(ROUND(Текущий!I662,0)=0,"-",ROUND(Текущий!I662,0))</f>
        <v>-</v>
      </c>
      <c r="I663" s="16" t="str">
        <f>IF(Предыд!K662="-",Предыд!K662,ROUND(Предыд!K662,0))</f>
        <v>-</v>
      </c>
      <c r="J663" s="29" t="str">
        <f>IF(ROUND(Предыд!I662,0)=0,"-",ROUND(Предыд!I662,0))</f>
        <v>-</v>
      </c>
      <c r="K663" s="30" t="str">
        <f>Текущий!L662</f>
        <v>Рихтовка</v>
      </c>
      <c r="L663" s="29">
        <f>Текущий!AL662</f>
        <v>0</v>
      </c>
      <c r="M663" s="29">
        <f>Текущий!AM662</f>
        <v>0</v>
      </c>
      <c r="N663" s="29">
        <f>Текущий!AN662</f>
        <v>0</v>
      </c>
      <c r="O663" s="29">
        <f>Текущий!AP662</f>
        <v>0</v>
      </c>
      <c r="P663" s="29">
        <f>Предыд!AL662</f>
        <v>0</v>
      </c>
      <c r="Q663" s="29">
        <f>Предыд!AM662</f>
        <v>0</v>
      </c>
      <c r="R663" s="29">
        <f>Предыд!AN662</f>
        <v>0</v>
      </c>
      <c r="S663" s="29">
        <f>Предыд!AO662</f>
        <v>0</v>
      </c>
      <c r="T663" s="17" t="str">
        <f t="shared" si="10"/>
        <v>-</v>
      </c>
    </row>
    <row r="664" spans="1:20" x14ac:dyDescent="0.25">
      <c r="A664" s="29">
        <f>Текущий!A663</f>
        <v>32</v>
      </c>
      <c r="B664" s="29">
        <f>Текущий!B663</f>
        <v>25201</v>
      </c>
      <c r="C664" s="29">
        <f>Текущий!C663</f>
        <v>1</v>
      </c>
      <c r="D664" s="29" t="str">
        <f>Текущий!D663</f>
        <v>Пугачево - Заозерное</v>
      </c>
      <c r="E664" s="29">
        <f>ROUND(Текущий!J663,0)</f>
        <v>0</v>
      </c>
      <c r="F664" s="29">
        <f>Текущий!E663</f>
        <v>0</v>
      </c>
      <c r="G664" s="16" t="str">
        <f>IF(Текущий!K663="-",Текущий!K663,ROUND(Текущий!K663,0))</f>
        <v>-</v>
      </c>
      <c r="H664" s="29" t="str">
        <f>IF(ROUND(Текущий!I663,0)=0,"-",ROUND(Текущий!I663,0))</f>
        <v>-</v>
      </c>
      <c r="I664" s="16" t="str">
        <f>IF(Предыд!K663="-",Предыд!K663,ROUND(Предыд!K663,0))</f>
        <v>-</v>
      </c>
      <c r="J664" s="29" t="str">
        <f>IF(ROUND(Предыд!I663,0)=0,"-",ROUND(Предыд!I663,0))</f>
        <v>-</v>
      </c>
      <c r="K664" s="30" t="str">
        <f>Текущий!L663</f>
        <v>Рихтовка</v>
      </c>
      <c r="L664" s="29">
        <f>Текущий!AL663</f>
        <v>0</v>
      </c>
      <c r="M664" s="29">
        <f>Текущий!AM663</f>
        <v>0</v>
      </c>
      <c r="N664" s="29">
        <f>Текущий!AN663</f>
        <v>0</v>
      </c>
      <c r="O664" s="29">
        <f>Текущий!AP663</f>
        <v>0</v>
      </c>
      <c r="P664" s="29">
        <f>Предыд!AL663</f>
        <v>0</v>
      </c>
      <c r="Q664" s="29">
        <f>Предыд!AM663</f>
        <v>0</v>
      </c>
      <c r="R664" s="29">
        <f>Предыд!AN663</f>
        <v>0</v>
      </c>
      <c r="S664" s="29">
        <f>Предыд!AO663</f>
        <v>0</v>
      </c>
      <c r="T664" s="17" t="str">
        <f t="shared" si="10"/>
        <v>-</v>
      </c>
    </row>
    <row r="665" spans="1:20" x14ac:dyDescent="0.25">
      <c r="A665" s="29">
        <f>Текущий!A664</f>
        <v>32</v>
      </c>
      <c r="B665" s="29">
        <f>Текущий!B664</f>
        <v>25201</v>
      </c>
      <c r="C665" s="29">
        <f>Текущий!C664</f>
        <v>1</v>
      </c>
      <c r="D665" s="29" t="str">
        <f>Текущий!D664</f>
        <v>Заозерное - Макаров</v>
      </c>
      <c r="E665" s="29">
        <f>ROUND(Текущий!J664,0)</f>
        <v>0</v>
      </c>
      <c r="F665" s="29">
        <f>Текущий!E664</f>
        <v>0</v>
      </c>
      <c r="G665" s="16" t="str">
        <f>IF(Текущий!K664="-",Текущий!K664,ROUND(Текущий!K664,0))</f>
        <v>-</v>
      </c>
      <c r="H665" s="29" t="str">
        <f>IF(ROUND(Текущий!I664,0)=0,"-",ROUND(Текущий!I664,0))</f>
        <v>-</v>
      </c>
      <c r="I665" s="16" t="str">
        <f>IF(Предыд!K664="-",Предыд!K664,ROUND(Предыд!K664,0))</f>
        <v>-</v>
      </c>
      <c r="J665" s="29" t="str">
        <f>IF(ROUND(Предыд!I664,0)=0,"-",ROUND(Предыд!I664,0))</f>
        <v>-</v>
      </c>
      <c r="K665" s="30" t="str">
        <f>Текущий!L664</f>
        <v>Рихтовка</v>
      </c>
      <c r="L665" s="29">
        <f>Текущий!AL664</f>
        <v>0</v>
      </c>
      <c r="M665" s="29">
        <f>Текущий!AM664</f>
        <v>0</v>
      </c>
      <c r="N665" s="29">
        <f>Текущий!AN664</f>
        <v>0</v>
      </c>
      <c r="O665" s="29">
        <f>Текущий!AP664</f>
        <v>0</v>
      </c>
      <c r="P665" s="29">
        <f>Предыд!AL664</f>
        <v>0</v>
      </c>
      <c r="Q665" s="29">
        <f>Предыд!AM664</f>
        <v>0</v>
      </c>
      <c r="R665" s="29">
        <f>Предыд!AN664</f>
        <v>0</v>
      </c>
      <c r="S665" s="29">
        <f>Предыд!AO664</f>
        <v>0</v>
      </c>
      <c r="T665" s="17" t="str">
        <f t="shared" si="10"/>
        <v>-</v>
      </c>
    </row>
    <row r="666" spans="1:20" x14ac:dyDescent="0.25">
      <c r="A666" s="29">
        <f>Текущий!A665</f>
        <v>32</v>
      </c>
      <c r="B666" s="29">
        <f>Текущий!B665</f>
        <v>25201</v>
      </c>
      <c r="C666" s="29">
        <f>Текущий!C665</f>
        <v>1</v>
      </c>
      <c r="D666" s="29" t="str">
        <f>Текущий!D665</f>
        <v>Макаров - Туманово</v>
      </c>
      <c r="E666" s="29">
        <f>ROUND(Текущий!J665,0)</f>
        <v>0</v>
      </c>
      <c r="F666" s="29">
        <f>Текущий!E665</f>
        <v>0</v>
      </c>
      <c r="G666" s="16" t="str">
        <f>IF(Текущий!K665="-",Текущий!K665,ROUND(Текущий!K665,0))</f>
        <v>-</v>
      </c>
      <c r="H666" s="29" t="str">
        <f>IF(ROUND(Текущий!I665,0)=0,"-",ROUND(Текущий!I665,0))</f>
        <v>-</v>
      </c>
      <c r="I666" s="16" t="str">
        <f>IF(Предыд!K665="-",Предыд!K665,ROUND(Предыд!K665,0))</f>
        <v>-</v>
      </c>
      <c r="J666" s="29" t="str">
        <f>IF(ROUND(Предыд!I665,0)=0,"-",ROUND(Предыд!I665,0))</f>
        <v>-</v>
      </c>
      <c r="K666" s="30" t="str">
        <f>Текущий!L665</f>
        <v>Рихтовка</v>
      </c>
      <c r="L666" s="29">
        <f>Текущий!AL665</f>
        <v>0</v>
      </c>
      <c r="M666" s="29">
        <f>Текущий!AM665</f>
        <v>0</v>
      </c>
      <c r="N666" s="29">
        <f>Текущий!AN665</f>
        <v>0</v>
      </c>
      <c r="O666" s="29">
        <f>Текущий!AP665</f>
        <v>0</v>
      </c>
      <c r="P666" s="29">
        <f>Предыд!AL665</f>
        <v>0</v>
      </c>
      <c r="Q666" s="29">
        <f>Предыд!AM665</f>
        <v>0</v>
      </c>
      <c r="R666" s="29">
        <f>Предыд!AN665</f>
        <v>0</v>
      </c>
      <c r="S666" s="29">
        <f>Предыд!AO665</f>
        <v>0</v>
      </c>
      <c r="T666" s="17" t="str">
        <f t="shared" si="10"/>
        <v>-</v>
      </c>
    </row>
    <row r="667" spans="1:20" x14ac:dyDescent="0.25">
      <c r="A667" s="29">
        <f>Текущий!A666</f>
        <v>32</v>
      </c>
      <c r="B667" s="29">
        <f>Текущий!B666</f>
        <v>25201</v>
      </c>
      <c r="C667" s="29">
        <f>Текущий!C666</f>
        <v>1</v>
      </c>
      <c r="D667" s="29" t="str">
        <f>Текущий!D666</f>
        <v>Туманово - Марково</v>
      </c>
      <c r="E667" s="29">
        <f>ROUND(Текущий!J666,0)</f>
        <v>0</v>
      </c>
      <c r="F667" s="29">
        <f>Текущий!E666</f>
        <v>0</v>
      </c>
      <c r="G667" s="16" t="str">
        <f>IF(Текущий!K666="-",Текущий!K666,ROUND(Текущий!K666,0))</f>
        <v>-</v>
      </c>
      <c r="H667" s="29" t="str">
        <f>IF(ROUND(Текущий!I666,0)=0,"-",ROUND(Текущий!I666,0))</f>
        <v>-</v>
      </c>
      <c r="I667" s="16" t="str">
        <f>IF(Предыд!K666="-",Предыд!K666,ROUND(Предыд!K666,0))</f>
        <v>-</v>
      </c>
      <c r="J667" s="29" t="str">
        <f>IF(ROUND(Предыд!I666,0)=0,"-",ROUND(Предыд!I666,0))</f>
        <v>-</v>
      </c>
      <c r="K667" s="30" t="str">
        <f>Текущий!L666</f>
        <v>Рихтовка</v>
      </c>
      <c r="L667" s="29">
        <f>Текущий!AL666</f>
        <v>0</v>
      </c>
      <c r="M667" s="29">
        <f>Текущий!AM666</f>
        <v>0</v>
      </c>
      <c r="N667" s="29">
        <f>Текущий!AN666</f>
        <v>0</v>
      </c>
      <c r="O667" s="29">
        <f>Текущий!AP666</f>
        <v>0</v>
      </c>
      <c r="P667" s="29">
        <f>Предыд!AL666</f>
        <v>0</v>
      </c>
      <c r="Q667" s="29">
        <f>Предыд!AM666</f>
        <v>0</v>
      </c>
      <c r="R667" s="29">
        <f>Предыд!AN666</f>
        <v>0</v>
      </c>
      <c r="S667" s="29">
        <f>Предыд!AO666</f>
        <v>0</v>
      </c>
      <c r="T667" s="17" t="str">
        <f t="shared" si="10"/>
        <v>-</v>
      </c>
    </row>
    <row r="668" spans="1:20" x14ac:dyDescent="0.25">
      <c r="A668" s="29">
        <f>Текущий!A667</f>
        <v>32</v>
      </c>
      <c r="B668" s="29">
        <f>Текущий!B667</f>
        <v>25201</v>
      </c>
      <c r="C668" s="29">
        <f>Текущий!C667</f>
        <v>1</v>
      </c>
      <c r="D668" s="29" t="str">
        <f>Текущий!D667</f>
        <v>Марково - Вахрушев</v>
      </c>
      <c r="E668" s="29">
        <f>ROUND(Текущий!J667,0)</f>
        <v>0</v>
      </c>
      <c r="F668" s="29">
        <f>Текущий!E667</f>
        <v>0</v>
      </c>
      <c r="G668" s="16" t="str">
        <f>IF(Текущий!K667="-",Текущий!K667,ROUND(Текущий!K667,0))</f>
        <v>-</v>
      </c>
      <c r="H668" s="29" t="str">
        <f>IF(ROUND(Текущий!I667,0)=0,"-",ROUND(Текущий!I667,0))</f>
        <v>-</v>
      </c>
      <c r="I668" s="16" t="str">
        <f>IF(Предыд!K667="-",Предыд!K667,ROUND(Предыд!K667,0))</f>
        <v>-</v>
      </c>
      <c r="J668" s="29" t="str">
        <f>IF(ROUND(Предыд!I667,0)=0,"-",ROUND(Предыд!I667,0))</f>
        <v>-</v>
      </c>
      <c r="K668" s="30" t="str">
        <f>Текущий!L667</f>
        <v>Рихтовка</v>
      </c>
      <c r="L668" s="29">
        <f>Текущий!AL667</f>
        <v>0</v>
      </c>
      <c r="M668" s="29">
        <f>Текущий!AM667</f>
        <v>0</v>
      </c>
      <c r="N668" s="29">
        <f>Текущий!AN667</f>
        <v>0</v>
      </c>
      <c r="O668" s="29">
        <f>Текущий!AP667</f>
        <v>0</v>
      </c>
      <c r="P668" s="29">
        <f>Предыд!AL667</f>
        <v>0</v>
      </c>
      <c r="Q668" s="29">
        <f>Предыд!AM667</f>
        <v>0</v>
      </c>
      <c r="R668" s="29">
        <f>Предыд!AN667</f>
        <v>0</v>
      </c>
      <c r="S668" s="29">
        <f>Предыд!AO667</f>
        <v>0</v>
      </c>
      <c r="T668" s="17" t="str">
        <f t="shared" si="10"/>
        <v>-</v>
      </c>
    </row>
    <row r="669" spans="1:20" x14ac:dyDescent="0.25">
      <c r="A669" s="29">
        <f>Текущий!A668</f>
        <v>32</v>
      </c>
      <c r="B669" s="29">
        <f>Текущий!B668</f>
        <v>25201</v>
      </c>
      <c r="C669" s="29">
        <f>Текущий!C668</f>
        <v>1</v>
      </c>
      <c r="D669" s="29" t="str">
        <f>Текущий!D668</f>
        <v>Вахрушев - Поронайск</v>
      </c>
      <c r="E669" s="29">
        <f>ROUND(Текущий!J668,0)</f>
        <v>0</v>
      </c>
      <c r="F669" s="29">
        <f>Текущий!E668</f>
        <v>0</v>
      </c>
      <c r="G669" s="16" t="str">
        <f>IF(Текущий!K668="-",Текущий!K668,ROUND(Текущий!K668,0))</f>
        <v>-</v>
      </c>
      <c r="H669" s="29" t="str">
        <f>IF(ROUND(Текущий!I668,0)=0,"-",ROUND(Текущий!I668,0))</f>
        <v>-</v>
      </c>
      <c r="I669" s="16" t="str">
        <f>IF(Предыд!K668="-",Предыд!K668,ROUND(Предыд!K668,0))</f>
        <v>-</v>
      </c>
      <c r="J669" s="29" t="str">
        <f>IF(ROUND(Предыд!I668,0)=0,"-",ROUND(Предыд!I668,0))</f>
        <v>-</v>
      </c>
      <c r="K669" s="30" t="str">
        <f>Текущий!L668</f>
        <v>Рихтовка</v>
      </c>
      <c r="L669" s="29">
        <f>Текущий!AL668</f>
        <v>0</v>
      </c>
      <c r="M669" s="29">
        <f>Текущий!AM668</f>
        <v>0</v>
      </c>
      <c r="N669" s="29">
        <f>Текущий!AN668</f>
        <v>0</v>
      </c>
      <c r="O669" s="29">
        <f>Текущий!AP668</f>
        <v>0</v>
      </c>
      <c r="P669" s="29">
        <f>Предыд!AL668</f>
        <v>0</v>
      </c>
      <c r="Q669" s="29">
        <f>Предыд!AM668</f>
        <v>0</v>
      </c>
      <c r="R669" s="29">
        <f>Предыд!AN668</f>
        <v>0</v>
      </c>
      <c r="S669" s="29">
        <f>Предыд!AO668</f>
        <v>0</v>
      </c>
      <c r="T669" s="17" t="str">
        <f t="shared" si="10"/>
        <v>-</v>
      </c>
    </row>
    <row r="670" spans="1:20" x14ac:dyDescent="0.25">
      <c r="A670" s="29">
        <f>Текущий!A669</f>
        <v>32</v>
      </c>
      <c r="B670" s="29">
        <f>Текущий!B669</f>
        <v>25201</v>
      </c>
      <c r="C670" s="29">
        <f>Текущий!C669</f>
        <v>5</v>
      </c>
      <c r="D670" s="29" t="str">
        <f>Текущий!D669</f>
        <v>ст. Поронайск</v>
      </c>
      <c r="E670" s="29">
        <f>ROUND(Текущий!J669,0)</f>
        <v>0</v>
      </c>
      <c r="F670" s="29">
        <f>Текущий!E669</f>
        <v>0</v>
      </c>
      <c r="G670" s="16" t="str">
        <f>IF(Текущий!K669="-",Текущий!K669,ROUND(Текущий!K669,0))</f>
        <v>-</v>
      </c>
      <c r="H670" s="29" t="str">
        <f>IF(ROUND(Текущий!I669,0)=0,"-",ROUND(Текущий!I669,0))</f>
        <v>-</v>
      </c>
      <c r="I670" s="16" t="str">
        <f>IF(Предыд!K669="-",Предыд!K669,ROUND(Предыд!K669,0))</f>
        <v>-</v>
      </c>
      <c r="J670" s="29" t="str">
        <f>IF(ROUND(Предыд!I669,0)=0,"-",ROUND(Предыд!I669,0))</f>
        <v>-</v>
      </c>
      <c r="K670" s="30" t="str">
        <f>Текущий!L669</f>
        <v>Рихтовка</v>
      </c>
      <c r="L670" s="29">
        <f>Текущий!AL669</f>
        <v>0</v>
      </c>
      <c r="M670" s="29">
        <f>Текущий!AM669</f>
        <v>0</v>
      </c>
      <c r="N670" s="29">
        <f>Текущий!AN669</f>
        <v>0</v>
      </c>
      <c r="O670" s="29">
        <f>Текущий!AP669</f>
        <v>0</v>
      </c>
      <c r="P670" s="29">
        <f>Предыд!AL669</f>
        <v>0</v>
      </c>
      <c r="Q670" s="29">
        <f>Предыд!AM669</f>
        <v>0</v>
      </c>
      <c r="R670" s="29">
        <f>Предыд!AN669</f>
        <v>0</v>
      </c>
      <c r="S670" s="29">
        <f>Предыд!AO669</f>
        <v>0</v>
      </c>
      <c r="T670" s="17" t="str">
        <f t="shared" si="10"/>
        <v>-</v>
      </c>
    </row>
    <row r="671" spans="1:20" x14ac:dyDescent="0.25">
      <c r="A671" s="29">
        <f>Текущий!A670</f>
        <v>32</v>
      </c>
      <c r="B671" s="29">
        <f>Текущий!B670</f>
        <v>25201</v>
      </c>
      <c r="C671" s="29">
        <f>Текущий!C670</f>
        <v>1</v>
      </c>
      <c r="D671" s="29" t="str">
        <f>Текущий!D670</f>
        <v>Поронайск - Олень</v>
      </c>
      <c r="E671" s="29">
        <f>ROUND(Текущий!J670,0)</f>
        <v>0</v>
      </c>
      <c r="F671" s="29">
        <f>Текущий!E670</f>
        <v>0</v>
      </c>
      <c r="G671" s="16" t="str">
        <f>IF(Текущий!K670="-",Текущий!K670,ROUND(Текущий!K670,0))</f>
        <v>-</v>
      </c>
      <c r="H671" s="29" t="str">
        <f>IF(ROUND(Текущий!I670,0)=0,"-",ROUND(Текущий!I670,0))</f>
        <v>-</v>
      </c>
      <c r="I671" s="16" t="str">
        <f>IF(Предыд!K670="-",Предыд!K670,ROUND(Предыд!K670,0))</f>
        <v>-</v>
      </c>
      <c r="J671" s="29" t="str">
        <f>IF(ROUND(Предыд!I670,0)=0,"-",ROUND(Предыд!I670,0))</f>
        <v>-</v>
      </c>
      <c r="K671" s="30" t="str">
        <f>Текущий!L670</f>
        <v>Рихтовка</v>
      </c>
      <c r="L671" s="29">
        <f>Текущий!AL670</f>
        <v>0</v>
      </c>
      <c r="M671" s="29">
        <f>Текущий!AM670</f>
        <v>0</v>
      </c>
      <c r="N671" s="29">
        <f>Текущий!AN670</f>
        <v>0</v>
      </c>
      <c r="O671" s="29">
        <f>Текущий!AP670</f>
        <v>0</v>
      </c>
      <c r="P671" s="29">
        <f>Предыд!AL670</f>
        <v>0</v>
      </c>
      <c r="Q671" s="29">
        <f>Предыд!AM670</f>
        <v>0</v>
      </c>
      <c r="R671" s="29">
        <f>Предыд!AN670</f>
        <v>0</v>
      </c>
      <c r="S671" s="29">
        <f>Предыд!AO670</f>
        <v>0</v>
      </c>
      <c r="T671" s="17" t="str">
        <f t="shared" si="10"/>
        <v>-</v>
      </c>
    </row>
    <row r="672" spans="1:20" x14ac:dyDescent="0.25">
      <c r="A672" s="29">
        <f>Текущий!A671</f>
        <v>32</v>
      </c>
      <c r="B672" s="29">
        <f>Текущий!B671</f>
        <v>25201</v>
      </c>
      <c r="C672" s="29">
        <f>Текущий!C671</f>
        <v>1</v>
      </c>
      <c r="D672" s="29" t="str">
        <f>Текущий!D671</f>
        <v>Олень - Буюклы</v>
      </c>
      <c r="E672" s="29">
        <f>ROUND(Текущий!J671,0)</f>
        <v>0</v>
      </c>
      <c r="F672" s="29">
        <f>Текущий!E671</f>
        <v>0</v>
      </c>
      <c r="G672" s="16" t="str">
        <f>IF(Текущий!K671="-",Текущий!K671,ROUND(Текущий!K671,0))</f>
        <v>-</v>
      </c>
      <c r="H672" s="29" t="str">
        <f>IF(ROUND(Текущий!I671,0)=0,"-",ROUND(Текущий!I671,0))</f>
        <v>-</v>
      </c>
      <c r="I672" s="16" t="str">
        <f>IF(Предыд!K671="-",Предыд!K671,ROUND(Предыд!K671,0))</f>
        <v>-</v>
      </c>
      <c r="J672" s="29" t="str">
        <f>IF(ROUND(Предыд!I671,0)=0,"-",ROUND(Предыд!I671,0))</f>
        <v>-</v>
      </c>
      <c r="K672" s="30" t="str">
        <f>Текущий!L671</f>
        <v>Рихтовка</v>
      </c>
      <c r="L672" s="29">
        <f>Текущий!AL671</f>
        <v>0</v>
      </c>
      <c r="M672" s="29">
        <f>Текущий!AM671</f>
        <v>0</v>
      </c>
      <c r="N672" s="29">
        <f>Текущий!AN671</f>
        <v>0</v>
      </c>
      <c r="O672" s="29">
        <f>Текущий!AP671</f>
        <v>0</v>
      </c>
      <c r="P672" s="29">
        <f>Предыд!AL671</f>
        <v>0</v>
      </c>
      <c r="Q672" s="29">
        <f>Предыд!AM671</f>
        <v>0</v>
      </c>
      <c r="R672" s="29">
        <f>Предыд!AN671</f>
        <v>0</v>
      </c>
      <c r="S672" s="29">
        <f>Предыд!AO671</f>
        <v>0</v>
      </c>
      <c r="T672" s="17" t="str">
        <f t="shared" si="10"/>
        <v>-</v>
      </c>
    </row>
    <row r="673" spans="1:20" x14ac:dyDescent="0.25">
      <c r="A673" s="29">
        <f>Текущий!A672</f>
        <v>32</v>
      </c>
      <c r="B673" s="29">
        <f>Текущий!B672</f>
        <v>25201</v>
      </c>
      <c r="C673" s="29">
        <f>Текущий!C672</f>
        <v>2</v>
      </c>
      <c r="D673" s="29" t="str">
        <f>Текущий!D672</f>
        <v>ст. Буюклы</v>
      </c>
      <c r="E673" s="29">
        <f>ROUND(Текущий!J672,0)</f>
        <v>0</v>
      </c>
      <c r="F673" s="29">
        <f>Текущий!E672</f>
        <v>0</v>
      </c>
      <c r="G673" s="16" t="str">
        <f>IF(Текущий!K672="-",Текущий!K672,ROUND(Текущий!K672,0))</f>
        <v>-</v>
      </c>
      <c r="H673" s="29" t="str">
        <f>IF(ROUND(Текущий!I672,0)=0,"-",ROUND(Текущий!I672,0))</f>
        <v>-</v>
      </c>
      <c r="I673" s="16" t="str">
        <f>IF(Предыд!K672="-",Предыд!K672,ROUND(Предыд!K672,0))</f>
        <v>-</v>
      </c>
      <c r="J673" s="29" t="str">
        <f>IF(ROUND(Предыд!I672,0)=0,"-",ROUND(Предыд!I672,0))</f>
        <v>-</v>
      </c>
      <c r="K673" s="30" t="str">
        <f>Текущий!L672</f>
        <v>Рихтовка</v>
      </c>
      <c r="L673" s="29">
        <f>Текущий!AL672</f>
        <v>0</v>
      </c>
      <c r="M673" s="29">
        <f>Текущий!AM672</f>
        <v>0</v>
      </c>
      <c r="N673" s="29">
        <f>Текущий!AN672</f>
        <v>0</v>
      </c>
      <c r="O673" s="29">
        <f>Текущий!AP672</f>
        <v>0</v>
      </c>
      <c r="P673" s="29">
        <f>Предыд!AL672</f>
        <v>0</v>
      </c>
      <c r="Q673" s="29">
        <f>Предыд!AM672</f>
        <v>0</v>
      </c>
      <c r="R673" s="29">
        <f>Предыд!AN672</f>
        <v>0</v>
      </c>
      <c r="S673" s="29">
        <f>Предыд!AO672</f>
        <v>0</v>
      </c>
      <c r="T673" s="17" t="str">
        <f t="shared" si="10"/>
        <v>-</v>
      </c>
    </row>
    <row r="674" spans="1:20" x14ac:dyDescent="0.25">
      <c r="A674" s="29">
        <f>Текущий!A673</f>
        <v>32</v>
      </c>
      <c r="B674" s="29">
        <f>Текущий!B673</f>
        <v>25201</v>
      </c>
      <c r="C674" s="29">
        <f>Текущий!C673</f>
        <v>1</v>
      </c>
      <c r="D674" s="29" t="str">
        <f>Текущий!D673</f>
        <v>Буюклы - Смирных</v>
      </c>
      <c r="E674" s="29">
        <f>ROUND(Текущий!J673,0)</f>
        <v>0</v>
      </c>
      <c r="F674" s="29">
        <f>Текущий!E673</f>
        <v>0</v>
      </c>
      <c r="G674" s="16" t="str">
        <f>IF(Текущий!K673="-",Текущий!K673,ROUND(Текущий!K673,0))</f>
        <v>-</v>
      </c>
      <c r="H674" s="29" t="str">
        <f>IF(ROUND(Текущий!I673,0)=0,"-",ROUND(Текущий!I673,0))</f>
        <v>-</v>
      </c>
      <c r="I674" s="16" t="str">
        <f>IF(Предыд!K673="-",Предыд!K673,ROUND(Предыд!K673,0))</f>
        <v>-</v>
      </c>
      <c r="J674" s="29" t="str">
        <f>IF(ROUND(Предыд!I673,0)=0,"-",ROUND(Предыд!I673,0))</f>
        <v>-</v>
      </c>
      <c r="K674" s="30" t="str">
        <f>Текущий!L673</f>
        <v>Рихтовка</v>
      </c>
      <c r="L674" s="29">
        <f>Текущий!AL673</f>
        <v>0</v>
      </c>
      <c r="M674" s="29">
        <f>Текущий!AM673</f>
        <v>0</v>
      </c>
      <c r="N674" s="29">
        <f>Текущий!AN673</f>
        <v>0</v>
      </c>
      <c r="O674" s="29">
        <f>Текущий!AP673</f>
        <v>0</v>
      </c>
      <c r="P674" s="29">
        <f>Предыд!AL673</f>
        <v>0</v>
      </c>
      <c r="Q674" s="29">
        <f>Предыд!AM673</f>
        <v>0</v>
      </c>
      <c r="R674" s="29">
        <f>Предыд!AN673</f>
        <v>0</v>
      </c>
      <c r="S674" s="29">
        <f>Предыд!AO673</f>
        <v>0</v>
      </c>
      <c r="T674" s="17" t="str">
        <f t="shared" si="10"/>
        <v>-</v>
      </c>
    </row>
    <row r="675" spans="1:20" x14ac:dyDescent="0.25">
      <c r="A675" s="29">
        <f>Текущий!A674</f>
        <v>32</v>
      </c>
      <c r="B675" s="29">
        <f>Текущий!B674</f>
        <v>25201</v>
      </c>
      <c r="C675" s="29">
        <f>Текущий!C674</f>
        <v>3</v>
      </c>
      <c r="D675" s="29" t="str">
        <f>Текущий!D674</f>
        <v>ст. Смирных</v>
      </c>
      <c r="E675" s="29">
        <f>ROUND(Текущий!J674,0)</f>
        <v>0</v>
      </c>
      <c r="F675" s="29">
        <f>Текущий!E674</f>
        <v>0</v>
      </c>
      <c r="G675" s="16" t="str">
        <f>IF(Текущий!K674="-",Текущий!K674,ROUND(Текущий!K674,0))</f>
        <v>-</v>
      </c>
      <c r="H675" s="29" t="str">
        <f>IF(ROUND(Текущий!I674,0)=0,"-",ROUND(Текущий!I674,0))</f>
        <v>-</v>
      </c>
      <c r="I675" s="16" t="str">
        <f>IF(Предыд!K674="-",Предыд!K674,ROUND(Предыд!K674,0))</f>
        <v>-</v>
      </c>
      <c r="J675" s="29" t="str">
        <f>IF(ROUND(Предыд!I674,0)=0,"-",ROUND(Предыд!I674,0))</f>
        <v>-</v>
      </c>
      <c r="K675" s="30" t="str">
        <f>Текущий!L674</f>
        <v>Рихтовка</v>
      </c>
      <c r="L675" s="29">
        <f>Текущий!AL674</f>
        <v>0</v>
      </c>
      <c r="M675" s="29">
        <f>Текущий!AM674</f>
        <v>0</v>
      </c>
      <c r="N675" s="29">
        <f>Текущий!AN674</f>
        <v>0</v>
      </c>
      <c r="O675" s="29">
        <f>Текущий!AP674</f>
        <v>0</v>
      </c>
      <c r="P675" s="29">
        <f>Предыд!AL674</f>
        <v>0</v>
      </c>
      <c r="Q675" s="29">
        <f>Предыд!AM674</f>
        <v>0</v>
      </c>
      <c r="R675" s="29">
        <f>Предыд!AN674</f>
        <v>0</v>
      </c>
      <c r="S675" s="29">
        <f>Предыд!AO674</f>
        <v>0</v>
      </c>
      <c r="T675" s="17" t="str">
        <f t="shared" si="10"/>
        <v>-</v>
      </c>
    </row>
    <row r="676" spans="1:20" x14ac:dyDescent="0.25">
      <c r="A676" s="29">
        <f>Текущий!A675</f>
        <v>32</v>
      </c>
      <c r="B676" s="29">
        <f>Текущий!B675</f>
        <v>25201</v>
      </c>
      <c r="C676" s="29">
        <f>Текущий!C675</f>
        <v>1</v>
      </c>
      <c r="D676" s="29" t="str">
        <f>Текущий!D675</f>
        <v>Смирных - Победино</v>
      </c>
      <c r="E676" s="29">
        <f>ROUND(Текущий!J675,0)</f>
        <v>0</v>
      </c>
      <c r="F676" s="29">
        <f>Текущий!E675</f>
        <v>0</v>
      </c>
      <c r="G676" s="16" t="str">
        <f>IF(Текущий!K675="-",Текущий!K675,ROUND(Текущий!K675,0))</f>
        <v>-</v>
      </c>
      <c r="H676" s="29" t="str">
        <f>IF(ROUND(Текущий!I675,0)=0,"-",ROUND(Текущий!I675,0))</f>
        <v>-</v>
      </c>
      <c r="I676" s="16" t="str">
        <f>IF(Предыд!K675="-",Предыд!K675,ROUND(Предыд!K675,0))</f>
        <v>-</v>
      </c>
      <c r="J676" s="29" t="str">
        <f>IF(ROUND(Предыд!I675,0)=0,"-",ROUND(Предыд!I675,0))</f>
        <v>-</v>
      </c>
      <c r="K676" s="30" t="str">
        <f>Текущий!L675</f>
        <v>Рихтовка</v>
      </c>
      <c r="L676" s="29">
        <f>Текущий!AL675</f>
        <v>0</v>
      </c>
      <c r="M676" s="29">
        <f>Текущий!AM675</f>
        <v>0</v>
      </c>
      <c r="N676" s="29">
        <f>Текущий!AN675</f>
        <v>0</v>
      </c>
      <c r="O676" s="29">
        <f>Текущий!AP675</f>
        <v>0</v>
      </c>
      <c r="P676" s="29">
        <f>Предыд!AL675</f>
        <v>0</v>
      </c>
      <c r="Q676" s="29">
        <f>Предыд!AM675</f>
        <v>0</v>
      </c>
      <c r="R676" s="29">
        <f>Предыд!AN675</f>
        <v>0</v>
      </c>
      <c r="S676" s="29">
        <f>Предыд!AO675</f>
        <v>0</v>
      </c>
      <c r="T676" s="17" t="str">
        <f t="shared" si="10"/>
        <v>-</v>
      </c>
    </row>
    <row r="677" spans="1:20" x14ac:dyDescent="0.25">
      <c r="A677" s="29">
        <f>Текущий!A676</f>
        <v>32</v>
      </c>
      <c r="B677" s="29">
        <f>Текущий!B676</f>
        <v>25201</v>
      </c>
      <c r="C677" s="29">
        <f>Текущий!C676</f>
        <v>2</v>
      </c>
      <c r="D677" s="29" t="str">
        <f>Текущий!D676</f>
        <v>ст. Победино</v>
      </c>
      <c r="E677" s="29">
        <f>ROUND(Текущий!J676,0)</f>
        <v>0</v>
      </c>
      <c r="F677" s="29">
        <f>Текущий!E676</f>
        <v>0</v>
      </c>
      <c r="G677" s="16" t="str">
        <f>IF(Текущий!K676="-",Текущий!K676,ROUND(Текущий!K676,0))</f>
        <v>-</v>
      </c>
      <c r="H677" s="29" t="str">
        <f>IF(ROUND(Текущий!I676,0)=0,"-",ROUND(Текущий!I676,0))</f>
        <v>-</v>
      </c>
      <c r="I677" s="16" t="str">
        <f>IF(Предыд!K676="-",Предыд!K676,ROUND(Предыд!K676,0))</f>
        <v>-</v>
      </c>
      <c r="J677" s="29" t="str">
        <f>IF(ROUND(Предыд!I676,0)=0,"-",ROUND(Предыд!I676,0))</f>
        <v>-</v>
      </c>
      <c r="K677" s="30" t="str">
        <f>Текущий!L676</f>
        <v>Рихтовка</v>
      </c>
      <c r="L677" s="29">
        <f>Текущий!AL676</f>
        <v>0</v>
      </c>
      <c r="M677" s="29">
        <f>Текущий!AM676</f>
        <v>0</v>
      </c>
      <c r="N677" s="29">
        <f>Текущий!AN676</f>
        <v>0</v>
      </c>
      <c r="O677" s="29">
        <f>Текущий!AP676</f>
        <v>0</v>
      </c>
      <c r="P677" s="29">
        <f>Предыд!AL676</f>
        <v>0</v>
      </c>
      <c r="Q677" s="29">
        <f>Предыд!AM676</f>
        <v>0</v>
      </c>
      <c r="R677" s="29">
        <f>Предыд!AN676</f>
        <v>0</v>
      </c>
      <c r="S677" s="29">
        <f>Предыд!AO676</f>
        <v>0</v>
      </c>
      <c r="T677" s="17" t="str">
        <f t="shared" si="10"/>
        <v>-</v>
      </c>
    </row>
    <row r="678" spans="1:20" x14ac:dyDescent="0.25">
      <c r="A678" s="29">
        <f>Текущий!A677</f>
        <v>32</v>
      </c>
      <c r="B678" s="29">
        <f>Текущий!B677</f>
        <v>25201</v>
      </c>
      <c r="C678" s="29">
        <f>Текущий!C677</f>
        <v>1</v>
      </c>
      <c r="D678" s="29" t="str">
        <f>Текущий!D677</f>
        <v>Победино - Онор</v>
      </c>
      <c r="E678" s="29">
        <f>ROUND(Текущий!J677,0)</f>
        <v>0</v>
      </c>
      <c r="F678" s="29">
        <f>Текущий!E677</f>
        <v>0</v>
      </c>
      <c r="G678" s="16" t="str">
        <f>IF(Текущий!K677="-",Текущий!K677,ROUND(Текущий!K677,0))</f>
        <v>-</v>
      </c>
      <c r="H678" s="29" t="str">
        <f>IF(ROUND(Текущий!I677,0)=0,"-",ROUND(Текущий!I677,0))</f>
        <v>-</v>
      </c>
      <c r="I678" s="16" t="str">
        <f>IF(Предыд!K677="-",Предыд!K677,ROUND(Предыд!K677,0))</f>
        <v>-</v>
      </c>
      <c r="J678" s="29" t="str">
        <f>IF(ROUND(Предыд!I677,0)=0,"-",ROUND(Предыд!I677,0))</f>
        <v>-</v>
      </c>
      <c r="K678" s="30" t="str">
        <f>Текущий!L677</f>
        <v>Рихтовка</v>
      </c>
      <c r="L678" s="29">
        <f>Текущий!AL677</f>
        <v>0</v>
      </c>
      <c r="M678" s="29">
        <f>Текущий!AM677</f>
        <v>0</v>
      </c>
      <c r="N678" s="29">
        <f>Текущий!AN677</f>
        <v>0</v>
      </c>
      <c r="O678" s="29">
        <f>Текущий!AP677</f>
        <v>0</v>
      </c>
      <c r="P678" s="29">
        <f>Предыд!AL677</f>
        <v>0</v>
      </c>
      <c r="Q678" s="29">
        <f>Предыд!AM677</f>
        <v>0</v>
      </c>
      <c r="R678" s="29">
        <f>Предыд!AN677</f>
        <v>0</v>
      </c>
      <c r="S678" s="29">
        <f>Предыд!AO677</f>
        <v>0</v>
      </c>
      <c r="T678" s="17" t="str">
        <f t="shared" si="10"/>
        <v>-</v>
      </c>
    </row>
    <row r="679" spans="1:20" x14ac:dyDescent="0.25">
      <c r="A679" s="29">
        <f>Текущий!A678</f>
        <v>32</v>
      </c>
      <c r="B679" s="29">
        <f>Текущий!B678</f>
        <v>25201</v>
      </c>
      <c r="C679" s="29">
        <f>Текущий!C678</f>
        <v>2</v>
      </c>
      <c r="D679" s="29" t="str">
        <f>Текущий!D678</f>
        <v>ст. Онор</v>
      </c>
      <c r="E679" s="29">
        <f>ROUND(Текущий!J678,0)</f>
        <v>0</v>
      </c>
      <c r="F679" s="29">
        <f>Текущий!E678</f>
        <v>0</v>
      </c>
      <c r="G679" s="16" t="str">
        <f>IF(Текущий!K678="-",Текущий!K678,ROUND(Текущий!K678,0))</f>
        <v>-</v>
      </c>
      <c r="H679" s="29" t="str">
        <f>IF(ROUND(Текущий!I678,0)=0,"-",ROUND(Текущий!I678,0))</f>
        <v>-</v>
      </c>
      <c r="I679" s="16" t="str">
        <f>IF(Предыд!K678="-",Предыд!K678,ROUND(Предыд!K678,0))</f>
        <v>-</v>
      </c>
      <c r="J679" s="29" t="str">
        <f>IF(ROUND(Предыд!I678,0)=0,"-",ROUND(Предыд!I678,0))</f>
        <v>-</v>
      </c>
      <c r="K679" s="30" t="str">
        <f>Текущий!L678</f>
        <v>Рихтовка</v>
      </c>
      <c r="L679" s="29">
        <f>Текущий!AL678</f>
        <v>0</v>
      </c>
      <c r="M679" s="29">
        <f>Текущий!AM678</f>
        <v>0</v>
      </c>
      <c r="N679" s="29">
        <f>Текущий!AN678</f>
        <v>0</v>
      </c>
      <c r="O679" s="29">
        <f>Текущий!AP678</f>
        <v>0</v>
      </c>
      <c r="P679" s="29">
        <f>Предыд!AL678</f>
        <v>0</v>
      </c>
      <c r="Q679" s="29">
        <f>Предыд!AM678</f>
        <v>0</v>
      </c>
      <c r="R679" s="29">
        <f>Предыд!AN678</f>
        <v>0</v>
      </c>
      <c r="S679" s="29">
        <f>Предыд!AO678</f>
        <v>0</v>
      </c>
      <c r="T679" s="17" t="str">
        <f t="shared" si="10"/>
        <v>-</v>
      </c>
    </row>
    <row r="680" spans="1:20" x14ac:dyDescent="0.25">
      <c r="A680" s="29">
        <f>Текущий!A679</f>
        <v>32</v>
      </c>
      <c r="B680" s="29">
        <f>Текущий!B679</f>
        <v>25201</v>
      </c>
      <c r="C680" s="29">
        <f>Текущий!C679</f>
        <v>1</v>
      </c>
      <c r="D680" s="29" t="str">
        <f>Текущий!D679</f>
        <v>Онор - Палево</v>
      </c>
      <c r="E680" s="29">
        <f>ROUND(Текущий!J679,0)</f>
        <v>0</v>
      </c>
      <c r="F680" s="29">
        <f>Текущий!E679</f>
        <v>0</v>
      </c>
      <c r="G680" s="16" t="str">
        <f>IF(Текущий!K679="-",Текущий!K679,ROUND(Текущий!K679,0))</f>
        <v>-</v>
      </c>
      <c r="H680" s="29" t="str">
        <f>IF(ROUND(Текущий!I679,0)=0,"-",ROUND(Текущий!I679,0))</f>
        <v>-</v>
      </c>
      <c r="I680" s="16" t="str">
        <f>IF(Предыд!K679="-",Предыд!K679,ROUND(Предыд!K679,0))</f>
        <v>-</v>
      </c>
      <c r="J680" s="29" t="str">
        <f>IF(ROUND(Предыд!I679,0)=0,"-",ROUND(Предыд!I679,0))</f>
        <v>-</v>
      </c>
      <c r="K680" s="30" t="str">
        <f>Текущий!L679</f>
        <v>Рихтовка</v>
      </c>
      <c r="L680" s="29">
        <f>Текущий!AL679</f>
        <v>0</v>
      </c>
      <c r="M680" s="29">
        <f>Текущий!AM679</f>
        <v>0</v>
      </c>
      <c r="N680" s="29">
        <f>Текущий!AN679</f>
        <v>0</v>
      </c>
      <c r="O680" s="29">
        <f>Текущий!AP679</f>
        <v>0</v>
      </c>
      <c r="P680" s="29">
        <f>Предыд!AL679</f>
        <v>0</v>
      </c>
      <c r="Q680" s="29">
        <f>Предыд!AM679</f>
        <v>0</v>
      </c>
      <c r="R680" s="29">
        <f>Предыд!AN679</f>
        <v>0</v>
      </c>
      <c r="S680" s="29">
        <f>Предыд!AO679</f>
        <v>0</v>
      </c>
      <c r="T680" s="17" t="str">
        <f t="shared" si="10"/>
        <v>-</v>
      </c>
    </row>
    <row r="681" spans="1:20" x14ac:dyDescent="0.25">
      <c r="A681" s="29">
        <f>Текущий!A680</f>
        <v>32</v>
      </c>
      <c r="B681" s="29">
        <f>Текущий!B680</f>
        <v>25201</v>
      </c>
      <c r="C681" s="29">
        <f>Текущий!C680</f>
        <v>2</v>
      </c>
      <c r="D681" s="29" t="str">
        <f>Текущий!D680</f>
        <v>ст. Палево</v>
      </c>
      <c r="E681" s="29">
        <f>ROUND(Текущий!J680,0)</f>
        <v>0</v>
      </c>
      <c r="F681" s="29">
        <f>Текущий!E680</f>
        <v>0</v>
      </c>
      <c r="G681" s="16" t="str">
        <f>IF(Текущий!K680="-",Текущий!K680,ROUND(Текущий!K680,0))</f>
        <v>-</v>
      </c>
      <c r="H681" s="29" t="str">
        <f>IF(ROUND(Текущий!I680,0)=0,"-",ROUND(Текущий!I680,0))</f>
        <v>-</v>
      </c>
      <c r="I681" s="16" t="str">
        <f>IF(Предыд!K680="-",Предыд!K680,ROUND(Предыд!K680,0))</f>
        <v>-</v>
      </c>
      <c r="J681" s="29" t="str">
        <f>IF(ROUND(Предыд!I680,0)=0,"-",ROUND(Предыд!I680,0))</f>
        <v>-</v>
      </c>
      <c r="K681" s="30" t="str">
        <f>Текущий!L680</f>
        <v>Рихтовка</v>
      </c>
      <c r="L681" s="29">
        <f>Текущий!AL680</f>
        <v>0</v>
      </c>
      <c r="M681" s="29">
        <f>Текущий!AM680</f>
        <v>0</v>
      </c>
      <c r="N681" s="29">
        <f>Текущий!AN680</f>
        <v>0</v>
      </c>
      <c r="O681" s="29">
        <f>Текущий!AP680</f>
        <v>0</v>
      </c>
      <c r="P681" s="29">
        <f>Предыд!AL680</f>
        <v>0</v>
      </c>
      <c r="Q681" s="29">
        <f>Предыд!AM680</f>
        <v>0</v>
      </c>
      <c r="R681" s="29">
        <f>Предыд!AN680</f>
        <v>0</v>
      </c>
      <c r="S681" s="29">
        <f>Предыд!AO680</f>
        <v>0</v>
      </c>
      <c r="T681" s="17" t="str">
        <f t="shared" si="10"/>
        <v>-</v>
      </c>
    </row>
    <row r="682" spans="1:20" x14ac:dyDescent="0.25">
      <c r="A682" s="29">
        <f>Текущий!A681</f>
        <v>32</v>
      </c>
      <c r="B682" s="29">
        <f>Текущий!B681</f>
        <v>25201</v>
      </c>
      <c r="C682" s="29">
        <f>Текущий!C681</f>
        <v>1</v>
      </c>
      <c r="D682" s="29" t="str">
        <f>Текущий!D681</f>
        <v>Палево - Тымовск</v>
      </c>
      <c r="E682" s="29">
        <f>ROUND(Текущий!J681,0)</f>
        <v>0</v>
      </c>
      <c r="F682" s="29">
        <f>Текущий!E681</f>
        <v>0</v>
      </c>
      <c r="G682" s="16" t="str">
        <f>IF(Текущий!K681="-",Текущий!K681,ROUND(Текущий!K681,0))</f>
        <v>-</v>
      </c>
      <c r="H682" s="29" t="str">
        <f>IF(ROUND(Текущий!I681,0)=0,"-",ROUND(Текущий!I681,0))</f>
        <v>-</v>
      </c>
      <c r="I682" s="16" t="str">
        <f>IF(Предыд!K681="-",Предыд!K681,ROUND(Предыд!K681,0))</f>
        <v>-</v>
      </c>
      <c r="J682" s="29" t="str">
        <f>IF(ROUND(Предыд!I681,0)=0,"-",ROUND(Предыд!I681,0))</f>
        <v>-</v>
      </c>
      <c r="K682" s="30" t="str">
        <f>Текущий!L681</f>
        <v>Рихтовка</v>
      </c>
      <c r="L682" s="29">
        <f>Текущий!AL681</f>
        <v>0</v>
      </c>
      <c r="M682" s="29">
        <f>Текущий!AM681</f>
        <v>0</v>
      </c>
      <c r="N682" s="29">
        <f>Текущий!AN681</f>
        <v>0</v>
      </c>
      <c r="O682" s="29">
        <f>Текущий!AP681</f>
        <v>0</v>
      </c>
      <c r="P682" s="29">
        <f>Предыд!AL681</f>
        <v>0</v>
      </c>
      <c r="Q682" s="29">
        <f>Предыд!AM681</f>
        <v>0</v>
      </c>
      <c r="R682" s="29">
        <f>Предыд!AN681</f>
        <v>0</v>
      </c>
      <c r="S682" s="29">
        <f>Предыд!AO681</f>
        <v>0</v>
      </c>
      <c r="T682" s="17" t="str">
        <f t="shared" si="10"/>
        <v>-</v>
      </c>
    </row>
    <row r="683" spans="1:20" x14ac:dyDescent="0.25">
      <c r="A683" s="29">
        <f>Текущий!A682</f>
        <v>32</v>
      </c>
      <c r="B683" s="29">
        <f>Текущий!B682</f>
        <v>25201</v>
      </c>
      <c r="C683" s="29">
        <f>Текущий!C682</f>
        <v>2</v>
      </c>
      <c r="D683" s="29" t="str">
        <f>Текущий!D682</f>
        <v>ст. Тымовск</v>
      </c>
      <c r="E683" s="29">
        <f>ROUND(Текущий!J682,0)</f>
        <v>0</v>
      </c>
      <c r="F683" s="29">
        <f>Текущий!E682</f>
        <v>0</v>
      </c>
      <c r="G683" s="16" t="str">
        <f>IF(Текущий!K682="-",Текущий!K682,ROUND(Текущий!K682,0))</f>
        <v>-</v>
      </c>
      <c r="H683" s="29" t="str">
        <f>IF(ROUND(Текущий!I682,0)=0,"-",ROUND(Текущий!I682,0))</f>
        <v>-</v>
      </c>
      <c r="I683" s="16" t="str">
        <f>IF(Предыд!K682="-",Предыд!K682,ROUND(Предыд!K682,0))</f>
        <v>-</v>
      </c>
      <c r="J683" s="29" t="str">
        <f>IF(ROUND(Предыд!I682,0)=0,"-",ROUND(Предыд!I682,0))</f>
        <v>-</v>
      </c>
      <c r="K683" s="30" t="str">
        <f>Текущий!L682</f>
        <v>Рихтовка</v>
      </c>
      <c r="L683" s="29">
        <f>Текущий!AL682</f>
        <v>0</v>
      </c>
      <c r="M683" s="29">
        <f>Текущий!AM682</f>
        <v>0</v>
      </c>
      <c r="N683" s="29">
        <f>Текущий!AN682</f>
        <v>0</v>
      </c>
      <c r="O683" s="29">
        <f>Текущий!AP682</f>
        <v>0</v>
      </c>
      <c r="P683" s="29">
        <f>Предыд!AL682</f>
        <v>0</v>
      </c>
      <c r="Q683" s="29">
        <f>Предыд!AM682</f>
        <v>0</v>
      </c>
      <c r="R683" s="29">
        <f>Предыд!AN682</f>
        <v>0</v>
      </c>
      <c r="S683" s="29">
        <f>Предыд!AO682</f>
        <v>0</v>
      </c>
      <c r="T683" s="17" t="str">
        <f t="shared" si="10"/>
        <v>-</v>
      </c>
    </row>
    <row r="684" spans="1:20" x14ac:dyDescent="0.25">
      <c r="A684" s="29">
        <f>Текущий!A683</f>
        <v>32</v>
      </c>
      <c r="B684" s="29">
        <f>Текущий!B683</f>
        <v>25201</v>
      </c>
      <c r="C684" s="29">
        <f>Текущий!C683</f>
        <v>1</v>
      </c>
      <c r="D684" s="29" t="str">
        <f>Текущий!D683</f>
        <v>Тымовск - Альба</v>
      </c>
      <c r="E684" s="29">
        <f>ROUND(Текущий!J683,0)</f>
        <v>0</v>
      </c>
      <c r="F684" s="29">
        <f>Текущий!E683</f>
        <v>0</v>
      </c>
      <c r="G684" s="16" t="str">
        <f>IF(Текущий!K683="-",Текущий!K683,ROUND(Текущий!K683,0))</f>
        <v>-</v>
      </c>
      <c r="H684" s="29" t="str">
        <f>IF(ROUND(Текущий!I683,0)=0,"-",ROUND(Текущий!I683,0))</f>
        <v>-</v>
      </c>
      <c r="I684" s="16" t="str">
        <f>IF(Предыд!K683="-",Предыд!K683,ROUND(Предыд!K683,0))</f>
        <v>-</v>
      </c>
      <c r="J684" s="29" t="str">
        <f>IF(ROUND(Предыд!I683,0)=0,"-",ROUND(Предыд!I683,0))</f>
        <v>-</v>
      </c>
      <c r="K684" s="30" t="str">
        <f>Текущий!L683</f>
        <v>Рихтовка</v>
      </c>
      <c r="L684" s="29">
        <f>Текущий!AL683</f>
        <v>0</v>
      </c>
      <c r="M684" s="29">
        <f>Текущий!AM683</f>
        <v>0</v>
      </c>
      <c r="N684" s="29">
        <f>Текущий!AN683</f>
        <v>0</v>
      </c>
      <c r="O684" s="29">
        <f>Текущий!AP683</f>
        <v>0</v>
      </c>
      <c r="P684" s="29">
        <f>Предыд!AL683</f>
        <v>0</v>
      </c>
      <c r="Q684" s="29">
        <f>Предыд!AM683</f>
        <v>0</v>
      </c>
      <c r="R684" s="29">
        <f>Предыд!AN683</f>
        <v>0</v>
      </c>
      <c r="S684" s="29">
        <f>Предыд!AO683</f>
        <v>0</v>
      </c>
      <c r="T684" s="17" t="str">
        <f t="shared" si="10"/>
        <v>-</v>
      </c>
    </row>
    <row r="685" spans="1:20" x14ac:dyDescent="0.25">
      <c r="A685" s="29">
        <f>Текущий!A684</f>
        <v>32</v>
      </c>
      <c r="B685" s="29">
        <f>Текущий!B684</f>
        <v>25201</v>
      </c>
      <c r="C685" s="29">
        <f>Текущий!C684</f>
        <v>2</v>
      </c>
      <c r="D685" s="29" t="str">
        <f>Текущий!D684</f>
        <v>ст. Альба</v>
      </c>
      <c r="E685" s="29">
        <f>ROUND(Текущий!J684,0)</f>
        <v>0</v>
      </c>
      <c r="F685" s="29">
        <f>Текущий!E684</f>
        <v>0</v>
      </c>
      <c r="G685" s="16" t="str">
        <f>IF(Текущий!K684="-",Текущий!K684,ROUND(Текущий!K684,0))</f>
        <v>-</v>
      </c>
      <c r="H685" s="29" t="str">
        <f>IF(ROUND(Текущий!I684,0)=0,"-",ROUND(Текущий!I684,0))</f>
        <v>-</v>
      </c>
      <c r="I685" s="16" t="str">
        <f>IF(Предыд!K684="-",Предыд!K684,ROUND(Предыд!K684,0))</f>
        <v>-</v>
      </c>
      <c r="J685" s="29" t="str">
        <f>IF(ROUND(Предыд!I684,0)=0,"-",ROUND(Предыд!I684,0))</f>
        <v>-</v>
      </c>
      <c r="K685" s="30" t="str">
        <f>Текущий!L684</f>
        <v>Рихтовка</v>
      </c>
      <c r="L685" s="29">
        <f>Текущий!AL684</f>
        <v>0</v>
      </c>
      <c r="M685" s="29">
        <f>Текущий!AM684</f>
        <v>0</v>
      </c>
      <c r="N685" s="29">
        <f>Текущий!AN684</f>
        <v>0</v>
      </c>
      <c r="O685" s="29">
        <f>Текущий!AP684</f>
        <v>0</v>
      </c>
      <c r="P685" s="29">
        <f>Предыд!AL684</f>
        <v>0</v>
      </c>
      <c r="Q685" s="29">
        <f>Предыд!AM684</f>
        <v>0</v>
      </c>
      <c r="R685" s="29">
        <f>Предыд!AN684</f>
        <v>0</v>
      </c>
      <c r="S685" s="29">
        <f>Предыд!AO684</f>
        <v>0</v>
      </c>
      <c r="T685" s="17" t="str">
        <f t="shared" si="10"/>
        <v>-</v>
      </c>
    </row>
    <row r="686" spans="1:20" x14ac:dyDescent="0.25">
      <c r="A686" s="29">
        <f>Текущий!A685</f>
        <v>32</v>
      </c>
      <c r="B686" s="29">
        <f>Текущий!B685</f>
        <v>25201</v>
      </c>
      <c r="C686" s="29">
        <f>Текущий!C685</f>
        <v>1</v>
      </c>
      <c r="D686" s="29" t="str">
        <f>Текущий!D685</f>
        <v>Альба - Ныш</v>
      </c>
      <c r="E686" s="29">
        <f>ROUND(Текущий!J685,0)</f>
        <v>0</v>
      </c>
      <c r="F686" s="29">
        <f>Текущий!E685</f>
        <v>0</v>
      </c>
      <c r="G686" s="16" t="str">
        <f>IF(Текущий!K685="-",Текущий!K685,ROUND(Текущий!K685,0))</f>
        <v>-</v>
      </c>
      <c r="H686" s="29" t="str">
        <f>IF(ROUND(Текущий!I685,0)=0,"-",ROUND(Текущий!I685,0))</f>
        <v>-</v>
      </c>
      <c r="I686" s="16" t="str">
        <f>IF(Предыд!K685="-",Предыд!K685,ROUND(Предыд!K685,0))</f>
        <v>-</v>
      </c>
      <c r="J686" s="29" t="str">
        <f>IF(ROUND(Предыд!I685,0)=0,"-",ROUND(Предыд!I685,0))</f>
        <v>-</v>
      </c>
      <c r="K686" s="30" t="str">
        <f>Текущий!L685</f>
        <v>Рихтовка</v>
      </c>
      <c r="L686" s="29">
        <f>Текущий!AL685</f>
        <v>0</v>
      </c>
      <c r="M686" s="29">
        <f>Текущий!AM685</f>
        <v>0</v>
      </c>
      <c r="N686" s="29">
        <f>Текущий!AN685</f>
        <v>0</v>
      </c>
      <c r="O686" s="29">
        <f>Текущий!AP685</f>
        <v>0</v>
      </c>
      <c r="P686" s="29">
        <f>Предыд!AL685</f>
        <v>0</v>
      </c>
      <c r="Q686" s="29">
        <f>Предыд!AM685</f>
        <v>0</v>
      </c>
      <c r="R686" s="29">
        <f>Предыд!AN685</f>
        <v>0</v>
      </c>
      <c r="S686" s="29">
        <f>Предыд!AO685</f>
        <v>0</v>
      </c>
      <c r="T686" s="17" t="str">
        <f t="shared" si="10"/>
        <v>-</v>
      </c>
    </row>
    <row r="687" spans="1:20" x14ac:dyDescent="0.25">
      <c r="A687" s="29">
        <f>Текущий!A686</f>
        <v>32</v>
      </c>
      <c r="B687" s="29">
        <f>Текущий!B686</f>
        <v>25201</v>
      </c>
      <c r="C687" s="29">
        <f>Текущий!C686</f>
        <v>1</v>
      </c>
      <c r="D687" s="29" t="str">
        <f>Текущий!D686</f>
        <v>Ныш - Ноглики</v>
      </c>
      <c r="E687" s="29">
        <f>ROUND(Текущий!J686,0)</f>
        <v>0</v>
      </c>
      <c r="F687" s="29">
        <f>Текущий!E686</f>
        <v>0</v>
      </c>
      <c r="G687" s="16" t="str">
        <f>IF(Текущий!K686="-",Текущий!K686,ROUND(Текущий!K686,0))</f>
        <v>-</v>
      </c>
      <c r="H687" s="29" t="str">
        <f>IF(ROUND(Текущий!I686,0)=0,"-",ROUND(Текущий!I686,0))</f>
        <v>-</v>
      </c>
      <c r="I687" s="16" t="str">
        <f>IF(Предыд!K686="-",Предыд!K686,ROUND(Предыд!K686,0))</f>
        <v>-</v>
      </c>
      <c r="J687" s="29" t="str">
        <f>IF(ROUND(Предыд!I686,0)=0,"-",ROUND(Предыд!I686,0))</f>
        <v>-</v>
      </c>
      <c r="K687" s="30" t="str">
        <f>Текущий!L686</f>
        <v>Рихтовка</v>
      </c>
      <c r="L687" s="29">
        <f>Текущий!AL686</f>
        <v>0</v>
      </c>
      <c r="M687" s="29">
        <f>Текущий!AM686</f>
        <v>0</v>
      </c>
      <c r="N687" s="29">
        <f>Текущий!AN686</f>
        <v>0</v>
      </c>
      <c r="O687" s="29">
        <f>Текущий!AP686</f>
        <v>0</v>
      </c>
      <c r="P687" s="29">
        <f>Предыд!AL686</f>
        <v>0</v>
      </c>
      <c r="Q687" s="29">
        <f>Предыд!AM686</f>
        <v>0</v>
      </c>
      <c r="R687" s="29">
        <f>Предыд!AN686</f>
        <v>0</v>
      </c>
      <c r="S687" s="29">
        <f>Предыд!AO686</f>
        <v>0</v>
      </c>
      <c r="T687" s="17" t="str">
        <f t="shared" si="10"/>
        <v>-</v>
      </c>
    </row>
    <row r="688" spans="1:20" x14ac:dyDescent="0.25">
      <c r="A688" s="29">
        <f>Текущий!A687</f>
        <v>32</v>
      </c>
      <c r="B688" s="29">
        <f>Текущий!B687</f>
        <v>25201</v>
      </c>
      <c r="C688" s="29">
        <f>Текущий!C687</f>
        <v>2</v>
      </c>
      <c r="D688" s="29" t="str">
        <f>Текущий!D687</f>
        <v>ст. Ноглики</v>
      </c>
      <c r="E688" s="29">
        <f>ROUND(Текущий!J687,0)</f>
        <v>0</v>
      </c>
      <c r="F688" s="29">
        <f>Текущий!E687</f>
        <v>0</v>
      </c>
      <c r="G688" s="16" t="str">
        <f>IF(Текущий!K687="-",Текущий!K687,ROUND(Текущий!K687,0))</f>
        <v>-</v>
      </c>
      <c r="H688" s="29" t="str">
        <f>IF(ROUND(Текущий!I687,0)=0,"-",ROUND(Текущий!I687,0))</f>
        <v>-</v>
      </c>
      <c r="I688" s="16" t="str">
        <f>IF(Предыд!K687="-",Предыд!K687,ROUND(Предыд!K687,0))</f>
        <v>-</v>
      </c>
      <c r="J688" s="29" t="str">
        <f>IF(ROUND(Предыд!I687,0)=0,"-",ROUND(Предыд!I687,0))</f>
        <v>-</v>
      </c>
      <c r="K688" s="30" t="str">
        <f>Текущий!L687</f>
        <v>Рихтовка</v>
      </c>
      <c r="L688" s="29">
        <f>Текущий!AL687</f>
        <v>0</v>
      </c>
      <c r="M688" s="29">
        <f>Текущий!AM687</f>
        <v>0</v>
      </c>
      <c r="N688" s="29">
        <f>Текущий!AN687</f>
        <v>0</v>
      </c>
      <c r="O688" s="29">
        <f>Текущий!AP687</f>
        <v>0</v>
      </c>
      <c r="P688" s="29">
        <f>Предыд!AL687</f>
        <v>0</v>
      </c>
      <c r="Q688" s="29">
        <f>Предыд!AM687</f>
        <v>0</v>
      </c>
      <c r="R688" s="29">
        <f>Предыд!AN687</f>
        <v>0</v>
      </c>
      <c r="S688" s="29">
        <f>Предыд!AO687</f>
        <v>0</v>
      </c>
      <c r="T688" s="17" t="str">
        <f t="shared" si="10"/>
        <v>-</v>
      </c>
    </row>
    <row r="689" spans="1:20" x14ac:dyDescent="0.25">
      <c r="A689" s="29">
        <f>Текущий!A688</f>
        <v>32</v>
      </c>
      <c r="B689" s="29">
        <f>Текущий!B688</f>
        <v>25201</v>
      </c>
      <c r="C689" s="29">
        <f>Текущий!C688</f>
        <v>1</v>
      </c>
      <c r="D689" s="29" t="str">
        <f>Текущий!D688</f>
        <v>ст. Ноглики</v>
      </c>
      <c r="E689" s="29">
        <f>ROUND(Текущий!J688,0)</f>
        <v>0</v>
      </c>
      <c r="F689" s="29">
        <f>Текущий!E688</f>
        <v>0</v>
      </c>
      <c r="G689" s="16" t="str">
        <f>IF(Текущий!K688="-",Текущий!K688,ROUND(Текущий!K688,0))</f>
        <v>-</v>
      </c>
      <c r="H689" s="29" t="str">
        <f>IF(ROUND(Текущий!I688,0)=0,"-",ROUND(Текущий!I688,0))</f>
        <v>-</v>
      </c>
      <c r="I689" s="16" t="str">
        <f>IF(Предыд!K688="-",Предыд!K688,ROUND(Предыд!K688,0))</f>
        <v>-</v>
      </c>
      <c r="J689" s="29" t="str">
        <f>IF(ROUND(Предыд!I688,0)=0,"-",ROUND(Предыд!I688,0))</f>
        <v>-</v>
      </c>
      <c r="K689" s="30" t="str">
        <f>Текущий!L688</f>
        <v>Рихтовка</v>
      </c>
      <c r="L689" s="29">
        <f>Текущий!AL688</f>
        <v>0</v>
      </c>
      <c r="M689" s="29">
        <f>Текущий!AM688</f>
        <v>0</v>
      </c>
      <c r="N689" s="29">
        <f>Текущий!AN688</f>
        <v>0</v>
      </c>
      <c r="O689" s="29">
        <f>Текущий!AP688</f>
        <v>0</v>
      </c>
      <c r="P689" s="29">
        <f>Предыд!AL688</f>
        <v>0</v>
      </c>
      <c r="Q689" s="29">
        <f>Предыд!AM688</f>
        <v>0</v>
      </c>
      <c r="R689" s="29">
        <f>Предыд!AN688</f>
        <v>0</v>
      </c>
      <c r="S689" s="29">
        <f>Предыд!AO688</f>
        <v>0</v>
      </c>
      <c r="T689" s="17" t="str">
        <f t="shared" si="10"/>
        <v>-</v>
      </c>
    </row>
    <row r="690" spans="1:20" x14ac:dyDescent="0.25">
      <c r="A690" s="29"/>
      <c r="B690" s="29"/>
      <c r="C690" s="29"/>
      <c r="D690" s="29"/>
      <c r="E690" s="29"/>
      <c r="F690" s="29"/>
      <c r="G690" s="16"/>
      <c r="H690" s="29"/>
      <c r="I690" s="16"/>
      <c r="J690" s="29"/>
      <c r="K690" s="30"/>
      <c r="L690" s="29"/>
      <c r="M690" s="29"/>
      <c r="N690" s="29"/>
      <c r="O690" s="29"/>
      <c r="P690" s="29"/>
      <c r="Q690" s="29"/>
      <c r="R690" s="29"/>
      <c r="S690" s="29"/>
    </row>
  </sheetData>
  <autoFilter ref="A3:T689"/>
  <mergeCells count="15">
    <mergeCell ref="F2:F3"/>
    <mergeCell ref="L1:O1"/>
    <mergeCell ref="P1:S1"/>
    <mergeCell ref="S2:S3"/>
    <mergeCell ref="P2:R2"/>
    <mergeCell ref="G2:H2"/>
    <mergeCell ref="I2:J2"/>
    <mergeCell ref="K2:K3"/>
    <mergeCell ref="L2:N2"/>
    <mergeCell ref="O2:O3"/>
    <mergeCell ref="A2:A3"/>
    <mergeCell ref="B2:B3"/>
    <mergeCell ref="C2:C3"/>
    <mergeCell ref="D2:D3"/>
    <mergeCell ref="E2:E3"/>
  </mergeCells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/>
  <dimension ref="A1:O154"/>
  <sheetViews>
    <sheetView zoomScale="70" zoomScaleNormal="70" workbookViewId="0">
      <selection activeCell="N3" sqref="N3"/>
    </sheetView>
  </sheetViews>
  <sheetFormatPr defaultRowHeight="15" x14ac:dyDescent="0.25"/>
  <cols>
    <col min="1" max="1" width="6" style="17" customWidth="1"/>
    <col min="2" max="2" width="10.85546875" style="17" customWidth="1"/>
    <col min="3" max="3" width="5.7109375" style="17" bestFit="1" customWidth="1"/>
    <col min="4" max="4" width="47.85546875" style="17" customWidth="1"/>
    <col min="5" max="5" width="9.140625" style="17"/>
    <col min="6" max="6" width="8.5703125" style="17" customWidth="1"/>
    <col min="7" max="7" width="6.7109375" style="17" customWidth="1"/>
    <col min="8" max="10" width="9.140625" style="17"/>
    <col min="11" max="11" width="13.5703125" style="17" bestFit="1" customWidth="1"/>
    <col min="12" max="18" width="6.7109375" style="17" customWidth="1"/>
    <col min="19" max="16384" width="9.140625" style="17"/>
  </cols>
  <sheetData>
    <row r="1" spans="1:15" x14ac:dyDescent="0.25">
      <c r="A1" s="40" t="s">
        <v>17</v>
      </c>
      <c r="B1" s="40" t="s">
        <v>473</v>
      </c>
      <c r="C1" s="41" t="s">
        <v>451</v>
      </c>
      <c r="D1" s="40" t="s">
        <v>454</v>
      </c>
      <c r="E1" s="44" t="s">
        <v>880</v>
      </c>
      <c r="F1" s="42" t="s">
        <v>879</v>
      </c>
      <c r="G1" s="46"/>
      <c r="H1" s="47"/>
      <c r="I1" s="46"/>
      <c r="J1" s="47"/>
      <c r="K1" s="32" t="s">
        <v>960</v>
      </c>
      <c r="L1" s="32" t="s">
        <v>470</v>
      </c>
      <c r="M1" s="32"/>
      <c r="N1" s="32"/>
      <c r="O1" s="32" t="s">
        <v>472</v>
      </c>
    </row>
    <row r="2" spans="1:15" x14ac:dyDescent="0.25">
      <c r="A2" s="40"/>
      <c r="B2" s="40"/>
      <c r="C2" s="41"/>
      <c r="D2" s="40"/>
      <c r="E2" s="45"/>
      <c r="F2" s="43"/>
      <c r="G2" s="15" t="s">
        <v>460</v>
      </c>
      <c r="H2" s="22" t="s">
        <v>459</v>
      </c>
      <c r="I2" s="15" t="s">
        <v>460</v>
      </c>
      <c r="J2" s="22" t="s">
        <v>459</v>
      </c>
      <c r="K2" s="32"/>
      <c r="L2" s="22" t="s">
        <v>466</v>
      </c>
      <c r="M2" s="22" t="s">
        <v>467</v>
      </c>
      <c r="N2" s="22" t="s">
        <v>468</v>
      </c>
      <c r="O2" s="32"/>
    </row>
    <row r="3" spans="1:15" x14ac:dyDescent="0.25">
      <c r="A3" s="23">
        <f>Предыд!A3</f>
        <v>1</v>
      </c>
      <c r="B3" s="23">
        <f>Предыд!B3</f>
        <v>13808</v>
      </c>
      <c r="C3" s="23" t="str">
        <f>Предыд!C3</f>
        <v>ч-т</v>
      </c>
      <c r="D3" s="23" t="str">
        <f>Предыд!D3</f>
        <v>ст. Архара</v>
      </c>
      <c r="E3" s="23">
        <f>ROUND(Предыд!J3,0)</f>
        <v>0</v>
      </c>
      <c r="F3" s="23">
        <f>Предыд!E3</f>
        <v>0</v>
      </c>
      <c r="G3" s="16" t="str">
        <f>IF(Предыд!K3="-",Предыд!K3,ROUND(Предыд!K3,0))</f>
        <v>-</v>
      </c>
      <c r="H3" s="23" t="str">
        <f>IF(ROUND(Предыд!I3,0)=0,"-",ROUND(Предыд!I3,0))</f>
        <v>-</v>
      </c>
      <c r="I3" s="16" t="str">
        <f>IF(Предыд!K3="-",Предыд!K3,ROUND(Предыд!K3,0))</f>
        <v>-</v>
      </c>
      <c r="J3" s="23" t="str">
        <f>IF(ROUND(Предыд!I3,0)=0,"-",ROUND(Предыд!I3,0))</f>
        <v>-</v>
      </c>
      <c r="K3" s="23" t="str">
        <f>Предыд!L3</f>
        <v>Рихтовка</v>
      </c>
      <c r="L3" s="23">
        <f>Предыд!AL3</f>
        <v>0</v>
      </c>
      <c r="M3" s="23">
        <f>Предыд!AM3</f>
        <v>0</v>
      </c>
      <c r="N3" s="23">
        <f>Предыд!AN3</f>
        <v>0</v>
      </c>
      <c r="O3" s="23">
        <f>Предыд!AP3</f>
        <v>0</v>
      </c>
    </row>
    <row r="4" spans="1:15" x14ac:dyDescent="0.25">
      <c r="A4" s="25">
        <f>Предыд!A4</f>
        <v>1</v>
      </c>
      <c r="B4" s="25">
        <f>Предыд!B4</f>
        <v>13808</v>
      </c>
      <c r="C4" s="25">
        <f>Предыд!C4</f>
        <v>1</v>
      </c>
      <c r="D4" s="25" t="str">
        <f>Предыд!D4</f>
        <v>Архара - Татакан</v>
      </c>
      <c r="E4" s="25">
        <f>ROUND(Предыд!J4,0)</f>
        <v>0</v>
      </c>
      <c r="F4" s="25">
        <f>Предыд!E4</f>
        <v>0</v>
      </c>
      <c r="G4" s="16" t="str">
        <f>IF(Предыд!K4="-",Предыд!K4,ROUND(Предыд!K4,0))</f>
        <v>-</v>
      </c>
      <c r="H4" s="25" t="str">
        <f>IF(ROUND(Предыд!I4,0)=0,"-",ROUND(Предыд!I4,0))</f>
        <v>-</v>
      </c>
      <c r="I4" s="16" t="str">
        <f>IF(Предыд!K4="-",Предыд!K4,ROUND(Предыд!K4,0))</f>
        <v>-</v>
      </c>
      <c r="J4" s="25" t="str">
        <f>IF(ROUND(Предыд!I4,0)=0,"-",ROUND(Предыд!I4,0))</f>
        <v>-</v>
      </c>
      <c r="K4" s="25" t="str">
        <f>Предыд!L4</f>
        <v>Рихтовка</v>
      </c>
      <c r="L4" s="25">
        <f>Предыд!AL4</f>
        <v>0</v>
      </c>
      <c r="M4" s="25">
        <f>Предыд!AM4</f>
        <v>0</v>
      </c>
      <c r="N4" s="25">
        <f>Предыд!AN4</f>
        <v>0</v>
      </c>
      <c r="O4" s="25">
        <f>Предыд!AP4</f>
        <v>0</v>
      </c>
    </row>
    <row r="5" spans="1:15" x14ac:dyDescent="0.25">
      <c r="A5" s="25">
        <f>Предыд!A5</f>
        <v>1</v>
      </c>
      <c r="B5" s="25">
        <f>Предыд!B5</f>
        <v>13808</v>
      </c>
      <c r="C5" s="25">
        <f>Предыд!C5</f>
        <v>1</v>
      </c>
      <c r="D5" s="25" t="str">
        <f>Предыд!D5</f>
        <v>Татакан - Богучан</v>
      </c>
      <c r="E5" s="25">
        <f>ROUND(Предыд!J5,0)</f>
        <v>0</v>
      </c>
      <c r="F5" s="25">
        <f>Предыд!E5</f>
        <v>0</v>
      </c>
      <c r="G5" s="16" t="str">
        <f>IF(Предыд!K5="-",Предыд!K5,ROUND(Предыд!K5,0))</f>
        <v>-</v>
      </c>
      <c r="H5" s="25" t="str">
        <f>IF(ROUND(Предыд!I5,0)=0,"-",ROUND(Предыд!I5,0))</f>
        <v>-</v>
      </c>
      <c r="I5" s="16" t="str">
        <f>IF(Предыд!K5="-",Предыд!K5,ROUND(Предыд!K5,0))</f>
        <v>-</v>
      </c>
      <c r="J5" s="25" t="str">
        <f>IF(ROUND(Предыд!I5,0)=0,"-",ROUND(Предыд!I5,0))</f>
        <v>-</v>
      </c>
      <c r="K5" s="25" t="str">
        <f>Предыд!L5</f>
        <v>Рихтовка</v>
      </c>
      <c r="L5" s="25">
        <f>Предыд!AL5</f>
        <v>0</v>
      </c>
      <c r="M5" s="25">
        <f>Предыд!AM5</f>
        <v>0</v>
      </c>
      <c r="N5" s="25">
        <f>Предыд!AN5</f>
        <v>0</v>
      </c>
      <c r="O5" s="25">
        <f>Предыд!AP5</f>
        <v>0</v>
      </c>
    </row>
    <row r="6" spans="1:15" x14ac:dyDescent="0.25">
      <c r="A6" s="25">
        <f>Предыд!A6</f>
        <v>1</v>
      </c>
      <c r="B6" s="25">
        <f>Предыд!B6</f>
        <v>13808</v>
      </c>
      <c r="C6" s="25">
        <f>Предыд!C6</f>
        <v>1</v>
      </c>
      <c r="D6" s="25" t="str">
        <f>Предыд!D6</f>
        <v>Богучан - Рачи</v>
      </c>
      <c r="E6" s="25">
        <f>ROUND(Предыд!J6,0)</f>
        <v>0</v>
      </c>
      <c r="F6" s="25">
        <f>Предыд!E6</f>
        <v>0</v>
      </c>
      <c r="G6" s="16" t="str">
        <f>IF(Предыд!K6="-",Предыд!K6,ROUND(Предыд!K6,0))</f>
        <v>-</v>
      </c>
      <c r="H6" s="25" t="str">
        <f>IF(ROUND(Предыд!I6,0)=0,"-",ROUND(Предыд!I6,0))</f>
        <v>-</v>
      </c>
      <c r="I6" s="16" t="str">
        <f>IF(Предыд!K6="-",Предыд!K6,ROUND(Предыд!K6,0))</f>
        <v>-</v>
      </c>
      <c r="J6" s="25" t="str">
        <f>IF(ROUND(Предыд!I6,0)=0,"-",ROUND(Предыд!I6,0))</f>
        <v>-</v>
      </c>
      <c r="K6" s="25" t="str">
        <f>Предыд!L6</f>
        <v>Рихтовка</v>
      </c>
      <c r="L6" s="25">
        <f>Предыд!AL6</f>
        <v>0</v>
      </c>
      <c r="M6" s="25">
        <f>Предыд!AM6</f>
        <v>0</v>
      </c>
      <c r="N6" s="25">
        <f>Предыд!AN6</f>
        <v>0</v>
      </c>
      <c r="O6" s="25">
        <f>Предыд!AP6</f>
        <v>0</v>
      </c>
    </row>
    <row r="7" spans="1:15" x14ac:dyDescent="0.25">
      <c r="A7" s="25">
        <f>Предыд!A7</f>
        <v>1</v>
      </c>
      <c r="B7" s="25">
        <f>Предыд!B7</f>
        <v>13808</v>
      </c>
      <c r="C7" s="25">
        <f>Предыд!C7</f>
        <v>1</v>
      </c>
      <c r="D7" s="25" t="str">
        <f>Предыд!D7</f>
        <v>Рачи - Урил</v>
      </c>
      <c r="E7" s="25">
        <f>ROUND(Предыд!J7,0)</f>
        <v>0</v>
      </c>
      <c r="F7" s="25">
        <f>Предыд!E7</f>
        <v>0</v>
      </c>
      <c r="G7" s="16" t="str">
        <f>IF(Предыд!K7="-",Предыд!K7,ROUND(Предыд!K7,0))</f>
        <v>-</v>
      </c>
      <c r="H7" s="25" t="str">
        <f>IF(ROUND(Предыд!I7,0)=0,"-",ROUND(Предыд!I7,0))</f>
        <v>-</v>
      </c>
      <c r="I7" s="16" t="str">
        <f>IF(Предыд!K7="-",Предыд!K7,ROUND(Предыд!K7,0))</f>
        <v>-</v>
      </c>
      <c r="J7" s="25" t="str">
        <f>IF(ROUND(Предыд!I7,0)=0,"-",ROUND(Предыд!I7,0))</f>
        <v>-</v>
      </c>
      <c r="K7" s="25" t="str">
        <f>Предыд!L7</f>
        <v>Рихтовка</v>
      </c>
      <c r="L7" s="25">
        <f>Предыд!AL7</f>
        <v>0</v>
      </c>
      <c r="M7" s="25">
        <f>Предыд!AM7</f>
        <v>0</v>
      </c>
      <c r="N7" s="25">
        <f>Предыд!AN7</f>
        <v>0</v>
      </c>
      <c r="O7" s="25">
        <f>Предыд!AP7</f>
        <v>0</v>
      </c>
    </row>
    <row r="8" spans="1:15" x14ac:dyDescent="0.25">
      <c r="A8" s="25">
        <f>Предыд!A8</f>
        <v>1</v>
      </c>
      <c r="B8" s="25">
        <f>Предыд!B8</f>
        <v>13808</v>
      </c>
      <c r="C8" s="25">
        <f>Предыд!C8</f>
        <v>1</v>
      </c>
      <c r="D8" s="25" t="str">
        <f>Предыд!D8</f>
        <v>Урил - Тарманчукан</v>
      </c>
      <c r="E8" s="25">
        <f>ROUND(Предыд!J8,0)</f>
        <v>0</v>
      </c>
      <c r="F8" s="25">
        <f>Предыд!E8</f>
        <v>0</v>
      </c>
      <c r="G8" s="16" t="str">
        <f>IF(Предыд!K8="-",Предыд!K8,ROUND(Предыд!K8,0))</f>
        <v>-</v>
      </c>
      <c r="H8" s="25" t="str">
        <f>IF(ROUND(Предыд!I8,0)=0,"-",ROUND(Предыд!I8,0))</f>
        <v>-</v>
      </c>
      <c r="I8" s="16" t="str">
        <f>IF(Предыд!K8="-",Предыд!K8,ROUND(Предыд!K8,0))</f>
        <v>-</v>
      </c>
      <c r="J8" s="25" t="str">
        <f>IF(ROUND(Предыд!I8,0)=0,"-",ROUND(Предыд!I8,0))</f>
        <v>-</v>
      </c>
      <c r="K8" s="25" t="str">
        <f>Предыд!L8</f>
        <v>Рихтовка</v>
      </c>
      <c r="L8" s="25">
        <f>Предыд!AL8</f>
        <v>0</v>
      </c>
      <c r="M8" s="25">
        <f>Предыд!AM8</f>
        <v>0</v>
      </c>
      <c r="N8" s="25">
        <f>Предыд!AN8</f>
        <v>0</v>
      </c>
      <c r="O8" s="25">
        <f>Предыд!AP8</f>
        <v>0</v>
      </c>
    </row>
    <row r="9" spans="1:15" x14ac:dyDescent="0.25">
      <c r="A9" s="25">
        <f>Предыд!A9</f>
        <v>1</v>
      </c>
      <c r="B9" s="25">
        <f>Предыд!B9</f>
        <v>13808</v>
      </c>
      <c r="C9" s="25">
        <f>Предыд!C9</f>
        <v>1</v>
      </c>
      <c r="D9" s="25" t="str">
        <f>Предыд!D9</f>
        <v>Тарманчукан - Тоннельный</v>
      </c>
      <c r="E9" s="25">
        <f>ROUND(Предыд!J9,0)</f>
        <v>0</v>
      </c>
      <c r="F9" s="25">
        <f>Предыд!E9</f>
        <v>0</v>
      </c>
      <c r="G9" s="16" t="str">
        <f>IF(Предыд!K9="-",Предыд!K9,ROUND(Предыд!K9,0))</f>
        <v>-</v>
      </c>
      <c r="H9" s="25" t="str">
        <f>IF(ROUND(Предыд!I9,0)=0,"-",ROUND(Предыд!I9,0))</f>
        <v>-</v>
      </c>
      <c r="I9" s="16" t="str">
        <f>IF(Предыд!K9="-",Предыд!K9,ROUND(Предыд!K9,0))</f>
        <v>-</v>
      </c>
      <c r="J9" s="25" t="str">
        <f>IF(ROUND(Предыд!I9,0)=0,"-",ROUND(Предыд!I9,0))</f>
        <v>-</v>
      </c>
      <c r="K9" s="25" t="str">
        <f>Предыд!L9</f>
        <v>Рихтовка</v>
      </c>
      <c r="L9" s="25">
        <f>Предыд!AL9</f>
        <v>0</v>
      </c>
      <c r="M9" s="25">
        <f>Предыд!AM9</f>
        <v>0</v>
      </c>
      <c r="N9" s="25">
        <f>Предыд!AN9</f>
        <v>0</v>
      </c>
      <c r="O9" s="25">
        <f>Предыд!AP9</f>
        <v>0</v>
      </c>
    </row>
    <row r="10" spans="1:15" x14ac:dyDescent="0.25">
      <c r="A10" s="25">
        <f>Предыд!A10</f>
        <v>1</v>
      </c>
      <c r="B10" s="25">
        <f>Предыд!B10</f>
        <v>13808</v>
      </c>
      <c r="C10" s="25">
        <f>Предыд!C10</f>
        <v>1</v>
      </c>
      <c r="D10" s="25" t="str">
        <f>Предыд!D10</f>
        <v>Тоннельный - Кундур-Хабаровский</v>
      </c>
      <c r="E10" s="25">
        <f>ROUND(Предыд!J10,0)</f>
        <v>0</v>
      </c>
      <c r="F10" s="25">
        <f>Предыд!E10</f>
        <v>0</v>
      </c>
      <c r="G10" s="16" t="str">
        <f>IF(Предыд!K10="-",Предыд!K10,ROUND(Предыд!K10,0))</f>
        <v>-</v>
      </c>
      <c r="H10" s="25" t="str">
        <f>IF(ROUND(Предыд!I10,0)=0,"-",ROUND(Предыд!I10,0))</f>
        <v>-</v>
      </c>
      <c r="I10" s="16" t="str">
        <f>IF(Предыд!K10="-",Предыд!K10,ROUND(Предыд!K10,0))</f>
        <v>-</v>
      </c>
      <c r="J10" s="25" t="str">
        <f>IF(ROUND(Предыд!I10,0)=0,"-",ROUND(Предыд!I10,0))</f>
        <v>-</v>
      </c>
      <c r="K10" s="25" t="str">
        <f>Предыд!L10</f>
        <v>Рихтовка</v>
      </c>
      <c r="L10" s="25">
        <f>Предыд!AL10</f>
        <v>0</v>
      </c>
      <c r="M10" s="25">
        <f>Предыд!AM10</f>
        <v>0</v>
      </c>
      <c r="N10" s="25">
        <f>Предыд!AN10</f>
        <v>0</v>
      </c>
      <c r="O10" s="25">
        <f>Предыд!AP10</f>
        <v>0</v>
      </c>
    </row>
    <row r="11" spans="1:15" x14ac:dyDescent="0.25">
      <c r="A11" s="25">
        <f>Предыд!A11</f>
        <v>1</v>
      </c>
      <c r="B11" s="25">
        <f>Предыд!B11</f>
        <v>13808</v>
      </c>
      <c r="C11" s="25">
        <f>Предыд!C11</f>
        <v>1</v>
      </c>
      <c r="D11" s="25" t="str">
        <f>Предыд!D11</f>
        <v>Кундур-Хабаровский - Казачий</v>
      </c>
      <c r="E11" s="25">
        <f>ROUND(Предыд!J11,0)</f>
        <v>0</v>
      </c>
      <c r="F11" s="25">
        <f>Предыд!E11</f>
        <v>0</v>
      </c>
      <c r="G11" s="16" t="str">
        <f>IF(Предыд!K11="-",Предыд!K11,ROUND(Предыд!K11,0))</f>
        <v>-</v>
      </c>
      <c r="H11" s="25" t="str">
        <f>IF(ROUND(Предыд!I11,0)=0,"-",ROUND(Предыд!I11,0))</f>
        <v>-</v>
      </c>
      <c r="I11" s="16" t="str">
        <f>IF(Предыд!K11="-",Предыд!K11,ROUND(Предыд!K11,0))</f>
        <v>-</v>
      </c>
      <c r="J11" s="25" t="str">
        <f>IF(ROUND(Предыд!I11,0)=0,"-",ROUND(Предыд!I11,0))</f>
        <v>-</v>
      </c>
      <c r="K11" s="25" t="str">
        <f>Предыд!L11</f>
        <v>Рихтовка</v>
      </c>
      <c r="L11" s="25">
        <f>Предыд!AL11</f>
        <v>0</v>
      </c>
      <c r="M11" s="25">
        <f>Предыд!AM11</f>
        <v>0</v>
      </c>
      <c r="N11" s="25">
        <f>Предыд!AN11</f>
        <v>0</v>
      </c>
      <c r="O11" s="25">
        <f>Предыд!AP11</f>
        <v>0</v>
      </c>
    </row>
    <row r="12" spans="1:15" x14ac:dyDescent="0.25">
      <c r="A12" s="25">
        <f>Предыд!A12</f>
        <v>1</v>
      </c>
      <c r="B12" s="25">
        <f>Предыд!B12</f>
        <v>13808</v>
      </c>
      <c r="C12" s="25">
        <f>Предыд!C12</f>
        <v>1</v>
      </c>
      <c r="D12" s="25" t="str">
        <f>Предыд!D12</f>
        <v>Казачий - Ядрин</v>
      </c>
      <c r="E12" s="25">
        <f>ROUND(Предыд!J12,0)</f>
        <v>0</v>
      </c>
      <c r="F12" s="25">
        <f>Предыд!E12</f>
        <v>0</v>
      </c>
      <c r="G12" s="16" t="str">
        <f>IF(Предыд!K12="-",Предыд!K12,ROUND(Предыд!K12,0))</f>
        <v>-</v>
      </c>
      <c r="H12" s="25" t="str">
        <f>IF(ROUND(Предыд!I12,0)=0,"-",ROUND(Предыд!I12,0))</f>
        <v>-</v>
      </c>
      <c r="I12" s="16" t="str">
        <f>IF(Предыд!K12="-",Предыд!K12,ROUND(Предыд!K12,0))</f>
        <v>-</v>
      </c>
      <c r="J12" s="25" t="str">
        <f>IF(ROUND(Предыд!I12,0)=0,"-",ROUND(Предыд!I12,0))</f>
        <v>-</v>
      </c>
      <c r="K12" s="25" t="str">
        <f>Предыд!L12</f>
        <v>Рихтовка</v>
      </c>
      <c r="L12" s="25">
        <f>Предыд!AL12</f>
        <v>0</v>
      </c>
      <c r="M12" s="25">
        <f>Предыд!AM12</f>
        <v>0</v>
      </c>
      <c r="N12" s="25">
        <f>Предыд!AN12</f>
        <v>0</v>
      </c>
      <c r="O12" s="25">
        <f>Предыд!AP12</f>
        <v>0</v>
      </c>
    </row>
    <row r="13" spans="1:15" x14ac:dyDescent="0.25">
      <c r="A13" s="25">
        <f>Предыд!A13</f>
        <v>1</v>
      </c>
      <c r="B13" s="25">
        <f>Предыд!B13</f>
        <v>13808</v>
      </c>
      <c r="C13" s="25">
        <f>Предыд!C13</f>
        <v>1</v>
      </c>
      <c r="D13" s="25" t="str">
        <f>Предыд!D13</f>
        <v>Ядрин - Облучье</v>
      </c>
      <c r="E13" s="25">
        <f>ROUND(Предыд!J13,0)</f>
        <v>0</v>
      </c>
      <c r="F13" s="25">
        <f>Предыд!E13</f>
        <v>0</v>
      </c>
      <c r="G13" s="16" t="str">
        <f>IF(Предыд!K13="-",Предыд!K13,ROUND(Предыд!K13,0))</f>
        <v>-</v>
      </c>
      <c r="H13" s="25" t="str">
        <f>IF(ROUND(Предыд!I13,0)=0,"-",ROUND(Предыд!I13,0))</f>
        <v>-</v>
      </c>
      <c r="I13" s="16" t="str">
        <f>IF(Предыд!K13="-",Предыд!K13,ROUND(Предыд!K13,0))</f>
        <v>-</v>
      </c>
      <c r="J13" s="25" t="str">
        <f>IF(ROUND(Предыд!I13,0)=0,"-",ROUND(Предыд!I13,0))</f>
        <v>-</v>
      </c>
      <c r="K13" s="25" t="str">
        <f>Предыд!L13</f>
        <v>Рихтовка</v>
      </c>
      <c r="L13" s="25">
        <f>Предыд!AL13</f>
        <v>0</v>
      </c>
      <c r="M13" s="25">
        <f>Предыд!AM13</f>
        <v>0</v>
      </c>
      <c r="N13" s="25">
        <f>Предыд!AN13</f>
        <v>0</v>
      </c>
      <c r="O13" s="25">
        <f>Предыд!AP13</f>
        <v>0</v>
      </c>
    </row>
    <row r="14" spans="1:15" x14ac:dyDescent="0.25">
      <c r="A14" s="25">
        <f>Предыд!A14</f>
        <v>1</v>
      </c>
      <c r="B14" s="25">
        <f>Предыд!B14</f>
        <v>13810</v>
      </c>
      <c r="C14" s="25">
        <f>Предыд!C14</f>
        <v>1</v>
      </c>
      <c r="D14" s="25" t="str">
        <f>Предыд!D14</f>
        <v>ст. Облучье</v>
      </c>
      <c r="E14" s="25">
        <f>ROUND(Предыд!J14,0)</f>
        <v>0</v>
      </c>
      <c r="F14" s="25">
        <f>Предыд!E14</f>
        <v>0</v>
      </c>
      <c r="G14" s="16" t="str">
        <f>IF(Предыд!K14="-",Предыд!K14,ROUND(Предыд!K14,0))</f>
        <v>-</v>
      </c>
      <c r="H14" s="25" t="str">
        <f>IF(ROUND(Предыд!I14,0)=0,"-",ROUND(Предыд!I14,0))</f>
        <v>-</v>
      </c>
      <c r="I14" s="16" t="str">
        <f>IF(Предыд!K14="-",Предыд!K14,ROUND(Предыд!K14,0))</f>
        <v>-</v>
      </c>
      <c r="J14" s="25" t="str">
        <f>IF(ROUND(Предыд!I14,0)=0,"-",ROUND(Предыд!I14,0))</f>
        <v>-</v>
      </c>
      <c r="K14" s="25" t="str">
        <f>Предыд!L14</f>
        <v>Рихтовка</v>
      </c>
      <c r="L14" s="25">
        <f>Предыд!AL14</f>
        <v>0</v>
      </c>
      <c r="M14" s="25">
        <f>Предыд!AM14</f>
        <v>0</v>
      </c>
      <c r="N14" s="25">
        <f>Предыд!AN14</f>
        <v>0</v>
      </c>
      <c r="O14" s="25">
        <f>Предыд!AP14</f>
        <v>0</v>
      </c>
    </row>
    <row r="15" spans="1:15" x14ac:dyDescent="0.25">
      <c r="A15" s="25">
        <f>Предыд!A15</f>
        <v>1</v>
      </c>
      <c r="B15" s="25">
        <f>Предыд!B15</f>
        <v>13808</v>
      </c>
      <c r="C15" s="25">
        <f>Предыд!C15</f>
        <v>1</v>
      </c>
      <c r="D15" s="25" t="str">
        <f>Предыд!D15</f>
        <v>Облучье - Ударный</v>
      </c>
      <c r="E15" s="25">
        <f>ROUND(Предыд!J15,0)</f>
        <v>0</v>
      </c>
      <c r="F15" s="25">
        <f>Предыд!E15</f>
        <v>0</v>
      </c>
      <c r="G15" s="16" t="str">
        <f>IF(Предыд!K15="-",Предыд!K15,ROUND(Предыд!K15,0))</f>
        <v>-</v>
      </c>
      <c r="H15" s="25" t="str">
        <f>IF(ROUND(Предыд!I15,0)=0,"-",ROUND(Предыд!I15,0))</f>
        <v>-</v>
      </c>
      <c r="I15" s="16" t="str">
        <f>IF(Предыд!K15="-",Предыд!K15,ROUND(Предыд!K15,0))</f>
        <v>-</v>
      </c>
      <c r="J15" s="25" t="str">
        <f>IF(ROUND(Предыд!I15,0)=0,"-",ROUND(Предыд!I15,0))</f>
        <v>-</v>
      </c>
      <c r="K15" s="25" t="str">
        <f>Предыд!L15</f>
        <v>Рихтовка</v>
      </c>
      <c r="L15" s="25">
        <f>Предыд!AL15</f>
        <v>0</v>
      </c>
      <c r="M15" s="25">
        <f>Предыд!AM15</f>
        <v>0</v>
      </c>
      <c r="N15" s="25">
        <f>Предыд!AN15</f>
        <v>0</v>
      </c>
      <c r="O15" s="25">
        <f>Предыд!AP15</f>
        <v>0</v>
      </c>
    </row>
    <row r="16" spans="1:15" x14ac:dyDescent="0.25">
      <c r="A16" s="25">
        <f>Предыд!A16</f>
        <v>1</v>
      </c>
      <c r="B16" s="25">
        <f>Предыд!B16</f>
        <v>13808</v>
      </c>
      <c r="C16" s="25">
        <f>Предыд!C16</f>
        <v>1</v>
      </c>
      <c r="D16" s="25" t="str">
        <f>Предыд!D16</f>
        <v>Ударный - Лагар-Аул</v>
      </c>
      <c r="E16" s="25">
        <f>ROUND(Предыд!J16,0)</f>
        <v>0</v>
      </c>
      <c r="F16" s="25">
        <f>Предыд!E16</f>
        <v>0</v>
      </c>
      <c r="G16" s="16" t="str">
        <f>IF(Предыд!K16="-",Предыд!K16,ROUND(Предыд!K16,0))</f>
        <v>-</v>
      </c>
      <c r="H16" s="25" t="str">
        <f>IF(ROUND(Предыд!I16,0)=0,"-",ROUND(Предыд!I16,0))</f>
        <v>-</v>
      </c>
      <c r="I16" s="16" t="str">
        <f>IF(Предыд!K16="-",Предыд!K16,ROUND(Предыд!K16,0))</f>
        <v>-</v>
      </c>
      <c r="J16" s="25" t="str">
        <f>IF(ROUND(Предыд!I16,0)=0,"-",ROUND(Предыд!I16,0))</f>
        <v>-</v>
      </c>
      <c r="K16" s="25" t="str">
        <f>Предыд!L16</f>
        <v>Рихтовка</v>
      </c>
      <c r="L16" s="25">
        <f>Предыд!AL16</f>
        <v>0</v>
      </c>
      <c r="M16" s="25">
        <f>Предыд!AM16</f>
        <v>0</v>
      </c>
      <c r="N16" s="25">
        <f>Предыд!AN16</f>
        <v>0</v>
      </c>
      <c r="O16" s="25">
        <f>Предыд!AP16</f>
        <v>0</v>
      </c>
    </row>
    <row r="17" spans="1:15" x14ac:dyDescent="0.25">
      <c r="A17" s="25">
        <f>Предыд!A17</f>
        <v>1</v>
      </c>
      <c r="B17" s="25">
        <f>Предыд!B17</f>
        <v>13808</v>
      </c>
      <c r="C17" s="25">
        <f>Предыд!C17</f>
        <v>1</v>
      </c>
      <c r="D17" s="25" t="str">
        <f>Предыд!D17</f>
        <v>Лагар-Аул - Кимкан</v>
      </c>
      <c r="E17" s="25">
        <f>ROUND(Предыд!J17,0)</f>
        <v>0</v>
      </c>
      <c r="F17" s="25">
        <f>Предыд!E17</f>
        <v>0</v>
      </c>
      <c r="G17" s="16" t="str">
        <f>IF(Предыд!K17="-",Предыд!K17,ROUND(Предыд!K17,0))</f>
        <v>-</v>
      </c>
      <c r="H17" s="25" t="str">
        <f>IF(ROUND(Предыд!I17,0)=0,"-",ROUND(Предыд!I17,0))</f>
        <v>-</v>
      </c>
      <c r="I17" s="16" t="str">
        <f>IF(Предыд!K17="-",Предыд!K17,ROUND(Предыд!K17,0))</f>
        <v>-</v>
      </c>
      <c r="J17" s="25" t="str">
        <f>IF(ROUND(Предыд!I17,0)=0,"-",ROUND(Предыд!I17,0))</f>
        <v>-</v>
      </c>
      <c r="K17" s="25" t="str">
        <f>Предыд!L17</f>
        <v>Рихтовка</v>
      </c>
      <c r="L17" s="25">
        <f>Предыд!AL17</f>
        <v>0</v>
      </c>
      <c r="M17" s="25">
        <f>Предыд!AM17</f>
        <v>0</v>
      </c>
      <c r="N17" s="25">
        <f>Предыд!AN17</f>
        <v>0</v>
      </c>
      <c r="O17" s="25">
        <f>Предыд!AP17</f>
        <v>0</v>
      </c>
    </row>
    <row r="18" spans="1:15" x14ac:dyDescent="0.25">
      <c r="A18" s="25">
        <f>Предыд!A18</f>
        <v>1</v>
      </c>
      <c r="B18" s="25">
        <f>Предыд!B18</f>
        <v>13808</v>
      </c>
      <c r="C18" s="25">
        <f>Предыд!C18</f>
        <v>1</v>
      </c>
      <c r="D18" s="25" t="str">
        <f>Предыд!D18</f>
        <v>Кимкан - Известковая</v>
      </c>
      <c r="E18" s="25">
        <f>ROUND(Предыд!J18,0)</f>
        <v>0</v>
      </c>
      <c r="F18" s="25">
        <f>Предыд!E18</f>
        <v>0</v>
      </c>
      <c r="G18" s="16" t="str">
        <f>IF(Предыд!K18="-",Предыд!K18,ROUND(Предыд!K18,0))</f>
        <v>-</v>
      </c>
      <c r="H18" s="25" t="str">
        <f>IF(ROUND(Предыд!I18,0)=0,"-",ROUND(Предыд!I18,0))</f>
        <v>-</v>
      </c>
      <c r="I18" s="16" t="str">
        <f>IF(Предыд!K18="-",Предыд!K18,ROUND(Предыд!K18,0))</f>
        <v>-</v>
      </c>
      <c r="J18" s="25" t="str">
        <f>IF(ROUND(Предыд!I18,0)=0,"-",ROUND(Предыд!I18,0))</f>
        <v>-</v>
      </c>
      <c r="K18" s="25" t="str">
        <f>Предыд!L18</f>
        <v>Рихтовка</v>
      </c>
      <c r="L18" s="25">
        <f>Предыд!AL18</f>
        <v>0</v>
      </c>
      <c r="M18" s="25">
        <f>Предыд!AM18</f>
        <v>0</v>
      </c>
      <c r="N18" s="25">
        <f>Предыд!AN18</f>
        <v>0</v>
      </c>
      <c r="O18" s="25">
        <f>Предыд!AP18</f>
        <v>0</v>
      </c>
    </row>
    <row r="19" spans="1:15" x14ac:dyDescent="0.25">
      <c r="A19" s="25">
        <f>Предыд!A19</f>
        <v>1</v>
      </c>
      <c r="B19" s="25">
        <f>Предыд!B19</f>
        <v>13808</v>
      </c>
      <c r="C19" s="25">
        <f>Предыд!C19</f>
        <v>2</v>
      </c>
      <c r="D19" s="25" t="str">
        <f>Предыд!D19</f>
        <v>Архара - Татакан</v>
      </c>
      <c r="E19" s="25">
        <f>ROUND(Предыд!J19,0)</f>
        <v>0</v>
      </c>
      <c r="F19" s="25">
        <f>Предыд!E19</f>
        <v>0</v>
      </c>
      <c r="G19" s="16" t="str">
        <f>IF(Предыд!K19="-",Предыд!K19,ROUND(Предыд!K19,0))</f>
        <v>-</v>
      </c>
      <c r="H19" s="25" t="str">
        <f>IF(ROUND(Предыд!I19,0)=0,"-",ROUND(Предыд!I19,0))</f>
        <v>-</v>
      </c>
      <c r="I19" s="16" t="str">
        <f>IF(Предыд!K19="-",Предыд!K19,ROUND(Предыд!K19,0))</f>
        <v>-</v>
      </c>
      <c r="J19" s="25" t="str">
        <f>IF(ROUND(Предыд!I19,0)=0,"-",ROUND(Предыд!I19,0))</f>
        <v>-</v>
      </c>
      <c r="K19" s="25" t="str">
        <f>Предыд!L19</f>
        <v>Рихтовка</v>
      </c>
      <c r="L19" s="25">
        <f>Предыд!AL19</f>
        <v>0</v>
      </c>
      <c r="M19" s="25">
        <f>Предыд!AM19</f>
        <v>0</v>
      </c>
      <c r="N19" s="25">
        <f>Предыд!AN19</f>
        <v>0</v>
      </c>
      <c r="O19" s="25">
        <f>Предыд!AP19</f>
        <v>0</v>
      </c>
    </row>
    <row r="20" spans="1:15" x14ac:dyDescent="0.25">
      <c r="A20" s="25">
        <f>Предыд!A20</f>
        <v>1</v>
      </c>
      <c r="B20" s="25">
        <f>Предыд!B20</f>
        <v>13808</v>
      </c>
      <c r="C20" s="25">
        <f>Предыд!C20</f>
        <v>2</v>
      </c>
      <c r="D20" s="25" t="str">
        <f>Предыд!D20</f>
        <v>Татакан - Богучан</v>
      </c>
      <c r="E20" s="25">
        <f>ROUND(Предыд!J20,0)</f>
        <v>0</v>
      </c>
      <c r="F20" s="25">
        <f>Предыд!E20</f>
        <v>0</v>
      </c>
      <c r="G20" s="16" t="str">
        <f>IF(Предыд!K20="-",Предыд!K20,ROUND(Предыд!K20,0))</f>
        <v>-</v>
      </c>
      <c r="H20" s="25" t="str">
        <f>IF(ROUND(Предыд!I20,0)=0,"-",ROUND(Предыд!I20,0))</f>
        <v>-</v>
      </c>
      <c r="I20" s="16" t="str">
        <f>IF(Предыд!K20="-",Предыд!K20,ROUND(Предыд!K20,0))</f>
        <v>-</v>
      </c>
      <c r="J20" s="25" t="str">
        <f>IF(ROUND(Предыд!I20,0)=0,"-",ROUND(Предыд!I20,0))</f>
        <v>-</v>
      </c>
      <c r="K20" s="25" t="str">
        <f>Предыд!L20</f>
        <v>Рихтовка</v>
      </c>
      <c r="L20" s="25">
        <f>Предыд!AL20</f>
        <v>0</v>
      </c>
      <c r="M20" s="25">
        <f>Предыд!AM20</f>
        <v>0</v>
      </c>
      <c r="N20" s="25">
        <f>Предыд!AN20</f>
        <v>0</v>
      </c>
      <c r="O20" s="25">
        <f>Предыд!AP20</f>
        <v>0</v>
      </c>
    </row>
    <row r="21" spans="1:15" x14ac:dyDescent="0.25">
      <c r="A21" s="25">
        <f>Предыд!A21</f>
        <v>1</v>
      </c>
      <c r="B21" s="25">
        <f>Предыд!B21</f>
        <v>13808</v>
      </c>
      <c r="C21" s="25">
        <f>Предыд!C21</f>
        <v>2</v>
      </c>
      <c r="D21" s="25" t="str">
        <f>Предыд!D21</f>
        <v>Богучан - Рачи</v>
      </c>
      <c r="E21" s="25">
        <f>ROUND(Предыд!J21,0)</f>
        <v>0</v>
      </c>
      <c r="F21" s="25">
        <f>Предыд!E21</f>
        <v>0</v>
      </c>
      <c r="G21" s="16" t="str">
        <f>IF(Предыд!K21="-",Предыд!K21,ROUND(Предыд!K21,0))</f>
        <v>-</v>
      </c>
      <c r="H21" s="25" t="str">
        <f>IF(ROUND(Предыд!I21,0)=0,"-",ROUND(Предыд!I21,0))</f>
        <v>-</v>
      </c>
      <c r="I21" s="16" t="str">
        <f>IF(Предыд!K21="-",Предыд!K21,ROUND(Предыд!K21,0))</f>
        <v>-</v>
      </c>
      <c r="J21" s="25" t="str">
        <f>IF(ROUND(Предыд!I21,0)=0,"-",ROUND(Предыд!I21,0))</f>
        <v>-</v>
      </c>
      <c r="K21" s="25" t="str">
        <f>Предыд!L21</f>
        <v>Рихтовка</v>
      </c>
      <c r="L21" s="25">
        <f>Предыд!AL21</f>
        <v>0</v>
      </c>
      <c r="M21" s="25">
        <f>Предыд!AM21</f>
        <v>0</v>
      </c>
      <c r="N21" s="25">
        <f>Предыд!AN21</f>
        <v>0</v>
      </c>
      <c r="O21" s="25">
        <f>Предыд!AP21</f>
        <v>0</v>
      </c>
    </row>
    <row r="22" spans="1:15" x14ac:dyDescent="0.25">
      <c r="A22" s="25">
        <f>Предыд!A22</f>
        <v>1</v>
      </c>
      <c r="B22" s="25">
        <f>Предыд!B22</f>
        <v>13808</v>
      </c>
      <c r="C22" s="25">
        <f>Предыд!C22</f>
        <v>2</v>
      </c>
      <c r="D22" s="25" t="str">
        <f>Предыд!D22</f>
        <v>Рачи - Урил</v>
      </c>
      <c r="E22" s="25">
        <f>ROUND(Предыд!J22,0)</f>
        <v>0</v>
      </c>
      <c r="F22" s="25">
        <f>Предыд!E22</f>
        <v>0</v>
      </c>
      <c r="G22" s="16" t="str">
        <f>IF(Предыд!K22="-",Предыд!K22,ROUND(Предыд!K22,0))</f>
        <v>-</v>
      </c>
      <c r="H22" s="25" t="str">
        <f>IF(ROUND(Предыд!I22,0)=0,"-",ROUND(Предыд!I22,0))</f>
        <v>-</v>
      </c>
      <c r="I22" s="16" t="str">
        <f>IF(Предыд!K22="-",Предыд!K22,ROUND(Предыд!K22,0))</f>
        <v>-</v>
      </c>
      <c r="J22" s="25" t="str">
        <f>IF(ROUND(Предыд!I22,0)=0,"-",ROUND(Предыд!I22,0))</f>
        <v>-</v>
      </c>
      <c r="K22" s="25" t="str">
        <f>Предыд!L22</f>
        <v>Рихтовка</v>
      </c>
      <c r="L22" s="25">
        <f>Предыд!AL22</f>
        <v>0</v>
      </c>
      <c r="M22" s="25">
        <f>Предыд!AM22</f>
        <v>0</v>
      </c>
      <c r="N22" s="25">
        <f>Предыд!AN22</f>
        <v>0</v>
      </c>
      <c r="O22" s="25">
        <f>Предыд!AP22</f>
        <v>0</v>
      </c>
    </row>
    <row r="23" spans="1:15" x14ac:dyDescent="0.25">
      <c r="A23" s="25">
        <f>Предыд!A23</f>
        <v>1</v>
      </c>
      <c r="B23" s="25">
        <f>Предыд!B23</f>
        <v>13808</v>
      </c>
      <c r="C23" s="25">
        <f>Предыд!C23</f>
        <v>2</v>
      </c>
      <c r="D23" s="25" t="str">
        <f>Предыд!D23</f>
        <v>Урил - Тарманчукан</v>
      </c>
      <c r="E23" s="25">
        <f>ROUND(Предыд!J23,0)</f>
        <v>0</v>
      </c>
      <c r="F23" s="25">
        <f>Предыд!E23</f>
        <v>0</v>
      </c>
      <c r="G23" s="16" t="str">
        <f>IF(Предыд!K23="-",Предыд!K23,ROUND(Предыд!K23,0))</f>
        <v>-</v>
      </c>
      <c r="H23" s="25" t="str">
        <f>IF(ROUND(Предыд!I23,0)=0,"-",ROUND(Предыд!I23,0))</f>
        <v>-</v>
      </c>
      <c r="I23" s="16" t="str">
        <f>IF(Предыд!K23="-",Предыд!K23,ROUND(Предыд!K23,0))</f>
        <v>-</v>
      </c>
      <c r="J23" s="25" t="str">
        <f>IF(ROUND(Предыд!I23,0)=0,"-",ROUND(Предыд!I23,0))</f>
        <v>-</v>
      </c>
      <c r="K23" s="25" t="str">
        <f>Предыд!L23</f>
        <v>Рихтовка</v>
      </c>
      <c r="L23" s="25">
        <f>Предыд!AL23</f>
        <v>0</v>
      </c>
      <c r="M23" s="25">
        <f>Предыд!AM23</f>
        <v>0</v>
      </c>
      <c r="N23" s="25">
        <f>Предыд!AN23</f>
        <v>0</v>
      </c>
      <c r="O23" s="25">
        <f>Предыд!AP23</f>
        <v>0</v>
      </c>
    </row>
    <row r="24" spans="1:15" x14ac:dyDescent="0.25">
      <c r="A24" s="25">
        <f>Предыд!A24</f>
        <v>1</v>
      </c>
      <c r="B24" s="25">
        <f>Предыд!B24</f>
        <v>13808</v>
      </c>
      <c r="C24" s="25">
        <f>Предыд!C24</f>
        <v>2</v>
      </c>
      <c r="D24" s="25" t="str">
        <f>Предыд!D24</f>
        <v>Тарманчукан - Тоннельный</v>
      </c>
      <c r="E24" s="25">
        <f>ROUND(Предыд!J24,0)</f>
        <v>0</v>
      </c>
      <c r="F24" s="25">
        <f>Предыд!E24</f>
        <v>0</v>
      </c>
      <c r="G24" s="16" t="str">
        <f>IF(Предыд!K24="-",Предыд!K24,ROUND(Предыд!K24,0))</f>
        <v>-</v>
      </c>
      <c r="H24" s="25" t="str">
        <f>IF(ROUND(Предыд!I24,0)=0,"-",ROUND(Предыд!I24,0))</f>
        <v>-</v>
      </c>
      <c r="I24" s="16" t="str">
        <f>IF(Предыд!K24="-",Предыд!K24,ROUND(Предыд!K24,0))</f>
        <v>-</v>
      </c>
      <c r="J24" s="25" t="str">
        <f>IF(ROUND(Предыд!I24,0)=0,"-",ROUND(Предыд!I24,0))</f>
        <v>-</v>
      </c>
      <c r="K24" s="25" t="str">
        <f>Предыд!L24</f>
        <v>Рихтовка</v>
      </c>
      <c r="L24" s="25">
        <f>Предыд!AL24</f>
        <v>0</v>
      </c>
      <c r="M24" s="25">
        <f>Предыд!AM24</f>
        <v>0</v>
      </c>
      <c r="N24" s="25">
        <f>Предыд!AN24</f>
        <v>0</v>
      </c>
      <c r="O24" s="25">
        <f>Предыд!AP24</f>
        <v>0</v>
      </c>
    </row>
    <row r="25" spans="1:15" x14ac:dyDescent="0.25">
      <c r="A25" s="25">
        <f>Предыд!A25</f>
        <v>1</v>
      </c>
      <c r="B25" s="25">
        <f>Предыд!B25</f>
        <v>13808</v>
      </c>
      <c r="C25" s="25">
        <f>Предыд!C25</f>
        <v>2</v>
      </c>
      <c r="D25" s="25" t="str">
        <f>Предыд!D25</f>
        <v>Тоннельный - Кундур-Хабаровский</v>
      </c>
      <c r="E25" s="25">
        <f>ROUND(Предыд!J25,0)</f>
        <v>0</v>
      </c>
      <c r="F25" s="25">
        <f>Предыд!E25</f>
        <v>0</v>
      </c>
      <c r="G25" s="16" t="str">
        <f>IF(Предыд!K25="-",Предыд!K25,ROUND(Предыд!K25,0))</f>
        <v>-</v>
      </c>
      <c r="H25" s="25" t="str">
        <f>IF(ROUND(Предыд!I25,0)=0,"-",ROUND(Предыд!I25,0))</f>
        <v>-</v>
      </c>
      <c r="I25" s="16" t="str">
        <f>IF(Предыд!K25="-",Предыд!K25,ROUND(Предыд!K25,0))</f>
        <v>-</v>
      </c>
      <c r="J25" s="25" t="str">
        <f>IF(ROUND(Предыд!I25,0)=0,"-",ROUND(Предыд!I25,0))</f>
        <v>-</v>
      </c>
      <c r="K25" s="25" t="str">
        <f>Предыд!L25</f>
        <v>Рихтовка</v>
      </c>
      <c r="L25" s="25">
        <f>Предыд!AL25</f>
        <v>0</v>
      </c>
      <c r="M25" s="25">
        <f>Предыд!AM25</f>
        <v>0</v>
      </c>
      <c r="N25" s="25">
        <f>Предыд!AN25</f>
        <v>0</v>
      </c>
      <c r="O25" s="25">
        <f>Предыд!AP25</f>
        <v>0</v>
      </c>
    </row>
    <row r="26" spans="1:15" x14ac:dyDescent="0.25">
      <c r="A26" s="25">
        <f>Предыд!A26</f>
        <v>1</v>
      </c>
      <c r="B26" s="25">
        <f>Предыд!B26</f>
        <v>13808</v>
      </c>
      <c r="C26" s="25">
        <f>Предыд!C26</f>
        <v>2</v>
      </c>
      <c r="D26" s="25" t="str">
        <f>Предыд!D26</f>
        <v>Кундур-Хабаровский - Казачий</v>
      </c>
      <c r="E26" s="25">
        <f>ROUND(Предыд!J26,0)</f>
        <v>0</v>
      </c>
      <c r="F26" s="25">
        <f>Предыд!E26</f>
        <v>0</v>
      </c>
      <c r="G26" s="16" t="str">
        <f>IF(Предыд!K26="-",Предыд!K26,ROUND(Предыд!K26,0))</f>
        <v>-</v>
      </c>
      <c r="H26" s="25" t="str">
        <f>IF(ROUND(Предыд!I26,0)=0,"-",ROUND(Предыд!I26,0))</f>
        <v>-</v>
      </c>
      <c r="I26" s="16" t="str">
        <f>IF(Предыд!K26="-",Предыд!K26,ROUND(Предыд!K26,0))</f>
        <v>-</v>
      </c>
      <c r="J26" s="25" t="str">
        <f>IF(ROUND(Предыд!I26,0)=0,"-",ROUND(Предыд!I26,0))</f>
        <v>-</v>
      </c>
      <c r="K26" s="25" t="str">
        <f>Предыд!L26</f>
        <v>Рихтовка</v>
      </c>
      <c r="L26" s="25">
        <f>Предыд!AL26</f>
        <v>0</v>
      </c>
      <c r="M26" s="25">
        <f>Предыд!AM26</f>
        <v>0</v>
      </c>
      <c r="N26" s="25">
        <f>Предыд!AN26</f>
        <v>0</v>
      </c>
      <c r="O26" s="25">
        <f>Предыд!AP26</f>
        <v>0</v>
      </c>
    </row>
    <row r="27" spans="1:15" x14ac:dyDescent="0.25">
      <c r="A27" s="25">
        <f>Предыд!A27</f>
        <v>1</v>
      </c>
      <c r="B27" s="25">
        <f>Предыд!B27</f>
        <v>13808</v>
      </c>
      <c r="C27" s="25">
        <f>Предыд!C27</f>
        <v>2</v>
      </c>
      <c r="D27" s="25" t="str">
        <f>Предыд!D27</f>
        <v>Казачий - Ядрин</v>
      </c>
      <c r="E27" s="25">
        <f>ROUND(Предыд!J27,0)</f>
        <v>0</v>
      </c>
      <c r="F27" s="25">
        <f>Предыд!E27</f>
        <v>0</v>
      </c>
      <c r="G27" s="16" t="str">
        <f>IF(Предыд!K27="-",Предыд!K27,ROUND(Предыд!K27,0))</f>
        <v>-</v>
      </c>
      <c r="H27" s="25" t="str">
        <f>IF(ROUND(Предыд!I27,0)=0,"-",ROUND(Предыд!I27,0))</f>
        <v>-</v>
      </c>
      <c r="I27" s="16" t="str">
        <f>IF(Предыд!K27="-",Предыд!K27,ROUND(Предыд!K27,0))</f>
        <v>-</v>
      </c>
      <c r="J27" s="25" t="str">
        <f>IF(ROUND(Предыд!I27,0)=0,"-",ROUND(Предыд!I27,0))</f>
        <v>-</v>
      </c>
      <c r="K27" s="25" t="str">
        <f>Предыд!L27</f>
        <v>Рихтовка</v>
      </c>
      <c r="L27" s="25">
        <f>Предыд!AL27</f>
        <v>0</v>
      </c>
      <c r="M27" s="25">
        <f>Предыд!AM27</f>
        <v>0</v>
      </c>
      <c r="N27" s="25">
        <f>Предыд!AN27</f>
        <v>0</v>
      </c>
      <c r="O27" s="25">
        <f>Предыд!AP27</f>
        <v>0</v>
      </c>
    </row>
    <row r="28" spans="1:15" x14ac:dyDescent="0.25">
      <c r="A28" s="25">
        <f>Предыд!A28</f>
        <v>1</v>
      </c>
      <c r="B28" s="25">
        <f>Предыд!B28</f>
        <v>13808</v>
      </c>
      <c r="C28" s="25">
        <f>Предыд!C28</f>
        <v>2</v>
      </c>
      <c r="D28" s="25" t="str">
        <f>Предыд!D28</f>
        <v>Ядрин - Облучье</v>
      </c>
      <c r="E28" s="25">
        <f>ROUND(Предыд!J28,0)</f>
        <v>0</v>
      </c>
      <c r="F28" s="25">
        <f>Предыд!E28</f>
        <v>0</v>
      </c>
      <c r="G28" s="16" t="str">
        <f>IF(Предыд!K28="-",Предыд!K28,ROUND(Предыд!K28,0))</f>
        <v>-</v>
      </c>
      <c r="H28" s="25" t="str">
        <f>IF(ROUND(Предыд!I28,0)=0,"-",ROUND(Предыд!I28,0))</f>
        <v>-</v>
      </c>
      <c r="I28" s="16" t="str">
        <f>IF(Предыд!K28="-",Предыд!K28,ROUND(Предыд!K28,0))</f>
        <v>-</v>
      </c>
      <c r="J28" s="25" t="str">
        <f>IF(ROUND(Предыд!I28,0)=0,"-",ROUND(Предыд!I28,0))</f>
        <v>-</v>
      </c>
      <c r="K28" s="25" t="str">
        <f>Предыд!L28</f>
        <v>Рихтовка</v>
      </c>
      <c r="L28" s="25">
        <f>Предыд!AL28</f>
        <v>0</v>
      </c>
      <c r="M28" s="25">
        <f>Предыд!AM28</f>
        <v>0</v>
      </c>
      <c r="N28" s="25">
        <f>Предыд!AN28</f>
        <v>0</v>
      </c>
      <c r="O28" s="25">
        <f>Предыд!AP28</f>
        <v>0</v>
      </c>
    </row>
    <row r="29" spans="1:15" x14ac:dyDescent="0.25">
      <c r="A29" s="25">
        <f>Предыд!A29</f>
        <v>1</v>
      </c>
      <c r="B29" s="25">
        <f>Предыд!B29</f>
        <v>13808</v>
      </c>
      <c r="C29" s="25">
        <f>Предыд!C29</f>
        <v>2</v>
      </c>
      <c r="D29" s="25" t="str">
        <f>Предыд!D29</f>
        <v>Облучье - Ударный</v>
      </c>
      <c r="E29" s="25">
        <f>ROUND(Предыд!J29,0)</f>
        <v>0</v>
      </c>
      <c r="F29" s="25">
        <f>Предыд!E29</f>
        <v>0</v>
      </c>
      <c r="G29" s="16" t="str">
        <f>IF(Предыд!K29="-",Предыд!K29,ROUND(Предыд!K29,0))</f>
        <v>-</v>
      </c>
      <c r="H29" s="25" t="str">
        <f>IF(ROUND(Предыд!I29,0)=0,"-",ROUND(Предыд!I29,0))</f>
        <v>-</v>
      </c>
      <c r="I29" s="16" t="str">
        <f>IF(Предыд!K29="-",Предыд!K29,ROUND(Предыд!K29,0))</f>
        <v>-</v>
      </c>
      <c r="J29" s="25" t="str">
        <f>IF(ROUND(Предыд!I29,0)=0,"-",ROUND(Предыд!I29,0))</f>
        <v>-</v>
      </c>
      <c r="K29" s="25" t="str">
        <f>Предыд!L29</f>
        <v>Рихтовка</v>
      </c>
      <c r="L29" s="25">
        <f>Предыд!AL29</f>
        <v>0</v>
      </c>
      <c r="M29" s="25">
        <f>Предыд!AM29</f>
        <v>0</v>
      </c>
      <c r="N29" s="25">
        <f>Предыд!AN29</f>
        <v>0</v>
      </c>
      <c r="O29" s="25">
        <f>Предыд!AP29</f>
        <v>0</v>
      </c>
    </row>
    <row r="30" spans="1:15" x14ac:dyDescent="0.25">
      <c r="A30" s="25">
        <f>Предыд!A30</f>
        <v>1</v>
      </c>
      <c r="B30" s="25">
        <f>Предыд!B30</f>
        <v>13808</v>
      </c>
      <c r="C30" s="25">
        <f>Предыд!C30</f>
        <v>2</v>
      </c>
      <c r="D30" s="25" t="str">
        <f>Предыд!D30</f>
        <v>Ударный - Лагар-Аул</v>
      </c>
      <c r="E30" s="25">
        <f>ROUND(Предыд!J30,0)</f>
        <v>0</v>
      </c>
      <c r="F30" s="25">
        <f>Предыд!E30</f>
        <v>0</v>
      </c>
      <c r="G30" s="16" t="str">
        <f>IF(Предыд!K30="-",Предыд!K30,ROUND(Предыд!K30,0))</f>
        <v>-</v>
      </c>
      <c r="H30" s="25" t="str">
        <f>IF(ROUND(Предыд!I30,0)=0,"-",ROUND(Предыд!I30,0))</f>
        <v>-</v>
      </c>
      <c r="I30" s="16" t="str">
        <f>IF(Предыд!K30="-",Предыд!K30,ROUND(Предыд!K30,0))</f>
        <v>-</v>
      </c>
      <c r="J30" s="25" t="str">
        <f>IF(ROUND(Предыд!I30,0)=0,"-",ROUND(Предыд!I30,0))</f>
        <v>-</v>
      </c>
      <c r="K30" s="25" t="str">
        <f>Предыд!L30</f>
        <v>Рихтовка</v>
      </c>
      <c r="L30" s="25">
        <f>Предыд!AL30</f>
        <v>0</v>
      </c>
      <c r="M30" s="25">
        <f>Предыд!AM30</f>
        <v>0</v>
      </c>
      <c r="N30" s="25">
        <f>Предыд!AN30</f>
        <v>0</v>
      </c>
      <c r="O30" s="25">
        <f>Предыд!AP30</f>
        <v>0</v>
      </c>
    </row>
    <row r="31" spans="1:15" x14ac:dyDescent="0.25">
      <c r="A31" s="25">
        <f>Предыд!A31</f>
        <v>1</v>
      </c>
      <c r="B31" s="25">
        <f>Предыд!B31</f>
        <v>13808</v>
      </c>
      <c r="C31" s="25">
        <f>Предыд!C31</f>
        <v>2</v>
      </c>
      <c r="D31" s="25" t="str">
        <f>Предыд!D31</f>
        <v>Лагар-Аул - Кимкан</v>
      </c>
      <c r="E31" s="25">
        <f>ROUND(Предыд!J31,0)</f>
        <v>0</v>
      </c>
      <c r="F31" s="25">
        <f>Предыд!E31</f>
        <v>0</v>
      </c>
      <c r="G31" s="16" t="str">
        <f>IF(Предыд!K31="-",Предыд!K31,ROUND(Предыд!K31,0))</f>
        <v>-</v>
      </c>
      <c r="H31" s="25" t="str">
        <f>IF(ROUND(Предыд!I31,0)=0,"-",ROUND(Предыд!I31,0))</f>
        <v>-</v>
      </c>
      <c r="I31" s="16" t="str">
        <f>IF(Предыд!K31="-",Предыд!K31,ROUND(Предыд!K31,0))</f>
        <v>-</v>
      </c>
      <c r="J31" s="25" t="str">
        <f>IF(ROUND(Предыд!I31,0)=0,"-",ROUND(Предыд!I31,0))</f>
        <v>-</v>
      </c>
      <c r="K31" s="25" t="str">
        <f>Предыд!L31</f>
        <v>Рихтовка</v>
      </c>
      <c r="L31" s="25">
        <f>Предыд!AL31</f>
        <v>0</v>
      </c>
      <c r="M31" s="25">
        <f>Предыд!AM31</f>
        <v>0</v>
      </c>
      <c r="N31" s="25">
        <f>Предыд!AN31</f>
        <v>0</v>
      </c>
      <c r="O31" s="25">
        <f>Предыд!AP31</f>
        <v>0</v>
      </c>
    </row>
    <row r="32" spans="1:15" x14ac:dyDescent="0.25">
      <c r="A32" s="25">
        <f>Предыд!A32</f>
        <v>1</v>
      </c>
      <c r="B32" s="25">
        <f>Предыд!B32</f>
        <v>13808</v>
      </c>
      <c r="C32" s="25">
        <f>Предыд!C32</f>
        <v>2</v>
      </c>
      <c r="D32" s="25" t="str">
        <f>Предыд!D32</f>
        <v>Кимкан - Известковая</v>
      </c>
      <c r="E32" s="25">
        <f>ROUND(Предыд!J32,0)</f>
        <v>0</v>
      </c>
      <c r="F32" s="25">
        <f>Предыд!E32</f>
        <v>0</v>
      </c>
      <c r="G32" s="16" t="str">
        <f>IF(Предыд!K32="-",Предыд!K32,ROUND(Предыд!K32,0))</f>
        <v>-</v>
      </c>
      <c r="H32" s="25" t="str">
        <f>IF(ROUND(Предыд!I32,0)=0,"-",ROUND(Предыд!I32,0))</f>
        <v>-</v>
      </c>
      <c r="I32" s="16" t="str">
        <f>IF(Предыд!K32="-",Предыд!K32,ROUND(Предыд!K32,0))</f>
        <v>-</v>
      </c>
      <c r="J32" s="25" t="str">
        <f>IF(ROUND(Предыд!I32,0)=0,"-",ROUND(Предыд!I32,0))</f>
        <v>-</v>
      </c>
      <c r="K32" s="25" t="str">
        <f>Предыд!L32</f>
        <v>Рихтовка</v>
      </c>
      <c r="L32" s="25">
        <f>Предыд!AL32</f>
        <v>0</v>
      </c>
      <c r="M32" s="25">
        <f>Предыд!AM32</f>
        <v>0</v>
      </c>
      <c r="N32" s="25">
        <f>Предыд!AN32</f>
        <v>0</v>
      </c>
      <c r="O32" s="25">
        <f>Предыд!AP32</f>
        <v>0</v>
      </c>
    </row>
    <row r="33" spans="1:15" x14ac:dyDescent="0.25">
      <c r="A33" s="25">
        <f>Предыд!A33</f>
        <v>2</v>
      </c>
      <c r="B33" s="25">
        <f>Предыд!B33</f>
        <v>13808</v>
      </c>
      <c r="C33" s="25">
        <f>Предыд!C33</f>
        <v>1</v>
      </c>
      <c r="D33" s="25" t="str">
        <f>Предыд!D33</f>
        <v>Кимкан - Известковая</v>
      </c>
      <c r="E33" s="25">
        <f>ROUND(Предыд!J33,0)</f>
        <v>0</v>
      </c>
      <c r="F33" s="25">
        <f>Предыд!E33</f>
        <v>0</v>
      </c>
      <c r="G33" s="16" t="str">
        <f>IF(Предыд!K33="-",Предыд!K33,ROUND(Предыд!K33,0))</f>
        <v>-</v>
      </c>
      <c r="H33" s="25" t="str">
        <f>IF(ROUND(Предыд!I33,0)=0,"-",ROUND(Предыд!I33,0))</f>
        <v>-</v>
      </c>
      <c r="I33" s="16" t="str">
        <f>IF(Предыд!K33="-",Предыд!K33,ROUND(Предыд!K33,0))</f>
        <v>-</v>
      </c>
      <c r="J33" s="25" t="str">
        <f>IF(ROUND(Предыд!I33,0)=0,"-",ROUND(Предыд!I33,0))</f>
        <v>-</v>
      </c>
      <c r="K33" s="25" t="str">
        <f>Предыд!L33</f>
        <v>Рихтовка</v>
      </c>
      <c r="L33" s="25">
        <f>Предыд!AL33</f>
        <v>0</v>
      </c>
      <c r="M33" s="25">
        <f>Предыд!AM33</f>
        <v>0</v>
      </c>
      <c r="N33" s="25">
        <f>Предыд!AN33</f>
        <v>0</v>
      </c>
      <c r="O33" s="25">
        <f>Предыд!AP33</f>
        <v>0</v>
      </c>
    </row>
    <row r="34" spans="1:15" x14ac:dyDescent="0.25">
      <c r="A34" s="25">
        <f>Предыд!A34</f>
        <v>2</v>
      </c>
      <c r="B34" s="25">
        <f>Предыд!B34</f>
        <v>13808</v>
      </c>
      <c r="C34" s="25">
        <f>Предыд!C34</f>
        <v>1</v>
      </c>
      <c r="D34" s="25" t="str">
        <f>Предыд!D34</f>
        <v>Известковая - Биракан</v>
      </c>
      <c r="E34" s="25">
        <f>ROUND(Предыд!J34,0)</f>
        <v>0</v>
      </c>
      <c r="F34" s="25">
        <f>Предыд!E34</f>
        <v>0</v>
      </c>
      <c r="G34" s="16" t="str">
        <f>IF(Предыд!K34="-",Предыд!K34,ROUND(Предыд!K34,0))</f>
        <v>-</v>
      </c>
      <c r="H34" s="25" t="str">
        <f>IF(ROUND(Предыд!I34,0)=0,"-",ROUND(Предыд!I34,0))</f>
        <v>-</v>
      </c>
      <c r="I34" s="16" t="str">
        <f>IF(Предыд!K34="-",Предыд!K34,ROUND(Предыд!K34,0))</f>
        <v>-</v>
      </c>
      <c r="J34" s="25" t="str">
        <f>IF(ROUND(Предыд!I34,0)=0,"-",ROUND(Предыд!I34,0))</f>
        <v>-</v>
      </c>
      <c r="K34" s="25" t="str">
        <f>Предыд!L34</f>
        <v>Рихтовка</v>
      </c>
      <c r="L34" s="25">
        <f>Предыд!AL34</f>
        <v>0</v>
      </c>
      <c r="M34" s="25">
        <f>Предыд!AM34</f>
        <v>0</v>
      </c>
      <c r="N34" s="25">
        <f>Предыд!AN34</f>
        <v>0</v>
      </c>
      <c r="O34" s="25">
        <f>Предыд!AP34</f>
        <v>0</v>
      </c>
    </row>
    <row r="35" spans="1:15" x14ac:dyDescent="0.25">
      <c r="A35" s="25">
        <f>Предыд!A35</f>
        <v>2</v>
      </c>
      <c r="B35" s="25">
        <f>Предыд!B35</f>
        <v>13808</v>
      </c>
      <c r="C35" s="25">
        <f>Предыд!C35</f>
        <v>1</v>
      </c>
      <c r="D35" s="25" t="str">
        <f>Предыд!D35</f>
        <v>Биракан - Теплое озеро</v>
      </c>
      <c r="E35" s="25">
        <f>ROUND(Предыд!J35,0)</f>
        <v>0</v>
      </c>
      <c r="F35" s="25">
        <f>Предыд!E35</f>
        <v>0</v>
      </c>
      <c r="G35" s="16" t="str">
        <f>IF(Предыд!K35="-",Предыд!K35,ROUND(Предыд!K35,0))</f>
        <v>-</v>
      </c>
      <c r="H35" s="25" t="str">
        <f>IF(ROUND(Предыд!I35,0)=0,"-",ROUND(Предыд!I35,0))</f>
        <v>-</v>
      </c>
      <c r="I35" s="16" t="str">
        <f>IF(Предыд!K35="-",Предыд!K35,ROUND(Предыд!K35,0))</f>
        <v>-</v>
      </c>
      <c r="J35" s="25" t="str">
        <f>IF(ROUND(Предыд!I35,0)=0,"-",ROUND(Предыд!I35,0))</f>
        <v>-</v>
      </c>
      <c r="K35" s="25" t="str">
        <f>Предыд!L35</f>
        <v>Рихтовка</v>
      </c>
      <c r="L35" s="25">
        <f>Предыд!AL35</f>
        <v>0</v>
      </c>
      <c r="M35" s="25">
        <f>Предыд!AM35</f>
        <v>0</v>
      </c>
      <c r="N35" s="25">
        <f>Предыд!AN35</f>
        <v>0</v>
      </c>
      <c r="O35" s="25">
        <f>Предыд!AP35</f>
        <v>0</v>
      </c>
    </row>
    <row r="36" spans="1:15" x14ac:dyDescent="0.25">
      <c r="A36" s="25">
        <f>Предыд!A36</f>
        <v>2</v>
      </c>
      <c r="B36" s="25">
        <f>Предыд!B36</f>
        <v>13808</v>
      </c>
      <c r="C36" s="25">
        <f>Предыд!C36</f>
        <v>1</v>
      </c>
      <c r="D36" s="25" t="str">
        <f>Предыд!D36</f>
        <v>Теплое озеро - Известковый завод</v>
      </c>
      <c r="E36" s="25">
        <f>ROUND(Предыд!J36,0)</f>
        <v>0</v>
      </c>
      <c r="F36" s="25">
        <f>Предыд!E36</f>
        <v>0</v>
      </c>
      <c r="G36" s="16" t="str">
        <f>IF(Предыд!K36="-",Предыд!K36,ROUND(Предыд!K36,0))</f>
        <v>-</v>
      </c>
      <c r="H36" s="25" t="str">
        <f>IF(ROUND(Предыд!I36,0)=0,"-",ROUND(Предыд!I36,0))</f>
        <v>-</v>
      </c>
      <c r="I36" s="16" t="str">
        <f>IF(Предыд!K36="-",Предыд!K36,ROUND(Предыд!K36,0))</f>
        <v>-</v>
      </c>
      <c r="J36" s="25" t="str">
        <f>IF(ROUND(Предыд!I36,0)=0,"-",ROUND(Предыд!I36,0))</f>
        <v>-</v>
      </c>
      <c r="K36" s="25" t="str">
        <f>Предыд!L36</f>
        <v>Рихтовка</v>
      </c>
      <c r="L36" s="25">
        <f>Предыд!AL36</f>
        <v>0</v>
      </c>
      <c r="M36" s="25">
        <f>Предыд!AM36</f>
        <v>0</v>
      </c>
      <c r="N36" s="25">
        <f>Предыд!AN36</f>
        <v>0</v>
      </c>
      <c r="O36" s="25">
        <f>Предыд!AP36</f>
        <v>0</v>
      </c>
    </row>
    <row r="37" spans="1:15" x14ac:dyDescent="0.25">
      <c r="A37" s="25">
        <f>Предыд!A37</f>
        <v>2</v>
      </c>
      <c r="B37" s="25">
        <f>Предыд!B37</f>
        <v>13808</v>
      </c>
      <c r="C37" s="25">
        <f>Предыд!C37</f>
        <v>1</v>
      </c>
      <c r="D37" s="25" t="str">
        <f>Предыд!D37</f>
        <v>Известковый завод - Лондоко</v>
      </c>
      <c r="E37" s="25">
        <f>ROUND(Предыд!J37,0)</f>
        <v>0</v>
      </c>
      <c r="F37" s="25">
        <f>Предыд!E37</f>
        <v>0</v>
      </c>
      <c r="G37" s="16" t="str">
        <f>IF(Предыд!K37="-",Предыд!K37,ROUND(Предыд!K37,0))</f>
        <v>-</v>
      </c>
      <c r="H37" s="25" t="str">
        <f>IF(ROUND(Предыд!I37,0)=0,"-",ROUND(Предыд!I37,0))</f>
        <v>-</v>
      </c>
      <c r="I37" s="16" t="str">
        <f>IF(Предыд!K37="-",Предыд!K37,ROUND(Предыд!K37,0))</f>
        <v>-</v>
      </c>
      <c r="J37" s="25" t="str">
        <f>IF(ROUND(Предыд!I37,0)=0,"-",ROUND(Предыд!I37,0))</f>
        <v>-</v>
      </c>
      <c r="K37" s="25" t="str">
        <f>Предыд!L37</f>
        <v>Рихтовка</v>
      </c>
      <c r="L37" s="25">
        <f>Предыд!AL37</f>
        <v>0</v>
      </c>
      <c r="M37" s="25">
        <f>Предыд!AM37</f>
        <v>0</v>
      </c>
      <c r="N37" s="25">
        <f>Предыд!AN37</f>
        <v>0</v>
      </c>
      <c r="O37" s="25">
        <f>Предыд!AP37</f>
        <v>0</v>
      </c>
    </row>
    <row r="38" spans="1:15" x14ac:dyDescent="0.25">
      <c r="A38" s="25">
        <f>Предыд!A38</f>
        <v>2</v>
      </c>
      <c r="B38" s="25">
        <f>Предыд!B38</f>
        <v>13808</v>
      </c>
      <c r="C38" s="25">
        <f>Предыд!C38</f>
        <v>1</v>
      </c>
      <c r="D38" s="25" t="str">
        <f>Предыд!D38</f>
        <v>Лондоко - Будукан</v>
      </c>
      <c r="E38" s="25">
        <f>ROUND(Предыд!J38,0)</f>
        <v>0</v>
      </c>
      <c r="F38" s="25">
        <f>Предыд!E38</f>
        <v>0</v>
      </c>
      <c r="G38" s="16" t="str">
        <f>IF(Предыд!K38="-",Предыд!K38,ROUND(Предыд!K38,0))</f>
        <v>-</v>
      </c>
      <c r="H38" s="25" t="str">
        <f>IF(ROUND(Предыд!I38,0)=0,"-",ROUND(Предыд!I38,0))</f>
        <v>-</v>
      </c>
      <c r="I38" s="16" t="str">
        <f>IF(Предыд!K38="-",Предыд!K38,ROUND(Предыд!K38,0))</f>
        <v>-</v>
      </c>
      <c r="J38" s="25" t="str">
        <f>IF(ROUND(Предыд!I38,0)=0,"-",ROUND(Предыд!I38,0))</f>
        <v>-</v>
      </c>
      <c r="K38" s="25" t="str">
        <f>Предыд!L38</f>
        <v>Рихтовка</v>
      </c>
      <c r="L38" s="25">
        <f>Предыд!AL38</f>
        <v>0</v>
      </c>
      <c r="M38" s="25">
        <f>Предыд!AM38</f>
        <v>0</v>
      </c>
      <c r="N38" s="25">
        <f>Предыд!AN38</f>
        <v>0</v>
      </c>
      <c r="O38" s="25">
        <f>Предыд!AP38</f>
        <v>0</v>
      </c>
    </row>
    <row r="39" spans="1:15" x14ac:dyDescent="0.25">
      <c r="A39" s="25">
        <f>Предыд!A39</f>
        <v>2</v>
      </c>
      <c r="B39" s="25">
        <f>Предыд!B39</f>
        <v>13808</v>
      </c>
      <c r="C39" s="25">
        <f>Предыд!C39</f>
        <v>1</v>
      </c>
      <c r="D39" s="25" t="str">
        <f>Предыд!D39</f>
        <v>Будукан - Бира</v>
      </c>
      <c r="E39" s="25">
        <f>ROUND(Предыд!J39,0)</f>
        <v>0</v>
      </c>
      <c r="F39" s="25">
        <f>Предыд!E39</f>
        <v>0</v>
      </c>
      <c r="G39" s="16" t="str">
        <f>IF(Предыд!K39="-",Предыд!K39,ROUND(Предыд!K39,0))</f>
        <v>-</v>
      </c>
      <c r="H39" s="25" t="str">
        <f>IF(ROUND(Предыд!I39,0)=0,"-",ROUND(Предыд!I39,0))</f>
        <v>-</v>
      </c>
      <c r="I39" s="16" t="str">
        <f>IF(Предыд!K39="-",Предыд!K39,ROUND(Предыд!K39,0))</f>
        <v>-</v>
      </c>
      <c r="J39" s="25" t="str">
        <f>IF(ROUND(Предыд!I39,0)=0,"-",ROUND(Предыд!I39,0))</f>
        <v>-</v>
      </c>
      <c r="K39" s="25" t="str">
        <f>Предыд!L39</f>
        <v>Рихтовка</v>
      </c>
      <c r="L39" s="25">
        <f>Предыд!AL39</f>
        <v>0</v>
      </c>
      <c r="M39" s="25">
        <f>Предыд!AM39</f>
        <v>0</v>
      </c>
      <c r="N39" s="25">
        <f>Предыд!AN39</f>
        <v>0</v>
      </c>
      <c r="O39" s="25">
        <f>Предыд!AP39</f>
        <v>0</v>
      </c>
    </row>
    <row r="40" spans="1:15" x14ac:dyDescent="0.25">
      <c r="A40" s="25">
        <f>Предыд!A40</f>
        <v>2</v>
      </c>
      <c r="B40" s="25">
        <f>Предыд!B40</f>
        <v>13808</v>
      </c>
      <c r="C40" s="25" t="str">
        <f>Предыд!C40</f>
        <v>обв</v>
      </c>
      <c r="D40" s="25" t="str">
        <f>Предыд!D40</f>
        <v>ст. Бира</v>
      </c>
      <c r="E40" s="25">
        <f>ROUND(Предыд!J40,0)</f>
        <v>0</v>
      </c>
      <c r="F40" s="25">
        <f>Предыд!E40</f>
        <v>0</v>
      </c>
      <c r="G40" s="16" t="str">
        <f>IF(Предыд!K40="-",Предыд!K40,ROUND(Предыд!K40,0))</f>
        <v>-</v>
      </c>
      <c r="H40" s="25" t="str">
        <f>IF(ROUND(Предыд!I40,0)=0,"-",ROUND(Предыд!I40,0))</f>
        <v>-</v>
      </c>
      <c r="I40" s="16" t="str">
        <f>IF(Предыд!K40="-",Предыд!K40,ROUND(Предыд!K40,0))</f>
        <v>-</v>
      </c>
      <c r="J40" s="25" t="str">
        <f>IF(ROUND(Предыд!I40,0)=0,"-",ROUND(Предыд!I40,0))</f>
        <v>-</v>
      </c>
      <c r="K40" s="25" t="str">
        <f>Предыд!L40</f>
        <v>Рихтовка</v>
      </c>
      <c r="L40" s="25">
        <f>Предыд!AL40</f>
        <v>0</v>
      </c>
      <c r="M40" s="25">
        <f>Предыд!AM40</f>
        <v>0</v>
      </c>
      <c r="N40" s="25">
        <f>Предыд!AN40</f>
        <v>0</v>
      </c>
      <c r="O40" s="25">
        <f>Предыд!AP40</f>
        <v>0</v>
      </c>
    </row>
    <row r="41" spans="1:15" x14ac:dyDescent="0.25">
      <c r="A41" s="25">
        <f>Предыд!A41</f>
        <v>2</v>
      </c>
      <c r="B41" s="25">
        <f>Предыд!B41</f>
        <v>13808</v>
      </c>
      <c r="C41" s="25">
        <f>Предыд!C41</f>
        <v>1</v>
      </c>
      <c r="D41" s="25" t="str">
        <f>Предыд!D41</f>
        <v>Бира - Семисточный</v>
      </c>
      <c r="E41" s="25">
        <f>ROUND(Предыд!J41,0)</f>
        <v>0</v>
      </c>
      <c r="F41" s="25">
        <f>Предыд!E41</f>
        <v>0</v>
      </c>
      <c r="G41" s="16" t="str">
        <f>IF(Предыд!K41="-",Предыд!K41,ROUND(Предыд!K41,0))</f>
        <v>-</v>
      </c>
      <c r="H41" s="25" t="str">
        <f>IF(ROUND(Предыд!I41,0)=0,"-",ROUND(Предыд!I41,0))</f>
        <v>-</v>
      </c>
      <c r="I41" s="16" t="str">
        <f>IF(Предыд!K41="-",Предыд!K41,ROUND(Предыд!K41,0))</f>
        <v>-</v>
      </c>
      <c r="J41" s="25" t="str">
        <f>IF(ROUND(Предыд!I41,0)=0,"-",ROUND(Предыд!I41,0))</f>
        <v>-</v>
      </c>
      <c r="K41" s="25" t="str">
        <f>Предыд!L41</f>
        <v>Рихтовка</v>
      </c>
      <c r="L41" s="25">
        <f>Предыд!AL41</f>
        <v>0</v>
      </c>
      <c r="M41" s="25">
        <f>Предыд!AM41</f>
        <v>0</v>
      </c>
      <c r="N41" s="25">
        <f>Предыд!AN41</f>
        <v>0</v>
      </c>
      <c r="O41" s="25">
        <f>Предыд!AP41</f>
        <v>0</v>
      </c>
    </row>
    <row r="42" spans="1:15" x14ac:dyDescent="0.25">
      <c r="A42" s="25">
        <f>Предыд!A42</f>
        <v>2</v>
      </c>
      <c r="B42" s="25">
        <f>Предыд!B42</f>
        <v>13808</v>
      </c>
      <c r="C42" s="25">
        <f>Предыд!C42</f>
        <v>1</v>
      </c>
      <c r="D42" s="25" t="str">
        <f>Предыд!D42</f>
        <v>Семисточный - Кирга</v>
      </c>
      <c r="E42" s="25">
        <f>ROUND(Предыд!J42,0)</f>
        <v>0</v>
      </c>
      <c r="F42" s="25">
        <f>Предыд!E42</f>
        <v>0</v>
      </c>
      <c r="G42" s="16" t="str">
        <f>IF(Предыд!K42="-",Предыд!K42,ROUND(Предыд!K42,0))</f>
        <v>-</v>
      </c>
      <c r="H42" s="25" t="str">
        <f>IF(ROUND(Предыд!I42,0)=0,"-",ROUND(Предыд!I42,0))</f>
        <v>-</v>
      </c>
      <c r="I42" s="16" t="str">
        <f>IF(Предыд!K42="-",Предыд!K42,ROUND(Предыд!K42,0))</f>
        <v>-</v>
      </c>
      <c r="J42" s="25" t="str">
        <f>IF(ROUND(Предыд!I42,0)=0,"-",ROUND(Предыд!I42,0))</f>
        <v>-</v>
      </c>
      <c r="K42" s="25" t="str">
        <f>Предыд!L42</f>
        <v>Рихтовка</v>
      </c>
      <c r="L42" s="25">
        <f>Предыд!AL42</f>
        <v>0</v>
      </c>
      <c r="M42" s="25">
        <f>Предыд!AM42</f>
        <v>0</v>
      </c>
      <c r="N42" s="25">
        <f>Предыд!AN42</f>
        <v>0</v>
      </c>
      <c r="O42" s="25">
        <f>Предыд!AP42</f>
        <v>0</v>
      </c>
    </row>
    <row r="43" spans="1:15" x14ac:dyDescent="0.25">
      <c r="A43" s="25">
        <f>Предыд!A43</f>
        <v>2</v>
      </c>
      <c r="B43" s="25">
        <f>Предыд!B43</f>
        <v>13808</v>
      </c>
      <c r="C43" s="25">
        <f>Предыд!C43</f>
        <v>1</v>
      </c>
      <c r="D43" s="25" t="str">
        <f>Предыд!D43</f>
        <v>Кирга - Биробиджан I</v>
      </c>
      <c r="E43" s="25">
        <f>ROUND(Предыд!J43,0)</f>
        <v>0</v>
      </c>
      <c r="F43" s="25">
        <f>Предыд!E43</f>
        <v>0</v>
      </c>
      <c r="G43" s="16" t="str">
        <f>IF(Предыд!K43="-",Предыд!K43,ROUND(Предыд!K43,0))</f>
        <v>-</v>
      </c>
      <c r="H43" s="25" t="str">
        <f>IF(ROUND(Предыд!I43,0)=0,"-",ROUND(Предыд!I43,0))</f>
        <v>-</v>
      </c>
      <c r="I43" s="16" t="str">
        <f>IF(Предыд!K43="-",Предыд!K43,ROUND(Предыд!K43,0))</f>
        <v>-</v>
      </c>
      <c r="J43" s="25" t="str">
        <f>IF(ROUND(Предыд!I43,0)=0,"-",ROUND(Предыд!I43,0))</f>
        <v>-</v>
      </c>
      <c r="K43" s="25" t="str">
        <f>Предыд!L43</f>
        <v>Рихтовка</v>
      </c>
      <c r="L43" s="25">
        <f>Предыд!AL43</f>
        <v>0</v>
      </c>
      <c r="M43" s="25">
        <f>Предыд!AM43</f>
        <v>0</v>
      </c>
      <c r="N43" s="25">
        <f>Предыд!AN43</f>
        <v>0</v>
      </c>
      <c r="O43" s="25">
        <f>Предыд!AP43</f>
        <v>0</v>
      </c>
    </row>
    <row r="44" spans="1:15" x14ac:dyDescent="0.25">
      <c r="A44" s="25">
        <f>Предыд!A44</f>
        <v>2</v>
      </c>
      <c r="B44" s="25">
        <f>Предыд!B44</f>
        <v>13808</v>
      </c>
      <c r="C44" s="25">
        <f>Предыд!C44</f>
        <v>2</v>
      </c>
      <c r="D44" s="25" t="str">
        <f>Предыд!D44</f>
        <v>Кимкан - Известковая</v>
      </c>
      <c r="E44" s="25">
        <f>ROUND(Предыд!J44,0)</f>
        <v>0</v>
      </c>
      <c r="F44" s="25">
        <f>Предыд!E44</f>
        <v>0</v>
      </c>
      <c r="G44" s="16" t="str">
        <f>IF(Предыд!K44="-",Предыд!K44,ROUND(Предыд!K44,0))</f>
        <v>-</v>
      </c>
      <c r="H44" s="25" t="str">
        <f>IF(ROUND(Предыд!I44,0)=0,"-",ROUND(Предыд!I44,0))</f>
        <v>-</v>
      </c>
      <c r="I44" s="16" t="str">
        <f>IF(Предыд!K44="-",Предыд!K44,ROUND(Предыд!K44,0))</f>
        <v>-</v>
      </c>
      <c r="J44" s="25" t="str">
        <f>IF(ROUND(Предыд!I44,0)=0,"-",ROUND(Предыд!I44,0))</f>
        <v>-</v>
      </c>
      <c r="K44" s="25" t="str">
        <f>Предыд!L44</f>
        <v>Рихтовка</v>
      </c>
      <c r="L44" s="25">
        <f>Предыд!AL44</f>
        <v>0</v>
      </c>
      <c r="M44" s="25">
        <f>Предыд!AM44</f>
        <v>0</v>
      </c>
      <c r="N44" s="25">
        <f>Предыд!AN44</f>
        <v>0</v>
      </c>
      <c r="O44" s="25">
        <f>Предыд!AP44</f>
        <v>0</v>
      </c>
    </row>
    <row r="45" spans="1:15" x14ac:dyDescent="0.25">
      <c r="A45" s="25">
        <f>Предыд!A45</f>
        <v>2</v>
      </c>
      <c r="B45" s="25">
        <f>Предыд!B45</f>
        <v>13808</v>
      </c>
      <c r="C45" s="25">
        <f>Предыд!C45</f>
        <v>2</v>
      </c>
      <c r="D45" s="25" t="str">
        <f>Предыд!D45</f>
        <v>Известковая - Биракан</v>
      </c>
      <c r="E45" s="25">
        <f>ROUND(Предыд!J45,0)</f>
        <v>0</v>
      </c>
      <c r="F45" s="25">
        <f>Предыд!E45</f>
        <v>0</v>
      </c>
      <c r="G45" s="16" t="str">
        <f>IF(Предыд!K45="-",Предыд!K45,ROUND(Предыд!K45,0))</f>
        <v>-</v>
      </c>
      <c r="H45" s="25" t="str">
        <f>IF(ROUND(Предыд!I45,0)=0,"-",ROUND(Предыд!I45,0))</f>
        <v>-</v>
      </c>
      <c r="I45" s="16" t="str">
        <f>IF(Предыд!K45="-",Предыд!K45,ROUND(Предыд!K45,0))</f>
        <v>-</v>
      </c>
      <c r="J45" s="25" t="str">
        <f>IF(ROUND(Предыд!I45,0)=0,"-",ROUND(Предыд!I45,0))</f>
        <v>-</v>
      </c>
      <c r="K45" s="25" t="str">
        <f>Предыд!L45</f>
        <v>Рихтовка</v>
      </c>
      <c r="L45" s="25">
        <f>Предыд!AL45</f>
        <v>0</v>
      </c>
      <c r="M45" s="25">
        <f>Предыд!AM45</f>
        <v>0</v>
      </c>
      <c r="N45" s="25">
        <f>Предыд!AN45</f>
        <v>0</v>
      </c>
      <c r="O45" s="25">
        <f>Предыд!AP45</f>
        <v>0</v>
      </c>
    </row>
    <row r="46" spans="1:15" x14ac:dyDescent="0.25">
      <c r="A46" s="25">
        <f>Предыд!A46</f>
        <v>2</v>
      </c>
      <c r="B46" s="25">
        <f>Предыд!B46</f>
        <v>13808</v>
      </c>
      <c r="C46" s="25">
        <f>Предыд!C46</f>
        <v>2</v>
      </c>
      <c r="D46" s="25" t="str">
        <f>Предыд!D46</f>
        <v>Биракан - Теплое озеро</v>
      </c>
      <c r="E46" s="25">
        <f>ROUND(Предыд!J46,0)</f>
        <v>0</v>
      </c>
      <c r="F46" s="25">
        <f>Предыд!E46</f>
        <v>0</v>
      </c>
      <c r="G46" s="16" t="str">
        <f>IF(Предыд!K46="-",Предыд!K46,ROUND(Предыд!K46,0))</f>
        <v>-</v>
      </c>
      <c r="H46" s="25" t="str">
        <f>IF(ROUND(Предыд!I46,0)=0,"-",ROUND(Предыд!I46,0))</f>
        <v>-</v>
      </c>
      <c r="I46" s="16" t="str">
        <f>IF(Предыд!K46="-",Предыд!K46,ROUND(Предыд!K46,0))</f>
        <v>-</v>
      </c>
      <c r="J46" s="25" t="str">
        <f>IF(ROUND(Предыд!I46,0)=0,"-",ROUND(Предыд!I46,0))</f>
        <v>-</v>
      </c>
      <c r="K46" s="25" t="str">
        <f>Предыд!L46</f>
        <v>Рихтовка</v>
      </c>
      <c r="L46" s="25">
        <f>Предыд!AL46</f>
        <v>0</v>
      </c>
      <c r="M46" s="25">
        <f>Предыд!AM46</f>
        <v>0</v>
      </c>
      <c r="N46" s="25">
        <f>Предыд!AN46</f>
        <v>0</v>
      </c>
      <c r="O46" s="25">
        <f>Предыд!AP46</f>
        <v>0</v>
      </c>
    </row>
    <row r="47" spans="1:15" x14ac:dyDescent="0.25">
      <c r="A47" s="25">
        <f>Предыд!A47</f>
        <v>2</v>
      </c>
      <c r="B47" s="25">
        <f>Предыд!B47</f>
        <v>13808</v>
      </c>
      <c r="C47" s="25">
        <f>Предыд!C47</f>
        <v>2</v>
      </c>
      <c r="D47" s="25" t="str">
        <f>Предыд!D47</f>
        <v>Теплое озеро - Известковый завод</v>
      </c>
      <c r="E47" s="25">
        <f>ROUND(Предыд!J47,0)</f>
        <v>0</v>
      </c>
      <c r="F47" s="25">
        <f>Предыд!E47</f>
        <v>0</v>
      </c>
      <c r="G47" s="16" t="str">
        <f>IF(Предыд!K47="-",Предыд!K47,ROUND(Предыд!K47,0))</f>
        <v>-</v>
      </c>
      <c r="H47" s="25" t="str">
        <f>IF(ROUND(Предыд!I47,0)=0,"-",ROUND(Предыд!I47,0))</f>
        <v>-</v>
      </c>
      <c r="I47" s="16" t="str">
        <f>IF(Предыд!K47="-",Предыд!K47,ROUND(Предыд!K47,0))</f>
        <v>-</v>
      </c>
      <c r="J47" s="25" t="str">
        <f>IF(ROUND(Предыд!I47,0)=0,"-",ROUND(Предыд!I47,0))</f>
        <v>-</v>
      </c>
      <c r="K47" s="25" t="str">
        <f>Предыд!L47</f>
        <v>Рихтовка</v>
      </c>
      <c r="L47" s="25">
        <f>Предыд!AL47</f>
        <v>0</v>
      </c>
      <c r="M47" s="25">
        <f>Предыд!AM47</f>
        <v>0</v>
      </c>
      <c r="N47" s="25">
        <f>Предыд!AN47</f>
        <v>0</v>
      </c>
      <c r="O47" s="25">
        <f>Предыд!AP47</f>
        <v>0</v>
      </c>
    </row>
    <row r="48" spans="1:15" x14ac:dyDescent="0.25">
      <c r="A48" s="25">
        <f>Предыд!A48</f>
        <v>2</v>
      </c>
      <c r="B48" s="25">
        <f>Предыд!B48</f>
        <v>13808</v>
      </c>
      <c r="C48" s="25">
        <f>Предыд!C48</f>
        <v>2</v>
      </c>
      <c r="D48" s="25" t="str">
        <f>Предыд!D48</f>
        <v>Известковый завод - Лондоко</v>
      </c>
      <c r="E48" s="25">
        <f>ROUND(Предыд!J48,0)</f>
        <v>0</v>
      </c>
      <c r="F48" s="25">
        <f>Предыд!E48</f>
        <v>0</v>
      </c>
      <c r="G48" s="16" t="str">
        <f>IF(Предыд!K48="-",Предыд!K48,ROUND(Предыд!K48,0))</f>
        <v>-</v>
      </c>
      <c r="H48" s="25" t="str">
        <f>IF(ROUND(Предыд!I48,0)=0,"-",ROUND(Предыд!I48,0))</f>
        <v>-</v>
      </c>
      <c r="I48" s="16" t="str">
        <f>IF(Предыд!K48="-",Предыд!K48,ROUND(Предыд!K48,0))</f>
        <v>-</v>
      </c>
      <c r="J48" s="25" t="str">
        <f>IF(ROUND(Предыд!I48,0)=0,"-",ROUND(Предыд!I48,0))</f>
        <v>-</v>
      </c>
      <c r="K48" s="25" t="str">
        <f>Предыд!L48</f>
        <v>Рихтовка</v>
      </c>
      <c r="L48" s="25">
        <f>Предыд!AL48</f>
        <v>0</v>
      </c>
      <c r="M48" s="25">
        <f>Предыд!AM48</f>
        <v>0</v>
      </c>
      <c r="N48" s="25">
        <f>Предыд!AN48</f>
        <v>0</v>
      </c>
      <c r="O48" s="25">
        <f>Предыд!AP48</f>
        <v>0</v>
      </c>
    </row>
    <row r="49" spans="1:15" x14ac:dyDescent="0.25">
      <c r="A49" s="25">
        <f>Предыд!A49</f>
        <v>2</v>
      </c>
      <c r="B49" s="25">
        <f>Предыд!B49</f>
        <v>13808</v>
      </c>
      <c r="C49" s="25">
        <f>Предыд!C49</f>
        <v>2</v>
      </c>
      <c r="D49" s="25" t="str">
        <f>Предыд!D49</f>
        <v>Лондоко - Будукан</v>
      </c>
      <c r="E49" s="25">
        <f>ROUND(Предыд!J49,0)</f>
        <v>0</v>
      </c>
      <c r="F49" s="25">
        <f>Предыд!E49</f>
        <v>0</v>
      </c>
      <c r="G49" s="16" t="str">
        <f>IF(Предыд!K49="-",Предыд!K49,ROUND(Предыд!K49,0))</f>
        <v>-</v>
      </c>
      <c r="H49" s="25" t="str">
        <f>IF(ROUND(Предыд!I49,0)=0,"-",ROUND(Предыд!I49,0))</f>
        <v>-</v>
      </c>
      <c r="I49" s="16" t="str">
        <f>IF(Предыд!K49="-",Предыд!K49,ROUND(Предыд!K49,0))</f>
        <v>-</v>
      </c>
      <c r="J49" s="25" t="str">
        <f>IF(ROUND(Предыд!I49,0)=0,"-",ROUND(Предыд!I49,0))</f>
        <v>-</v>
      </c>
      <c r="K49" s="25" t="str">
        <f>Предыд!L49</f>
        <v>Рихтовка</v>
      </c>
      <c r="L49" s="25">
        <f>Предыд!AL49</f>
        <v>0</v>
      </c>
      <c r="M49" s="25">
        <f>Предыд!AM49</f>
        <v>0</v>
      </c>
      <c r="N49" s="25">
        <f>Предыд!AN49</f>
        <v>0</v>
      </c>
      <c r="O49" s="25">
        <f>Предыд!AP49</f>
        <v>0</v>
      </c>
    </row>
    <row r="50" spans="1:15" x14ac:dyDescent="0.25">
      <c r="A50" s="25">
        <f>Предыд!A50</f>
        <v>2</v>
      </c>
      <c r="B50" s="25">
        <f>Предыд!B50</f>
        <v>13808</v>
      </c>
      <c r="C50" s="25">
        <f>Предыд!C50</f>
        <v>2</v>
      </c>
      <c r="D50" s="25" t="str">
        <f>Предыд!D50</f>
        <v>Будукан - Бира</v>
      </c>
      <c r="E50" s="25">
        <f>ROUND(Предыд!J50,0)</f>
        <v>0</v>
      </c>
      <c r="F50" s="25">
        <f>Предыд!E50</f>
        <v>0</v>
      </c>
      <c r="G50" s="16" t="str">
        <f>IF(Предыд!K50="-",Предыд!K50,ROUND(Предыд!K50,0))</f>
        <v>-</v>
      </c>
      <c r="H50" s="25" t="str">
        <f>IF(ROUND(Предыд!I50,0)=0,"-",ROUND(Предыд!I50,0))</f>
        <v>-</v>
      </c>
      <c r="I50" s="16" t="str">
        <f>IF(Предыд!K50="-",Предыд!K50,ROUND(Предыд!K50,0))</f>
        <v>-</v>
      </c>
      <c r="J50" s="25" t="str">
        <f>IF(ROUND(Предыд!I50,0)=0,"-",ROUND(Предыд!I50,0))</f>
        <v>-</v>
      </c>
      <c r="K50" s="25" t="str">
        <f>Предыд!L50</f>
        <v>Рихтовка</v>
      </c>
      <c r="L50" s="25">
        <f>Предыд!AL50</f>
        <v>0</v>
      </c>
      <c r="M50" s="25">
        <f>Предыд!AM50</f>
        <v>0</v>
      </c>
      <c r="N50" s="25">
        <f>Предыд!AN50</f>
        <v>0</v>
      </c>
      <c r="O50" s="25">
        <f>Предыд!AP50</f>
        <v>0</v>
      </c>
    </row>
    <row r="51" spans="1:15" x14ac:dyDescent="0.25">
      <c r="A51" s="25">
        <f>Предыд!A51</f>
        <v>2</v>
      </c>
      <c r="B51" s="25">
        <f>Предыд!B51</f>
        <v>13808</v>
      </c>
      <c r="C51" s="25">
        <f>Предыд!C51</f>
        <v>2</v>
      </c>
      <c r="D51" s="25" t="str">
        <f>Предыд!D51</f>
        <v>Бира - Семисточный</v>
      </c>
      <c r="E51" s="25">
        <f>ROUND(Предыд!J51,0)</f>
        <v>0</v>
      </c>
      <c r="F51" s="25">
        <f>Предыд!E51</f>
        <v>0</v>
      </c>
      <c r="G51" s="16" t="str">
        <f>IF(Предыд!K51="-",Предыд!K51,ROUND(Предыд!K51,0))</f>
        <v>-</v>
      </c>
      <c r="H51" s="25" t="str">
        <f>IF(ROUND(Предыд!I51,0)=0,"-",ROUND(Предыд!I51,0))</f>
        <v>-</v>
      </c>
      <c r="I51" s="16" t="str">
        <f>IF(Предыд!K51="-",Предыд!K51,ROUND(Предыд!K51,0))</f>
        <v>-</v>
      </c>
      <c r="J51" s="25" t="str">
        <f>IF(ROUND(Предыд!I51,0)=0,"-",ROUND(Предыд!I51,0))</f>
        <v>-</v>
      </c>
      <c r="K51" s="25" t="str">
        <f>Предыд!L51</f>
        <v>Рихтовка</v>
      </c>
      <c r="L51" s="25">
        <f>Предыд!AL51</f>
        <v>0</v>
      </c>
      <c r="M51" s="25">
        <f>Предыд!AM51</f>
        <v>0</v>
      </c>
      <c r="N51" s="25">
        <f>Предыд!AN51</f>
        <v>0</v>
      </c>
      <c r="O51" s="25">
        <f>Предыд!AP51</f>
        <v>0</v>
      </c>
    </row>
    <row r="52" spans="1:15" x14ac:dyDescent="0.25">
      <c r="A52" s="25">
        <f>Предыд!A52</f>
        <v>2</v>
      </c>
      <c r="B52" s="25">
        <f>Предыд!B52</f>
        <v>13808</v>
      </c>
      <c r="C52" s="25">
        <f>Предыд!C52</f>
        <v>2</v>
      </c>
      <c r="D52" s="25" t="str">
        <f>Предыд!D52</f>
        <v>Семисточный - Кирга</v>
      </c>
      <c r="E52" s="25">
        <f>ROUND(Предыд!J52,0)</f>
        <v>0</v>
      </c>
      <c r="F52" s="25">
        <f>Предыд!E52</f>
        <v>0</v>
      </c>
      <c r="G52" s="16" t="str">
        <f>IF(Предыд!K52="-",Предыд!K52,ROUND(Предыд!K52,0))</f>
        <v>-</v>
      </c>
      <c r="H52" s="25" t="str">
        <f>IF(ROUND(Предыд!I52,0)=0,"-",ROUND(Предыд!I52,0))</f>
        <v>-</v>
      </c>
      <c r="I52" s="16" t="str">
        <f>IF(Предыд!K52="-",Предыд!K52,ROUND(Предыд!K52,0))</f>
        <v>-</v>
      </c>
      <c r="J52" s="25" t="str">
        <f>IF(ROUND(Предыд!I52,0)=0,"-",ROUND(Предыд!I52,0))</f>
        <v>-</v>
      </c>
      <c r="K52" s="25" t="str">
        <f>Предыд!L52</f>
        <v>Рихтовка</v>
      </c>
      <c r="L52" s="25">
        <f>Предыд!AL52</f>
        <v>0</v>
      </c>
      <c r="M52" s="25">
        <f>Предыд!AM52</f>
        <v>0</v>
      </c>
      <c r="N52" s="25">
        <f>Предыд!AN52</f>
        <v>0</v>
      </c>
      <c r="O52" s="25">
        <f>Предыд!AP52</f>
        <v>0</v>
      </c>
    </row>
    <row r="53" spans="1:15" x14ac:dyDescent="0.25">
      <c r="A53" s="25">
        <f>Предыд!A53</f>
        <v>2</v>
      </c>
      <c r="B53" s="25">
        <f>Предыд!B53</f>
        <v>13808</v>
      </c>
      <c r="C53" s="25">
        <f>Предыд!C53</f>
        <v>2</v>
      </c>
      <c r="D53" s="25" t="str">
        <f>Предыд!D53</f>
        <v>Кирга - Биробиджан I</v>
      </c>
      <c r="E53" s="25">
        <f>ROUND(Предыд!J53,0)</f>
        <v>0</v>
      </c>
      <c r="F53" s="25">
        <f>Предыд!E53</f>
        <v>0</v>
      </c>
      <c r="G53" s="16" t="str">
        <f>IF(Предыд!K53="-",Предыд!K53,ROUND(Предыд!K53,0))</f>
        <v>-</v>
      </c>
      <c r="H53" s="25" t="str">
        <f>IF(ROUND(Предыд!I53,0)=0,"-",ROUND(Предыд!I53,0))</f>
        <v>-</v>
      </c>
      <c r="I53" s="16" t="str">
        <f>IF(Предыд!K53="-",Предыд!K53,ROUND(Предыд!K53,0))</f>
        <v>-</v>
      </c>
      <c r="J53" s="25" t="str">
        <f>IF(ROUND(Предыд!I53,0)=0,"-",ROUND(Предыд!I53,0))</f>
        <v>-</v>
      </c>
      <c r="K53" s="25" t="str">
        <f>Предыд!L53</f>
        <v>Рихтовка</v>
      </c>
      <c r="L53" s="25">
        <f>Предыд!AL53</f>
        <v>0</v>
      </c>
      <c r="M53" s="25">
        <f>Предыд!AM53</f>
        <v>0</v>
      </c>
      <c r="N53" s="25">
        <f>Предыд!AN53</f>
        <v>0</v>
      </c>
      <c r="O53" s="25">
        <f>Предыд!AP53</f>
        <v>0</v>
      </c>
    </row>
    <row r="54" spans="1:15" x14ac:dyDescent="0.25">
      <c r="A54" s="25">
        <f>Предыд!A54</f>
        <v>2</v>
      </c>
      <c r="B54" s="25">
        <f>Предыд!B54</f>
        <v>13873</v>
      </c>
      <c r="C54" s="25" t="str">
        <f>Предыд!C54</f>
        <v>Лен</v>
      </c>
      <c r="D54" s="25" t="str">
        <f>Предыд!D54</f>
        <v>Биробиджан I - Биробиджан II</v>
      </c>
      <c r="E54" s="25">
        <f>ROUND(Предыд!J54,0)</f>
        <v>0</v>
      </c>
      <c r="F54" s="25">
        <f>Предыд!E54</f>
        <v>0</v>
      </c>
      <c r="G54" s="16" t="str">
        <f>IF(Предыд!K54="-",Предыд!K54,ROUND(Предыд!K54,0))</f>
        <v>-</v>
      </c>
      <c r="H54" s="25" t="str">
        <f>IF(ROUND(Предыд!I54,0)=0,"-",ROUND(Предыд!I54,0))</f>
        <v>-</v>
      </c>
      <c r="I54" s="16" t="str">
        <f>IF(Предыд!K54="-",Предыд!K54,ROUND(Предыд!K54,0))</f>
        <v>-</v>
      </c>
      <c r="J54" s="25" t="str">
        <f>IF(ROUND(Предыд!I54,0)=0,"-",ROUND(Предыд!I54,0))</f>
        <v>-</v>
      </c>
      <c r="K54" s="25" t="str">
        <f>Предыд!L54</f>
        <v>Рихтовка</v>
      </c>
      <c r="L54" s="25">
        <f>Предыд!AL54</f>
        <v>0</v>
      </c>
      <c r="M54" s="25">
        <f>Предыд!AM54</f>
        <v>0</v>
      </c>
      <c r="N54" s="25">
        <f>Предыд!AN54</f>
        <v>0</v>
      </c>
      <c r="O54" s="25">
        <f>Предыд!AP54</f>
        <v>0</v>
      </c>
    </row>
    <row r="55" spans="1:15" x14ac:dyDescent="0.25">
      <c r="A55" s="25">
        <f>Предыд!A55</f>
        <v>2</v>
      </c>
      <c r="B55" s="25">
        <f>Предыд!B55</f>
        <v>13873</v>
      </c>
      <c r="C55" s="25" t="str">
        <f>Предыд!C55</f>
        <v>Лен</v>
      </c>
      <c r="D55" s="25" t="str">
        <f>Предыд!D55</f>
        <v>Биробиджан II - Бирофельд</v>
      </c>
      <c r="E55" s="25">
        <f>ROUND(Предыд!J55,0)</f>
        <v>0</v>
      </c>
      <c r="F55" s="25">
        <f>Предыд!E55</f>
        <v>0</v>
      </c>
      <c r="G55" s="16" t="str">
        <f>IF(Предыд!K55="-",Предыд!K55,ROUND(Предыд!K55,0))</f>
        <v>-</v>
      </c>
      <c r="H55" s="25" t="str">
        <f>IF(ROUND(Предыд!I55,0)=0,"-",ROUND(Предыд!I55,0))</f>
        <v>-</v>
      </c>
      <c r="I55" s="16" t="str">
        <f>IF(Предыд!K55="-",Предыд!K55,ROUND(Предыд!K55,0))</f>
        <v>-</v>
      </c>
      <c r="J55" s="25" t="str">
        <f>IF(ROUND(Предыд!I55,0)=0,"-",ROUND(Предыд!I55,0))</f>
        <v>-</v>
      </c>
      <c r="K55" s="25" t="str">
        <f>Предыд!L55</f>
        <v>Рихтовка</v>
      </c>
      <c r="L55" s="25">
        <f>Предыд!AL55</f>
        <v>0</v>
      </c>
      <c r="M55" s="25">
        <f>Предыд!AM55</f>
        <v>0</v>
      </c>
      <c r="N55" s="25">
        <f>Предыд!AN55</f>
        <v>0</v>
      </c>
      <c r="O55" s="25">
        <f>Предыд!AP55</f>
        <v>0</v>
      </c>
    </row>
    <row r="56" spans="1:15" x14ac:dyDescent="0.25">
      <c r="A56" s="25">
        <f>Предыд!A56</f>
        <v>2</v>
      </c>
      <c r="B56" s="25">
        <f>Предыд!B56</f>
        <v>13873</v>
      </c>
      <c r="C56" s="25" t="str">
        <f>Предыд!C56</f>
        <v>Лен</v>
      </c>
      <c r="D56" s="25" t="str">
        <f>Предыд!D56</f>
        <v>Бирофельд - Унгун</v>
      </c>
      <c r="E56" s="25">
        <f>ROUND(Предыд!J56,0)</f>
        <v>0</v>
      </c>
      <c r="F56" s="25">
        <f>Предыд!E56</f>
        <v>0</v>
      </c>
      <c r="G56" s="16" t="str">
        <f>IF(Предыд!K56="-",Предыд!K56,ROUND(Предыд!K56,0))</f>
        <v>-</v>
      </c>
      <c r="H56" s="25" t="str">
        <f>IF(ROUND(Предыд!I56,0)=0,"-",ROUND(Предыд!I56,0))</f>
        <v>-</v>
      </c>
      <c r="I56" s="16" t="str">
        <f>IF(Предыд!K56="-",Предыд!K56,ROUND(Предыд!K56,0))</f>
        <v>-</v>
      </c>
      <c r="J56" s="25" t="str">
        <f>IF(ROUND(Предыд!I56,0)=0,"-",ROUND(Предыд!I56,0))</f>
        <v>-</v>
      </c>
      <c r="K56" s="25" t="str">
        <f>Предыд!L56</f>
        <v>Рихтовка</v>
      </c>
      <c r="L56" s="25">
        <f>Предыд!AL56</f>
        <v>0</v>
      </c>
      <c r="M56" s="25">
        <f>Предыд!AM56</f>
        <v>0</v>
      </c>
      <c r="N56" s="25">
        <f>Предыд!AN56</f>
        <v>0</v>
      </c>
      <c r="O56" s="25">
        <f>Предыд!AP56</f>
        <v>0</v>
      </c>
    </row>
    <row r="57" spans="1:15" x14ac:dyDescent="0.25">
      <c r="A57" s="25">
        <f>Предыд!A57</f>
        <v>2</v>
      </c>
      <c r="B57" s="25">
        <f>Предыд!B57</f>
        <v>13873</v>
      </c>
      <c r="C57" s="25" t="str">
        <f>Предыд!C57</f>
        <v>Лен</v>
      </c>
      <c r="D57" s="25" t="str">
        <f>Предыд!D57</f>
        <v>Унгун - Ленинск</v>
      </c>
      <c r="E57" s="25">
        <f>ROUND(Предыд!J57,0)</f>
        <v>0</v>
      </c>
      <c r="F57" s="25">
        <f>Предыд!E57</f>
        <v>0</v>
      </c>
      <c r="G57" s="16" t="str">
        <f>IF(Предыд!K57="-",Предыд!K57,ROUND(Предыд!K57,0))</f>
        <v>-</v>
      </c>
      <c r="H57" s="25" t="str">
        <f>IF(ROUND(Предыд!I57,0)=0,"-",ROUND(Предыд!I57,0))</f>
        <v>-</v>
      </c>
      <c r="I57" s="16" t="str">
        <f>IF(Предыд!K57="-",Предыд!K57,ROUND(Предыд!K57,0))</f>
        <v>-</v>
      </c>
      <c r="J57" s="25" t="str">
        <f>IF(ROUND(Предыд!I57,0)=0,"-",ROUND(Предыд!I57,0))</f>
        <v>-</v>
      </c>
      <c r="K57" s="25" t="str">
        <f>Предыд!L57</f>
        <v>Рихтовка</v>
      </c>
      <c r="L57" s="25">
        <f>Предыд!AL57</f>
        <v>0</v>
      </c>
      <c r="M57" s="25">
        <f>Предыд!AM57</f>
        <v>0</v>
      </c>
      <c r="N57" s="25">
        <f>Предыд!AN57</f>
        <v>0</v>
      </c>
      <c r="O57" s="25">
        <f>Предыд!AP57</f>
        <v>0</v>
      </c>
    </row>
    <row r="58" spans="1:15" x14ac:dyDescent="0.25">
      <c r="A58" s="25">
        <f>Предыд!A58</f>
        <v>2</v>
      </c>
      <c r="B58" s="25">
        <f>Предыд!B58</f>
        <v>24901</v>
      </c>
      <c r="C58" s="25">
        <f>Предыд!C58</f>
        <v>1</v>
      </c>
      <c r="D58" s="25" t="str">
        <f>Предыд!D58</f>
        <v>Известковая - Брусит</v>
      </c>
      <c r="E58" s="25">
        <f>ROUND(Предыд!J58,0)</f>
        <v>0</v>
      </c>
      <c r="F58" s="25">
        <f>Предыд!E58</f>
        <v>0</v>
      </c>
      <c r="G58" s="16" t="str">
        <f>IF(Предыд!K58="-",Предыд!K58,ROUND(Предыд!K58,0))</f>
        <v>-</v>
      </c>
      <c r="H58" s="25" t="str">
        <f>IF(ROUND(Предыд!I58,0)=0,"-",ROUND(Предыд!I58,0))</f>
        <v>-</v>
      </c>
      <c r="I58" s="16" t="str">
        <f>IF(Предыд!K58="-",Предыд!K58,ROUND(Предыд!K58,0))</f>
        <v>-</v>
      </c>
      <c r="J58" s="25" t="str">
        <f>IF(ROUND(Предыд!I58,0)=0,"-",ROUND(Предыд!I58,0))</f>
        <v>-</v>
      </c>
      <c r="K58" s="25" t="str">
        <f>Предыд!L58</f>
        <v>Рихтовка</v>
      </c>
      <c r="L58" s="25">
        <f>Предыд!AL58</f>
        <v>0</v>
      </c>
      <c r="M58" s="25">
        <f>Предыд!AM58</f>
        <v>0</v>
      </c>
      <c r="N58" s="25">
        <f>Предыд!AN58</f>
        <v>0</v>
      </c>
      <c r="O58" s="25">
        <f>Предыд!AP58</f>
        <v>0</v>
      </c>
    </row>
    <row r="59" spans="1:15" x14ac:dyDescent="0.25">
      <c r="A59" s="25">
        <f>Предыд!A59</f>
        <v>28</v>
      </c>
      <c r="B59" s="25">
        <f>Предыд!B59</f>
        <v>24901</v>
      </c>
      <c r="C59" s="25">
        <f>Предыд!C59</f>
        <v>1</v>
      </c>
      <c r="D59" s="25" t="str">
        <f>Предыд!D59</f>
        <v>Известковая - Брусит</v>
      </c>
      <c r="E59" s="25">
        <f>ROUND(Предыд!J59,0)</f>
        <v>0</v>
      </c>
      <c r="F59" s="25">
        <f>Предыд!E59</f>
        <v>0</v>
      </c>
      <c r="G59" s="16" t="str">
        <f>IF(Предыд!K59="-",Предыд!K59,ROUND(Предыд!K59,0))</f>
        <v>-</v>
      </c>
      <c r="H59" s="25" t="str">
        <f>IF(ROUND(Предыд!I59,0)=0,"-",ROUND(Предыд!I59,0))</f>
        <v>-</v>
      </c>
      <c r="I59" s="16" t="str">
        <f>IF(Предыд!K59="-",Предыд!K59,ROUND(Предыд!K59,0))</f>
        <v>-</v>
      </c>
      <c r="J59" s="25" t="str">
        <f>IF(ROUND(Предыд!I59,0)=0,"-",ROUND(Предыд!I59,0))</f>
        <v>-</v>
      </c>
      <c r="K59" s="25" t="str">
        <f>Предыд!L59</f>
        <v>Рихтовка</v>
      </c>
      <c r="L59" s="25">
        <f>Предыд!AL59</f>
        <v>0</v>
      </c>
      <c r="M59" s="25">
        <f>Предыд!AM59</f>
        <v>0</v>
      </c>
      <c r="N59" s="25">
        <f>Предыд!AN59</f>
        <v>0</v>
      </c>
      <c r="O59" s="25">
        <f>Предыд!AP59</f>
        <v>0</v>
      </c>
    </row>
    <row r="60" spans="1:15" x14ac:dyDescent="0.25">
      <c r="A60" s="25">
        <f>Предыд!A60</f>
        <v>28</v>
      </c>
      <c r="B60" s="25">
        <f>Предыд!B60</f>
        <v>24901</v>
      </c>
      <c r="C60" s="25">
        <f>Предыд!C60</f>
        <v>1</v>
      </c>
      <c r="D60" s="25" t="str">
        <f>Предыд!D60</f>
        <v>Брусит - Кульдур</v>
      </c>
      <c r="E60" s="25">
        <f>ROUND(Предыд!J60,0)</f>
        <v>0</v>
      </c>
      <c r="F60" s="25">
        <f>Предыд!E60</f>
        <v>0</v>
      </c>
      <c r="G60" s="16" t="str">
        <f>IF(Предыд!K60="-",Предыд!K60,ROUND(Предыд!K60,0))</f>
        <v>-</v>
      </c>
      <c r="H60" s="25" t="str">
        <f>IF(ROUND(Предыд!I60,0)=0,"-",ROUND(Предыд!I60,0))</f>
        <v>-</v>
      </c>
      <c r="I60" s="16" t="str">
        <f>IF(Предыд!K60="-",Предыд!K60,ROUND(Предыд!K60,0))</f>
        <v>-</v>
      </c>
      <c r="J60" s="25" t="str">
        <f>IF(ROUND(Предыд!I60,0)=0,"-",ROUND(Предыд!I60,0))</f>
        <v>-</v>
      </c>
      <c r="K60" s="25" t="str">
        <f>Предыд!L60</f>
        <v>Рихтовка</v>
      </c>
      <c r="L60" s="25">
        <f>Предыд!AL60</f>
        <v>0</v>
      </c>
      <c r="M60" s="25">
        <f>Предыд!AM60</f>
        <v>0</v>
      </c>
      <c r="N60" s="25">
        <f>Предыд!AN60</f>
        <v>0</v>
      </c>
      <c r="O60" s="25">
        <f>Предыд!AP60</f>
        <v>0</v>
      </c>
    </row>
    <row r="61" spans="1:15" x14ac:dyDescent="0.25">
      <c r="A61" s="25">
        <f>Предыд!A61</f>
        <v>28</v>
      </c>
      <c r="B61" s="25">
        <f>Предыд!B61</f>
        <v>24901</v>
      </c>
      <c r="C61" s="25">
        <f>Предыд!C61</f>
        <v>1</v>
      </c>
      <c r="D61" s="25" t="str">
        <f>Предыд!D61</f>
        <v>Кульдур - Перевальный</v>
      </c>
      <c r="E61" s="25">
        <f>ROUND(Предыд!J61,0)</f>
        <v>0</v>
      </c>
      <c r="F61" s="25">
        <f>Предыд!E61</f>
        <v>0</v>
      </c>
      <c r="G61" s="16" t="str">
        <f>IF(Предыд!K61="-",Предыд!K61,ROUND(Предыд!K61,0))</f>
        <v>-</v>
      </c>
      <c r="H61" s="25" t="str">
        <f>IF(ROUND(Предыд!I61,0)=0,"-",ROUND(Предыд!I61,0))</f>
        <v>-</v>
      </c>
      <c r="I61" s="16" t="str">
        <f>IF(Предыд!K61="-",Предыд!K61,ROUND(Предыд!K61,0))</f>
        <v>-</v>
      </c>
      <c r="J61" s="25" t="str">
        <f>IF(ROUND(Предыд!I61,0)=0,"-",ROUND(Предыд!I61,0))</f>
        <v>-</v>
      </c>
      <c r="K61" s="25" t="str">
        <f>Предыд!L61</f>
        <v>Рихтовка</v>
      </c>
      <c r="L61" s="25">
        <f>Предыд!AL61</f>
        <v>0</v>
      </c>
      <c r="M61" s="25">
        <f>Предыд!AM61</f>
        <v>0</v>
      </c>
      <c r="N61" s="25">
        <f>Предыд!AN61</f>
        <v>0</v>
      </c>
      <c r="O61" s="25">
        <f>Предыд!AP61</f>
        <v>0</v>
      </c>
    </row>
    <row r="62" spans="1:15" x14ac:dyDescent="0.25">
      <c r="A62" s="25">
        <f>Предыд!A62</f>
        <v>28</v>
      </c>
      <c r="B62" s="25">
        <f>Предыд!B62</f>
        <v>24901</v>
      </c>
      <c r="C62" s="25">
        <f>Предыд!C62</f>
        <v>1</v>
      </c>
      <c r="D62" s="25" t="str">
        <f>Предыд!D62</f>
        <v>Перевальный - Таланжа</v>
      </c>
      <c r="E62" s="25">
        <f>ROUND(Предыд!J62,0)</f>
        <v>0</v>
      </c>
      <c r="F62" s="25">
        <f>Предыд!E62</f>
        <v>0</v>
      </c>
      <c r="G62" s="16" t="str">
        <f>IF(Предыд!K62="-",Предыд!K62,ROUND(Предыд!K62,0))</f>
        <v>-</v>
      </c>
      <c r="H62" s="25" t="str">
        <f>IF(ROUND(Предыд!I62,0)=0,"-",ROUND(Предыд!I62,0))</f>
        <v>-</v>
      </c>
      <c r="I62" s="16" t="str">
        <f>IF(Предыд!K62="-",Предыд!K62,ROUND(Предыд!K62,0))</f>
        <v>-</v>
      </c>
      <c r="J62" s="25" t="str">
        <f>IF(ROUND(Предыд!I62,0)=0,"-",ROUND(Предыд!I62,0))</f>
        <v>-</v>
      </c>
      <c r="K62" s="25" t="str">
        <f>Предыд!L62</f>
        <v>Рихтовка</v>
      </c>
      <c r="L62" s="25">
        <f>Предыд!AL62</f>
        <v>0</v>
      </c>
      <c r="M62" s="25">
        <f>Предыд!AM62</f>
        <v>0</v>
      </c>
      <c r="N62" s="25">
        <f>Предыд!AN62</f>
        <v>0</v>
      </c>
      <c r="O62" s="25">
        <f>Предыд!AP62</f>
        <v>0</v>
      </c>
    </row>
    <row r="63" spans="1:15" x14ac:dyDescent="0.25">
      <c r="A63" s="25">
        <f>Предыд!A63</f>
        <v>28</v>
      </c>
      <c r="B63" s="25">
        <f>Предыд!B63</f>
        <v>24901</v>
      </c>
      <c r="C63" s="25">
        <f>Предыд!C63</f>
        <v>1</v>
      </c>
      <c r="D63" s="25" t="str">
        <f>Предыд!D63</f>
        <v>Таланжа - Зимовье</v>
      </c>
      <c r="E63" s="25">
        <f>ROUND(Предыд!J63,0)</f>
        <v>0</v>
      </c>
      <c r="F63" s="25">
        <f>Предыд!E63</f>
        <v>0</v>
      </c>
      <c r="G63" s="16" t="str">
        <f>IF(Предыд!K63="-",Предыд!K63,ROUND(Предыд!K63,0))</f>
        <v>-</v>
      </c>
      <c r="H63" s="25" t="str">
        <f>IF(ROUND(Предыд!I63,0)=0,"-",ROUND(Предыд!I63,0))</f>
        <v>-</v>
      </c>
      <c r="I63" s="16" t="str">
        <f>IF(Предыд!K63="-",Предыд!K63,ROUND(Предыд!K63,0))</f>
        <v>-</v>
      </c>
      <c r="J63" s="25" t="str">
        <f>IF(ROUND(Предыд!I63,0)=0,"-",ROUND(Предыд!I63,0))</f>
        <v>-</v>
      </c>
      <c r="K63" s="25" t="str">
        <f>Предыд!L63</f>
        <v>Рихтовка</v>
      </c>
      <c r="L63" s="25">
        <f>Предыд!AL63</f>
        <v>0</v>
      </c>
      <c r="M63" s="25">
        <f>Предыд!AM63</f>
        <v>0</v>
      </c>
      <c r="N63" s="25">
        <f>Предыд!AN63</f>
        <v>0</v>
      </c>
      <c r="O63" s="25">
        <f>Предыд!AP63</f>
        <v>0</v>
      </c>
    </row>
    <row r="64" spans="1:15" x14ac:dyDescent="0.25">
      <c r="A64" s="25">
        <f>Предыд!A64</f>
        <v>28</v>
      </c>
      <c r="B64" s="25">
        <f>Предыд!B64</f>
        <v>24901</v>
      </c>
      <c r="C64" s="25">
        <f>Предыд!C64</f>
        <v>1</v>
      </c>
      <c r="D64" s="25" t="str">
        <f>Предыд!D64</f>
        <v>Зимовье - Эхилкан</v>
      </c>
      <c r="E64" s="25">
        <f>ROUND(Предыд!J64,0)</f>
        <v>0</v>
      </c>
      <c r="F64" s="25">
        <f>Предыд!E64</f>
        <v>0</v>
      </c>
      <c r="G64" s="16" t="str">
        <f>IF(Предыд!K64="-",Предыд!K64,ROUND(Предыд!K64,0))</f>
        <v>-</v>
      </c>
      <c r="H64" s="25" t="str">
        <f>IF(ROUND(Предыд!I64,0)=0,"-",ROUND(Предыд!I64,0))</f>
        <v>-</v>
      </c>
      <c r="I64" s="16" t="str">
        <f>IF(Предыд!K64="-",Предыд!K64,ROUND(Предыд!K64,0))</f>
        <v>-</v>
      </c>
      <c r="J64" s="25" t="str">
        <f>IF(ROUND(Предыд!I64,0)=0,"-",ROUND(Предыд!I64,0))</f>
        <v>-</v>
      </c>
      <c r="K64" s="25" t="str">
        <f>Предыд!L64</f>
        <v>Рихтовка</v>
      </c>
      <c r="L64" s="25">
        <f>Предыд!AL64</f>
        <v>0</v>
      </c>
      <c r="M64" s="25">
        <f>Предыд!AM64</f>
        <v>0</v>
      </c>
      <c r="N64" s="25">
        <f>Предыд!AN64</f>
        <v>0</v>
      </c>
      <c r="O64" s="25">
        <f>Предыд!AP64</f>
        <v>0</v>
      </c>
    </row>
    <row r="65" spans="1:15" x14ac:dyDescent="0.25">
      <c r="A65" s="25">
        <f>Предыд!A65</f>
        <v>28</v>
      </c>
      <c r="B65" s="25">
        <f>Предыд!B65</f>
        <v>24901</v>
      </c>
      <c r="C65" s="25">
        <f>Предыд!C65</f>
        <v>1</v>
      </c>
      <c r="D65" s="25" t="str">
        <f>Предыд!D65</f>
        <v>Эхилкан - Таракелок</v>
      </c>
      <c r="E65" s="25">
        <f>ROUND(Предыд!J65,0)</f>
        <v>0</v>
      </c>
      <c r="F65" s="25">
        <f>Предыд!E65</f>
        <v>0</v>
      </c>
      <c r="G65" s="16" t="str">
        <f>IF(Предыд!K65="-",Предыд!K65,ROUND(Предыд!K65,0))</f>
        <v>-</v>
      </c>
      <c r="H65" s="25" t="str">
        <f>IF(ROUND(Предыд!I65,0)=0,"-",ROUND(Предыд!I65,0))</f>
        <v>-</v>
      </c>
      <c r="I65" s="16" t="str">
        <f>IF(Предыд!K65="-",Предыд!K65,ROUND(Предыд!K65,0))</f>
        <v>-</v>
      </c>
      <c r="J65" s="25" t="str">
        <f>IF(ROUND(Предыд!I65,0)=0,"-",ROUND(Предыд!I65,0))</f>
        <v>-</v>
      </c>
      <c r="K65" s="25" t="str">
        <f>Предыд!L65</f>
        <v>Рихтовка</v>
      </c>
      <c r="L65" s="25">
        <f>Предыд!AL65</f>
        <v>0</v>
      </c>
      <c r="M65" s="25">
        <f>Предыд!AM65</f>
        <v>0</v>
      </c>
      <c r="N65" s="25">
        <f>Предыд!AN65</f>
        <v>0</v>
      </c>
      <c r="O65" s="25">
        <f>Предыд!AP65</f>
        <v>0</v>
      </c>
    </row>
    <row r="66" spans="1:15" x14ac:dyDescent="0.25">
      <c r="A66" s="25">
        <f>Предыд!A66</f>
        <v>28</v>
      </c>
      <c r="B66" s="25">
        <f>Предыд!B66</f>
        <v>24901</v>
      </c>
      <c r="C66" s="25">
        <f>Предыд!C66</f>
        <v>1</v>
      </c>
      <c r="D66" s="25" t="str">
        <f>Предыд!D66</f>
        <v>Таракелок - Аланап</v>
      </c>
      <c r="E66" s="25">
        <f>ROUND(Предыд!J66,0)</f>
        <v>0</v>
      </c>
      <c r="F66" s="25">
        <f>Предыд!E66</f>
        <v>0</v>
      </c>
      <c r="G66" s="16" t="str">
        <f>IF(Предыд!K66="-",Предыд!K66,ROUND(Предыд!K66,0))</f>
        <v>-</v>
      </c>
      <c r="H66" s="25" t="str">
        <f>IF(ROUND(Предыд!I66,0)=0,"-",ROUND(Предыд!I66,0))</f>
        <v>-</v>
      </c>
      <c r="I66" s="16" t="str">
        <f>IF(Предыд!K66="-",Предыд!K66,ROUND(Предыд!K66,0))</f>
        <v>-</v>
      </c>
      <c r="J66" s="25" t="str">
        <f>IF(ROUND(Предыд!I66,0)=0,"-",ROUND(Предыд!I66,0))</f>
        <v>-</v>
      </c>
      <c r="K66" s="25" t="str">
        <f>Предыд!L66</f>
        <v>Рихтовка</v>
      </c>
      <c r="L66" s="25">
        <f>Предыд!AL66</f>
        <v>0</v>
      </c>
      <c r="M66" s="25">
        <f>Предыд!AM66</f>
        <v>0</v>
      </c>
      <c r="N66" s="25">
        <f>Предыд!AN66</f>
        <v>0</v>
      </c>
      <c r="O66" s="25">
        <f>Предыд!AP66</f>
        <v>0</v>
      </c>
    </row>
    <row r="67" spans="1:15" x14ac:dyDescent="0.25">
      <c r="A67" s="25">
        <f>Предыд!A67</f>
        <v>28</v>
      </c>
      <c r="B67" s="25">
        <f>Предыд!B67</f>
        <v>24901</v>
      </c>
      <c r="C67" s="25">
        <f>Предыд!C67</f>
        <v>1</v>
      </c>
      <c r="D67" s="25" t="str">
        <f>Предыд!D67</f>
        <v>Аланап - Тырма</v>
      </c>
      <c r="E67" s="25">
        <f>ROUND(Предыд!J67,0)</f>
        <v>0</v>
      </c>
      <c r="F67" s="25">
        <f>Предыд!E67</f>
        <v>0</v>
      </c>
      <c r="G67" s="16" t="str">
        <f>IF(Предыд!K67="-",Предыд!K67,ROUND(Предыд!K67,0))</f>
        <v>-</v>
      </c>
      <c r="H67" s="25" t="str">
        <f>IF(ROUND(Предыд!I67,0)=0,"-",ROUND(Предыд!I67,0))</f>
        <v>-</v>
      </c>
      <c r="I67" s="16" t="str">
        <f>IF(Предыд!K67="-",Предыд!K67,ROUND(Предыд!K67,0))</f>
        <v>-</v>
      </c>
      <c r="J67" s="25" t="str">
        <f>IF(ROUND(Предыд!I67,0)=0,"-",ROUND(Предыд!I67,0))</f>
        <v>-</v>
      </c>
      <c r="K67" s="25" t="str">
        <f>Предыд!L67</f>
        <v>Рихтовка</v>
      </c>
      <c r="L67" s="25">
        <f>Предыд!AL67</f>
        <v>0</v>
      </c>
      <c r="M67" s="25">
        <f>Предыд!AM67</f>
        <v>0</v>
      </c>
      <c r="N67" s="25">
        <f>Предыд!AN67</f>
        <v>0</v>
      </c>
      <c r="O67" s="25">
        <f>Предыд!AP67</f>
        <v>0</v>
      </c>
    </row>
    <row r="68" spans="1:15" x14ac:dyDescent="0.25">
      <c r="A68" s="25">
        <f>Предыд!A68</f>
        <v>28</v>
      </c>
      <c r="B68" s="25">
        <f>Предыд!B68</f>
        <v>24901</v>
      </c>
      <c r="C68" s="25">
        <f>Предыд!C68</f>
        <v>1</v>
      </c>
      <c r="D68" s="25" t="str">
        <f>Предыд!D68</f>
        <v>Тырма - Малинник</v>
      </c>
      <c r="E68" s="25">
        <f>ROUND(Предыд!J68,0)</f>
        <v>0</v>
      </c>
      <c r="F68" s="25">
        <f>Предыд!E68</f>
        <v>0</v>
      </c>
      <c r="G68" s="16" t="str">
        <f>IF(Предыд!K68="-",Предыд!K68,ROUND(Предыд!K68,0))</f>
        <v>-</v>
      </c>
      <c r="H68" s="25" t="str">
        <f>IF(ROUND(Предыд!I68,0)=0,"-",ROUND(Предыд!I68,0))</f>
        <v>-</v>
      </c>
      <c r="I68" s="16" t="str">
        <f>IF(Предыд!K68="-",Предыд!K68,ROUND(Предыд!K68,0))</f>
        <v>-</v>
      </c>
      <c r="J68" s="25" t="str">
        <f>IF(ROUND(Предыд!I68,0)=0,"-",ROUND(Предыд!I68,0))</f>
        <v>-</v>
      </c>
      <c r="K68" s="25" t="str">
        <f>Предыд!L68</f>
        <v>Рихтовка</v>
      </c>
      <c r="L68" s="25">
        <f>Предыд!AL68</f>
        <v>0</v>
      </c>
      <c r="M68" s="25">
        <f>Предыд!AM68</f>
        <v>0</v>
      </c>
      <c r="N68" s="25">
        <f>Предыд!AN68</f>
        <v>0</v>
      </c>
      <c r="O68" s="25">
        <f>Предыд!AP68</f>
        <v>0</v>
      </c>
    </row>
    <row r="69" spans="1:15" x14ac:dyDescent="0.25">
      <c r="A69" s="25">
        <f>Предыд!A69</f>
        <v>28</v>
      </c>
      <c r="B69" s="25">
        <f>Предыд!B69</f>
        <v>24901</v>
      </c>
      <c r="C69" s="25">
        <f>Предыд!C69</f>
        <v>1</v>
      </c>
      <c r="D69" s="25" t="str">
        <f>Предыд!D69</f>
        <v>Малинник - Мошка</v>
      </c>
      <c r="E69" s="25">
        <f>ROUND(Предыд!J69,0)</f>
        <v>0</v>
      </c>
      <c r="F69" s="25">
        <f>Предыд!E69</f>
        <v>0</v>
      </c>
      <c r="G69" s="16" t="str">
        <f>IF(Предыд!K69="-",Предыд!K69,ROUND(Предыд!K69,0))</f>
        <v>-</v>
      </c>
      <c r="H69" s="25" t="str">
        <f>IF(ROUND(Предыд!I69,0)=0,"-",ROUND(Предыд!I69,0))</f>
        <v>-</v>
      </c>
      <c r="I69" s="16" t="str">
        <f>IF(Предыд!K69="-",Предыд!K69,ROUND(Предыд!K69,0))</f>
        <v>-</v>
      </c>
      <c r="J69" s="25" t="str">
        <f>IF(ROUND(Предыд!I69,0)=0,"-",ROUND(Предыд!I69,0))</f>
        <v>-</v>
      </c>
      <c r="K69" s="25" t="str">
        <f>Предыд!L69</f>
        <v>Рихтовка</v>
      </c>
      <c r="L69" s="25">
        <f>Предыд!AL69</f>
        <v>0</v>
      </c>
      <c r="M69" s="25">
        <f>Предыд!AM69</f>
        <v>0</v>
      </c>
      <c r="N69" s="25">
        <f>Предыд!AN69</f>
        <v>0</v>
      </c>
      <c r="O69" s="25">
        <f>Предыд!AP69</f>
        <v>0</v>
      </c>
    </row>
    <row r="70" spans="1:15" x14ac:dyDescent="0.25">
      <c r="A70" s="25">
        <f>Предыд!A70</f>
        <v>28</v>
      </c>
      <c r="B70" s="25">
        <f>Предыд!B70</f>
        <v>24901</v>
      </c>
      <c r="C70" s="25">
        <f>Предыд!C70</f>
        <v>1</v>
      </c>
      <c r="D70" s="25" t="str">
        <f>Предыд!D70</f>
        <v>Мошка - Согда</v>
      </c>
      <c r="E70" s="25">
        <f>ROUND(Предыд!J70,0)</f>
        <v>0</v>
      </c>
      <c r="F70" s="25">
        <f>Предыд!E70</f>
        <v>0</v>
      </c>
      <c r="G70" s="16" t="str">
        <f>IF(Предыд!K70="-",Предыд!K70,ROUND(Предыд!K70,0))</f>
        <v>-</v>
      </c>
      <c r="H70" s="25" t="str">
        <f>IF(ROUND(Предыд!I70,0)=0,"-",ROUND(Предыд!I70,0))</f>
        <v>-</v>
      </c>
      <c r="I70" s="16" t="str">
        <f>IF(Предыд!K70="-",Предыд!K70,ROUND(Предыд!K70,0))</f>
        <v>-</v>
      </c>
      <c r="J70" s="25" t="str">
        <f>IF(ROUND(Предыд!I70,0)=0,"-",ROUND(Предыд!I70,0))</f>
        <v>-</v>
      </c>
      <c r="K70" s="25" t="str">
        <f>Предыд!L70</f>
        <v>Рихтовка</v>
      </c>
      <c r="L70" s="25">
        <f>Предыд!AL70</f>
        <v>0</v>
      </c>
      <c r="M70" s="25">
        <f>Предыд!AM70</f>
        <v>0</v>
      </c>
      <c r="N70" s="25">
        <f>Предыд!AN70</f>
        <v>0</v>
      </c>
      <c r="O70" s="25">
        <f>Предыд!AP70</f>
        <v>0</v>
      </c>
    </row>
    <row r="71" spans="1:15" x14ac:dyDescent="0.25">
      <c r="A71" s="25">
        <f>Предыд!A71</f>
        <v>28</v>
      </c>
      <c r="B71" s="25">
        <f>Предыд!B71</f>
        <v>24901</v>
      </c>
      <c r="C71" s="25">
        <f>Предыд!C71</f>
        <v>1</v>
      </c>
      <c r="D71" s="25" t="str">
        <f>Предыд!D71</f>
        <v>Согда - Ушман</v>
      </c>
      <c r="E71" s="25">
        <f>ROUND(Предыд!J71,0)</f>
        <v>0</v>
      </c>
      <c r="F71" s="25">
        <f>Предыд!E71</f>
        <v>0</v>
      </c>
      <c r="G71" s="16" t="str">
        <f>IF(Предыд!K71="-",Предыд!K71,ROUND(Предыд!K71,0))</f>
        <v>-</v>
      </c>
      <c r="H71" s="25" t="str">
        <f>IF(ROUND(Предыд!I71,0)=0,"-",ROUND(Предыд!I71,0))</f>
        <v>-</v>
      </c>
      <c r="I71" s="16" t="str">
        <f>IF(Предыд!K71="-",Предыд!K71,ROUND(Предыд!K71,0))</f>
        <v>-</v>
      </c>
      <c r="J71" s="25" t="str">
        <f>IF(ROUND(Предыд!I71,0)=0,"-",ROUND(Предыд!I71,0))</f>
        <v>-</v>
      </c>
      <c r="K71" s="25" t="str">
        <f>Предыд!L71</f>
        <v>Рихтовка</v>
      </c>
      <c r="L71" s="25">
        <f>Предыд!AL71</f>
        <v>0</v>
      </c>
      <c r="M71" s="25">
        <f>Предыд!AM71</f>
        <v>0</v>
      </c>
      <c r="N71" s="25">
        <f>Предыд!AN71</f>
        <v>0</v>
      </c>
      <c r="O71" s="25">
        <f>Предыд!AP71</f>
        <v>0</v>
      </c>
    </row>
    <row r="72" spans="1:15" x14ac:dyDescent="0.25">
      <c r="A72" s="25">
        <f>Предыд!A72</f>
        <v>28</v>
      </c>
      <c r="B72" s="25">
        <f>Предыд!B72</f>
        <v>24901</v>
      </c>
      <c r="C72" s="25">
        <f>Предыд!C72</f>
        <v>1</v>
      </c>
      <c r="D72" s="25" t="str">
        <f>Предыд!D72</f>
        <v>Ушман - Корчагин</v>
      </c>
      <c r="E72" s="25">
        <f>ROUND(Предыд!J72,0)</f>
        <v>0</v>
      </c>
      <c r="F72" s="25">
        <f>Предыд!E72</f>
        <v>0</v>
      </c>
      <c r="G72" s="16" t="str">
        <f>IF(Предыд!K72="-",Предыд!K72,ROUND(Предыд!K72,0))</f>
        <v>-</v>
      </c>
      <c r="H72" s="25" t="str">
        <f>IF(ROUND(Предыд!I72,0)=0,"-",ROUND(Предыд!I72,0))</f>
        <v>-</v>
      </c>
      <c r="I72" s="16" t="str">
        <f>IF(Предыд!K72="-",Предыд!K72,ROUND(Предыд!K72,0))</f>
        <v>-</v>
      </c>
      <c r="J72" s="25" t="str">
        <f>IF(ROUND(Предыд!I72,0)=0,"-",ROUND(Предыд!I72,0))</f>
        <v>-</v>
      </c>
      <c r="K72" s="25" t="str">
        <f>Предыд!L72</f>
        <v>Рихтовка</v>
      </c>
      <c r="L72" s="25">
        <f>Предыд!AL72</f>
        <v>0</v>
      </c>
      <c r="M72" s="25">
        <f>Предыд!AM72</f>
        <v>0</v>
      </c>
      <c r="N72" s="25">
        <f>Предыд!AN72</f>
        <v>0</v>
      </c>
      <c r="O72" s="25">
        <f>Предыд!AP72</f>
        <v>0</v>
      </c>
    </row>
    <row r="73" spans="1:15" x14ac:dyDescent="0.25">
      <c r="A73" s="25">
        <f>Предыд!A73</f>
        <v>29</v>
      </c>
      <c r="B73" s="25">
        <f>Предыд!B73</f>
        <v>24901</v>
      </c>
      <c r="C73" s="25">
        <f>Предыд!C73</f>
        <v>1</v>
      </c>
      <c r="D73" s="25" t="str">
        <f>Предыд!D73</f>
        <v>Корчагин - Ягдынья</v>
      </c>
      <c r="E73" s="25">
        <f>ROUND(Предыд!J73,0)</f>
        <v>0</v>
      </c>
      <c r="F73" s="25">
        <f>Предыд!E73</f>
        <v>0</v>
      </c>
      <c r="G73" s="16" t="str">
        <f>IF(Предыд!K73="-",Предыд!K73,ROUND(Предыд!K73,0))</f>
        <v>-</v>
      </c>
      <c r="H73" s="25" t="str">
        <f>IF(ROUND(Предыд!I73,0)=0,"-",ROUND(Предыд!I73,0))</f>
        <v>-</v>
      </c>
      <c r="I73" s="16" t="str">
        <f>IF(Предыд!K73="-",Предыд!K73,ROUND(Предыд!K73,0))</f>
        <v>-</v>
      </c>
      <c r="J73" s="25" t="str">
        <f>IF(ROUND(Предыд!I73,0)=0,"-",ROUND(Предыд!I73,0))</f>
        <v>-</v>
      </c>
      <c r="K73" s="25" t="str">
        <f>Предыд!L73</f>
        <v>Рихтовка</v>
      </c>
      <c r="L73" s="25">
        <f>Предыд!AL73</f>
        <v>0</v>
      </c>
      <c r="M73" s="25">
        <f>Предыд!AM73</f>
        <v>0</v>
      </c>
      <c r="N73" s="25">
        <f>Предыд!AN73</f>
        <v>0</v>
      </c>
      <c r="O73" s="25">
        <f>Предыд!AP73</f>
        <v>0</v>
      </c>
    </row>
    <row r="74" spans="1:15" x14ac:dyDescent="0.25">
      <c r="A74" s="25">
        <f>Предыд!A74</f>
        <v>29</v>
      </c>
      <c r="B74" s="25">
        <f>Предыд!B74</f>
        <v>24901</v>
      </c>
      <c r="C74" s="25">
        <f>Предыд!C74</f>
        <v>1</v>
      </c>
      <c r="D74" s="25" t="str">
        <f>Предыд!D74</f>
        <v>Ягдынья - Долина</v>
      </c>
      <c r="E74" s="25">
        <f>ROUND(Предыд!J74,0)</f>
        <v>0</v>
      </c>
      <c r="F74" s="25">
        <f>Предыд!E74</f>
        <v>0</v>
      </c>
      <c r="G74" s="16" t="str">
        <f>IF(Предыд!K74="-",Предыд!K74,ROUND(Предыд!K74,0))</f>
        <v>-</v>
      </c>
      <c r="H74" s="25" t="str">
        <f>IF(ROUND(Предыд!I74,0)=0,"-",ROUND(Предыд!I74,0))</f>
        <v>-</v>
      </c>
      <c r="I74" s="16" t="str">
        <f>IF(Предыд!K74="-",Предыд!K74,ROUND(Предыд!K74,0))</f>
        <v>-</v>
      </c>
      <c r="J74" s="25" t="str">
        <f>IF(ROUND(Предыд!I74,0)=0,"-",ROUND(Предыд!I74,0))</f>
        <v>-</v>
      </c>
      <c r="K74" s="25" t="str">
        <f>Предыд!L74</f>
        <v>Рихтовка</v>
      </c>
      <c r="L74" s="25">
        <f>Предыд!AL74</f>
        <v>0</v>
      </c>
      <c r="M74" s="25">
        <f>Предыд!AM74</f>
        <v>0</v>
      </c>
      <c r="N74" s="25">
        <f>Предыд!AN74</f>
        <v>0</v>
      </c>
      <c r="O74" s="25">
        <f>Предыд!AP74</f>
        <v>0</v>
      </c>
    </row>
    <row r="75" spans="1:15" x14ac:dyDescent="0.25">
      <c r="A75" s="25">
        <f>Предыд!A75</f>
        <v>29</v>
      </c>
      <c r="B75" s="25">
        <f>Предыд!B75</f>
        <v>24901</v>
      </c>
      <c r="C75" s="25">
        <f>Предыд!C75</f>
        <v>1</v>
      </c>
      <c r="D75" s="25" t="str">
        <f>Предыд!D75</f>
        <v>Долина - Эльга</v>
      </c>
      <c r="E75" s="25">
        <f>ROUND(Предыд!J75,0)</f>
        <v>0</v>
      </c>
      <c r="F75" s="25">
        <f>Предыд!E75</f>
        <v>0</v>
      </c>
      <c r="G75" s="16" t="str">
        <f>IF(Предыд!K75="-",Предыд!K75,ROUND(Предыд!K75,0))</f>
        <v>-</v>
      </c>
      <c r="H75" s="25" t="str">
        <f>IF(ROUND(Предыд!I75,0)=0,"-",ROUND(Предыд!I75,0))</f>
        <v>-</v>
      </c>
      <c r="I75" s="16" t="str">
        <f>IF(Предыд!K75="-",Предыд!K75,ROUND(Предыд!K75,0))</f>
        <v>-</v>
      </c>
      <c r="J75" s="25" t="str">
        <f>IF(ROUND(Предыд!I75,0)=0,"-",ROUND(Предыд!I75,0))</f>
        <v>-</v>
      </c>
      <c r="K75" s="25" t="str">
        <f>Предыд!L75</f>
        <v>Рихтовка</v>
      </c>
      <c r="L75" s="25">
        <f>Предыд!AL75</f>
        <v>0</v>
      </c>
      <c r="M75" s="25">
        <f>Предыд!AM75</f>
        <v>0</v>
      </c>
      <c r="N75" s="25">
        <f>Предыд!AN75</f>
        <v>0</v>
      </c>
      <c r="O75" s="25">
        <f>Предыд!AP75</f>
        <v>0</v>
      </c>
    </row>
    <row r="76" spans="1:15" x14ac:dyDescent="0.25">
      <c r="A76" s="25">
        <f>Предыд!A76</f>
        <v>29</v>
      </c>
      <c r="B76" s="25">
        <f>Предыд!B76</f>
        <v>24901</v>
      </c>
      <c r="C76" s="25">
        <f>Предыд!C76</f>
        <v>1</v>
      </c>
      <c r="D76" s="25" t="str">
        <f>Предыд!D76</f>
        <v>Эльга - Адникан</v>
      </c>
      <c r="E76" s="25">
        <f>ROUND(Предыд!J76,0)</f>
        <v>0</v>
      </c>
      <c r="F76" s="25">
        <f>Предыд!E76</f>
        <v>0</v>
      </c>
      <c r="G76" s="16" t="str">
        <f>IF(Предыд!K76="-",Предыд!K76,ROUND(Предыд!K76,0))</f>
        <v>-</v>
      </c>
      <c r="H76" s="25" t="str">
        <f>IF(ROUND(Предыд!I76,0)=0,"-",ROUND(Предыд!I76,0))</f>
        <v>-</v>
      </c>
      <c r="I76" s="16" t="str">
        <f>IF(Предыд!K76="-",Предыд!K76,ROUND(Предыд!K76,0))</f>
        <v>-</v>
      </c>
      <c r="J76" s="25" t="str">
        <f>IF(ROUND(Предыд!I76,0)=0,"-",ROUND(Предыд!I76,0))</f>
        <v>-</v>
      </c>
      <c r="K76" s="25" t="str">
        <f>Предыд!L76</f>
        <v>Рихтовка</v>
      </c>
      <c r="L76" s="25">
        <f>Предыд!AL76</f>
        <v>0</v>
      </c>
      <c r="M76" s="25">
        <f>Предыд!AM76</f>
        <v>0</v>
      </c>
      <c r="N76" s="25">
        <f>Предыд!AN76</f>
        <v>0</v>
      </c>
      <c r="O76" s="25">
        <f>Предыд!AP76</f>
        <v>0</v>
      </c>
    </row>
    <row r="77" spans="1:15" x14ac:dyDescent="0.25">
      <c r="A77" s="25">
        <f>Предыд!A77</f>
        <v>29</v>
      </c>
      <c r="B77" s="25">
        <f>Предыд!B77</f>
        <v>24901</v>
      </c>
      <c r="C77" s="25">
        <f>Предыд!C77</f>
        <v>1</v>
      </c>
      <c r="D77" s="25" t="str">
        <f>Предыд!D77</f>
        <v>Адникан - Дубликан</v>
      </c>
      <c r="E77" s="25">
        <f>ROUND(Предыд!J77,0)</f>
        <v>0</v>
      </c>
      <c r="F77" s="25">
        <f>Предыд!E77</f>
        <v>0</v>
      </c>
      <c r="G77" s="16" t="str">
        <f>IF(Предыд!K77="-",Предыд!K77,ROUND(Предыд!K77,0))</f>
        <v>-</v>
      </c>
      <c r="H77" s="25" t="str">
        <f>IF(ROUND(Предыд!I77,0)=0,"-",ROUND(Предыд!I77,0))</f>
        <v>-</v>
      </c>
      <c r="I77" s="16" t="str">
        <f>IF(Предыд!K77="-",Предыд!K77,ROUND(Предыд!K77,0))</f>
        <v>-</v>
      </c>
      <c r="J77" s="25" t="str">
        <f>IF(ROUND(Предыд!I77,0)=0,"-",ROUND(Предыд!I77,0))</f>
        <v>-</v>
      </c>
      <c r="K77" s="25" t="str">
        <f>Предыд!L77</f>
        <v>Рихтовка</v>
      </c>
      <c r="L77" s="25">
        <f>Предыд!AL77</f>
        <v>0</v>
      </c>
      <c r="M77" s="25">
        <f>Предыд!AM77</f>
        <v>0</v>
      </c>
      <c r="N77" s="25">
        <f>Предыд!AN77</f>
        <v>0</v>
      </c>
      <c r="O77" s="25">
        <f>Предыд!AP77</f>
        <v>0</v>
      </c>
    </row>
    <row r="78" spans="1:15" x14ac:dyDescent="0.25">
      <c r="A78" s="25">
        <f>Предыд!A78</f>
        <v>29</v>
      </c>
      <c r="B78" s="25">
        <f>Предыд!B78</f>
        <v>24901</v>
      </c>
      <c r="C78" s="25">
        <f>Предыд!C78</f>
        <v>1</v>
      </c>
      <c r="D78" s="25" t="str">
        <f>Предыд!D78</f>
        <v>Дубликан - Новый Ургал (Рзд 3 км)</v>
      </c>
      <c r="E78" s="25">
        <f>ROUND(Предыд!J78,0)</f>
        <v>0</v>
      </c>
      <c r="F78" s="25">
        <f>Предыд!E78</f>
        <v>0</v>
      </c>
      <c r="G78" s="16" t="str">
        <f>IF(Предыд!K78="-",Предыд!K78,ROUND(Предыд!K78,0))</f>
        <v>-</v>
      </c>
      <c r="H78" s="25" t="str">
        <f>IF(ROUND(Предыд!I78,0)=0,"-",ROUND(Предыд!I78,0))</f>
        <v>-</v>
      </c>
      <c r="I78" s="16" t="str">
        <f>IF(Предыд!K78="-",Предыд!K78,ROUND(Предыд!K78,0))</f>
        <v>-</v>
      </c>
      <c r="J78" s="25" t="str">
        <f>IF(ROUND(Предыд!I78,0)=0,"-",ROUND(Предыд!I78,0))</f>
        <v>-</v>
      </c>
      <c r="K78" s="25" t="str">
        <f>Предыд!L78</f>
        <v>Рихтовка</v>
      </c>
      <c r="L78" s="25">
        <f>Предыд!AL78</f>
        <v>0</v>
      </c>
      <c r="M78" s="25">
        <f>Предыд!AM78</f>
        <v>0</v>
      </c>
      <c r="N78" s="25">
        <f>Предыд!AN78</f>
        <v>0</v>
      </c>
      <c r="O78" s="25">
        <f>Предыд!AP78</f>
        <v>0</v>
      </c>
    </row>
    <row r="79" spans="1:15" x14ac:dyDescent="0.25">
      <c r="A79" s="25">
        <f>Предыд!A79</f>
        <v>29</v>
      </c>
      <c r="B79" s="25">
        <f>Предыд!B79</f>
        <v>24901</v>
      </c>
      <c r="C79" s="25">
        <f>Предыд!C79</f>
        <v>1</v>
      </c>
      <c r="D79" s="25" t="str">
        <f>Предыд!D79</f>
        <v>Новый Ургал (Рзд 3 км) - Ургал I</v>
      </c>
      <c r="E79" s="25">
        <f>ROUND(Предыд!J79,0)</f>
        <v>0</v>
      </c>
      <c r="F79" s="25">
        <f>Предыд!E79</f>
        <v>0</v>
      </c>
      <c r="G79" s="16" t="str">
        <f>IF(Предыд!K79="-",Предыд!K79,ROUND(Предыд!K79,0))</f>
        <v>-</v>
      </c>
      <c r="H79" s="25" t="str">
        <f>IF(ROUND(Предыд!I79,0)=0,"-",ROUND(Предыд!I79,0))</f>
        <v>-</v>
      </c>
      <c r="I79" s="16" t="str">
        <f>IF(Предыд!K79="-",Предыд!K79,ROUND(Предыд!K79,0))</f>
        <v>-</v>
      </c>
      <c r="J79" s="25" t="str">
        <f>IF(ROUND(Предыд!I79,0)=0,"-",ROUND(Предыд!I79,0))</f>
        <v>-</v>
      </c>
      <c r="K79" s="25" t="str">
        <f>Предыд!L79</f>
        <v>Рихтовка</v>
      </c>
      <c r="L79" s="25">
        <f>Предыд!AL79</f>
        <v>0</v>
      </c>
      <c r="M79" s="25">
        <f>Предыд!AM79</f>
        <v>0</v>
      </c>
      <c r="N79" s="25">
        <f>Предыд!AN79</f>
        <v>0</v>
      </c>
      <c r="O79" s="25">
        <f>Предыд!AP79</f>
        <v>0</v>
      </c>
    </row>
    <row r="80" spans="1:15" x14ac:dyDescent="0.25">
      <c r="A80" s="25">
        <f>Предыд!A80</f>
        <v>29</v>
      </c>
      <c r="B80" s="25">
        <f>Предыд!B80</f>
        <v>24901</v>
      </c>
      <c r="C80" s="25">
        <f>Предыд!C80</f>
        <v>1</v>
      </c>
      <c r="D80" s="25" t="str">
        <f>Предыд!D80</f>
        <v>Ургал I - Разъезд 349 км</v>
      </c>
      <c r="E80" s="25">
        <f>ROUND(Предыд!J80,0)</f>
        <v>0</v>
      </c>
      <c r="F80" s="25">
        <f>Предыд!E80</f>
        <v>0</v>
      </c>
      <c r="G80" s="16" t="str">
        <f>IF(Предыд!K80="-",Предыд!K80,ROUND(Предыд!K80,0))</f>
        <v>-</v>
      </c>
      <c r="H80" s="25" t="str">
        <f>IF(ROUND(Предыд!I80,0)=0,"-",ROUND(Предыд!I80,0))</f>
        <v>-</v>
      </c>
      <c r="I80" s="16" t="str">
        <f>IF(Предыд!K80="-",Предыд!K80,ROUND(Предыд!K80,0))</f>
        <v>-</v>
      </c>
      <c r="J80" s="25" t="str">
        <f>IF(ROUND(Предыд!I80,0)=0,"-",ROUND(Предыд!I80,0))</f>
        <v>-</v>
      </c>
      <c r="K80" s="25" t="str">
        <f>Предыд!L80</f>
        <v>Рихтовка</v>
      </c>
      <c r="L80" s="25">
        <f>Предыд!AL80</f>
        <v>0</v>
      </c>
      <c r="M80" s="25">
        <f>Предыд!AM80</f>
        <v>0</v>
      </c>
      <c r="N80" s="25">
        <f>Предыд!AN80</f>
        <v>0</v>
      </c>
      <c r="O80" s="25">
        <f>Предыд!AP80</f>
        <v>0</v>
      </c>
    </row>
    <row r="81" spans="1:15" x14ac:dyDescent="0.25">
      <c r="A81" s="25">
        <f>Предыд!A81</f>
        <v>29</v>
      </c>
      <c r="B81" s="25">
        <f>Предыд!B81</f>
        <v>24901</v>
      </c>
      <c r="C81" s="25">
        <f>Предыд!C81</f>
        <v>1</v>
      </c>
      <c r="D81" s="25" t="str">
        <f>Предыд!D81</f>
        <v>Разъезд 349 км - Чегдомын</v>
      </c>
      <c r="E81" s="25">
        <f>ROUND(Предыд!J81,0)</f>
        <v>0</v>
      </c>
      <c r="F81" s="25">
        <f>Предыд!E81</f>
        <v>0</v>
      </c>
      <c r="G81" s="16" t="str">
        <f>IF(Предыд!K81="-",Предыд!K81,ROUND(Предыд!K81,0))</f>
        <v>-</v>
      </c>
      <c r="H81" s="25" t="str">
        <f>IF(ROUND(Предыд!I81,0)=0,"-",ROUND(Предыд!I81,0))</f>
        <v>-</v>
      </c>
      <c r="I81" s="16" t="str">
        <f>IF(Предыд!K81="-",Предыд!K81,ROUND(Предыд!K81,0))</f>
        <v>-</v>
      </c>
      <c r="J81" s="25" t="str">
        <f>IF(ROUND(Предыд!I81,0)=0,"-",ROUND(Предыд!I81,0))</f>
        <v>-</v>
      </c>
      <c r="K81" s="25" t="str">
        <f>Предыд!L81</f>
        <v>Рихтовка</v>
      </c>
      <c r="L81" s="25">
        <f>Предыд!AL81</f>
        <v>0</v>
      </c>
      <c r="M81" s="25">
        <f>Предыд!AM81</f>
        <v>0</v>
      </c>
      <c r="N81" s="25">
        <f>Предыд!AN81</f>
        <v>0</v>
      </c>
      <c r="O81" s="25">
        <f>Предыд!AP81</f>
        <v>0</v>
      </c>
    </row>
    <row r="82" spans="1:15" x14ac:dyDescent="0.25">
      <c r="A82" s="25">
        <f>Предыд!A82</f>
        <v>20</v>
      </c>
      <c r="B82" s="25">
        <f>Предыд!B82</f>
        <v>24602</v>
      </c>
      <c r="C82" s="25">
        <f>Предыд!C82</f>
        <v>1</v>
      </c>
      <c r="D82" s="25" t="str">
        <f>Предыд!D82</f>
        <v>ст. Хани</v>
      </c>
      <c r="E82" s="25">
        <f>ROUND(Предыд!J82,0)</f>
        <v>0</v>
      </c>
      <c r="F82" s="25">
        <f>Предыд!E82</f>
        <v>0</v>
      </c>
      <c r="G82" s="16" t="str">
        <f>IF(Предыд!K82="-",Предыд!K82,ROUND(Предыд!K82,0))</f>
        <v>-</v>
      </c>
      <c r="H82" s="25" t="str">
        <f>IF(ROUND(Предыд!I82,0)=0,"-",ROUND(Предыд!I82,0))</f>
        <v>-</v>
      </c>
      <c r="I82" s="16" t="str">
        <f>IF(Предыд!K82="-",Предыд!K82,ROUND(Предыд!K82,0))</f>
        <v>-</v>
      </c>
      <c r="J82" s="25" t="str">
        <f>IF(ROUND(Предыд!I82,0)=0,"-",ROUND(Предыд!I82,0))</f>
        <v>-</v>
      </c>
      <c r="K82" s="25" t="str">
        <f>Предыд!L82</f>
        <v>Рихтовка</v>
      </c>
      <c r="L82" s="25">
        <f>Предыд!AL82</f>
        <v>0</v>
      </c>
      <c r="M82" s="25">
        <f>Предыд!AM82</f>
        <v>0</v>
      </c>
      <c r="N82" s="25">
        <f>Предыд!AN82</f>
        <v>0</v>
      </c>
      <c r="O82" s="25">
        <f>Предыд!AP82</f>
        <v>0</v>
      </c>
    </row>
    <row r="83" spans="1:15" x14ac:dyDescent="0.25">
      <c r="A83" s="25">
        <f>Предыд!A83</f>
        <v>20</v>
      </c>
      <c r="B83" s="25">
        <f>Предыд!B83</f>
        <v>24602</v>
      </c>
      <c r="C83" s="25">
        <f>Предыд!C83</f>
        <v>2</v>
      </c>
      <c r="D83" s="25" t="str">
        <f>Предыд!D83</f>
        <v>ст. Хани</v>
      </c>
      <c r="E83" s="25">
        <f>ROUND(Предыд!J83,0)</f>
        <v>0</v>
      </c>
      <c r="F83" s="25">
        <f>Предыд!E83</f>
        <v>0</v>
      </c>
      <c r="G83" s="16" t="str">
        <f>IF(Предыд!K83="-",Предыд!K83,ROUND(Предыд!K83,0))</f>
        <v>-</v>
      </c>
      <c r="H83" s="25" t="str">
        <f>IF(ROUND(Предыд!I83,0)=0,"-",ROUND(Предыд!I83,0))</f>
        <v>-</v>
      </c>
      <c r="I83" s="16" t="str">
        <f>IF(Предыд!K83="-",Предыд!K83,ROUND(Предыд!K83,0))</f>
        <v>-</v>
      </c>
      <c r="J83" s="25" t="str">
        <f>IF(ROUND(Предыд!I83,0)=0,"-",ROUND(Предыд!I83,0))</f>
        <v>-</v>
      </c>
      <c r="K83" s="25" t="str">
        <f>Предыд!L83</f>
        <v>Рихтовка</v>
      </c>
      <c r="L83" s="25">
        <f>Предыд!AL83</f>
        <v>0</v>
      </c>
      <c r="M83" s="25">
        <f>Предыд!AM83</f>
        <v>0</v>
      </c>
      <c r="N83" s="25">
        <f>Предыд!AN83</f>
        <v>0</v>
      </c>
      <c r="O83" s="25">
        <f>Предыд!AP83</f>
        <v>0</v>
      </c>
    </row>
    <row r="84" spans="1:15" x14ac:dyDescent="0.25">
      <c r="A84" s="25">
        <f>Предыд!A84</f>
        <v>20</v>
      </c>
      <c r="B84" s="25">
        <f>Предыд!B84</f>
        <v>24602</v>
      </c>
      <c r="C84" s="25">
        <f>Предыд!C84</f>
        <v>1</v>
      </c>
      <c r="D84" s="25" t="str">
        <f>Предыд!D84</f>
        <v>Хани - Усколь</v>
      </c>
      <c r="E84" s="25">
        <f>ROUND(Предыд!J84,0)</f>
        <v>0</v>
      </c>
      <c r="F84" s="25">
        <f>Предыд!E84</f>
        <v>0</v>
      </c>
      <c r="G84" s="16" t="str">
        <f>IF(Предыд!K84="-",Предыд!K84,ROUND(Предыд!K84,0))</f>
        <v>-</v>
      </c>
      <c r="H84" s="25" t="str">
        <f>IF(ROUND(Предыд!I84,0)=0,"-",ROUND(Предыд!I84,0))</f>
        <v>-</v>
      </c>
      <c r="I84" s="16" t="str">
        <f>IF(Предыд!K84="-",Предыд!K84,ROUND(Предыд!K84,0))</f>
        <v>-</v>
      </c>
      <c r="J84" s="25" t="str">
        <f>IF(ROUND(Предыд!I84,0)=0,"-",ROUND(Предыд!I84,0))</f>
        <v>-</v>
      </c>
      <c r="K84" s="25" t="str">
        <f>Предыд!L84</f>
        <v>Рихтовка</v>
      </c>
      <c r="L84" s="25">
        <f>Предыд!AL84</f>
        <v>0</v>
      </c>
      <c r="M84" s="25">
        <f>Предыд!AM84</f>
        <v>0</v>
      </c>
      <c r="N84" s="25">
        <f>Предыд!AN84</f>
        <v>0</v>
      </c>
      <c r="O84" s="25">
        <f>Предыд!AP84</f>
        <v>0</v>
      </c>
    </row>
    <row r="85" spans="1:15" x14ac:dyDescent="0.25">
      <c r="A85" s="25">
        <f>Предыд!A85</f>
        <v>20</v>
      </c>
      <c r="B85" s="25">
        <f>Предыд!B85</f>
        <v>24602</v>
      </c>
      <c r="C85" s="25">
        <f>Предыд!C85</f>
        <v>1</v>
      </c>
      <c r="D85" s="25" t="str">
        <f>Предыд!D85</f>
        <v>Усколь - Вельбеткан</v>
      </c>
      <c r="E85" s="25">
        <f>ROUND(Предыд!J85,0)</f>
        <v>0</v>
      </c>
      <c r="F85" s="25">
        <f>Предыд!E85</f>
        <v>0</v>
      </c>
      <c r="G85" s="16" t="str">
        <f>IF(Предыд!K85="-",Предыд!K85,ROUND(Предыд!K85,0))</f>
        <v>-</v>
      </c>
      <c r="H85" s="25" t="str">
        <f>IF(ROUND(Предыд!I85,0)=0,"-",ROUND(Предыд!I85,0))</f>
        <v>-</v>
      </c>
      <c r="I85" s="16" t="str">
        <f>IF(Предыд!K85="-",Предыд!K85,ROUND(Предыд!K85,0))</f>
        <v>-</v>
      </c>
      <c r="J85" s="25" t="str">
        <f>IF(ROUND(Предыд!I85,0)=0,"-",ROUND(Предыд!I85,0))</f>
        <v>-</v>
      </c>
      <c r="K85" s="25" t="str">
        <f>Предыд!L85</f>
        <v>Рихтовка</v>
      </c>
      <c r="L85" s="25">
        <f>Предыд!AL85</f>
        <v>0</v>
      </c>
      <c r="M85" s="25">
        <f>Предыд!AM85</f>
        <v>0</v>
      </c>
      <c r="N85" s="25">
        <f>Предыд!AN85</f>
        <v>0</v>
      </c>
      <c r="O85" s="25">
        <f>Предыд!AP85</f>
        <v>0</v>
      </c>
    </row>
    <row r="86" spans="1:15" x14ac:dyDescent="0.25">
      <c r="A86" s="25">
        <f>Предыд!A86</f>
        <v>20</v>
      </c>
      <c r="B86" s="25">
        <f>Предыд!B86</f>
        <v>24602</v>
      </c>
      <c r="C86" s="25">
        <f>Предыд!C86</f>
        <v>1</v>
      </c>
      <c r="D86" s="25" t="str">
        <f>Предыд!D86</f>
        <v>Вельбеткан - Олекма</v>
      </c>
      <c r="E86" s="25">
        <f>ROUND(Предыд!J86,0)</f>
        <v>0</v>
      </c>
      <c r="F86" s="25">
        <f>Предыд!E86</f>
        <v>0</v>
      </c>
      <c r="G86" s="16" t="str">
        <f>IF(Предыд!K86="-",Предыд!K86,ROUND(Предыд!K86,0))</f>
        <v>-</v>
      </c>
      <c r="H86" s="25" t="str">
        <f>IF(ROUND(Предыд!I86,0)=0,"-",ROUND(Предыд!I86,0))</f>
        <v>-</v>
      </c>
      <c r="I86" s="16" t="str">
        <f>IF(Предыд!K86="-",Предыд!K86,ROUND(Предыд!K86,0))</f>
        <v>-</v>
      </c>
      <c r="J86" s="25" t="str">
        <f>IF(ROUND(Предыд!I86,0)=0,"-",ROUND(Предыд!I86,0))</f>
        <v>-</v>
      </c>
      <c r="K86" s="25" t="str">
        <f>Предыд!L86</f>
        <v>Рихтовка</v>
      </c>
      <c r="L86" s="25">
        <f>Предыд!AL86</f>
        <v>0</v>
      </c>
      <c r="M86" s="25">
        <f>Предыд!AM86</f>
        <v>0</v>
      </c>
      <c r="N86" s="25">
        <f>Предыд!AN86</f>
        <v>0</v>
      </c>
      <c r="O86" s="25">
        <f>Предыд!AP86</f>
        <v>0</v>
      </c>
    </row>
    <row r="87" spans="1:15" x14ac:dyDescent="0.25">
      <c r="A87" s="25">
        <f>Предыд!A87</f>
        <v>20</v>
      </c>
      <c r="B87" s="25">
        <f>Предыд!B87</f>
        <v>24602</v>
      </c>
      <c r="C87" s="25">
        <f>Предыд!C87</f>
        <v>1</v>
      </c>
      <c r="D87" s="25" t="str">
        <f>Предыд!D87</f>
        <v>Олекма - Разъезд 1945 км</v>
      </c>
      <c r="E87" s="25">
        <f>ROUND(Предыд!J87,0)</f>
        <v>0</v>
      </c>
      <c r="F87" s="25">
        <f>Предыд!E87</f>
        <v>0</v>
      </c>
      <c r="G87" s="16" t="str">
        <f>IF(Предыд!K87="-",Предыд!K87,ROUND(Предыд!K87,0))</f>
        <v>-</v>
      </c>
      <c r="H87" s="25" t="str">
        <f>IF(ROUND(Предыд!I87,0)=0,"-",ROUND(Предыд!I87,0))</f>
        <v>-</v>
      </c>
      <c r="I87" s="16" t="str">
        <f>IF(Предыд!K87="-",Предыд!K87,ROUND(Предыд!K87,0))</f>
        <v>-</v>
      </c>
      <c r="J87" s="25" t="str">
        <f>IF(ROUND(Предыд!I87,0)=0,"-",ROUND(Предыд!I87,0))</f>
        <v>-</v>
      </c>
      <c r="K87" s="25" t="str">
        <f>Предыд!L87</f>
        <v>Рихтовка</v>
      </c>
      <c r="L87" s="25">
        <f>Предыд!AL87</f>
        <v>0</v>
      </c>
      <c r="M87" s="25">
        <f>Предыд!AM87</f>
        <v>0</v>
      </c>
      <c r="N87" s="25">
        <f>Предыд!AN87</f>
        <v>0</v>
      </c>
      <c r="O87" s="25">
        <f>Предыд!AP87</f>
        <v>0</v>
      </c>
    </row>
    <row r="88" spans="1:15" x14ac:dyDescent="0.25">
      <c r="A88" s="25">
        <f>Предыд!A88</f>
        <v>20</v>
      </c>
      <c r="B88" s="25">
        <f>Предыд!B88</f>
        <v>24602</v>
      </c>
      <c r="C88" s="25">
        <f>Предыд!C88</f>
        <v>1</v>
      </c>
      <c r="D88" s="25" t="str">
        <f>Предыд!D88</f>
        <v>Разъезд 1945 км - Имангракан</v>
      </c>
      <c r="E88" s="25">
        <f>ROUND(Предыд!J88,0)</f>
        <v>0</v>
      </c>
      <c r="F88" s="25">
        <f>Предыд!E88</f>
        <v>0</v>
      </c>
      <c r="G88" s="16" t="str">
        <f>IF(Предыд!K88="-",Предыд!K88,ROUND(Предыд!K88,0))</f>
        <v>-</v>
      </c>
      <c r="H88" s="25" t="str">
        <f>IF(ROUND(Предыд!I88,0)=0,"-",ROUND(Предыд!I88,0))</f>
        <v>-</v>
      </c>
      <c r="I88" s="16" t="str">
        <f>IF(Предыд!K88="-",Предыд!K88,ROUND(Предыд!K88,0))</f>
        <v>-</v>
      </c>
      <c r="J88" s="25" t="str">
        <f>IF(ROUND(Предыд!I88,0)=0,"-",ROUND(Предыд!I88,0))</f>
        <v>-</v>
      </c>
      <c r="K88" s="25" t="str">
        <f>Предыд!L88</f>
        <v>Рихтовка</v>
      </c>
      <c r="L88" s="25">
        <f>Предыд!AL88</f>
        <v>0</v>
      </c>
      <c r="M88" s="25">
        <f>Предыд!AM88</f>
        <v>0</v>
      </c>
      <c r="N88" s="25">
        <f>Предыд!AN88</f>
        <v>0</v>
      </c>
      <c r="O88" s="25">
        <f>Предыд!AP88</f>
        <v>0</v>
      </c>
    </row>
    <row r="89" spans="1:15" x14ac:dyDescent="0.25">
      <c r="A89" s="25">
        <f>Предыд!A89</f>
        <v>20</v>
      </c>
      <c r="B89" s="25">
        <f>Предыд!B89</f>
        <v>24602</v>
      </c>
      <c r="C89" s="25">
        <f>Предыд!C89</f>
        <v>1</v>
      </c>
      <c r="D89" s="25" t="str">
        <f>Предыд!D89</f>
        <v>Имангракан - Тас-Юрях</v>
      </c>
      <c r="E89" s="25">
        <f>ROUND(Предыд!J89,0)</f>
        <v>0</v>
      </c>
      <c r="F89" s="25">
        <f>Предыд!E89</f>
        <v>0</v>
      </c>
      <c r="G89" s="16" t="str">
        <f>IF(Предыд!K89="-",Предыд!K89,ROUND(Предыд!K89,0))</f>
        <v>-</v>
      </c>
      <c r="H89" s="25" t="str">
        <f>IF(ROUND(Предыд!I89,0)=0,"-",ROUND(Предыд!I89,0))</f>
        <v>-</v>
      </c>
      <c r="I89" s="16" t="str">
        <f>IF(Предыд!K89="-",Предыд!K89,ROUND(Предыд!K89,0))</f>
        <v>-</v>
      </c>
      <c r="J89" s="25" t="str">
        <f>IF(ROUND(Предыд!I89,0)=0,"-",ROUND(Предыд!I89,0))</f>
        <v>-</v>
      </c>
      <c r="K89" s="25" t="str">
        <f>Предыд!L89</f>
        <v>Рихтовка</v>
      </c>
      <c r="L89" s="25">
        <f>Предыд!AL89</f>
        <v>0</v>
      </c>
      <c r="M89" s="25">
        <f>Предыд!AM89</f>
        <v>0</v>
      </c>
      <c r="N89" s="25">
        <f>Предыд!AN89</f>
        <v>0</v>
      </c>
      <c r="O89" s="25">
        <f>Предыд!AP89</f>
        <v>0</v>
      </c>
    </row>
    <row r="90" spans="1:15" x14ac:dyDescent="0.25">
      <c r="A90" s="25"/>
      <c r="B90" s="25"/>
      <c r="C90" s="25"/>
      <c r="D90" s="25"/>
      <c r="E90" s="25"/>
      <c r="F90" s="25"/>
      <c r="G90" s="16"/>
      <c r="H90" s="25"/>
      <c r="I90" s="16"/>
      <c r="J90" s="25"/>
      <c r="K90" s="25"/>
      <c r="L90" s="25"/>
      <c r="M90" s="25"/>
      <c r="N90" s="25"/>
      <c r="O90" s="25"/>
    </row>
    <row r="91" spans="1:15" x14ac:dyDescent="0.25">
      <c r="A91" s="25"/>
      <c r="B91" s="25"/>
      <c r="C91" s="25"/>
      <c r="D91" s="25"/>
      <c r="E91" s="25"/>
      <c r="F91" s="25"/>
      <c r="G91" s="16"/>
      <c r="H91" s="25"/>
      <c r="I91" s="16"/>
      <c r="J91" s="25"/>
      <c r="K91" s="25"/>
      <c r="L91" s="25"/>
      <c r="M91" s="25"/>
      <c r="N91" s="25"/>
      <c r="O91" s="25"/>
    </row>
    <row r="92" spans="1:15" x14ac:dyDescent="0.25">
      <c r="A92" s="25"/>
      <c r="B92" s="25"/>
      <c r="C92" s="25"/>
      <c r="D92" s="25"/>
      <c r="E92" s="25"/>
      <c r="F92" s="25"/>
      <c r="G92" s="16"/>
      <c r="H92" s="25"/>
      <c r="I92" s="16"/>
      <c r="J92" s="25"/>
      <c r="K92" s="25"/>
      <c r="L92" s="25"/>
      <c r="M92" s="25"/>
      <c r="N92" s="25"/>
      <c r="O92" s="25"/>
    </row>
    <row r="93" spans="1:15" x14ac:dyDescent="0.25">
      <c r="A93" s="25"/>
      <c r="B93" s="25"/>
      <c r="C93" s="25"/>
      <c r="D93" s="25"/>
      <c r="E93" s="25"/>
      <c r="F93" s="25"/>
      <c r="G93" s="16"/>
      <c r="H93" s="25"/>
      <c r="I93" s="16"/>
      <c r="J93" s="25"/>
      <c r="K93" s="25"/>
      <c r="L93" s="25"/>
      <c r="M93" s="25"/>
      <c r="N93" s="25"/>
      <c r="O93" s="25"/>
    </row>
    <row r="94" spans="1:15" x14ac:dyDescent="0.25">
      <c r="A94" s="25"/>
      <c r="B94" s="25"/>
      <c r="C94" s="25"/>
      <c r="D94" s="25"/>
      <c r="E94" s="25"/>
      <c r="F94" s="25"/>
      <c r="G94" s="16"/>
      <c r="H94" s="25"/>
      <c r="I94" s="16"/>
      <c r="J94" s="25"/>
      <c r="K94" s="25"/>
      <c r="L94" s="25"/>
      <c r="M94" s="25"/>
      <c r="N94" s="25"/>
      <c r="O94" s="25"/>
    </row>
    <row r="95" spans="1:15" x14ac:dyDescent="0.25">
      <c r="A95" s="25"/>
      <c r="B95" s="25"/>
      <c r="C95" s="25"/>
      <c r="D95" s="25"/>
      <c r="E95" s="25"/>
      <c r="F95" s="25"/>
      <c r="G95" s="16"/>
      <c r="H95" s="25"/>
      <c r="I95" s="16"/>
      <c r="J95" s="25"/>
      <c r="K95" s="25"/>
      <c r="L95" s="25"/>
      <c r="M95" s="25"/>
      <c r="N95" s="25"/>
      <c r="O95" s="25"/>
    </row>
    <row r="96" spans="1:15" x14ac:dyDescent="0.25">
      <c r="A96" s="25"/>
      <c r="B96" s="25"/>
      <c r="C96" s="25"/>
      <c r="D96" s="25"/>
      <c r="E96" s="25"/>
      <c r="F96" s="25"/>
      <c r="G96" s="16"/>
      <c r="H96" s="25"/>
      <c r="I96" s="16"/>
      <c r="J96" s="25"/>
      <c r="K96" s="25"/>
      <c r="L96" s="25"/>
      <c r="M96" s="25"/>
      <c r="N96" s="25"/>
      <c r="O96" s="25"/>
    </row>
    <row r="97" spans="1:15" x14ac:dyDescent="0.25">
      <c r="A97" s="25"/>
      <c r="B97" s="25"/>
      <c r="C97" s="25"/>
      <c r="D97" s="25"/>
      <c r="E97" s="25"/>
      <c r="F97" s="25"/>
      <c r="G97" s="16"/>
      <c r="H97" s="25"/>
      <c r="I97" s="16"/>
      <c r="J97" s="25"/>
      <c r="K97" s="25"/>
      <c r="L97" s="25"/>
      <c r="M97" s="25"/>
      <c r="N97" s="25"/>
      <c r="O97" s="25"/>
    </row>
    <row r="98" spans="1:15" x14ac:dyDescent="0.25">
      <c r="A98" s="25"/>
      <c r="B98" s="25"/>
      <c r="C98" s="25"/>
      <c r="D98" s="25"/>
      <c r="E98" s="25"/>
      <c r="F98" s="25"/>
      <c r="G98" s="16"/>
      <c r="H98" s="25"/>
      <c r="I98" s="16"/>
      <c r="J98" s="25"/>
      <c r="K98" s="25"/>
      <c r="L98" s="25"/>
      <c r="M98" s="25"/>
      <c r="N98" s="25"/>
      <c r="O98" s="25"/>
    </row>
    <row r="99" spans="1:15" x14ac:dyDescent="0.25">
      <c r="A99" s="25"/>
      <c r="B99" s="25"/>
      <c r="C99" s="25"/>
      <c r="D99" s="25"/>
      <c r="E99" s="25"/>
      <c r="F99" s="25"/>
      <c r="G99" s="16"/>
      <c r="H99" s="25"/>
      <c r="I99" s="16"/>
      <c r="J99" s="25"/>
      <c r="K99" s="25"/>
      <c r="L99" s="25"/>
      <c r="M99" s="25"/>
      <c r="N99" s="25"/>
      <c r="O99" s="25"/>
    </row>
    <row r="100" spans="1:15" x14ac:dyDescent="0.25">
      <c r="A100" s="25"/>
      <c r="B100" s="25"/>
      <c r="C100" s="25"/>
      <c r="D100" s="25"/>
      <c r="E100" s="25"/>
      <c r="F100" s="25"/>
      <c r="G100" s="16"/>
      <c r="H100" s="25"/>
      <c r="I100" s="16"/>
      <c r="J100" s="25"/>
      <c r="K100" s="25"/>
      <c r="L100" s="25"/>
      <c r="M100" s="25"/>
      <c r="N100" s="25"/>
      <c r="O100" s="25"/>
    </row>
    <row r="101" spans="1:15" x14ac:dyDescent="0.25">
      <c r="A101" s="25"/>
      <c r="B101" s="25"/>
      <c r="C101" s="25"/>
      <c r="D101" s="25"/>
      <c r="E101" s="25"/>
      <c r="F101" s="25"/>
      <c r="G101" s="16"/>
      <c r="H101" s="25"/>
      <c r="I101" s="16"/>
      <c r="J101" s="25"/>
      <c r="K101" s="25"/>
      <c r="L101" s="25"/>
      <c r="M101" s="25"/>
      <c r="N101" s="25"/>
      <c r="O101" s="25"/>
    </row>
    <row r="102" spans="1:15" x14ac:dyDescent="0.25">
      <c r="A102" s="25"/>
      <c r="B102" s="25"/>
      <c r="C102" s="25"/>
      <c r="D102" s="25"/>
      <c r="E102" s="25"/>
      <c r="F102" s="25"/>
      <c r="G102" s="16"/>
      <c r="H102" s="25"/>
      <c r="I102" s="16"/>
      <c r="J102" s="25"/>
      <c r="K102" s="25"/>
      <c r="L102" s="25"/>
      <c r="M102" s="25"/>
      <c r="N102" s="25"/>
      <c r="O102" s="25"/>
    </row>
    <row r="103" spans="1:15" x14ac:dyDescent="0.25">
      <c r="A103" s="25"/>
      <c r="B103" s="25"/>
      <c r="C103" s="25"/>
      <c r="D103" s="25"/>
      <c r="E103" s="25"/>
      <c r="F103" s="25"/>
      <c r="G103" s="16"/>
      <c r="H103" s="25"/>
      <c r="I103" s="16"/>
      <c r="J103" s="25"/>
      <c r="K103" s="25"/>
      <c r="L103" s="25"/>
      <c r="M103" s="25"/>
      <c r="N103" s="25"/>
      <c r="O103" s="25"/>
    </row>
    <row r="104" spans="1:15" x14ac:dyDescent="0.25">
      <c r="A104" s="25"/>
      <c r="B104" s="25"/>
      <c r="C104" s="25"/>
      <c r="D104" s="25"/>
      <c r="E104" s="25"/>
      <c r="F104" s="25"/>
      <c r="G104" s="16"/>
      <c r="H104" s="25"/>
      <c r="I104" s="16"/>
      <c r="J104" s="25"/>
      <c r="K104" s="25"/>
      <c r="L104" s="25"/>
      <c r="M104" s="25"/>
      <c r="N104" s="25"/>
      <c r="O104" s="25"/>
    </row>
    <row r="105" spans="1:15" x14ac:dyDescent="0.25">
      <c r="A105" s="25"/>
      <c r="B105" s="25"/>
      <c r="C105" s="25"/>
      <c r="D105" s="25"/>
      <c r="E105" s="25"/>
      <c r="F105" s="25"/>
      <c r="G105" s="16"/>
      <c r="H105" s="25"/>
      <c r="I105" s="16"/>
      <c r="J105" s="25"/>
      <c r="K105" s="25"/>
      <c r="L105" s="25"/>
      <c r="M105" s="25"/>
      <c r="N105" s="25"/>
      <c r="O105" s="25"/>
    </row>
    <row r="106" spans="1:15" x14ac:dyDescent="0.25">
      <c r="A106" s="25"/>
      <c r="B106" s="25"/>
      <c r="C106" s="25"/>
      <c r="D106" s="25"/>
      <c r="E106" s="25"/>
      <c r="F106" s="25"/>
      <c r="G106" s="16"/>
      <c r="H106" s="25"/>
      <c r="I106" s="16"/>
      <c r="J106" s="25"/>
      <c r="K106" s="25"/>
      <c r="L106" s="25"/>
      <c r="M106" s="25"/>
      <c r="N106" s="25"/>
      <c r="O106" s="25"/>
    </row>
    <row r="107" spans="1:15" x14ac:dyDescent="0.25">
      <c r="A107" s="25"/>
      <c r="B107" s="25"/>
      <c r="C107" s="25"/>
      <c r="D107" s="25"/>
      <c r="E107" s="25"/>
      <c r="F107" s="25"/>
      <c r="G107" s="16"/>
      <c r="H107" s="25"/>
      <c r="I107" s="16"/>
      <c r="J107" s="25"/>
      <c r="K107" s="25"/>
      <c r="L107" s="25"/>
      <c r="M107" s="25"/>
      <c r="N107" s="25"/>
      <c r="O107" s="25"/>
    </row>
    <row r="108" spans="1:15" x14ac:dyDescent="0.25">
      <c r="A108" s="25"/>
      <c r="B108" s="25"/>
      <c r="C108" s="25"/>
      <c r="D108" s="25"/>
      <c r="E108" s="25"/>
      <c r="F108" s="25"/>
      <c r="G108" s="16"/>
      <c r="H108" s="25"/>
      <c r="I108" s="16"/>
      <c r="J108" s="25"/>
      <c r="K108" s="25"/>
      <c r="L108" s="25"/>
      <c r="M108" s="25"/>
      <c r="N108" s="25"/>
      <c r="O108" s="25"/>
    </row>
    <row r="109" spans="1:15" x14ac:dyDescent="0.25">
      <c r="A109" s="25"/>
      <c r="B109" s="25"/>
      <c r="C109" s="25"/>
      <c r="D109" s="25"/>
      <c r="E109" s="25"/>
      <c r="F109" s="25"/>
      <c r="G109" s="16"/>
      <c r="H109" s="25"/>
      <c r="I109" s="16"/>
      <c r="J109" s="25"/>
      <c r="K109" s="25"/>
      <c r="L109" s="25"/>
      <c r="M109" s="25"/>
      <c r="N109" s="25"/>
      <c r="O109" s="25"/>
    </row>
    <row r="110" spans="1:15" x14ac:dyDescent="0.25">
      <c r="A110" s="25"/>
      <c r="B110" s="25"/>
      <c r="C110" s="25"/>
      <c r="D110" s="25"/>
      <c r="E110" s="25"/>
      <c r="F110" s="25"/>
      <c r="G110" s="16"/>
      <c r="H110" s="25"/>
      <c r="I110" s="16"/>
      <c r="J110" s="25"/>
      <c r="K110" s="25"/>
      <c r="L110" s="25"/>
      <c r="M110" s="25"/>
      <c r="N110" s="25"/>
      <c r="O110" s="25"/>
    </row>
    <row r="111" spans="1:15" x14ac:dyDescent="0.25">
      <c r="A111" s="25"/>
      <c r="B111" s="25"/>
      <c r="C111" s="25"/>
      <c r="D111" s="25"/>
      <c r="E111" s="25"/>
      <c r="F111" s="25"/>
      <c r="G111" s="16"/>
      <c r="H111" s="25"/>
      <c r="I111" s="16"/>
      <c r="J111" s="25"/>
      <c r="K111" s="25"/>
      <c r="L111" s="25"/>
      <c r="M111" s="25"/>
      <c r="N111" s="25"/>
      <c r="O111" s="25"/>
    </row>
    <row r="112" spans="1:15" x14ac:dyDescent="0.25">
      <c r="A112" s="25"/>
      <c r="B112" s="25"/>
      <c r="C112" s="25"/>
      <c r="D112" s="25"/>
      <c r="E112" s="25"/>
      <c r="F112" s="25"/>
      <c r="G112" s="16"/>
      <c r="H112" s="25"/>
      <c r="I112" s="16"/>
      <c r="J112" s="25"/>
      <c r="K112" s="25"/>
      <c r="L112" s="25"/>
      <c r="M112" s="25"/>
      <c r="N112" s="25"/>
      <c r="O112" s="25"/>
    </row>
    <row r="113" spans="1:15" x14ac:dyDescent="0.25">
      <c r="A113" s="25"/>
      <c r="B113" s="25"/>
      <c r="C113" s="25"/>
      <c r="D113" s="25"/>
      <c r="E113" s="25"/>
      <c r="F113" s="25"/>
      <c r="G113" s="16"/>
      <c r="H113" s="25"/>
      <c r="I113" s="16"/>
      <c r="J113" s="25"/>
      <c r="K113" s="25"/>
      <c r="L113" s="25"/>
      <c r="M113" s="25"/>
      <c r="N113" s="25"/>
      <c r="O113" s="25"/>
    </row>
    <row r="114" spans="1:15" x14ac:dyDescent="0.25">
      <c r="A114" s="25"/>
      <c r="B114" s="25"/>
      <c r="C114" s="25"/>
      <c r="D114" s="25"/>
      <c r="E114" s="25"/>
      <c r="F114" s="25"/>
      <c r="G114" s="16"/>
      <c r="H114" s="25"/>
      <c r="I114" s="16"/>
      <c r="J114" s="25"/>
      <c r="K114" s="25"/>
      <c r="L114" s="25"/>
      <c r="M114" s="25"/>
      <c r="N114" s="25"/>
      <c r="O114" s="25"/>
    </row>
    <row r="115" spans="1:15" x14ac:dyDescent="0.25">
      <c r="A115" s="25"/>
      <c r="B115" s="25"/>
      <c r="C115" s="25"/>
      <c r="D115" s="25"/>
      <c r="E115" s="25"/>
      <c r="F115" s="25"/>
      <c r="G115" s="16"/>
      <c r="H115" s="25"/>
      <c r="I115" s="16"/>
      <c r="J115" s="25"/>
      <c r="K115" s="25"/>
      <c r="L115" s="25"/>
      <c r="M115" s="25"/>
      <c r="N115" s="25"/>
      <c r="O115" s="25"/>
    </row>
    <row r="116" spans="1:15" x14ac:dyDescent="0.25">
      <c r="A116" s="25"/>
      <c r="B116" s="25"/>
      <c r="C116" s="25"/>
      <c r="D116" s="25"/>
      <c r="E116" s="25"/>
      <c r="F116" s="25"/>
      <c r="G116" s="16"/>
      <c r="H116" s="25"/>
      <c r="I116" s="16"/>
      <c r="J116" s="25"/>
      <c r="K116" s="25"/>
      <c r="L116" s="25"/>
      <c r="M116" s="25"/>
      <c r="N116" s="25"/>
      <c r="O116" s="25"/>
    </row>
    <row r="117" spans="1:15" x14ac:dyDescent="0.25">
      <c r="A117" s="25"/>
      <c r="B117" s="25"/>
      <c r="C117" s="25"/>
      <c r="D117" s="25"/>
      <c r="E117" s="25"/>
      <c r="F117" s="25"/>
      <c r="G117" s="16"/>
      <c r="H117" s="25"/>
      <c r="I117" s="16"/>
      <c r="J117" s="25"/>
      <c r="K117" s="25"/>
      <c r="L117" s="25"/>
      <c r="M117" s="25"/>
      <c r="N117" s="25"/>
      <c r="O117" s="25"/>
    </row>
    <row r="118" spans="1:15" x14ac:dyDescent="0.25">
      <c r="A118" s="25"/>
      <c r="B118" s="25"/>
      <c r="C118" s="25"/>
      <c r="D118" s="25"/>
      <c r="E118" s="25"/>
      <c r="F118" s="25"/>
      <c r="G118" s="16"/>
      <c r="H118" s="25"/>
      <c r="I118" s="16"/>
      <c r="J118" s="25"/>
      <c r="K118" s="25"/>
      <c r="L118" s="25"/>
      <c r="M118" s="25"/>
      <c r="N118" s="25"/>
      <c r="O118" s="25"/>
    </row>
    <row r="119" spans="1:15" x14ac:dyDescent="0.25">
      <c r="A119" s="25"/>
      <c r="B119" s="25"/>
      <c r="C119" s="25"/>
      <c r="D119" s="25"/>
      <c r="E119" s="25"/>
      <c r="F119" s="25"/>
      <c r="G119" s="16"/>
      <c r="H119" s="25"/>
      <c r="I119" s="16"/>
      <c r="J119" s="25"/>
      <c r="K119" s="25"/>
      <c r="L119" s="25"/>
      <c r="M119" s="25"/>
      <c r="N119" s="25"/>
      <c r="O119" s="25"/>
    </row>
    <row r="120" spans="1:15" x14ac:dyDescent="0.25">
      <c r="A120" s="25"/>
      <c r="B120" s="25"/>
      <c r="C120" s="25"/>
      <c r="D120" s="25"/>
      <c r="E120" s="25"/>
      <c r="F120" s="25"/>
      <c r="G120" s="16"/>
      <c r="H120" s="25"/>
      <c r="I120" s="16"/>
      <c r="J120" s="25"/>
      <c r="K120" s="25"/>
      <c r="L120" s="25"/>
      <c r="M120" s="25"/>
      <c r="N120" s="25"/>
      <c r="O120" s="25"/>
    </row>
    <row r="121" spans="1:15" x14ac:dyDescent="0.25">
      <c r="A121" s="25"/>
      <c r="B121" s="25"/>
      <c r="C121" s="25"/>
      <c r="D121" s="25"/>
      <c r="E121" s="25"/>
      <c r="F121" s="25"/>
      <c r="G121" s="16"/>
      <c r="H121" s="25"/>
      <c r="I121" s="16"/>
      <c r="J121" s="25"/>
      <c r="K121" s="25"/>
      <c r="L121" s="25"/>
      <c r="M121" s="25"/>
      <c r="N121" s="25"/>
      <c r="O121" s="25"/>
    </row>
    <row r="122" spans="1:15" x14ac:dyDescent="0.25">
      <c r="A122" s="25"/>
      <c r="B122" s="25"/>
      <c r="C122" s="25"/>
      <c r="D122" s="25"/>
      <c r="E122" s="25"/>
      <c r="F122" s="25"/>
      <c r="G122" s="16"/>
      <c r="H122" s="25"/>
      <c r="I122" s="16"/>
      <c r="J122" s="25"/>
      <c r="K122" s="25"/>
      <c r="L122" s="25"/>
      <c r="M122" s="25"/>
      <c r="N122" s="25"/>
      <c r="O122" s="25"/>
    </row>
    <row r="123" spans="1:15" x14ac:dyDescent="0.25">
      <c r="A123" s="25"/>
      <c r="B123" s="25"/>
      <c r="C123" s="25"/>
      <c r="D123" s="25"/>
      <c r="E123" s="25"/>
      <c r="F123" s="25"/>
      <c r="G123" s="16"/>
      <c r="H123" s="25"/>
      <c r="I123" s="16"/>
      <c r="J123" s="25"/>
      <c r="K123" s="25"/>
      <c r="L123" s="25"/>
      <c r="M123" s="25"/>
      <c r="N123" s="25"/>
      <c r="O123" s="25"/>
    </row>
    <row r="124" spans="1:15" x14ac:dyDescent="0.25">
      <c r="A124" s="25"/>
      <c r="B124" s="25"/>
      <c r="C124" s="25"/>
      <c r="D124" s="25"/>
      <c r="E124" s="25"/>
      <c r="F124" s="25"/>
      <c r="G124" s="16"/>
      <c r="H124" s="25"/>
      <c r="I124" s="16"/>
      <c r="J124" s="25"/>
      <c r="K124" s="25"/>
      <c r="L124" s="25"/>
      <c r="M124" s="25"/>
      <c r="N124" s="25"/>
      <c r="O124" s="25"/>
    </row>
    <row r="125" spans="1:15" x14ac:dyDescent="0.25">
      <c r="A125" s="25"/>
      <c r="B125" s="25"/>
      <c r="C125" s="25"/>
      <c r="D125" s="25"/>
      <c r="E125" s="25"/>
      <c r="F125" s="25"/>
      <c r="G125" s="16"/>
      <c r="H125" s="25"/>
      <c r="I125" s="16"/>
      <c r="J125" s="25"/>
      <c r="K125" s="25"/>
      <c r="L125" s="25"/>
      <c r="M125" s="25"/>
      <c r="N125" s="25"/>
      <c r="O125" s="25"/>
    </row>
    <row r="126" spans="1:15" x14ac:dyDescent="0.25">
      <c r="A126" s="25"/>
      <c r="B126" s="25"/>
      <c r="C126" s="25"/>
      <c r="D126" s="25"/>
      <c r="E126" s="25"/>
      <c r="F126" s="25"/>
      <c r="G126" s="16"/>
      <c r="H126" s="25"/>
      <c r="I126" s="16"/>
      <c r="J126" s="25"/>
      <c r="K126" s="25"/>
      <c r="L126" s="25"/>
      <c r="M126" s="25"/>
      <c r="N126" s="25"/>
      <c r="O126" s="25"/>
    </row>
    <row r="127" spans="1:15" x14ac:dyDescent="0.25">
      <c r="A127" s="25"/>
      <c r="B127" s="25"/>
      <c r="C127" s="25"/>
      <c r="D127" s="25"/>
      <c r="E127" s="25"/>
      <c r="F127" s="25"/>
      <c r="G127" s="16"/>
      <c r="H127" s="25"/>
      <c r="I127" s="16"/>
      <c r="J127" s="25"/>
      <c r="K127" s="25"/>
      <c r="L127" s="25"/>
      <c r="M127" s="25"/>
      <c r="N127" s="25"/>
      <c r="O127" s="25"/>
    </row>
    <row r="128" spans="1:15" x14ac:dyDescent="0.25">
      <c r="A128" s="25"/>
      <c r="B128" s="25"/>
      <c r="C128" s="25"/>
      <c r="D128" s="25"/>
      <c r="E128" s="25"/>
      <c r="F128" s="25"/>
      <c r="G128" s="16"/>
      <c r="H128" s="25"/>
      <c r="I128" s="16"/>
      <c r="J128" s="25"/>
      <c r="K128" s="25"/>
      <c r="L128" s="25"/>
      <c r="M128" s="25"/>
      <c r="N128" s="25"/>
      <c r="O128" s="25"/>
    </row>
    <row r="129" spans="1:15" x14ac:dyDescent="0.25">
      <c r="A129" s="25"/>
      <c r="B129" s="25"/>
      <c r="C129" s="25"/>
      <c r="D129" s="25"/>
      <c r="E129" s="25"/>
      <c r="F129" s="25"/>
      <c r="G129" s="16"/>
      <c r="H129" s="25"/>
      <c r="I129" s="16"/>
      <c r="J129" s="25"/>
      <c r="K129" s="25"/>
      <c r="L129" s="25"/>
      <c r="M129" s="25"/>
      <c r="N129" s="25"/>
      <c r="O129" s="25"/>
    </row>
    <row r="130" spans="1:15" x14ac:dyDescent="0.25">
      <c r="A130" s="25"/>
      <c r="B130" s="25"/>
      <c r="C130" s="25"/>
      <c r="D130" s="25"/>
      <c r="E130" s="25"/>
      <c r="F130" s="25"/>
      <c r="G130" s="16"/>
      <c r="H130" s="25"/>
      <c r="I130" s="16"/>
      <c r="J130" s="25"/>
      <c r="K130" s="25"/>
      <c r="L130" s="25"/>
      <c r="M130" s="25"/>
      <c r="N130" s="25"/>
      <c r="O130" s="25"/>
    </row>
    <row r="131" spans="1:15" x14ac:dyDescent="0.25">
      <c r="A131" s="25"/>
      <c r="B131" s="25"/>
      <c r="C131" s="25"/>
      <c r="D131" s="25"/>
      <c r="E131" s="25"/>
      <c r="F131" s="25"/>
      <c r="G131" s="16"/>
      <c r="H131" s="25"/>
      <c r="I131" s="16"/>
      <c r="J131" s="25"/>
      <c r="K131" s="25"/>
      <c r="L131" s="25"/>
      <c r="M131" s="25"/>
      <c r="N131" s="25"/>
      <c r="O131" s="25"/>
    </row>
    <row r="132" spans="1:15" x14ac:dyDescent="0.25">
      <c r="A132" s="25"/>
      <c r="B132" s="25"/>
      <c r="C132" s="25"/>
      <c r="D132" s="25"/>
      <c r="E132" s="25"/>
      <c r="F132" s="25"/>
      <c r="G132" s="16"/>
      <c r="H132" s="25"/>
      <c r="I132" s="16"/>
      <c r="J132" s="25"/>
      <c r="K132" s="25"/>
      <c r="L132" s="25"/>
      <c r="M132" s="25"/>
      <c r="N132" s="25"/>
      <c r="O132" s="25"/>
    </row>
    <row r="133" spans="1:15" x14ac:dyDescent="0.25">
      <c r="A133" s="25"/>
      <c r="B133" s="25"/>
      <c r="C133" s="25"/>
      <c r="D133" s="25"/>
      <c r="E133" s="25"/>
      <c r="F133" s="25"/>
      <c r="G133" s="16"/>
      <c r="H133" s="25"/>
      <c r="I133" s="16"/>
      <c r="J133" s="25"/>
      <c r="K133" s="25"/>
      <c r="L133" s="25"/>
      <c r="M133" s="25"/>
      <c r="N133" s="25"/>
      <c r="O133" s="25"/>
    </row>
    <row r="134" spans="1:15" x14ac:dyDescent="0.25">
      <c r="A134" s="25"/>
      <c r="B134" s="25"/>
      <c r="C134" s="25"/>
      <c r="D134" s="25"/>
      <c r="E134" s="25"/>
      <c r="F134" s="25"/>
      <c r="G134" s="16"/>
      <c r="H134" s="25"/>
      <c r="I134" s="16"/>
      <c r="J134" s="25"/>
      <c r="K134" s="25"/>
      <c r="L134" s="25"/>
      <c r="M134" s="25"/>
      <c r="N134" s="25"/>
      <c r="O134" s="25"/>
    </row>
    <row r="135" spans="1:15" x14ac:dyDescent="0.25">
      <c r="A135" s="25"/>
      <c r="B135" s="25"/>
      <c r="C135" s="25"/>
      <c r="D135" s="25"/>
      <c r="E135" s="25"/>
      <c r="F135" s="25"/>
      <c r="G135" s="16"/>
      <c r="H135" s="25"/>
      <c r="I135" s="16"/>
      <c r="J135" s="25"/>
      <c r="K135" s="25"/>
      <c r="L135" s="25"/>
      <c r="M135" s="25"/>
      <c r="N135" s="25"/>
      <c r="O135" s="25"/>
    </row>
    <row r="136" spans="1:15" x14ac:dyDescent="0.25">
      <c r="A136" s="25"/>
      <c r="B136" s="25"/>
      <c r="C136" s="25"/>
      <c r="D136" s="25"/>
      <c r="E136" s="25"/>
      <c r="F136" s="25"/>
      <c r="G136" s="16"/>
      <c r="H136" s="25"/>
      <c r="I136" s="16"/>
      <c r="J136" s="25"/>
      <c r="K136" s="25"/>
      <c r="L136" s="25"/>
      <c r="M136" s="25"/>
      <c r="N136" s="25"/>
      <c r="O136" s="25"/>
    </row>
    <row r="137" spans="1:15" x14ac:dyDescent="0.25">
      <c r="A137" s="25"/>
      <c r="B137" s="25"/>
      <c r="C137" s="25"/>
      <c r="D137" s="25"/>
      <c r="E137" s="25"/>
      <c r="F137" s="25"/>
      <c r="G137" s="16"/>
      <c r="H137" s="25"/>
      <c r="I137" s="16"/>
      <c r="J137" s="25"/>
      <c r="K137" s="25"/>
      <c r="L137" s="25"/>
      <c r="M137" s="25"/>
      <c r="N137" s="25"/>
      <c r="O137" s="25"/>
    </row>
    <row r="138" spans="1:15" x14ac:dyDescent="0.25">
      <c r="A138" s="25"/>
      <c r="B138" s="25"/>
      <c r="C138" s="25"/>
      <c r="D138" s="25"/>
      <c r="E138" s="25"/>
      <c r="F138" s="25"/>
      <c r="G138" s="16"/>
      <c r="H138" s="25"/>
      <c r="I138" s="16"/>
      <c r="J138" s="25"/>
      <c r="K138" s="25"/>
      <c r="L138" s="25"/>
      <c r="M138" s="25"/>
      <c r="N138" s="25"/>
      <c r="O138" s="25"/>
    </row>
    <row r="139" spans="1:15" x14ac:dyDescent="0.25">
      <c r="A139" s="25"/>
      <c r="B139" s="25"/>
      <c r="C139" s="25"/>
      <c r="D139" s="25"/>
      <c r="E139" s="25"/>
      <c r="F139" s="25"/>
      <c r="G139" s="16"/>
      <c r="H139" s="25"/>
      <c r="I139" s="16"/>
      <c r="J139" s="25"/>
      <c r="K139" s="25"/>
      <c r="L139" s="25"/>
      <c r="M139" s="25"/>
      <c r="N139" s="25"/>
      <c r="O139" s="25"/>
    </row>
    <row r="140" spans="1:15" x14ac:dyDescent="0.25">
      <c r="A140" s="25"/>
      <c r="B140" s="25"/>
      <c r="C140" s="25"/>
      <c r="D140" s="25"/>
      <c r="E140" s="25"/>
      <c r="F140" s="25"/>
      <c r="G140" s="16"/>
      <c r="H140" s="25"/>
      <c r="I140" s="16"/>
      <c r="J140" s="25"/>
      <c r="K140" s="25"/>
      <c r="L140" s="25"/>
      <c r="M140" s="25"/>
      <c r="N140" s="25"/>
      <c r="O140" s="25"/>
    </row>
    <row r="141" spans="1:15" x14ac:dyDescent="0.25">
      <c r="A141" s="25"/>
      <c r="B141" s="25"/>
      <c r="C141" s="25"/>
      <c r="D141" s="25"/>
      <c r="E141" s="25"/>
      <c r="F141" s="25"/>
      <c r="G141" s="16"/>
      <c r="H141" s="25"/>
      <c r="I141" s="16"/>
      <c r="J141" s="25"/>
      <c r="K141" s="25"/>
      <c r="L141" s="25"/>
      <c r="M141" s="25"/>
      <c r="N141" s="25"/>
      <c r="O141" s="25"/>
    </row>
    <row r="142" spans="1:15" x14ac:dyDescent="0.25">
      <c r="A142" s="25"/>
      <c r="B142" s="25"/>
      <c r="C142" s="25"/>
      <c r="D142" s="25"/>
      <c r="E142" s="25"/>
      <c r="F142" s="25"/>
      <c r="G142" s="16"/>
      <c r="H142" s="25"/>
      <c r="I142" s="16"/>
      <c r="J142" s="25"/>
      <c r="K142" s="25"/>
      <c r="L142" s="25"/>
      <c r="M142" s="25"/>
      <c r="N142" s="25"/>
      <c r="O142" s="25"/>
    </row>
    <row r="143" spans="1:15" x14ac:dyDescent="0.25">
      <c r="A143" s="25"/>
      <c r="B143" s="25"/>
      <c r="C143" s="25"/>
      <c r="D143" s="25"/>
      <c r="E143" s="25"/>
      <c r="F143" s="25"/>
      <c r="G143" s="16"/>
      <c r="H143" s="25"/>
      <c r="I143" s="16"/>
      <c r="J143" s="25"/>
      <c r="K143" s="25"/>
      <c r="L143" s="25"/>
      <c r="M143" s="25"/>
      <c r="N143" s="25"/>
      <c r="O143" s="25"/>
    </row>
    <row r="144" spans="1:15" x14ac:dyDescent="0.25">
      <c r="A144" s="25"/>
      <c r="B144" s="25"/>
      <c r="C144" s="25"/>
      <c r="D144" s="25"/>
      <c r="E144" s="25"/>
      <c r="F144" s="25"/>
      <c r="G144" s="16"/>
      <c r="H144" s="25"/>
      <c r="I144" s="16"/>
      <c r="J144" s="25"/>
      <c r="K144" s="25"/>
      <c r="L144" s="25"/>
      <c r="M144" s="25"/>
      <c r="N144" s="25"/>
      <c r="O144" s="25"/>
    </row>
    <row r="145" spans="1:15" x14ac:dyDescent="0.25">
      <c r="A145" s="25"/>
      <c r="B145" s="25"/>
      <c r="C145" s="25"/>
      <c r="D145" s="25"/>
      <c r="E145" s="25"/>
      <c r="F145" s="25"/>
      <c r="G145" s="16"/>
      <c r="H145" s="25"/>
      <c r="I145" s="16"/>
      <c r="J145" s="25"/>
      <c r="K145" s="25"/>
      <c r="L145" s="25"/>
      <c r="M145" s="25"/>
      <c r="N145" s="25"/>
      <c r="O145" s="25"/>
    </row>
    <row r="146" spans="1:15" x14ac:dyDescent="0.25">
      <c r="A146" s="25"/>
      <c r="B146" s="25"/>
      <c r="C146" s="25"/>
      <c r="D146" s="25"/>
      <c r="E146" s="25"/>
      <c r="F146" s="25"/>
      <c r="G146" s="16"/>
      <c r="H146" s="25"/>
      <c r="I146" s="16"/>
      <c r="J146" s="25"/>
      <c r="K146" s="25"/>
      <c r="L146" s="25"/>
      <c r="M146" s="25"/>
      <c r="N146" s="25"/>
      <c r="O146" s="25"/>
    </row>
    <row r="147" spans="1:15" x14ac:dyDescent="0.25">
      <c r="A147" s="25"/>
      <c r="B147" s="25"/>
      <c r="C147" s="25"/>
      <c r="D147" s="25"/>
      <c r="E147" s="25"/>
      <c r="F147" s="25"/>
      <c r="G147" s="16"/>
      <c r="H147" s="25"/>
      <c r="I147" s="16"/>
      <c r="J147" s="25"/>
      <c r="K147" s="25"/>
      <c r="L147" s="25"/>
      <c r="M147" s="25"/>
      <c r="N147" s="25"/>
      <c r="O147" s="25"/>
    </row>
    <row r="148" spans="1:15" x14ac:dyDescent="0.25">
      <c r="A148" s="25"/>
      <c r="B148" s="25"/>
      <c r="C148" s="25"/>
      <c r="D148" s="25"/>
      <c r="E148" s="25"/>
      <c r="F148" s="25"/>
      <c r="G148" s="16"/>
      <c r="H148" s="25"/>
      <c r="I148" s="16"/>
      <c r="J148" s="25"/>
      <c r="K148" s="25"/>
      <c r="L148" s="25"/>
      <c r="M148" s="25"/>
      <c r="N148" s="25"/>
      <c r="O148" s="25"/>
    </row>
    <row r="149" spans="1:15" x14ac:dyDescent="0.25">
      <c r="A149" s="25"/>
      <c r="B149" s="25"/>
      <c r="C149" s="25"/>
      <c r="D149" s="25"/>
      <c r="E149" s="25"/>
      <c r="F149" s="25"/>
      <c r="G149" s="16"/>
      <c r="H149" s="25"/>
      <c r="I149" s="16"/>
      <c r="J149" s="25"/>
      <c r="K149" s="25"/>
      <c r="L149" s="25"/>
      <c r="M149" s="25"/>
      <c r="N149" s="25"/>
      <c r="O149" s="25"/>
    </row>
    <row r="150" spans="1:15" x14ac:dyDescent="0.25">
      <c r="A150" s="25"/>
      <c r="B150" s="25"/>
      <c r="C150" s="25"/>
      <c r="D150" s="25"/>
      <c r="E150" s="25"/>
      <c r="F150" s="25"/>
      <c r="G150" s="16"/>
      <c r="H150" s="25"/>
      <c r="I150" s="16"/>
      <c r="J150" s="25"/>
      <c r="K150" s="25"/>
      <c r="L150" s="25"/>
      <c r="M150" s="25"/>
      <c r="N150" s="25"/>
      <c r="O150" s="25"/>
    </row>
    <row r="151" spans="1:15" x14ac:dyDescent="0.25">
      <c r="A151" s="25"/>
      <c r="B151" s="25"/>
      <c r="C151" s="25"/>
      <c r="D151" s="25"/>
      <c r="E151" s="25"/>
      <c r="F151" s="25"/>
      <c r="G151" s="16"/>
      <c r="H151" s="25"/>
      <c r="I151" s="16"/>
      <c r="J151" s="25"/>
      <c r="K151" s="25"/>
      <c r="L151" s="25"/>
      <c r="M151" s="25"/>
      <c r="N151" s="25"/>
      <c r="O151" s="25"/>
    </row>
    <row r="152" spans="1:15" x14ac:dyDescent="0.25">
      <c r="A152" s="25"/>
      <c r="B152" s="25"/>
      <c r="C152" s="25"/>
      <c r="D152" s="25"/>
      <c r="E152" s="25"/>
      <c r="F152" s="25"/>
      <c r="G152" s="16"/>
      <c r="H152" s="25"/>
      <c r="I152" s="16"/>
      <c r="J152" s="25"/>
      <c r="K152" s="25"/>
      <c r="L152" s="25"/>
      <c r="M152" s="25"/>
      <c r="N152" s="25"/>
      <c r="O152" s="25"/>
    </row>
    <row r="153" spans="1:15" x14ac:dyDescent="0.25">
      <c r="A153" s="25"/>
      <c r="B153" s="25"/>
      <c r="C153" s="25"/>
      <c r="D153" s="25"/>
      <c r="E153" s="25"/>
      <c r="F153" s="25"/>
      <c r="G153" s="16"/>
      <c r="H153" s="25"/>
      <c r="I153" s="16"/>
      <c r="J153" s="25"/>
      <c r="K153" s="25"/>
      <c r="L153" s="25"/>
      <c r="M153" s="25"/>
      <c r="N153" s="25"/>
      <c r="O153" s="25"/>
    </row>
    <row r="154" spans="1:15" x14ac:dyDescent="0.25">
      <c r="A154" s="25"/>
      <c r="B154" s="25"/>
      <c r="C154" s="25"/>
      <c r="D154" s="25"/>
      <c r="E154" s="25"/>
      <c r="F154" s="25"/>
      <c r="G154" s="16"/>
      <c r="H154" s="25"/>
      <c r="I154" s="16"/>
      <c r="J154" s="25"/>
      <c r="K154" s="25"/>
      <c r="L154" s="25"/>
      <c r="M154" s="25"/>
      <c r="N154" s="25"/>
      <c r="O154" s="25"/>
    </row>
  </sheetData>
  <autoFilter ref="A2:O154"/>
  <mergeCells count="11">
    <mergeCell ref="G1:H1"/>
    <mergeCell ref="I1:J1"/>
    <mergeCell ref="K1:K2"/>
    <mergeCell ref="L1:N1"/>
    <mergeCell ref="O1:O2"/>
    <mergeCell ref="F1:F2"/>
    <mergeCell ref="A1:A2"/>
    <mergeCell ref="B1:B2"/>
    <mergeCell ref="C1:C2"/>
    <mergeCell ref="D1:D2"/>
    <mergeCell ref="E1:E2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7</vt:i4>
      </vt:variant>
    </vt:vector>
  </HeadingPairs>
  <TitlesOfParts>
    <vt:vector size="7" baseType="lpstr">
      <vt:lpstr>DATA</vt:lpstr>
      <vt:lpstr>COORD</vt:lpstr>
      <vt:lpstr>Текущий</vt:lpstr>
      <vt:lpstr>Предыд</vt:lpstr>
      <vt:lpstr>Свод</vt:lpstr>
      <vt:lpstr>март кон</vt:lpstr>
      <vt:lpstr>март раб</vt:lpstr>
    </vt:vector>
  </TitlesOfParts>
  <Company>SPecialiST RePack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Иван Бизяев</dc:creator>
  <cp:lastModifiedBy>Шипарев Руслан Геннадьевич</cp:lastModifiedBy>
  <cp:lastPrinted>2019-07-22T02:34:43Z</cp:lastPrinted>
  <dcterms:created xsi:type="dcterms:W3CDTF">2018-10-05T02:56:01Z</dcterms:created>
  <dcterms:modified xsi:type="dcterms:W3CDTF">2021-09-16T03:17:13Z</dcterms:modified>
</cp:coreProperties>
</file>